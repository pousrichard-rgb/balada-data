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<sst xmlns="http://schemas.openxmlformats.org/spreadsheetml/2006/main" count="3919" uniqueCount="3919">
  <si>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</si>
  <si>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</si>
  <si>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</si>
  <si>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</si>
  <si>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</si>
  <si>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</si>
  <si>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</si>
  <si>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</si>
  <si>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</si>
  <si>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</si>
  <si>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</si>
  <si>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</si>
  <si>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</si>
  <si>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</si>
  <si>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</si>
  <si>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</si>
  <si>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</si>
  <si>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</si>
  <si>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</si>
  <si>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</si>
  <si>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</si>
  <si>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</si>
  <si>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</si>
  <si>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</si>
  <si>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</si>
  <si>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</si>
  <si>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</si>
  <si>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</si>
  <si>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</si>
  <si>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</si>
  <si>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</si>
  <si>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</si>
  <si>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</si>
  <si>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</si>
  <si>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</si>
  <si>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</si>
  <si>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</si>
  <si>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</si>
  <si>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</si>
  <si>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</si>
  <si>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</si>
  <si>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</si>
  <si>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</si>
  <si>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</si>
  <si>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</si>
  <si>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</si>
  <si>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</si>
  <si>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</si>
  <si>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</si>
  <si>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</si>
  <si>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</si>
  <si>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</si>
  <si>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</si>
  <si>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</si>
  <si>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</si>
  <si>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</si>
  <si>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</si>
  <si>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</si>
  <si>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</si>
  <si>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</si>
  <si>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</si>
  <si>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</si>
  <si>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</si>
  <si>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</si>
  <si>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</si>
  <si>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</si>
  <si>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</si>
  <si>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</si>
  <si>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</si>
  <si>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</si>
  <si>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</si>
  <si>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</si>
  <si>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</si>
  <si>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</si>
  <si>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</si>
  <si>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</si>
  <si>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</si>
  <si>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</si>
  <si>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</si>
  <si>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</si>
  <si>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</si>
  <si>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</si>
  <si>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</si>
  <si>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</si>
  <si>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</si>
  <si>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</si>
  <si>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</si>
  <si>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</si>
  <si>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</si>
  <si>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</si>
  <si>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</si>
  <si>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</si>
  <si>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</si>
  <si>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</si>
  <si>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</si>
  <si>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</si>
  <si>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</si>
  <si>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</si>
  <si>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</si>
  <si>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</si>
  <si>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</si>
  <si>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</si>
  <si>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</si>
  <si>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19.04.2026</t>
  </si>
  <si>
    <t/>
  </si>
  <si>
    <t>Pokladna SCO1</t>
  </si>
  <si>
    <t>Teclová</t>
  </si>
  <si>
    <t>Pokladna 1</t>
  </si>
  <si>
    <t>Prodej</t>
  </si>
  <si>
    <t>Pokladna 2</t>
  </si>
  <si>
    <t>Odhášení</t>
  </si>
  <si>
    <t>Šímová</t>
  </si>
  <si>
    <t>Klímová</t>
  </si>
  <si>
    <t>Očenášková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</si>
  <si>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</si>
  <si>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</si>
  <si>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</si>
  <si>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</si>
  <si>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</si>
  <si>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</si>
  <si>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</si>
  <si>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</si>
  <si>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</si>
  <si>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</si>
  <si>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</si>
  <si>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</si>
  <si>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</si>
  <si>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</si>
  <si>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</si>
  <si>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</si>
  <si>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</si>
  <si>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</si>
  <si>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</si>
  <si>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</si>
  <si>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</si>
  <si>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</si>
  <si>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</si>
  <si>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</si>
  <si>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</si>
  <si>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</si>
  <si>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</si>
  <si>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</si>
  <si>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</si>
  <si>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</si>
  <si>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</si>
  <si>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</si>
  <si>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</si>
  <si>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</si>
  <si>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</si>
  <si>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</si>
  <si>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</si>
  <si>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</si>
  <si>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</si>
  <si>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</si>
  <si>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</si>
  <si>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</si>
  <si>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</si>
  <si>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</si>
  <si>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13336602</t>
  </si>
  <si>
    <t>8595019696884</t>
  </si>
  <si>
    <t>CARLA spol. s r.o.</t>
  </si>
  <si>
    <t>51102</t>
  </si>
  <si>
    <t>Laguna Mořské plody mléčná</t>
  </si>
  <si>
    <t>KS</t>
  </si>
  <si>
    <t>48119602</t>
  </si>
  <si>
    <t>8594057637859</t>
  </si>
  <si>
    <t>MASPEX CZECH, s.r.o.</t>
  </si>
  <si>
    <t>52209</t>
  </si>
  <si>
    <t>Tiger energy drink 1l</t>
  </si>
  <si>
    <t>21153380</t>
  </si>
  <si>
    <t>5900749624961</t>
  </si>
  <si>
    <t>FS IMPORT- EXPORT s.r.o.</t>
  </si>
  <si>
    <t>50201</t>
  </si>
  <si>
    <t>BA! Energy Bar 5 forest fr</t>
  </si>
  <si>
    <t>21153398</t>
  </si>
  <si>
    <t>5900749618991</t>
  </si>
  <si>
    <t>BA! Energetická mysli tyči</t>
  </si>
  <si>
    <t>21153400</t>
  </si>
  <si>
    <t>5900749618984</t>
  </si>
  <si>
    <t>BA! Energy Bar brusinka 40</t>
  </si>
  <si>
    <t>21153425</t>
  </si>
  <si>
    <t>5900749618939</t>
  </si>
  <si>
    <t>BA! 5 Dries fruits and nut</t>
  </si>
  <si>
    <t>60532961</t>
  </si>
  <si>
    <t>8596140001721</t>
  </si>
  <si>
    <t>ČEPOS-Česká potravinářská obchodní a.s.</t>
  </si>
  <si>
    <t>80306</t>
  </si>
  <si>
    <t>Košilka ČC 50ks</t>
  </si>
  <si>
    <t>68356200</t>
  </si>
  <si>
    <t>287531</t>
  </si>
  <si>
    <t>ČEROZFRUCHT České Budějovice</t>
  </si>
  <si>
    <t>70202</t>
  </si>
  <si>
    <t>Okurka hadovka</t>
  </si>
  <si>
    <t>KG</t>
  </si>
  <si>
    <t>10103125</t>
  </si>
  <si>
    <t>8584004030000</t>
  </si>
  <si>
    <t>I.D.C. Praha, a.s.</t>
  </si>
  <si>
    <t>51001</t>
  </si>
  <si>
    <t>Mila řezy 50g</t>
  </si>
  <si>
    <t>31775740</t>
  </si>
  <si>
    <t>4014500515083</t>
  </si>
  <si>
    <t>Zott s.r.o.</t>
  </si>
  <si>
    <t>20112</t>
  </si>
  <si>
    <t>Zott Monte Snack 29g</t>
  </si>
  <si>
    <t>31775744</t>
  </si>
  <si>
    <t>4014500518275</t>
  </si>
  <si>
    <t>Monte Snack White 29g</t>
  </si>
  <si>
    <t>31704345</t>
  </si>
  <si>
    <t>8594006320054</t>
  </si>
  <si>
    <t>Moravia Lacto a.s.</t>
  </si>
  <si>
    <t>20106</t>
  </si>
  <si>
    <t>Podmáslí kysané 1% 1l</t>
  </si>
  <si>
    <t>90385807</t>
  </si>
  <si>
    <t>8595624792391</t>
  </si>
  <si>
    <t>Bidfood Czech Republic s.r.o.</t>
  </si>
  <si>
    <t>10207</t>
  </si>
  <si>
    <t>Mřížka s párkem a Liutenic</t>
  </si>
  <si>
    <t>47170179</t>
  </si>
  <si>
    <t>8595723200087</t>
  </si>
  <si>
    <t>KMV BEV CZ s.r.o.</t>
  </si>
  <si>
    <t>52204</t>
  </si>
  <si>
    <t>Toma Multifruit 1l</t>
  </si>
  <si>
    <t>48244563</t>
  </si>
  <si>
    <t>5060896626307</t>
  </si>
  <si>
    <t>Coca-Cola HBC Česko a Slovensko, s.r.o.</t>
  </si>
  <si>
    <t>Mega Monster Energy 1l</t>
  </si>
  <si>
    <t>31775791</t>
  </si>
  <si>
    <t>4014500520773</t>
  </si>
  <si>
    <t>20101</t>
  </si>
  <si>
    <t>Zott Protein Drink a přích</t>
  </si>
  <si>
    <t>45116303</t>
  </si>
  <si>
    <t>8594001026357</t>
  </si>
  <si>
    <t>Mattoni 1873 a.s.</t>
  </si>
  <si>
    <t>52202</t>
  </si>
  <si>
    <t>Magnesia Plus Boost mandar</t>
  </si>
  <si>
    <t>ANO</t>
  </si>
  <si>
    <t>BALADA 26_9A</t>
  </si>
  <si>
    <t>12103849</t>
  </si>
  <si>
    <t>8584004803307</t>
  </si>
  <si>
    <t>51101</t>
  </si>
  <si>
    <t>Lina celomáčená tyčinka ch</t>
  </si>
  <si>
    <t>11309154</t>
  </si>
  <si>
    <t>8595606210059</t>
  </si>
  <si>
    <t>INTERSNACK a.s.</t>
  </si>
  <si>
    <t>50101</t>
  </si>
  <si>
    <t>Bohemia chips slanina 60g</t>
  </si>
  <si>
    <t>11980030</t>
  </si>
  <si>
    <t>8594004160003</t>
  </si>
  <si>
    <t>SECALO a.s.</t>
  </si>
  <si>
    <t>Křupky arašídové 60g</t>
  </si>
  <si>
    <t>31704300</t>
  </si>
  <si>
    <t>8594006320122</t>
  </si>
  <si>
    <t>Mléko polotučné 1,5% Morav</t>
  </si>
  <si>
    <t>53121264</t>
  </si>
  <si>
    <t>8594404026428</t>
  </si>
  <si>
    <t>Plzeňský Prazdroj, a.s.</t>
  </si>
  <si>
    <t>52101</t>
  </si>
  <si>
    <t>Birell příchuť Polotmavý C</t>
  </si>
  <si>
    <t>60532985</t>
  </si>
  <si>
    <t>8594066791986</t>
  </si>
  <si>
    <t>Pytel na odpad 60l ČC 20ks</t>
  </si>
  <si>
    <t>10163951</t>
  </si>
  <si>
    <t>8588010163035</t>
  </si>
  <si>
    <t>SWEETEX s.r.o</t>
  </si>
  <si>
    <t>10204</t>
  </si>
  <si>
    <t>Prima rolky s příchutí mer</t>
  </si>
  <si>
    <t>90125206</t>
  </si>
  <si>
    <t>8590077430616</t>
  </si>
  <si>
    <t>PENAM, a.s.</t>
  </si>
  <si>
    <t>10203</t>
  </si>
  <si>
    <t>Krémka 80g</t>
  </si>
  <si>
    <t>90385963</t>
  </si>
  <si>
    <t>8594162858866</t>
  </si>
  <si>
    <t>10104</t>
  </si>
  <si>
    <t>Kobliha s meruňkovou nápln</t>
  </si>
  <si>
    <t>90979203</t>
  </si>
  <si>
    <t>283355</t>
  </si>
  <si>
    <t>Uzenářství a lahůdky Sláma s.r.o.</t>
  </si>
  <si>
    <t>30202</t>
  </si>
  <si>
    <t>Bítešská klobása TOP</t>
  </si>
  <si>
    <t>31708524</t>
  </si>
  <si>
    <t>8594003024139</t>
  </si>
  <si>
    <t>Mlékárna Valašské Meziříčí, spol. s r.o.</t>
  </si>
  <si>
    <t>Kefírové mléko 1,1% 1l</t>
  </si>
  <si>
    <t>57134830</t>
  </si>
  <si>
    <t>8594042232182</t>
  </si>
  <si>
    <t>80505</t>
  </si>
  <si>
    <t>Ubrousky kosmetické ČC 100</t>
  </si>
  <si>
    <t>31793801</t>
  </si>
  <si>
    <t>8594033405182</t>
  </si>
  <si>
    <t>EKOMILK a.s.</t>
  </si>
  <si>
    <t>20102</t>
  </si>
  <si>
    <t>Smetana zakysaná 14% 200g</t>
  </si>
  <si>
    <t>90A51816</t>
  </si>
  <si>
    <t>8594015842011</t>
  </si>
  <si>
    <t>ADW FOOD s.r.o.</t>
  </si>
  <si>
    <t>10101</t>
  </si>
  <si>
    <t>Rohlík 43g</t>
  </si>
  <si>
    <t>22105116</t>
  </si>
  <si>
    <t>8593837270521</t>
  </si>
  <si>
    <t>Orkla Foods Česko a Slovensko a.s.</t>
  </si>
  <si>
    <t>52502</t>
  </si>
  <si>
    <t>Kuře pečené 25g</t>
  </si>
  <si>
    <t>90385924</t>
  </si>
  <si>
    <t>8594162852291</t>
  </si>
  <si>
    <t>Rohlík císařský 95g</t>
  </si>
  <si>
    <t>24732539</t>
  </si>
  <si>
    <t>8594060910192</t>
  </si>
  <si>
    <t>GoodMills Česko s.r.o.</t>
  </si>
  <si>
    <t>52001</t>
  </si>
  <si>
    <t>Mouka hrubá Babiččina volb</t>
  </si>
  <si>
    <t>15107331</t>
  </si>
  <si>
    <t>4006067868474</t>
  </si>
  <si>
    <t>Tchibo Praha, spol. s.r.o.</t>
  </si>
  <si>
    <t>50302</t>
  </si>
  <si>
    <t>Jihlavanka Staročeská směs</t>
  </si>
  <si>
    <t>31699561</t>
  </si>
  <si>
    <t>8594008270012</t>
  </si>
  <si>
    <t>Savencia Fromage &amp; Dairy Czech Republic, a.s.</t>
  </si>
  <si>
    <t>20108</t>
  </si>
  <si>
    <t>Sedlčanský Hermelín 100g</t>
  </si>
  <si>
    <t>45116338</t>
  </si>
  <si>
    <t>8595723202296</t>
  </si>
  <si>
    <t>Mattoni Imuno hruška&amp;marak</t>
  </si>
  <si>
    <t>34114115</t>
  </si>
  <si>
    <t>8594000770039</t>
  </si>
  <si>
    <t>KAUMY Czechia s.r.o.</t>
  </si>
  <si>
    <t>51802</t>
  </si>
  <si>
    <t>Hořčice kremžská ČC 200g</t>
  </si>
  <si>
    <t>32397900</t>
  </si>
  <si>
    <t>8590047900026</t>
  </si>
  <si>
    <t>20206</t>
  </si>
  <si>
    <t>Pohodová Vejce M 10ks ČC 1</t>
  </si>
  <si>
    <t>34114160</t>
  </si>
  <si>
    <t>8594000771838</t>
  </si>
  <si>
    <t>Hořčice plnotučná ČC 200g</t>
  </si>
  <si>
    <t>68356072</t>
  </si>
  <si>
    <t>287508</t>
  </si>
  <si>
    <t>Cibule</t>
  </si>
  <si>
    <t>45115942</t>
  </si>
  <si>
    <t>8595231219458</t>
  </si>
  <si>
    <t>Kofola a.s.</t>
  </si>
  <si>
    <t xml:space="preserve">Jupík Aqua příchuť malina </t>
  </si>
  <si>
    <t>45116304</t>
  </si>
  <si>
    <t>8594001026364</t>
  </si>
  <si>
    <t>Magnesia Plus Revital hroz</t>
  </si>
  <si>
    <t>14153660</t>
  </si>
  <si>
    <t>5903839701825</t>
  </si>
  <si>
    <t>51003</t>
  </si>
  <si>
    <t>Pat Mat želé kyselé 70g</t>
  </si>
  <si>
    <t>48141253</t>
  </si>
  <si>
    <t>4003490069089</t>
  </si>
  <si>
    <t>ALIMPEX FOOD a.s.</t>
  </si>
  <si>
    <t>50306</t>
  </si>
  <si>
    <t>Eiskaffee Ledová káva 1,1%</t>
  </si>
  <si>
    <t>10153420</t>
  </si>
  <si>
    <t>8588005524049</t>
  </si>
  <si>
    <t>Alaska bezlepková trubička</t>
  </si>
  <si>
    <t>48115103</t>
  </si>
  <si>
    <t>4000177408100</t>
  </si>
  <si>
    <t>VITAR, s.r.o.</t>
  </si>
  <si>
    <t xml:space="preserve">Capri Sonne Mystic dragon </t>
  </si>
  <si>
    <t>34225116</t>
  </si>
  <si>
    <t>8595003415514</t>
  </si>
  <si>
    <t>Spak Foods s.r.o.</t>
  </si>
  <si>
    <t>51801</t>
  </si>
  <si>
    <t>Gourmet Ketchup jemný 500g</t>
  </si>
  <si>
    <t>90862288</t>
  </si>
  <si>
    <t>283374</t>
  </si>
  <si>
    <t>MP Krásno, a.s.</t>
  </si>
  <si>
    <t>Klobása Maďarka</t>
  </si>
  <si>
    <t>90979400</t>
  </si>
  <si>
    <t>283345</t>
  </si>
  <si>
    <t>30201</t>
  </si>
  <si>
    <t>Bítešské párky</t>
  </si>
  <si>
    <t>45116312</t>
  </si>
  <si>
    <t>8594001022434</t>
  </si>
  <si>
    <t>Magnesia Red jahoda 2l</t>
  </si>
  <si>
    <t>10153400</t>
  </si>
  <si>
    <t>8588005524018</t>
  </si>
  <si>
    <t>10153430</t>
  </si>
  <si>
    <t>8588005524100</t>
  </si>
  <si>
    <t>10C77193</t>
  </si>
  <si>
    <t>8001585010783</t>
  </si>
  <si>
    <t>SILISAN, spol. s r.o.</t>
  </si>
  <si>
    <t>Balconi Mix Milk Buonissim</t>
  </si>
  <si>
    <t>45170321</t>
  </si>
  <si>
    <t>8594008040509</t>
  </si>
  <si>
    <t>52206</t>
  </si>
  <si>
    <t>Pepsi 500ml</t>
  </si>
  <si>
    <t>90868261</t>
  </si>
  <si>
    <t>8590325510312</t>
  </si>
  <si>
    <t>Donut s čokoládovou příchu</t>
  </si>
  <si>
    <t>48248102</t>
  </si>
  <si>
    <t>9002490200077</t>
  </si>
  <si>
    <t>RED BULL Česká republika, s.r.o.</t>
  </si>
  <si>
    <t>Red Bull Energy drink 250m</t>
  </si>
  <si>
    <t>48B40150</t>
  </si>
  <si>
    <t>5999860497073</t>
  </si>
  <si>
    <t>Hell Energy Drinks Czech s.r.o.</t>
  </si>
  <si>
    <t>Ice Coffee Latte 250ml</t>
  </si>
  <si>
    <t>66864300</t>
  </si>
  <si>
    <t>283022</t>
  </si>
  <si>
    <t>Krahulík-MASOZÁVOD Krahulčí, a.s.</t>
  </si>
  <si>
    <t>51005</t>
  </si>
  <si>
    <t>Játrová cihla česká cena</t>
  </si>
  <si>
    <t>C000038</t>
  </si>
  <si>
    <t>284017</t>
  </si>
  <si>
    <t>30502</t>
  </si>
  <si>
    <t>Tuňáková pomazánka</t>
  </si>
  <si>
    <t>kg</t>
  </si>
  <si>
    <t>28962432</t>
  </si>
  <si>
    <t>8594174210089</t>
  </si>
  <si>
    <t>HOKA TRADE s.r.o.</t>
  </si>
  <si>
    <t>52402</t>
  </si>
  <si>
    <t xml:space="preserve">Instantní nudlová polévka </t>
  </si>
  <si>
    <t>90385037</t>
  </si>
  <si>
    <t>5902054001024</t>
  </si>
  <si>
    <t>10106</t>
  </si>
  <si>
    <t>Kornbageta fitness 28 cm 1</t>
  </si>
  <si>
    <t>45116302</t>
  </si>
  <si>
    <t>8594001021758</t>
  </si>
  <si>
    <t>Magnesia neperlivá 2l</t>
  </si>
  <si>
    <t>21C10904</t>
  </si>
  <si>
    <t>4820200894959</t>
  </si>
  <si>
    <t>Charlock s.r.o.</t>
  </si>
  <si>
    <t>Proteline tyčinka s čokolá</t>
  </si>
  <si>
    <t>12101442</t>
  </si>
  <si>
    <t>3800020418772</t>
  </si>
  <si>
    <t>Nestlé Česko</t>
  </si>
  <si>
    <t>Kit Kat Chunky Peanut butt</t>
  </si>
  <si>
    <t>90125252</t>
  </si>
  <si>
    <t>8590077322409</t>
  </si>
  <si>
    <t>10102</t>
  </si>
  <si>
    <t>Chléb Beskyd BK 500g</t>
  </si>
  <si>
    <t>11170384</t>
  </si>
  <si>
    <t>5900259128515</t>
  </si>
  <si>
    <t>Lays Stix s příchutí Ketch</t>
  </si>
  <si>
    <t>90933875</t>
  </si>
  <si>
    <t>8594005320574</t>
  </si>
  <si>
    <t>30101</t>
  </si>
  <si>
    <t>Šunka dušená standard ČC 1</t>
  </si>
  <si>
    <t>31122117</t>
  </si>
  <si>
    <t>8594006845380</t>
  </si>
  <si>
    <t>Mlékárna Hlinsko, a.s.</t>
  </si>
  <si>
    <t>50404</t>
  </si>
  <si>
    <t>Tatra mléko 1,5% 500ml</t>
  </si>
  <si>
    <t>31775598</t>
  </si>
  <si>
    <t>4014500515571</t>
  </si>
  <si>
    <t>Zott Monte White 150g</t>
  </si>
  <si>
    <t>34112181</t>
  </si>
  <si>
    <t>8595139720483</t>
  </si>
  <si>
    <t>Kečup sladký Česká cena 30</t>
  </si>
  <si>
    <t>68356049</t>
  </si>
  <si>
    <t>287501</t>
  </si>
  <si>
    <t>Batáty</t>
  </si>
  <si>
    <t>68356051</t>
  </si>
  <si>
    <t>287502</t>
  </si>
  <si>
    <t>Brambory rané</t>
  </si>
  <si>
    <t>68A66807</t>
  </si>
  <si>
    <t>8594023940389</t>
  </si>
  <si>
    <t>Jiří Bareš - GIRA</t>
  </si>
  <si>
    <t>70201</t>
  </si>
  <si>
    <t>Směs polévkové zeleniny 40</t>
  </si>
  <si>
    <t>31697585</t>
  </si>
  <si>
    <t>8593807544058</t>
  </si>
  <si>
    <t>OLMA, a.s.</t>
  </si>
  <si>
    <t>Florian drink višeň 400g</t>
  </si>
  <si>
    <t>28962464</t>
  </si>
  <si>
    <t>8594174210119</t>
  </si>
  <si>
    <t>31122106</t>
  </si>
  <si>
    <t>8594006845717</t>
  </si>
  <si>
    <t>Lascato na cappuccino 1l</t>
  </si>
  <si>
    <t>37236103</t>
  </si>
  <si>
    <t>8595241505886</t>
  </si>
  <si>
    <t>GASTON, s.r.o.</t>
  </si>
  <si>
    <t>51601</t>
  </si>
  <si>
    <t>Olivy černé bez pecky ve s</t>
  </si>
  <si>
    <t>38130148</t>
  </si>
  <si>
    <t>8594008332000</t>
  </si>
  <si>
    <t>Essa spol.s r.o.</t>
  </si>
  <si>
    <t>51701</t>
  </si>
  <si>
    <t>Hrušky půlené loupané 410g</t>
  </si>
  <si>
    <t>38210100</t>
  </si>
  <si>
    <t>9001466300575</t>
  </si>
  <si>
    <t>VOG, s.r.o.</t>
  </si>
  <si>
    <t>51702</t>
  </si>
  <si>
    <t>Ovocný koktejl Happ Frucht</t>
  </si>
  <si>
    <t>39385494</t>
  </si>
  <si>
    <t>8595624783337</t>
  </si>
  <si>
    <t>20201</t>
  </si>
  <si>
    <t>Mrkvový salát s ananasem N</t>
  </si>
  <si>
    <t>45244963</t>
  </si>
  <si>
    <t>5449000133335</t>
  </si>
  <si>
    <t>52207</t>
  </si>
  <si>
    <t>Coca Cola Zero 2l</t>
  </si>
  <si>
    <t>45116344</t>
  </si>
  <si>
    <t>8594001020607</t>
  </si>
  <si>
    <t xml:space="preserve">Mattoni s příchutí bílých </t>
  </si>
  <si>
    <t>49385766</t>
  </si>
  <si>
    <t>8595624795866</t>
  </si>
  <si>
    <t>40402</t>
  </si>
  <si>
    <t>Snack Madeland se šunkou 9</t>
  </si>
  <si>
    <t>12101579</t>
  </si>
  <si>
    <t>3800020403686</t>
  </si>
  <si>
    <t>51106</t>
  </si>
  <si>
    <t>Lentilky Hexatube 28g</t>
  </si>
  <si>
    <t>53725259</t>
  </si>
  <si>
    <t>8594044363433</t>
  </si>
  <si>
    <t>Pivovary Lobkowicz Group, a.s.</t>
  </si>
  <si>
    <t>Ježek Duklák 12 světlý lež</t>
  </si>
  <si>
    <t>90125141</t>
  </si>
  <si>
    <t>8590077341769</t>
  </si>
  <si>
    <t>10201</t>
  </si>
  <si>
    <t>Rohlík zábrdovický tmavý 6</t>
  </si>
  <si>
    <t>90385240</t>
  </si>
  <si>
    <t>Donut s barevným posypem 5</t>
  </si>
  <si>
    <t>90868262</t>
  </si>
  <si>
    <t>5907489681773</t>
  </si>
  <si>
    <t>Donut s jahodovou příchutí</t>
  </si>
  <si>
    <t>90933710</t>
  </si>
  <si>
    <t>283053</t>
  </si>
  <si>
    <t>PRANTL Masný průmysl s.r.o.</t>
  </si>
  <si>
    <t>30105</t>
  </si>
  <si>
    <t>Paprikáš</t>
  </si>
  <si>
    <t>11984140</t>
  </si>
  <si>
    <t>8586018180818</t>
  </si>
  <si>
    <t>ENCINGER SK, s.r.o.</t>
  </si>
  <si>
    <t>50702</t>
  </si>
  <si>
    <t>Arašídy v těstíčku s přích</t>
  </si>
  <si>
    <t>68356093</t>
  </si>
  <si>
    <t>287014</t>
  </si>
  <si>
    <t>70102</t>
  </si>
  <si>
    <t>Jablka Red Chief</t>
  </si>
  <si>
    <t>90979407</t>
  </si>
  <si>
    <t>8594017366829</t>
  </si>
  <si>
    <t>Debrecínské párky 220g</t>
  </si>
  <si>
    <t>14152159</t>
  </si>
  <si>
    <t>90444470</t>
  </si>
  <si>
    <t>Ed. Haas CZ</t>
  </si>
  <si>
    <t>Štangličky ovocné PEZ 9g</t>
  </si>
  <si>
    <t>21727190</t>
  </si>
  <si>
    <t>8586015310492</t>
  </si>
  <si>
    <t>50205</t>
  </si>
  <si>
    <t>Energit Hroznový cukr pome</t>
  </si>
  <si>
    <t>49110671</t>
  </si>
  <si>
    <t>8711327669321</t>
  </si>
  <si>
    <t>UNILEVER ČR, spol. s r.o.</t>
  </si>
  <si>
    <t>40101</t>
  </si>
  <si>
    <t>Solero Berry Bliss 90ml</t>
  </si>
  <si>
    <t>11309491</t>
  </si>
  <si>
    <t>8595606210127</t>
  </si>
  <si>
    <t>Bohemia vroubky mořská sůl</t>
  </si>
  <si>
    <t>90D49040</t>
  </si>
  <si>
    <t>Pekárna Větrný Jeníkov s.r.o.</t>
  </si>
  <si>
    <t>Houska NB 62g</t>
  </si>
  <si>
    <t>31122114</t>
  </si>
  <si>
    <t>8594006841696</t>
  </si>
  <si>
    <t>50403</t>
  </si>
  <si>
    <t xml:space="preserve">Salko bez laktózy 8% tuku </t>
  </si>
  <si>
    <t>90D49030</t>
  </si>
  <si>
    <t>Dalamánek NB 80g</t>
  </si>
  <si>
    <t>16114145</t>
  </si>
  <si>
    <t>8594000770053</t>
  </si>
  <si>
    <t>50305</t>
  </si>
  <si>
    <t>Melta porce 140g</t>
  </si>
  <si>
    <t>18109111</t>
  </si>
  <si>
    <t>8594004173447</t>
  </si>
  <si>
    <t>JEMČA a.s.</t>
  </si>
  <si>
    <t>50601</t>
  </si>
  <si>
    <t>Bezový květ s citronem 40g</t>
  </si>
  <si>
    <t>18109127</t>
  </si>
  <si>
    <t>8594004172723</t>
  </si>
  <si>
    <t>Citron se zázvorem 40g</t>
  </si>
  <si>
    <t>18109271</t>
  </si>
  <si>
    <t>8594004173058</t>
  </si>
  <si>
    <t>50604</t>
  </si>
  <si>
    <t>Čaj Něco na mě leze 40g</t>
  </si>
  <si>
    <t>21197098</t>
  </si>
  <si>
    <t>8594000097587</t>
  </si>
  <si>
    <t>RACIO, s.r.o.</t>
  </si>
  <si>
    <t>Free Style rajče a bazalka</t>
  </si>
  <si>
    <t>21197099</t>
  </si>
  <si>
    <t>8594000097600</t>
  </si>
  <si>
    <t>Free Style sýr 25g</t>
  </si>
  <si>
    <t>45115155</t>
  </si>
  <si>
    <t>8594003849602</t>
  </si>
  <si>
    <t>52208</t>
  </si>
  <si>
    <t>Kofola original 2l</t>
  </si>
  <si>
    <t>49385336</t>
  </si>
  <si>
    <t>8594010330148</t>
  </si>
  <si>
    <t>Tradiční Zmrzlina od Mrazí</t>
  </si>
  <si>
    <t>12158050</t>
  </si>
  <si>
    <t>3850102114429</t>
  </si>
  <si>
    <t>Království zvířat 15g</t>
  </si>
  <si>
    <t>12961205</t>
  </si>
  <si>
    <t>3800020401538</t>
  </si>
  <si>
    <t>Kit Kat Chunky Funky 40g</t>
  </si>
  <si>
    <t>25193671</t>
  </si>
  <si>
    <t>3038359004940</t>
  </si>
  <si>
    <t>PFANNER, spol. s r.o.</t>
  </si>
  <si>
    <t>51302</t>
  </si>
  <si>
    <t>Panzani Farfalle DR 500g</t>
  </si>
  <si>
    <t>25193718</t>
  </si>
  <si>
    <t>3038351484009</t>
  </si>
  <si>
    <t>Panzani Chifferini 500g</t>
  </si>
  <si>
    <t>31691010</t>
  </si>
  <si>
    <t>8595002110281</t>
  </si>
  <si>
    <t>Danone a.s.</t>
  </si>
  <si>
    <t>20105</t>
  </si>
  <si>
    <t>Fantasia čokovločky 102g</t>
  </si>
  <si>
    <t>31691552</t>
  </si>
  <si>
    <t>8595002100831</t>
  </si>
  <si>
    <t>Fantasia mléčna čokoláda 1</t>
  </si>
  <si>
    <t>31780773</t>
  </si>
  <si>
    <t>8592206342197</t>
  </si>
  <si>
    <t>BOHEMILK, a.s.</t>
  </si>
  <si>
    <t>Smetana ke šlehání 33% 330</t>
  </si>
  <si>
    <t>34124120</t>
  </si>
  <si>
    <t>8590014839434</t>
  </si>
  <si>
    <t>Linea Nivnice, a.s.</t>
  </si>
  <si>
    <t>Hello kečup jemný 200g</t>
  </si>
  <si>
    <t>68356071</t>
  </si>
  <si>
    <t>287507</t>
  </si>
  <si>
    <t>Cibule červená</t>
  </si>
  <si>
    <t>68356077</t>
  </si>
  <si>
    <t>287512</t>
  </si>
  <si>
    <t>Česnek</t>
  </si>
  <si>
    <t>90385922</t>
  </si>
  <si>
    <t>8595624793794</t>
  </si>
  <si>
    <t>Rohlík sedmizrnný 65g</t>
  </si>
  <si>
    <t>68356139</t>
  </si>
  <si>
    <t>287526</t>
  </si>
  <si>
    <t>Limety</t>
  </si>
  <si>
    <t>11178863</t>
  </si>
  <si>
    <t>3800203050669</t>
  </si>
  <si>
    <t>ECE Entrée Central Europe s.r.o.</t>
  </si>
  <si>
    <t>Popcorn sýr 100g</t>
  </si>
  <si>
    <t>11633252</t>
  </si>
  <si>
    <t>8595601701316</t>
  </si>
  <si>
    <t>HOPI POPI, a.s.</t>
  </si>
  <si>
    <t>50105</t>
  </si>
  <si>
    <t>Popcorn Cinema time sýrový</t>
  </si>
  <si>
    <t>31703355</t>
  </si>
  <si>
    <t>3073780990363</t>
  </si>
  <si>
    <t>BEL Sýry Česko a.s.</t>
  </si>
  <si>
    <t>Gervais Original 80g</t>
  </si>
  <si>
    <t>39739537</t>
  </si>
  <si>
    <t>283009</t>
  </si>
  <si>
    <t>LE &amp; CO - Ing. Jiří Lenc, s.r.o.</t>
  </si>
  <si>
    <t>Šunka nejvyšší jakosti</t>
  </si>
  <si>
    <t>57134164</t>
  </si>
  <si>
    <t>8594042233325</t>
  </si>
  <si>
    <t>80509</t>
  </si>
  <si>
    <t>Toaletní papír 3 vrstvy ČC</t>
  </si>
  <si>
    <t>68356044</t>
  </si>
  <si>
    <t>287003</t>
  </si>
  <si>
    <t>Banány</t>
  </si>
  <si>
    <t>68356245</t>
  </si>
  <si>
    <t>Ředkvičky svazek</t>
  </si>
  <si>
    <t>10103142</t>
  </si>
  <si>
    <t>8584004024207</t>
  </si>
  <si>
    <t>Attack mléčný 30g</t>
  </si>
  <si>
    <t>10103143</t>
  </si>
  <si>
    <t>8584004024818</t>
  </si>
  <si>
    <t>Attack kokos 30g</t>
  </si>
  <si>
    <t>11309496</t>
  </si>
  <si>
    <t>8595606210165</t>
  </si>
  <si>
    <t>Bohemia vroubky pizza 120g</t>
  </si>
  <si>
    <t>14676400</t>
  </si>
  <si>
    <t>8594033272579</t>
  </si>
  <si>
    <t>Chocoland a.s.</t>
  </si>
  <si>
    <t xml:space="preserve">Tyčinka sojová Česká cena </t>
  </si>
  <si>
    <t>28C77809</t>
  </si>
  <si>
    <t>8934579007318</t>
  </si>
  <si>
    <t>Miliket Instantní nudle ho</t>
  </si>
  <si>
    <t>31819652</t>
  </si>
  <si>
    <t>8595008801367</t>
  </si>
  <si>
    <t>LACRUM Velké Meziříčí, s.r.o.</t>
  </si>
  <si>
    <t>Eidam 45% 100g</t>
  </si>
  <si>
    <t>68356092</t>
  </si>
  <si>
    <t>287013</t>
  </si>
  <si>
    <t>Jablka Golden</t>
  </si>
  <si>
    <t>68356240</t>
  </si>
  <si>
    <t>287543</t>
  </si>
  <si>
    <t>Rajčata volná</t>
  </si>
  <si>
    <t>90862567</t>
  </si>
  <si>
    <t>283058</t>
  </si>
  <si>
    <t>30102</t>
  </si>
  <si>
    <t>Šunkový salám Speciál</t>
  </si>
  <si>
    <t>90D49051</t>
  </si>
  <si>
    <t>Chléb Jeníkov 1kg</t>
  </si>
  <si>
    <t>14101682</t>
  </si>
  <si>
    <t>8593893781665</t>
  </si>
  <si>
    <t>JOJO Jednorožci 80g</t>
  </si>
  <si>
    <t>45119071</t>
  </si>
  <si>
    <t>8595646202847</t>
  </si>
  <si>
    <t>DrWitt FIT-mango-citron-ze</t>
  </si>
  <si>
    <t>48B40200</t>
  </si>
  <si>
    <t>5999884034483</t>
  </si>
  <si>
    <t>Hell Classic 250ml</t>
  </si>
  <si>
    <t>10166970</t>
  </si>
  <si>
    <t>8594000325505</t>
  </si>
  <si>
    <t>Trubičky Hořické vanilkosk</t>
  </si>
  <si>
    <t>10707470</t>
  </si>
  <si>
    <t>8594045602890</t>
  </si>
  <si>
    <t>Mini Mufiny mramorové ČC 1</t>
  </si>
  <si>
    <t>31B37116</t>
  </si>
  <si>
    <t>8594052743289</t>
  </si>
  <si>
    <t>Milkpol spol. s r.o.</t>
  </si>
  <si>
    <t>ZS Gouda 48% plátky 100g</t>
  </si>
  <si>
    <t>68356227</t>
  </si>
  <si>
    <t>287030</t>
  </si>
  <si>
    <t>Pomeranče</t>
  </si>
  <si>
    <t>34114161</t>
  </si>
  <si>
    <t>8594000772842</t>
  </si>
  <si>
    <t>Hořčice plnotučná ČC 400g</t>
  </si>
  <si>
    <t>35130146</t>
  </si>
  <si>
    <t>8595591005432</t>
  </si>
  <si>
    <t>Kukuřice Česká cena 340g</t>
  </si>
  <si>
    <t>35231095</t>
  </si>
  <si>
    <t>3435642000960</t>
  </si>
  <si>
    <t>Bonduelle Central Europe Kft.</t>
  </si>
  <si>
    <t>Hrášek Vernet 400g</t>
  </si>
  <si>
    <t>39385023</t>
  </si>
  <si>
    <t>8594017540212</t>
  </si>
  <si>
    <t>20211</t>
  </si>
  <si>
    <t>Houskový knedlík 600g</t>
  </si>
  <si>
    <t>52478120</t>
  </si>
  <si>
    <t>8594044832014</t>
  </si>
  <si>
    <t>BOHEMIA SEKT, s.r.o.</t>
  </si>
  <si>
    <t>52102</t>
  </si>
  <si>
    <t>Avanti Fragola 1l</t>
  </si>
  <si>
    <t>11309168</t>
  </si>
  <si>
    <t>8595606210110</t>
  </si>
  <si>
    <t>Bohemia chips špíz 130g</t>
  </si>
  <si>
    <t>45170449</t>
  </si>
  <si>
    <t>5997264159313</t>
  </si>
  <si>
    <t>Lipton Green 500ml</t>
  </si>
  <si>
    <t>90385051</t>
  </si>
  <si>
    <t>18594001045775</t>
  </si>
  <si>
    <t>Listový závin s náplní pud</t>
  </si>
  <si>
    <t>11309017</t>
  </si>
  <si>
    <t>8595606211698</t>
  </si>
  <si>
    <t>Bohemia Vroubky Pávlivky S</t>
  </si>
  <si>
    <t>10103138</t>
  </si>
  <si>
    <t>8584004031588</t>
  </si>
  <si>
    <t>51002</t>
  </si>
  <si>
    <t>Mila kokosová 50g</t>
  </si>
  <si>
    <t>39979440</t>
  </si>
  <si>
    <t>8594017361572</t>
  </si>
  <si>
    <t>20208</t>
  </si>
  <si>
    <t>Mandlová paštika 200g</t>
  </si>
  <si>
    <t>balada 9a</t>
  </si>
  <si>
    <t>49385411</t>
  </si>
  <si>
    <t>3291811159972</t>
  </si>
  <si>
    <t>40401</t>
  </si>
  <si>
    <t>Rolka máslová čokoládová 8</t>
  </si>
  <si>
    <t>31775123</t>
  </si>
  <si>
    <t>40338231</t>
  </si>
  <si>
    <t>Monte 150g</t>
  </si>
  <si>
    <t>45170497</t>
  </si>
  <si>
    <t>5900497601504</t>
  </si>
  <si>
    <t>Lipton Lemon 2l</t>
  </si>
  <si>
    <t>45170920</t>
  </si>
  <si>
    <t>8595723301814</t>
  </si>
  <si>
    <t>Pepsi Raspberry 2l</t>
  </si>
  <si>
    <t>48248158</t>
  </si>
  <si>
    <t>9002490281465</t>
  </si>
  <si>
    <t xml:space="preserve">Red Bull Pink Sugarfree s </t>
  </si>
  <si>
    <t>45116275</t>
  </si>
  <si>
    <t>8594001025732</t>
  </si>
  <si>
    <t>Magnesia Plus Focus meruňk</t>
  </si>
  <si>
    <t>14103090</t>
  </si>
  <si>
    <t>8585000207434</t>
  </si>
  <si>
    <t>Verbena Šalvěj 60g</t>
  </si>
  <si>
    <t>22105065</t>
  </si>
  <si>
    <t>8593837255818</t>
  </si>
  <si>
    <t>52501</t>
  </si>
  <si>
    <t>Paprika sladká mletá 23g</t>
  </si>
  <si>
    <t>22105132</t>
  </si>
  <si>
    <t>8593837270439</t>
  </si>
  <si>
    <t>Paprika uzená sladká mletá</t>
  </si>
  <si>
    <t>39979550</t>
  </si>
  <si>
    <t>8594017361626</t>
  </si>
  <si>
    <t>Zabijačková paštika s brus</t>
  </si>
  <si>
    <t>11792220</t>
  </si>
  <si>
    <t>8594014630053</t>
  </si>
  <si>
    <t>Petr Hobža Snack a.s.</t>
  </si>
  <si>
    <t>Strážnické brambůrky s pří</t>
  </si>
  <si>
    <t>14120258</t>
  </si>
  <si>
    <t>50173204</t>
  </si>
  <si>
    <t>MARS Czech s.r.o.</t>
  </si>
  <si>
    <t>52601</t>
  </si>
  <si>
    <t>Orbit Peppermint 14g</t>
  </si>
  <si>
    <t>10C10934</t>
  </si>
  <si>
    <t>4820280823023</t>
  </si>
  <si>
    <t>Stroopwafel s náplní karam</t>
  </si>
  <si>
    <t>10C10936</t>
  </si>
  <si>
    <t>4820280823009</t>
  </si>
  <si>
    <t>11169250</t>
  </si>
  <si>
    <t>8594042911865</t>
  </si>
  <si>
    <t>Snack příchuť slanina ČC 6</t>
  </si>
  <si>
    <t>14101581</t>
  </si>
  <si>
    <t>8593893784581</t>
  </si>
  <si>
    <t>JOJO Kaktusáci super kysel</t>
  </si>
  <si>
    <t>14768688</t>
  </si>
  <si>
    <t>8592601118373</t>
  </si>
  <si>
    <t>The Candy Plus Sweet Factory, s.r.o.</t>
  </si>
  <si>
    <t>Pedro Medvídci 80g</t>
  </si>
  <si>
    <t>21196076</t>
  </si>
  <si>
    <t>8595564511632</t>
  </si>
  <si>
    <t>BONAVITA, spol. s r.o.</t>
  </si>
  <si>
    <t>50204</t>
  </si>
  <si>
    <t>Cinnamon magic 250g</t>
  </si>
  <si>
    <t>11309018</t>
  </si>
  <si>
    <t>8595606211674</t>
  </si>
  <si>
    <t>Bohemia Vroubky Pálivky Ka</t>
  </si>
  <si>
    <t>49110673</t>
  </si>
  <si>
    <t>8721274803136</t>
  </si>
  <si>
    <t>Minecraft 75ml</t>
  </si>
  <si>
    <t>31710882</t>
  </si>
  <si>
    <t>85932067</t>
  </si>
  <si>
    <t>POLABSKÉ MLÉKÁRNY a.s.</t>
  </si>
  <si>
    <t>Tvaroháček smetanový 90g</t>
  </si>
  <si>
    <t>38130121</t>
  </si>
  <si>
    <t>8594008330075</t>
  </si>
  <si>
    <t>Jahody celé 410g</t>
  </si>
  <si>
    <t>12951712</t>
  </si>
  <si>
    <t>8592794011512</t>
  </si>
  <si>
    <t>Goldfein CZ s.r.o.</t>
  </si>
  <si>
    <t>Flint kokosová tyčinka s t</t>
  </si>
  <si>
    <t>12C10902</t>
  </si>
  <si>
    <t>4820200893129</t>
  </si>
  <si>
    <t>Kokosová tyčinka s polevou</t>
  </si>
  <si>
    <t>39D47400</t>
  </si>
  <si>
    <t>8595599012609</t>
  </si>
  <si>
    <t>DEVÍTKA PLUS, s.r.o.</t>
  </si>
  <si>
    <t>20217</t>
  </si>
  <si>
    <t xml:space="preserve">Čínské nudle se zeleninou </t>
  </si>
  <si>
    <t>44274402</t>
  </si>
  <si>
    <t>8595042655735</t>
  </si>
  <si>
    <t>HTC servis, s.r.o.</t>
  </si>
  <si>
    <t>80602</t>
  </si>
  <si>
    <t>HAF Kolagenové tyčinky 75g</t>
  </si>
  <si>
    <t>90933100</t>
  </si>
  <si>
    <t>283039</t>
  </si>
  <si>
    <t>Česnekový bok</t>
  </si>
  <si>
    <t>90933330</t>
  </si>
  <si>
    <t>283018</t>
  </si>
  <si>
    <t>Mortadela</t>
  </si>
  <si>
    <t>90979582</t>
  </si>
  <si>
    <t>8594017365730</t>
  </si>
  <si>
    <t>Salát s celerem a sýrem 12</t>
  </si>
  <si>
    <t>12127248</t>
  </si>
  <si>
    <t>5900951313592</t>
  </si>
  <si>
    <t>Twix 50g</t>
  </si>
  <si>
    <t>11984352</t>
  </si>
  <si>
    <t>8586018180887</t>
  </si>
  <si>
    <t>Mandle pražené solené ČC 6</t>
  </si>
  <si>
    <t>59539266</t>
  </si>
  <si>
    <t>85973404</t>
  </si>
  <si>
    <t>GECO, a.s.</t>
  </si>
  <si>
    <t>80101</t>
  </si>
  <si>
    <t>Rothmans Longs Topaz 162Kč</t>
  </si>
  <si>
    <t>10C10921</t>
  </si>
  <si>
    <t>4820200893877</t>
  </si>
  <si>
    <t>Leo bar tyčinka s nápní ka</t>
  </si>
  <si>
    <t>48727053</t>
  </si>
  <si>
    <t>4000177033487</t>
  </si>
  <si>
    <t>Capri-Sun Fairy drink 0l</t>
  </si>
  <si>
    <t>31219786</t>
  </si>
  <si>
    <t>8594003219061</t>
  </si>
  <si>
    <t>ACCOM CZECH A.S.</t>
  </si>
  <si>
    <t>20103</t>
  </si>
  <si>
    <t>Choceňské tradiční pomazán</t>
  </si>
  <si>
    <t>25962710</t>
  </si>
  <si>
    <t>8936021031919</t>
  </si>
  <si>
    <t>Rýžové těstoviny Penne Luc</t>
  </si>
  <si>
    <t>16186420</t>
  </si>
  <si>
    <t>8594013591485</t>
  </si>
  <si>
    <t>Simandl s.r.o.</t>
  </si>
  <si>
    <t>50502</t>
  </si>
  <si>
    <t>Kakao Samantha holandského</t>
  </si>
  <si>
    <t>24C53300</t>
  </si>
  <si>
    <t>8594048720072</t>
  </si>
  <si>
    <t>MALITAS s.r.o.</t>
  </si>
  <si>
    <t>Pšeničná mouka hladká svět</t>
  </si>
  <si>
    <t>21197280</t>
  </si>
  <si>
    <t>8595573400460</t>
  </si>
  <si>
    <t>Chlebíček rýžový jogurtový</t>
  </si>
  <si>
    <t>31584572</t>
  </si>
  <si>
    <t>85912335</t>
  </si>
  <si>
    <t>Lactalis CZ, s.r.o.</t>
  </si>
  <si>
    <t>Kunín Smetana 12% 200g</t>
  </si>
  <si>
    <t>31708530</t>
  </si>
  <si>
    <t>8594003024054</t>
  </si>
  <si>
    <t xml:space="preserve">Kefírové mléko višeň 0,8% </t>
  </si>
  <si>
    <t>31775113</t>
  </si>
  <si>
    <t>40338910</t>
  </si>
  <si>
    <t>Monte -30% cukru 150g</t>
  </si>
  <si>
    <t>31775330</t>
  </si>
  <si>
    <t>4014500512976</t>
  </si>
  <si>
    <t>Jogobella Special 150g</t>
  </si>
  <si>
    <t>11984147</t>
  </si>
  <si>
    <t>8586021966225</t>
  </si>
  <si>
    <t>50103</t>
  </si>
  <si>
    <t>45115153</t>
  </si>
  <si>
    <t>8594003849626</t>
  </si>
  <si>
    <t>Kofola original 1l</t>
  </si>
  <si>
    <t>C000006</t>
  </si>
  <si>
    <t>284006</t>
  </si>
  <si>
    <t>Pažitková pomazánka</t>
  </si>
  <si>
    <t>C000007</t>
  </si>
  <si>
    <t>284007</t>
  </si>
  <si>
    <t>Salámová pomazánka</t>
  </si>
  <si>
    <t>49385651</t>
  </si>
  <si>
    <t>8595624785065</t>
  </si>
  <si>
    <t>Tradiční zmrzlina od Mrazí</t>
  </si>
  <si>
    <t>25193701</t>
  </si>
  <si>
    <t>3038351165007</t>
  </si>
  <si>
    <t>Panzani Spaghetti DR 500g</t>
  </si>
  <si>
    <t>32112495</t>
  </si>
  <si>
    <t>8595139717407</t>
  </si>
  <si>
    <t>20110</t>
  </si>
  <si>
    <t>Boloňská omáčka s kousky m</t>
  </si>
  <si>
    <t>53121805</t>
  </si>
  <si>
    <t>8594404012124</t>
  </si>
  <si>
    <t>Gambrinus Patron 12 1l</t>
  </si>
  <si>
    <t>31584689</t>
  </si>
  <si>
    <t>8594005960251</t>
  </si>
  <si>
    <t>Šumavský Eidam 30% strouha</t>
  </si>
  <si>
    <t>31710360</t>
  </si>
  <si>
    <t>85955790</t>
  </si>
  <si>
    <t>Řecký jogurt bílý 140g</t>
  </si>
  <si>
    <t>39739520</t>
  </si>
  <si>
    <t>8594026121051</t>
  </si>
  <si>
    <t>Slanina anglická shav, 100</t>
  </si>
  <si>
    <t>49385850</t>
  </si>
  <si>
    <t>8594001047338</t>
  </si>
  <si>
    <t>40204</t>
  </si>
  <si>
    <t>Špenát sekaný porce Nowaco</t>
  </si>
  <si>
    <t>C000029</t>
  </si>
  <si>
    <t>Chléb s kmínem 1/4 300g</t>
  </si>
  <si>
    <t>balada 26_9A</t>
  </si>
  <si>
    <t>ks</t>
  </si>
  <si>
    <t>31699480</t>
  </si>
  <si>
    <t>8594008271019</t>
  </si>
  <si>
    <t>Lučina folie 63g</t>
  </si>
  <si>
    <t>31949420</t>
  </si>
  <si>
    <t>8594000784647</t>
  </si>
  <si>
    <t>Tradiční pomazánkové Česká</t>
  </si>
  <si>
    <t>45259010</t>
  </si>
  <si>
    <t>8586010291451</t>
  </si>
  <si>
    <t>ST. NICOLAUS - trade CZ, a.s.</t>
  </si>
  <si>
    <t xml:space="preserve">Gemerka Botanica Rakytník </t>
  </si>
  <si>
    <t>53121271</t>
  </si>
  <si>
    <t>8594404026732</t>
  </si>
  <si>
    <t>Birell Active Energy Pomel</t>
  </si>
  <si>
    <t>C000052</t>
  </si>
  <si>
    <t>Chléb Jeníkov 1/2 590g</t>
  </si>
  <si>
    <t>31220365</t>
  </si>
  <si>
    <t>8595008847334</t>
  </si>
  <si>
    <t>Máslo Lacrum 250g</t>
  </si>
  <si>
    <t>13336600</t>
  </si>
  <si>
    <t>8595019694422</t>
  </si>
  <si>
    <t>Dezert Laguna Mořské plody</t>
  </si>
  <si>
    <t>31122118</t>
  </si>
  <si>
    <t>8594006843256</t>
  </si>
  <si>
    <t>Tatra trvanlivé mléko polo</t>
  </si>
  <si>
    <t>53871407</t>
  </si>
  <si>
    <t>8591036451260</t>
  </si>
  <si>
    <t>Heineken Česká republika, a.s.</t>
  </si>
  <si>
    <t>Březňák Světlý 2l</t>
  </si>
  <si>
    <t>68356246</t>
  </si>
  <si>
    <t>8413567021050</t>
  </si>
  <si>
    <t>Červená řepa vařená loupan</t>
  </si>
  <si>
    <t>32397985</t>
  </si>
  <si>
    <t>8590047900835</t>
  </si>
  <si>
    <t>U N I K O M , a.s.</t>
  </si>
  <si>
    <t>Vejce Volný výběh 6ks 6ks</t>
  </si>
  <si>
    <t>Mléko polotučné 1,5% 1l</t>
  </si>
  <si>
    <t>57134161</t>
  </si>
  <si>
    <t>8594042232175</t>
  </si>
  <si>
    <t>TP ČC 3vr.celuloza 160x4ks</t>
  </si>
  <si>
    <t>45245902</t>
  </si>
  <si>
    <t>8594001346523</t>
  </si>
  <si>
    <t>Voda ČC perlivá PET 1,5l</t>
  </si>
  <si>
    <t>Taška ČC košilka 50ks</t>
  </si>
  <si>
    <t>45170700</t>
  </si>
  <si>
    <t>8594008043876</t>
  </si>
  <si>
    <t>Pepsi PET 1,5l</t>
  </si>
  <si>
    <t>49385450</t>
  </si>
  <si>
    <t>5906739746927</t>
  </si>
  <si>
    <t>Kaiserka cereální 55g</t>
  </si>
  <si>
    <t>C000060</t>
  </si>
  <si>
    <t>9771210838066</t>
  </si>
  <si>
    <t>První novinová společnost</t>
  </si>
  <si>
    <t>80302</t>
  </si>
  <si>
    <t>Sport Morava 29,00Kč</t>
  </si>
  <si>
    <t>31695203</t>
  </si>
  <si>
    <t>8595236903741</t>
  </si>
  <si>
    <t>Sýr Apetito šunka 140g</t>
  </si>
  <si>
    <t>31697520</t>
  </si>
  <si>
    <t>8593807967123</t>
  </si>
  <si>
    <t>Dezert Olm.Maty bílý 110g</t>
  </si>
  <si>
    <t>35112293</t>
  </si>
  <si>
    <t>8594001694365</t>
  </si>
  <si>
    <t>Řepa červená TO 330g</t>
  </si>
  <si>
    <t>39385496</t>
  </si>
  <si>
    <t>8595624783351</t>
  </si>
  <si>
    <t>Salát Coleslaw červený 300</t>
  </si>
  <si>
    <t>45116345</t>
  </si>
  <si>
    <t>8594001021390</t>
  </si>
  <si>
    <t>Mattoni bílé hrozny 1,5l</t>
  </si>
  <si>
    <t>45246139</t>
  </si>
  <si>
    <t>8594004582027</t>
  </si>
  <si>
    <t>HK Pomeranč PET 1,5l</t>
  </si>
  <si>
    <t>53871176</t>
  </si>
  <si>
    <t>8594009924129</t>
  </si>
  <si>
    <t>Desperados Orig.P 4x0,5l</t>
  </si>
  <si>
    <t>68356146</t>
  </si>
  <si>
    <t>287024</t>
  </si>
  <si>
    <t>Mandarinky</t>
  </si>
  <si>
    <t>Pivo Ježek Duklák 12 P 0,5</t>
  </si>
  <si>
    <t>10152201</t>
  </si>
  <si>
    <t>5997590500117</t>
  </si>
  <si>
    <t>Vafle Gofri vaječné 125g</t>
  </si>
  <si>
    <t>45761688</t>
  </si>
  <si>
    <t>8594004220622</t>
  </si>
  <si>
    <t>Voda Kojenec.Nartes 1,5l</t>
  </si>
  <si>
    <t>47119166</t>
  </si>
  <si>
    <t>8594057632038</t>
  </si>
  <si>
    <t>Džus Relax Pomer.100% 1l</t>
  </si>
  <si>
    <t>68356220</t>
  </si>
  <si>
    <t>287535</t>
  </si>
  <si>
    <t>Paprika červená</t>
  </si>
  <si>
    <t>90693345</t>
  </si>
  <si>
    <t>8590077311106</t>
  </si>
  <si>
    <t>Chléb ČC toust.tmavý 500g</t>
  </si>
  <si>
    <t>19124471</t>
  </si>
  <si>
    <t>8590014839526</t>
  </si>
  <si>
    <t>51901</t>
  </si>
  <si>
    <t>DV Kaps.Hello XXL mang.200</t>
  </si>
  <si>
    <t>19124472</t>
  </si>
  <si>
    <t>8590014839533</t>
  </si>
  <si>
    <t>DV Kaps.Hello XXL ban.200g</t>
  </si>
  <si>
    <t>19124478</t>
  </si>
  <si>
    <t>8590014839519</t>
  </si>
  <si>
    <t>DV Kaps.Hello XXL mal.200g</t>
  </si>
  <si>
    <t>19124479</t>
  </si>
  <si>
    <t>8590014839380</t>
  </si>
  <si>
    <t>DV Kaps.Hello XXL mer.200g</t>
  </si>
  <si>
    <t>45119395</t>
  </si>
  <si>
    <t>8595646201383</t>
  </si>
  <si>
    <t>Kubík Water višeň PET 0,5l</t>
  </si>
  <si>
    <t>90864503</t>
  </si>
  <si>
    <t>283016</t>
  </si>
  <si>
    <t>Koleno šunkové</t>
  </si>
  <si>
    <t>90979300</t>
  </si>
  <si>
    <t>283021</t>
  </si>
  <si>
    <t>Nářez Turistický</t>
  </si>
  <si>
    <t>59C45913</t>
  </si>
  <si>
    <t>85980730</t>
  </si>
  <si>
    <t>Cig.Rothm.OL KS Red 200Kč</t>
  </si>
  <si>
    <t>33B25753</t>
  </si>
  <si>
    <t>8719200240872</t>
  </si>
  <si>
    <t>Flora Food Czech Republic spol. s r.o.</t>
  </si>
  <si>
    <t>20104</t>
  </si>
  <si>
    <t>Perla máslová příchuť 450g</t>
  </si>
  <si>
    <t>12101549</t>
  </si>
  <si>
    <t>85906693</t>
  </si>
  <si>
    <t>Milena mléčná 32g</t>
  </si>
  <si>
    <t>45B40802</t>
  </si>
  <si>
    <t>5999885747757</t>
  </si>
  <si>
    <t>52201</t>
  </si>
  <si>
    <t>XIXO Cola P 250ml</t>
  </si>
  <si>
    <t>Káva led.Eiskaffee 500ml</t>
  </si>
  <si>
    <t>48170052</t>
  </si>
  <si>
    <t>8595723300909</t>
  </si>
  <si>
    <t>Guarana Brainer Mango P 0,</t>
  </si>
  <si>
    <t>13153129</t>
  </si>
  <si>
    <t>5900353618295</t>
  </si>
  <si>
    <t>51103</t>
  </si>
  <si>
    <t>Dez.Cherrissimo excl.285g</t>
  </si>
  <si>
    <t>90340670</t>
  </si>
  <si>
    <t>283044</t>
  </si>
  <si>
    <t>Kostelecké uzeniny a.s.</t>
  </si>
  <si>
    <t>30104</t>
  </si>
  <si>
    <t>Slanina ČC Anglická</t>
  </si>
  <si>
    <t>14120352</t>
  </si>
  <si>
    <t>5000159376655</t>
  </si>
  <si>
    <t>Skittles Fruits 38g</t>
  </si>
  <si>
    <t>14177161</t>
  </si>
  <si>
    <t>87108026</t>
  </si>
  <si>
    <t>Perfetti Van Melle Czech Republic, s.r.o.</t>
  </si>
  <si>
    <t>Mentos Fruit 38g</t>
  </si>
  <si>
    <t>31122175</t>
  </si>
  <si>
    <t>8594006844604</t>
  </si>
  <si>
    <t>Kravík banán 250ml</t>
  </si>
  <si>
    <t>31122201</t>
  </si>
  <si>
    <t>8594006844659</t>
  </si>
  <si>
    <t>Kravík vanilkový 250ml</t>
  </si>
  <si>
    <t>45119350</t>
  </si>
  <si>
    <t>5901067475211</t>
  </si>
  <si>
    <t>Kubík Water hruš.PET 0,5l</t>
  </si>
  <si>
    <t>45119368</t>
  </si>
  <si>
    <t>5901067461108</t>
  </si>
  <si>
    <t>Kubík Water jabl.PET 0,5l</t>
  </si>
  <si>
    <t>Donut barevný posyp 57g</t>
  </si>
  <si>
    <t>Donut čokoládový 55g</t>
  </si>
  <si>
    <t>Donut jahodový 56g</t>
  </si>
  <si>
    <t>14120325</t>
  </si>
  <si>
    <t>50173808</t>
  </si>
  <si>
    <t>Orbit Sweet mint dražé 14g</t>
  </si>
  <si>
    <t>45119355</t>
  </si>
  <si>
    <t>5901067474108</t>
  </si>
  <si>
    <t>Kubík Water jahod.PET 0,5l</t>
  </si>
  <si>
    <t>10707550</t>
  </si>
  <si>
    <t>8410722551803</t>
  </si>
  <si>
    <t>Comperio s.r.o.</t>
  </si>
  <si>
    <t>Muffiny mini citron 180g</t>
  </si>
  <si>
    <t>14177317</t>
  </si>
  <si>
    <t>84194107</t>
  </si>
  <si>
    <t>51004</t>
  </si>
  <si>
    <t>Líz.ChCh Surp.WaterDin.12g</t>
  </si>
  <si>
    <t>59C45885</t>
  </si>
  <si>
    <t>85916173</t>
  </si>
  <si>
    <t>Cig.Winston Clas.Red 161Kč</t>
  </si>
  <si>
    <t>57134090</t>
  </si>
  <si>
    <t>8594042232137</t>
  </si>
  <si>
    <t>80506</t>
  </si>
  <si>
    <t>Kapes.papír.ČC 3vr.10x10ks</t>
  </si>
  <si>
    <t>90739901</t>
  </si>
  <si>
    <t>283061</t>
  </si>
  <si>
    <t>Šunka Gastro od kosti výb.</t>
  </si>
  <si>
    <t>31775335</t>
  </si>
  <si>
    <t>4014500012780</t>
  </si>
  <si>
    <t>Jog.Jogob.Light mix I.150g</t>
  </si>
  <si>
    <t>Jog.Fantasia ml.čoko.106g</t>
  </si>
  <si>
    <t>31695331</t>
  </si>
  <si>
    <t>8595236903826</t>
  </si>
  <si>
    <t>Pribináček vanilkový 70g</t>
  </si>
  <si>
    <t>31697577</t>
  </si>
  <si>
    <t>8593807544010</t>
  </si>
  <si>
    <t>Náp.Florian jahoda 400g</t>
  </si>
  <si>
    <t>Náp.Florian višeň 400g</t>
  </si>
  <si>
    <t>Závin listov.pud./mal.150g</t>
  </si>
  <si>
    <t>59C45895</t>
  </si>
  <si>
    <t>8595701564552</t>
  </si>
  <si>
    <t>Cig.Terea Turquoise 145Kč</t>
  </si>
  <si>
    <t>14132132</t>
  </si>
  <si>
    <t>80052043</t>
  </si>
  <si>
    <t>Ferrero Česká s.r.o.</t>
  </si>
  <si>
    <t>Tic Tac Mint 18g</t>
  </si>
  <si>
    <t>51124155</t>
  </si>
  <si>
    <t>8590014837393</t>
  </si>
  <si>
    <t>Javořina Č PET 2l</t>
  </si>
  <si>
    <t>59785917</t>
  </si>
  <si>
    <t>8595721110692</t>
  </si>
  <si>
    <t>Cig.Mark Ad.1 Red 100 149K</t>
  </si>
  <si>
    <t>90125925</t>
  </si>
  <si>
    <t>8590077333276</t>
  </si>
  <si>
    <t>Veka krájená 360g</t>
  </si>
  <si>
    <t>C000001</t>
  </si>
  <si>
    <t>284001</t>
  </si>
  <si>
    <t>Pařížský salát RETRO</t>
  </si>
  <si>
    <t>22105124</t>
  </si>
  <si>
    <t>8593837270460</t>
  </si>
  <si>
    <t>Koř.Čína 25g</t>
  </si>
  <si>
    <t>28101229</t>
  </si>
  <si>
    <t>4820048617390</t>
  </si>
  <si>
    <t>Pol.Ins.Nudle kuřecí 59,2g</t>
  </si>
  <si>
    <t>44918602</t>
  </si>
  <si>
    <t>8595606407084</t>
  </si>
  <si>
    <t>Kaps.ČC hovězí 100g</t>
  </si>
  <si>
    <t>44918620</t>
  </si>
  <si>
    <t>8595606400603</t>
  </si>
  <si>
    <t>80601</t>
  </si>
  <si>
    <t>Kaps.ČC hovězí/ryba 4x100g</t>
  </si>
  <si>
    <t>44918726</t>
  </si>
  <si>
    <t>8595606408586</t>
  </si>
  <si>
    <t>Partner in Pet Food CZ s.r.o.</t>
  </si>
  <si>
    <t>Prop.KP jehněčí om.415g</t>
  </si>
  <si>
    <t>Rolka másl.čokoládová 80g</t>
  </si>
  <si>
    <t>59785920</t>
  </si>
  <si>
    <t>8595721110753</t>
  </si>
  <si>
    <t>Cig.Mark Adams Gol.100 149</t>
  </si>
  <si>
    <t>90933738</t>
  </si>
  <si>
    <t>283026</t>
  </si>
  <si>
    <t>Salám Inovecký</t>
  </si>
  <si>
    <t>90P13815</t>
  </si>
  <si>
    <t>8595006326701</t>
  </si>
  <si>
    <t>Vodňanská drůbež, a.s.</t>
  </si>
  <si>
    <t>20205</t>
  </si>
  <si>
    <t>Řízek kuřecí stehenní 600g</t>
  </si>
  <si>
    <t>21C10902</t>
  </si>
  <si>
    <t>4820200892900</t>
  </si>
  <si>
    <t>Tyč.Proteline banán 40g</t>
  </si>
  <si>
    <t>21C10903</t>
  </si>
  <si>
    <t>4820200894980</t>
  </si>
  <si>
    <t>Tyč.Proteline kokos 45g</t>
  </si>
  <si>
    <t>Tyč.Proteline čokoláda 40g</t>
  </si>
  <si>
    <t>39D50920</t>
  </si>
  <si>
    <t>8594155345182</t>
  </si>
  <si>
    <t>Mr. Grico CZ s.r.o.</t>
  </si>
  <si>
    <t>Wrap kebab 190g</t>
  </si>
  <si>
    <t>45245901</t>
  </si>
  <si>
    <t>8594001346516</t>
  </si>
  <si>
    <t>Voda ČC neperlivá PET 1,5l</t>
  </si>
  <si>
    <t>12101150</t>
  </si>
  <si>
    <t>85924802</t>
  </si>
  <si>
    <t>Banány želé v čokoládě 45g</t>
  </si>
  <si>
    <t>12101350</t>
  </si>
  <si>
    <t>85919396</t>
  </si>
  <si>
    <t>Deli Pistáciová 35g</t>
  </si>
  <si>
    <t>13163082</t>
  </si>
  <si>
    <t>9002859099311</t>
  </si>
  <si>
    <t>Trebor sweets, s.r.o.</t>
  </si>
  <si>
    <t>Dez.Mozart.koule 200g</t>
  </si>
  <si>
    <t>57C38802</t>
  </si>
  <si>
    <t>4015400743545</t>
  </si>
  <si>
    <t>Solvent ČR s.r.o.</t>
  </si>
  <si>
    <t>Vlož.Alw.slip normal 30ks</t>
  </si>
  <si>
    <t>68356089</t>
  </si>
  <si>
    <t>287011</t>
  </si>
  <si>
    <t>Hruška Carmen</t>
  </si>
  <si>
    <t>24D33020</t>
  </si>
  <si>
    <t>8594017310075</t>
  </si>
  <si>
    <t>Cukrovar Vrbátky a.s.</t>
  </si>
  <si>
    <t>52002</t>
  </si>
  <si>
    <t>Cukr moučka 1kg</t>
  </si>
  <si>
    <t>31697720</t>
  </si>
  <si>
    <t>8593807332105</t>
  </si>
  <si>
    <t>Smetana ke šleh.33% 200g</t>
  </si>
  <si>
    <t>Dezert Monte 150g</t>
  </si>
  <si>
    <t>31775300</t>
  </si>
  <si>
    <t>4014500512907</t>
  </si>
  <si>
    <t>Jog.Jogob.standard 150g</t>
  </si>
  <si>
    <t>Náp.Red Bull 250ml</t>
  </si>
  <si>
    <t>60532405</t>
  </si>
  <si>
    <t>8594066798695</t>
  </si>
  <si>
    <t>80308</t>
  </si>
  <si>
    <t>Alobal ČC 10m</t>
  </si>
  <si>
    <t>Bok Česnekový</t>
  </si>
  <si>
    <t>90933940</t>
  </si>
  <si>
    <t>283043</t>
  </si>
  <si>
    <t>30103</t>
  </si>
  <si>
    <t>Uzené Šálky</t>
  </si>
  <si>
    <t>Krémka 50g</t>
  </si>
  <si>
    <t>10104219</t>
  </si>
  <si>
    <t>8593894000352</t>
  </si>
  <si>
    <t>Mondelez CR s.r.o.</t>
  </si>
  <si>
    <t>Piškoty tradiční 220g</t>
  </si>
  <si>
    <t>10951580</t>
  </si>
  <si>
    <t>8592794061005</t>
  </si>
  <si>
    <t>Roláda ČC kak./zdob.200g</t>
  </si>
  <si>
    <t>11984095</t>
  </si>
  <si>
    <t>8586018180696</t>
  </si>
  <si>
    <t>Arašídy ČC praž.sol.400g</t>
  </si>
  <si>
    <t>44918659</t>
  </si>
  <si>
    <t>5999566111235</t>
  </si>
  <si>
    <t>PreV.GK Adult kuřecí 300g</t>
  </si>
  <si>
    <t>53725570</t>
  </si>
  <si>
    <t>8594044363099</t>
  </si>
  <si>
    <t>Pivo Platan 10 výč.P 0,5l</t>
  </si>
  <si>
    <t>45116174</t>
  </si>
  <si>
    <t>8594001020171</t>
  </si>
  <si>
    <t>Aquila čaj broskev 1,5l</t>
  </si>
  <si>
    <t>14101269</t>
  </si>
  <si>
    <t>8593893790193</t>
  </si>
  <si>
    <t>JOJO Housenky 80g</t>
  </si>
  <si>
    <t>14153043</t>
  </si>
  <si>
    <t>8594071720018</t>
  </si>
  <si>
    <t>Bonb.Bubble gum orange 65g</t>
  </si>
  <si>
    <t>49385674</t>
  </si>
  <si>
    <t>8595624795217</t>
  </si>
  <si>
    <t>Bulka kamen.pec.sluneč.70g</t>
  </si>
  <si>
    <t>Kornbageta fit.28cm 150g</t>
  </si>
  <si>
    <t>14101237</t>
  </si>
  <si>
    <t>8593893306134</t>
  </si>
  <si>
    <t>Slavia 90g</t>
  </si>
  <si>
    <t>14101365</t>
  </si>
  <si>
    <t>8593893306172</t>
  </si>
  <si>
    <t>Klokanky 90g</t>
  </si>
  <si>
    <t>Magnesia neperlivá 1,5l</t>
  </si>
  <si>
    <t>10153051</t>
  </si>
  <si>
    <t>5903890498238</t>
  </si>
  <si>
    <t>Cookies hoř.čok./oříš.150g</t>
  </si>
  <si>
    <t>44274375</t>
  </si>
  <si>
    <t>8595042669626</t>
  </si>
  <si>
    <t>HAF Mlsoň tlapičky 80g</t>
  </si>
  <si>
    <t>45259011</t>
  </si>
  <si>
    <t>8586010292649</t>
  </si>
  <si>
    <t>Gemerka Bot.citr./máta 1,5</t>
  </si>
  <si>
    <t>Snack Madeland/šunka 90g</t>
  </si>
  <si>
    <t>Pomaz.ČC Jaroměř.trad.150g</t>
  </si>
  <si>
    <t>C000080</t>
  </si>
  <si>
    <t>9771211211011</t>
  </si>
  <si>
    <t>Právo Vysočina</t>
  </si>
  <si>
    <t>C000102</t>
  </si>
  <si>
    <t>9771210533015</t>
  </si>
  <si>
    <t>Blesk Brno/Vysočina 24Kč</t>
  </si>
  <si>
    <t>12336147</t>
  </si>
  <si>
    <t>8595019621442</t>
  </si>
  <si>
    <t>Čok.Carla Z lásky ml.100g</t>
  </si>
  <si>
    <t>13153056</t>
  </si>
  <si>
    <t>5900353624951</t>
  </si>
  <si>
    <t>Dez.Amoretta desserts 106g</t>
  </si>
  <si>
    <t>52138160</t>
  </si>
  <si>
    <t>8595004661453</t>
  </si>
  <si>
    <t>Soare sekt a.s.</t>
  </si>
  <si>
    <t>52103</t>
  </si>
  <si>
    <t>Moscato DeLuxe Sprit.0,75l</t>
  </si>
  <si>
    <t>11984500</t>
  </si>
  <si>
    <t>8586015876615</t>
  </si>
  <si>
    <t>Ovoce kandované mix 100g</t>
  </si>
  <si>
    <t>Čaj Citron/zázvor 40g</t>
  </si>
  <si>
    <t>Těst.Panz.Farfalle DR 500g</t>
  </si>
  <si>
    <t>33707395</t>
  </si>
  <si>
    <t>8594045606881</t>
  </si>
  <si>
    <t>Sádlo ČC 250g</t>
  </si>
  <si>
    <t>36112201</t>
  </si>
  <si>
    <t>8594001695393</t>
  </si>
  <si>
    <t>51602</t>
  </si>
  <si>
    <t>Moravanka TO 330g</t>
  </si>
  <si>
    <t>68356056</t>
  </si>
  <si>
    <t>8594038210149</t>
  </si>
  <si>
    <t>Brambory pozd.salát.2kg</t>
  </si>
  <si>
    <t>90864628</t>
  </si>
  <si>
    <t>283365</t>
  </si>
  <si>
    <t>Salám špekáčkový pik.toč.</t>
  </si>
  <si>
    <t>Chléb s kmínem 1/4</t>
  </si>
  <si>
    <t>16101148</t>
  </si>
  <si>
    <t>8445290140036</t>
  </si>
  <si>
    <t>50501</t>
  </si>
  <si>
    <t>Kakao Granko Orion 400g</t>
  </si>
  <si>
    <t>33D14700</t>
  </si>
  <si>
    <t>8594048740285</t>
  </si>
  <si>
    <t>BOMASO, a.s.</t>
  </si>
  <si>
    <t>Sádlo vanička 250g</t>
  </si>
  <si>
    <t>Salám šunkový Speciál</t>
  </si>
  <si>
    <t>Salám Mortadela</t>
  </si>
  <si>
    <t>90933883</t>
  </si>
  <si>
    <t>283012</t>
  </si>
  <si>
    <t>Šunka Mistrovská NJ</t>
  </si>
  <si>
    <t>11169198</t>
  </si>
  <si>
    <t>8594042911384</t>
  </si>
  <si>
    <t>Cracker ČC solený 60g</t>
  </si>
  <si>
    <t>Náp.energy Tiger P 0,5l</t>
  </si>
  <si>
    <t>57283632</t>
  </si>
  <si>
    <t>3574661350134</t>
  </si>
  <si>
    <t>Tampony OB normal 16ks</t>
  </si>
  <si>
    <t>10103247</t>
  </si>
  <si>
    <t>8584004041198</t>
  </si>
  <si>
    <t>Tatr.Lískooříškové 33g</t>
  </si>
  <si>
    <t>31697395</t>
  </si>
  <si>
    <t>8593807517304</t>
  </si>
  <si>
    <t>Jog.Klasik bílý 150g</t>
  </si>
  <si>
    <t>31703345</t>
  </si>
  <si>
    <t>3073781105315</t>
  </si>
  <si>
    <t>Sýr Gerv.jar.cibulka 80g</t>
  </si>
  <si>
    <t>31703358</t>
  </si>
  <si>
    <t>3073780990387</t>
  </si>
  <si>
    <t>Sýr Gerv.pažitka 80g</t>
  </si>
  <si>
    <t>31711051</t>
  </si>
  <si>
    <t>8594004473424</t>
  </si>
  <si>
    <t>TANY, spol. s r.o.</t>
  </si>
  <si>
    <t>Krém Šumavský bylinky 150g</t>
  </si>
  <si>
    <t>Těst.Panz.Chifferini 500g</t>
  </si>
  <si>
    <t>Smetana 12% K 200g</t>
  </si>
  <si>
    <t>38214151</t>
  </si>
  <si>
    <t>8595008100644</t>
  </si>
  <si>
    <t>Alibona a.s.</t>
  </si>
  <si>
    <t>Komp.Třešně TO370 360g</t>
  </si>
  <si>
    <t>40112274</t>
  </si>
  <si>
    <t>8594001692675</t>
  </si>
  <si>
    <t>51501</t>
  </si>
  <si>
    <t>Pašt.Matěj Al 120g</t>
  </si>
  <si>
    <t>42990648</t>
  </si>
  <si>
    <t>8594044443111</t>
  </si>
  <si>
    <t>PT servis konzervárna spol. s r.o.</t>
  </si>
  <si>
    <t>51502</t>
  </si>
  <si>
    <t>Maso MN vepř.vl.šťáva 400</t>
  </si>
  <si>
    <t>48170053</t>
  </si>
  <si>
    <t>8595723300893</t>
  </si>
  <si>
    <t>Guarana Brain.Kiwi/jab.0,5</t>
  </si>
  <si>
    <t>49385710</t>
  </si>
  <si>
    <t>8595692202396</t>
  </si>
  <si>
    <t>Zmrz.Pikao Prima 50ml</t>
  </si>
  <si>
    <t>90864597</t>
  </si>
  <si>
    <t>283030</t>
  </si>
  <si>
    <t>Salám Herkules</t>
  </si>
  <si>
    <t>90739907</t>
  </si>
  <si>
    <t>8594026122072</t>
  </si>
  <si>
    <t>Šunka krůtí pro děti 100g</t>
  </si>
  <si>
    <t>10951128</t>
  </si>
  <si>
    <t>8592794030018</t>
  </si>
  <si>
    <t>Blok mramorový/polév.300g</t>
  </si>
  <si>
    <t>11986100</t>
  </si>
  <si>
    <t>8594021040418</t>
  </si>
  <si>
    <t>Krajči plus s.r.o.</t>
  </si>
  <si>
    <t>Brambůrky Cyril.sol.100g</t>
  </si>
  <si>
    <t>22151154</t>
  </si>
  <si>
    <t>8595012035055</t>
  </si>
  <si>
    <t>Pěkný - Unimex s.r.o.</t>
  </si>
  <si>
    <t>Koř.Avo.Kmín celý 30g</t>
  </si>
  <si>
    <t>24206102</t>
  </si>
  <si>
    <t>4001475402609</t>
  </si>
  <si>
    <t>SOLSAN a.s.</t>
  </si>
  <si>
    <t>52004</t>
  </si>
  <si>
    <t>Sůl alpská/jód stol.500g</t>
  </si>
  <si>
    <t>Hořčice ČC plnotučná 400g</t>
  </si>
  <si>
    <t>68356015</t>
  </si>
  <si>
    <t>70101</t>
  </si>
  <si>
    <t>Avokádo 1ks</t>
  </si>
  <si>
    <t>10103273</t>
  </si>
  <si>
    <t>8584004010002</t>
  </si>
  <si>
    <t>Vesna 50g</t>
  </si>
  <si>
    <t>Mléko Kefír.nízkot.0,5l</t>
  </si>
  <si>
    <t>14177974</t>
  </si>
  <si>
    <t>80929185</t>
  </si>
  <si>
    <t>Mentos Gum PF Watermel.30g</t>
  </si>
  <si>
    <t>14177988</t>
  </si>
  <si>
    <t>80946151</t>
  </si>
  <si>
    <t>Mentos Gum PF Spearm.30g</t>
  </si>
  <si>
    <t>31701236</t>
  </si>
  <si>
    <t>8594001170012</t>
  </si>
  <si>
    <t>HOLLANDIA Karlovy Vary, s.r.o.</t>
  </si>
  <si>
    <t>Jog.Selský bílý 500g</t>
  </si>
  <si>
    <t>45116276</t>
  </si>
  <si>
    <t>8594001025756</t>
  </si>
  <si>
    <t>Magnesia PA mango/med 0,7l</t>
  </si>
  <si>
    <t>Magnesia PB manda./lim.0,7</t>
  </si>
  <si>
    <t>Magnesia PR víno/aloe 0,7l</t>
  </si>
  <si>
    <t>45119070</t>
  </si>
  <si>
    <t>8595646202861</t>
  </si>
  <si>
    <t>DrWitt Antiox PET 0,75l</t>
  </si>
  <si>
    <t>49385581</t>
  </si>
  <si>
    <t>Hřeben makový 120g</t>
  </si>
  <si>
    <t>68356052</t>
  </si>
  <si>
    <t>287503</t>
  </si>
  <si>
    <t>Brambory pozdní</t>
  </si>
  <si>
    <t>31220455</t>
  </si>
  <si>
    <t>8593803326252</t>
  </si>
  <si>
    <t>MADETA a.s.</t>
  </si>
  <si>
    <t>Sýr Eidam JČ plát.30% 100g</t>
  </si>
  <si>
    <t>31775143</t>
  </si>
  <si>
    <t>4014500520056</t>
  </si>
  <si>
    <t>Drink Protein čoko.250ml</t>
  </si>
  <si>
    <t>57134157</t>
  </si>
  <si>
    <t>8594042233172</t>
  </si>
  <si>
    <t>Moracell s.r.o.</t>
  </si>
  <si>
    <t>TP BS Violet 2vr.190x4ks</t>
  </si>
  <si>
    <t>57134199</t>
  </si>
  <si>
    <t>8594042234056</t>
  </si>
  <si>
    <t>KU ČC 2vr.1ks</t>
  </si>
  <si>
    <t>90979730</t>
  </si>
  <si>
    <t>283055</t>
  </si>
  <si>
    <t>Šunka krůtí standard</t>
  </si>
  <si>
    <t>Hrášek Vernet P 400g</t>
  </si>
  <si>
    <t>31584573</t>
  </si>
  <si>
    <t>85912250</t>
  </si>
  <si>
    <t>Smetana ke šleh.31% K 200g</t>
  </si>
  <si>
    <t>11172101</t>
  </si>
  <si>
    <t>8594012320345</t>
  </si>
  <si>
    <t>HAVLÍK OPAL, spol. s r.o.</t>
  </si>
  <si>
    <t>50102</t>
  </si>
  <si>
    <t>Tyčinky sýr/sůl/česnek 90g</t>
  </si>
  <si>
    <t>11172110</t>
  </si>
  <si>
    <t>8594012320178</t>
  </si>
  <si>
    <t>Tyčinky sýr/sůl/kmín 90g</t>
  </si>
  <si>
    <t>Jog.Řecký bílý 140g</t>
  </si>
  <si>
    <t>43236122</t>
  </si>
  <si>
    <t>8594012791596</t>
  </si>
  <si>
    <t>51504</t>
  </si>
  <si>
    <t>Sard.vl.šťáva Gia.125g</t>
  </si>
  <si>
    <t>44A25430</t>
  </si>
  <si>
    <t>8595184954512</t>
  </si>
  <si>
    <t>Proužky ČC kuřecí/pes 75g</t>
  </si>
  <si>
    <t>90739906</t>
  </si>
  <si>
    <t>283010</t>
  </si>
  <si>
    <t>Šunka pro děti NJ</t>
  </si>
  <si>
    <t>28101483</t>
  </si>
  <si>
    <t>8585002442772</t>
  </si>
  <si>
    <t>52401</t>
  </si>
  <si>
    <t>Pol.PRVJ Kulajda 48g</t>
  </si>
  <si>
    <t>28101485</t>
  </si>
  <si>
    <t>8585002436641</t>
  </si>
  <si>
    <t>Pol.PRVJ Slepičí 32g</t>
  </si>
  <si>
    <t>Snack Monte 29g</t>
  </si>
  <si>
    <t>38130153</t>
  </si>
  <si>
    <t>8594008331263</t>
  </si>
  <si>
    <t>Komp.Mandarinky P 312g</t>
  </si>
  <si>
    <t>68356075</t>
  </si>
  <si>
    <t>287510</t>
  </si>
  <si>
    <t>Citrony</t>
  </si>
  <si>
    <t>59C45904</t>
  </si>
  <si>
    <t>8595701567331</t>
  </si>
  <si>
    <t>Cig.Chest.B/Marlb.CG 161Kč</t>
  </si>
  <si>
    <t>Jog.Fantasia čokovloč.102g</t>
  </si>
  <si>
    <t>31697350</t>
  </si>
  <si>
    <t>8593807567224</t>
  </si>
  <si>
    <t>Jog.Florian stracc.8% 150g</t>
  </si>
  <si>
    <t>Sýr ZS Gouda 48% plát.100g</t>
  </si>
  <si>
    <t>25580370</t>
  </si>
  <si>
    <t>8594159720022</t>
  </si>
  <si>
    <t>FOODISH s.r.o.</t>
  </si>
  <si>
    <t>Kuskus 500g</t>
  </si>
  <si>
    <t>31584669</t>
  </si>
  <si>
    <t>8595021607342</t>
  </si>
  <si>
    <t>Sýr Mozzarella Galb.100g</t>
  </si>
  <si>
    <t>Sýr Lučina folie 62,5g</t>
  </si>
  <si>
    <t>68356120</t>
  </si>
  <si>
    <t>Karotka 0,5kg</t>
  </si>
  <si>
    <t>Chléb Jeníkov NB 590g</t>
  </si>
  <si>
    <t>27311109</t>
  </si>
  <si>
    <t>8594035773043</t>
  </si>
  <si>
    <t>52304</t>
  </si>
  <si>
    <t>Droždí Noli čerstvé 42g</t>
  </si>
  <si>
    <t>31697454</t>
  </si>
  <si>
    <t>8593807567507</t>
  </si>
  <si>
    <t>Jog.Pierot kokos/ana.175g</t>
  </si>
  <si>
    <t>24123113</t>
  </si>
  <si>
    <t>8594003781377</t>
  </si>
  <si>
    <t xml:space="preserve">Agrana  Sales &amp; Marketing GmbH</t>
  </si>
  <si>
    <t>Cukr krupice 1kg</t>
  </si>
  <si>
    <t>Mouka pšen.hlad.světlá 1kg</t>
  </si>
  <si>
    <t>28105810</t>
  </si>
  <si>
    <t>8593837269822</t>
  </si>
  <si>
    <t>Pol.Hrachová slanina 72g</t>
  </si>
  <si>
    <t>C000028</t>
  </si>
  <si>
    <t>Chléb s kmínem 1/2</t>
  </si>
  <si>
    <t>balada 9A</t>
  </si>
  <si>
    <t>25543358</t>
  </si>
  <si>
    <t>8595568525215</t>
  </si>
  <si>
    <t>CEREALIS, a.s.</t>
  </si>
  <si>
    <t>51301</t>
  </si>
  <si>
    <t>Těst.ROS Niťovky bezv.500g</t>
  </si>
  <si>
    <t>Kukuřice ČC P 340g</t>
  </si>
  <si>
    <t>C000068</t>
  </si>
  <si>
    <t>9771801352001</t>
  </si>
  <si>
    <t>80301</t>
  </si>
  <si>
    <t>TV pohoda</t>
  </si>
  <si>
    <t>Rolky Prima meruňka 240g</t>
  </si>
  <si>
    <t>Brambůrky Stráž.slanin.60g</t>
  </si>
  <si>
    <t>11792230</t>
  </si>
  <si>
    <t>8594014630015</t>
  </si>
  <si>
    <t>Brambůrky Stráž.sůl 60g</t>
  </si>
  <si>
    <t>31697330</t>
  </si>
  <si>
    <t>8593807567132</t>
  </si>
  <si>
    <t>Jog.Florian jahoda 8% 150g</t>
  </si>
  <si>
    <t>31703588</t>
  </si>
  <si>
    <t>3073780966092</t>
  </si>
  <si>
    <t>Sýr Smet.pažitka 3D 150g</t>
  </si>
  <si>
    <t>10C10932</t>
  </si>
  <si>
    <t>4820146146242</t>
  </si>
  <si>
    <t>Opl.Stroopwafel karam.33g</t>
  </si>
  <si>
    <t>Opl.Stroopwafel lísk.oř.33</t>
  </si>
  <si>
    <t>23259550</t>
  </si>
  <si>
    <t>8586000134096</t>
  </si>
  <si>
    <t>50801</t>
  </si>
  <si>
    <t>Ocet lihový 8% 1l</t>
  </si>
  <si>
    <t>31584605</t>
  </si>
  <si>
    <t>5906207510340</t>
  </si>
  <si>
    <t>Sýr Camemb.Přírodní 90g</t>
  </si>
  <si>
    <t>31695375</t>
  </si>
  <si>
    <t>8594008351988</t>
  </si>
  <si>
    <t>Pribináček kakao 125g</t>
  </si>
  <si>
    <t>Sýr Sedl.Hermelín pův.100g</t>
  </si>
  <si>
    <t>33B62850</t>
  </si>
  <si>
    <t>8585000721046</t>
  </si>
  <si>
    <t>Palma a.s.</t>
  </si>
  <si>
    <t>51202</t>
  </si>
  <si>
    <t>Olej Heliol sluneč.PET 1l</t>
  </si>
  <si>
    <t>39D47050</t>
  </si>
  <si>
    <t>8595599022769</t>
  </si>
  <si>
    <t>Bramborák pašer./vepř.1ks</t>
  </si>
  <si>
    <t>40112299</t>
  </si>
  <si>
    <t>8594001692644</t>
  </si>
  <si>
    <t>Pašt.Májka Al 120g</t>
  </si>
  <si>
    <t>49110200</t>
  </si>
  <si>
    <t>8594002210199</t>
  </si>
  <si>
    <t>Eskymo 50ml</t>
  </si>
  <si>
    <t>49110270</t>
  </si>
  <si>
    <t>8590046619936</t>
  </si>
  <si>
    <t>Ledňáček kakao 45ml</t>
  </si>
  <si>
    <t>49110320</t>
  </si>
  <si>
    <t>8594002648008</t>
  </si>
  <si>
    <t>Míša 55ml</t>
  </si>
  <si>
    <t>49110663</t>
  </si>
  <si>
    <t>8711327658301</t>
  </si>
  <si>
    <t>Cornetto Chocolate 125ml</t>
  </si>
  <si>
    <t>49385303</t>
  </si>
  <si>
    <t>8594001041237</t>
  </si>
  <si>
    <t>40203</t>
  </si>
  <si>
    <t>Směs zelen.Jarní 350g</t>
  </si>
  <si>
    <t>49385709</t>
  </si>
  <si>
    <t>8595692202389</t>
  </si>
  <si>
    <t>Zmrz.Piknik Prima 50ml</t>
  </si>
  <si>
    <t>12336510</t>
  </si>
  <si>
    <t>8595019620773</t>
  </si>
  <si>
    <t>Čok.Safari pro děti 20g</t>
  </si>
  <si>
    <t>45116178</t>
  </si>
  <si>
    <t>8594001020041</t>
  </si>
  <si>
    <t>Aquila čaj citron 1,5l</t>
  </si>
  <si>
    <t>48124248</t>
  </si>
  <si>
    <t>8590014822504</t>
  </si>
  <si>
    <t>Hello My drink Pomer.330ml</t>
  </si>
  <si>
    <t>59C45813</t>
  </si>
  <si>
    <t>8594228250306</t>
  </si>
  <si>
    <t>Cig.LD Violet 162Kč</t>
  </si>
  <si>
    <t>68356058</t>
  </si>
  <si>
    <t>8594038210347</t>
  </si>
  <si>
    <t>Brambory pozd.moučné 2kg</t>
  </si>
  <si>
    <t>Šunka ČC duš.standard 100g</t>
  </si>
  <si>
    <t>39220026</t>
  </si>
  <si>
    <t>8594026121020</t>
  </si>
  <si>
    <t>20204</t>
  </si>
  <si>
    <t>Šunka Bohemia shaved 100g</t>
  </si>
  <si>
    <t>25984450</t>
  </si>
  <si>
    <t>8586012827245</t>
  </si>
  <si>
    <t>51404</t>
  </si>
  <si>
    <t>Mák mletý 100% 200g</t>
  </si>
  <si>
    <t>31221220</t>
  </si>
  <si>
    <t>8594007097177</t>
  </si>
  <si>
    <t xml:space="preserve">MEGGLE Slovakia  s.r.o.</t>
  </si>
  <si>
    <t>Šlehačka Vitala spray 250g</t>
  </si>
  <si>
    <t>31697969</t>
  </si>
  <si>
    <t>8593807600068</t>
  </si>
  <si>
    <t>Jog.Cavalier slaný kar.140</t>
  </si>
  <si>
    <t>31697975</t>
  </si>
  <si>
    <t>8593807600044</t>
  </si>
  <si>
    <t>Jog.Cavalier pom/čoko.140g</t>
  </si>
  <si>
    <t>35235158</t>
  </si>
  <si>
    <t>8594004562180</t>
  </si>
  <si>
    <t>Zelí ČC bílé TO720 680g</t>
  </si>
  <si>
    <t>31220285</t>
  </si>
  <si>
    <t>8593803662152</t>
  </si>
  <si>
    <t>Lipánek Maxi vanilka 130g</t>
  </si>
  <si>
    <t>Vejce Pohodová ČC M 10ks</t>
  </si>
  <si>
    <t>39861161</t>
  </si>
  <si>
    <t>8594155343010</t>
  </si>
  <si>
    <t>20202</t>
  </si>
  <si>
    <t>Pomazánka salámová 100g</t>
  </si>
  <si>
    <t>39870005</t>
  </si>
  <si>
    <t>8594017540106</t>
  </si>
  <si>
    <t>SVOBODA - výroba domácích knedlíků s.r.o.</t>
  </si>
  <si>
    <t>Knedlík kynut.meruň.300g</t>
  </si>
  <si>
    <t>39D50820</t>
  </si>
  <si>
    <t>8594155344840</t>
  </si>
  <si>
    <t>Pomazánka hradecká 100g</t>
  </si>
  <si>
    <t>90125821</t>
  </si>
  <si>
    <t>8592368318184</t>
  </si>
  <si>
    <t>Špička maková nápl.100g</t>
  </si>
  <si>
    <t>90933870</t>
  </si>
  <si>
    <t>283001</t>
  </si>
  <si>
    <t>Šunka ČC od kosti</t>
  </si>
  <si>
    <t>12101338</t>
  </si>
  <si>
    <t>85920729</t>
  </si>
  <si>
    <t>Deli Čokoládová 35g</t>
  </si>
  <si>
    <t>12103081</t>
  </si>
  <si>
    <t>8585000209025</t>
  </si>
  <si>
    <t>Banán v čokoládě 25g +20%</t>
  </si>
  <si>
    <t>31584584</t>
  </si>
  <si>
    <t>8595671300846</t>
  </si>
  <si>
    <t>Krémová do omáček 15% 200g</t>
  </si>
  <si>
    <t>39385491</t>
  </si>
  <si>
    <t>8595624783290</t>
  </si>
  <si>
    <t>Salát zelný/křen 300g</t>
  </si>
  <si>
    <t>39385492</t>
  </si>
  <si>
    <t>8595624783313</t>
  </si>
  <si>
    <t>Salát zelný přílohový 300g</t>
  </si>
  <si>
    <t>47124170</t>
  </si>
  <si>
    <t>8590014818736</t>
  </si>
  <si>
    <t>Džus NN 100% pomeranč 1l</t>
  </si>
  <si>
    <t>Špenát sekaný porce 400g</t>
  </si>
  <si>
    <t>50783210</t>
  </si>
  <si>
    <t>8595622903515</t>
  </si>
  <si>
    <t>Vinařství Mutěnice, spol. s r.o.</t>
  </si>
  <si>
    <t>AV Chardonnay poloslad.1l</t>
  </si>
  <si>
    <t>10C10933</t>
  </si>
  <si>
    <t>4820146146532</t>
  </si>
  <si>
    <t>Opl.Stroopwafel sl.kar.33g</t>
  </si>
  <si>
    <t>Opl.Stroopwafel med 33g</t>
  </si>
  <si>
    <t>31775354</t>
  </si>
  <si>
    <t>4014500517360</t>
  </si>
  <si>
    <t>Jog.Jogob.bez lakt.150g</t>
  </si>
  <si>
    <t>59C45875</t>
  </si>
  <si>
    <t>85970519</t>
  </si>
  <si>
    <t>Cig.Rothm.Demi Ultram.159K</t>
  </si>
  <si>
    <t>90D49041</t>
  </si>
  <si>
    <t>Houska cereal NB 62g</t>
  </si>
  <si>
    <t>Snack ČC př.slanina 60g</t>
  </si>
  <si>
    <t>11169445</t>
  </si>
  <si>
    <t>8594042911841</t>
  </si>
  <si>
    <t>Kroužky ČC cibulové 70g</t>
  </si>
  <si>
    <t>JOJO Kaktusáci sup.kys.80g</t>
  </si>
  <si>
    <t>31697339</t>
  </si>
  <si>
    <t>8593807567118</t>
  </si>
  <si>
    <t>Jog.Florian ořech 8% 150g</t>
  </si>
  <si>
    <t>31697670</t>
  </si>
  <si>
    <t>8593807597498</t>
  </si>
  <si>
    <t>20109</t>
  </si>
  <si>
    <t>Dezert Pud.čokoláda 200g</t>
  </si>
  <si>
    <t>31697679</t>
  </si>
  <si>
    <t>8593807597481</t>
  </si>
  <si>
    <t>Dezert Pud.vanilka 200g</t>
  </si>
  <si>
    <t>31701240</t>
  </si>
  <si>
    <t>8594001171651</t>
  </si>
  <si>
    <t>Jog.Selský čokoláda 200g</t>
  </si>
  <si>
    <t>43B24800</t>
  </si>
  <si>
    <t>8594180381773</t>
  </si>
  <si>
    <t>BMC Brno, s.r.o.</t>
  </si>
  <si>
    <t>Sardinky Bassta olej 125g</t>
  </si>
  <si>
    <t>Kobliha náplň meruň.65g</t>
  </si>
  <si>
    <t>15107122</t>
  </si>
  <si>
    <t>4006067860720</t>
  </si>
  <si>
    <t>Káva Exclusive mletá 250g</t>
  </si>
  <si>
    <t>17108130</t>
  </si>
  <si>
    <t>5997100022511</t>
  </si>
  <si>
    <t>Jacobs Douwe Egberts CZ s.r.o.</t>
  </si>
  <si>
    <t>50603</t>
  </si>
  <si>
    <t>Čaj PW zelený/citron 40g</t>
  </si>
  <si>
    <t>10951586</t>
  </si>
  <si>
    <t>8592794061012</t>
  </si>
  <si>
    <t>Roláda ČC lísko./zdob.200g</t>
  </si>
  <si>
    <t>14101241</t>
  </si>
  <si>
    <t>8593893306035</t>
  </si>
  <si>
    <t>Hašlerky 90g</t>
  </si>
  <si>
    <t>90979810</t>
  </si>
  <si>
    <t>283367</t>
  </si>
  <si>
    <t>30506</t>
  </si>
  <si>
    <t>Točený Bítešský</t>
  </si>
  <si>
    <t>C000065</t>
  </si>
  <si>
    <t>9771801891005</t>
  </si>
  <si>
    <t>808</t>
  </si>
  <si>
    <t>TV max</t>
  </si>
  <si>
    <t>21727545</t>
  </si>
  <si>
    <t>8595011104417</t>
  </si>
  <si>
    <t>Tabl.Ca/Mg/Ce bez cuk.20t</t>
  </si>
  <si>
    <t>21727553</t>
  </si>
  <si>
    <t>8595011119251</t>
  </si>
  <si>
    <t>Tabl.Hořčík 20+4ks 72g</t>
  </si>
  <si>
    <t>28105818</t>
  </si>
  <si>
    <t>8593837269945</t>
  </si>
  <si>
    <t>Pol.Poctivá gulášová 97g</t>
  </si>
  <si>
    <t>28105842</t>
  </si>
  <si>
    <t>8593837269976</t>
  </si>
  <si>
    <t>Pol.Poctivá játr.knedl.88g</t>
  </si>
  <si>
    <t>49385070</t>
  </si>
  <si>
    <t>8594007913903</t>
  </si>
  <si>
    <t>40201</t>
  </si>
  <si>
    <t>Hranolky 10x10mm 450g</t>
  </si>
  <si>
    <t>24113279</t>
  </si>
  <si>
    <t>8595686700730</t>
  </si>
  <si>
    <t>Podravka - Lagris a.s.</t>
  </si>
  <si>
    <t>51402</t>
  </si>
  <si>
    <t>Rýže VS loupaná Lagr.400g</t>
  </si>
  <si>
    <t>90864619</t>
  </si>
  <si>
    <t>283060</t>
  </si>
  <si>
    <t>Salám Princ</t>
  </si>
  <si>
    <t>Klobása Bítešská TOP</t>
  </si>
  <si>
    <t>22105051</t>
  </si>
  <si>
    <t>8593837256600</t>
  </si>
  <si>
    <t>Koř.Majoránka drhnutá 5g</t>
  </si>
  <si>
    <t>22151168</t>
  </si>
  <si>
    <t>8595012035109</t>
  </si>
  <si>
    <t>Koř.Avo.Majoránka 7g</t>
  </si>
  <si>
    <t>22151186</t>
  </si>
  <si>
    <t>8595012035604</t>
  </si>
  <si>
    <t>Koř.Avo.Paprika lahůd.25g</t>
  </si>
  <si>
    <t>10A49900</t>
  </si>
  <si>
    <t>9005300006036</t>
  </si>
  <si>
    <t>Vánočka Ölz 400g</t>
  </si>
  <si>
    <t>Magnes.PF mer./ženš.0,7l</t>
  </si>
  <si>
    <t>57134205</t>
  </si>
  <si>
    <t>8588000017669</t>
  </si>
  <si>
    <t>KU BS Classic 2vr.2ks</t>
  </si>
  <si>
    <t>Mysli tyč.BA! brusinka 40g</t>
  </si>
  <si>
    <t>21153416</t>
  </si>
  <si>
    <t>5900749618922</t>
  </si>
  <si>
    <t>Mysli tyč.BA! ořechy 40g</t>
  </si>
  <si>
    <t>32225142</t>
  </si>
  <si>
    <t>8595003401623</t>
  </si>
  <si>
    <t>20113</t>
  </si>
  <si>
    <t>Om.Tatar.Spak sáč.30g</t>
  </si>
  <si>
    <t>68356106</t>
  </si>
  <si>
    <t>287520</t>
  </si>
  <si>
    <t>Paprika žlutá</t>
  </si>
  <si>
    <t>10102478</t>
  </si>
  <si>
    <t>8593894001151</t>
  </si>
  <si>
    <t>Opl.Kolonáda oříš/čok.140g</t>
  </si>
  <si>
    <t>Coca Cola Zero 1,5l</t>
  </si>
  <si>
    <t>49385399</t>
  </si>
  <si>
    <t>3830038253690</t>
  </si>
  <si>
    <t>Croissant lískooř./čok.95g</t>
  </si>
  <si>
    <t>42234098</t>
  </si>
  <si>
    <t>8594044444279</t>
  </si>
  <si>
    <t>Guláš Staročeský P 400g</t>
  </si>
  <si>
    <t>Knedl.houskový 600g</t>
  </si>
  <si>
    <t>TOP 18+19/2026</t>
  </si>
  <si>
    <t>58505402</t>
  </si>
  <si>
    <t>8700216765657</t>
  </si>
  <si>
    <t>80501</t>
  </si>
  <si>
    <t>Ariel kapsl.Mount.spr.19ks</t>
  </si>
  <si>
    <t>49385398</t>
  </si>
  <si>
    <t>3248284014543</t>
  </si>
  <si>
    <t>Croissant máslový 65g</t>
  </si>
  <si>
    <t>10168134</t>
  </si>
  <si>
    <t>7622201388409</t>
  </si>
  <si>
    <t>Croissant kakao 7D 60g</t>
  </si>
  <si>
    <t>Tvaroháček smetana 90g</t>
  </si>
  <si>
    <t>31775310</t>
  </si>
  <si>
    <t>4014500512990</t>
  </si>
  <si>
    <t>Jog.Jogob.classic 150g</t>
  </si>
  <si>
    <t>Jog.Jogob.special 150g</t>
  </si>
  <si>
    <t>90979591</t>
  </si>
  <si>
    <t>8594017360230</t>
  </si>
  <si>
    <t>Salát Vlašský retro 150g</t>
  </si>
  <si>
    <t>44274370</t>
  </si>
  <si>
    <t>8595042657135</t>
  </si>
  <si>
    <t>HAF Mlsoň stehýnka 80g</t>
  </si>
  <si>
    <t>12101502</t>
  </si>
  <si>
    <t>8445291827141</t>
  </si>
  <si>
    <t>Margot bílá/karam.Orion 40</t>
  </si>
  <si>
    <t>12961503</t>
  </si>
  <si>
    <t>8445291827448</t>
  </si>
  <si>
    <t>Margot mango Orion 40g</t>
  </si>
  <si>
    <t>10103236</t>
  </si>
  <si>
    <t>8584004041259</t>
  </si>
  <si>
    <t>Tatr.Kakaové 33g</t>
  </si>
  <si>
    <t>10103255</t>
  </si>
  <si>
    <t>8584004041297</t>
  </si>
  <si>
    <t>Tatr.Mléčné 33g</t>
  </si>
  <si>
    <t>12961063</t>
  </si>
  <si>
    <t>8445292065269</t>
  </si>
  <si>
    <t>Čok.STPE Bublinky bílé 90g</t>
  </si>
  <si>
    <t>28101183</t>
  </si>
  <si>
    <t>8585002433299</t>
  </si>
  <si>
    <t>Pol.Francouzská 42g</t>
  </si>
  <si>
    <t>30113110</t>
  </si>
  <si>
    <t>3850104050565</t>
  </si>
  <si>
    <t>52403</t>
  </si>
  <si>
    <t>Ajvar ostrý 350g</t>
  </si>
  <si>
    <t>40112937</t>
  </si>
  <si>
    <t>8593837273072</t>
  </si>
  <si>
    <t>Pom.Škvarková/cib.120g</t>
  </si>
  <si>
    <t>50588888</t>
  </si>
  <si>
    <t>8594031252153</t>
  </si>
  <si>
    <t>Vinacz, spol. s r.o.</t>
  </si>
  <si>
    <t>Zámecká paní bílá B PET 2l</t>
  </si>
  <si>
    <t>45116551</t>
  </si>
  <si>
    <t>8594001027378</t>
  </si>
  <si>
    <t>Mattoni Multi 1,5l</t>
  </si>
  <si>
    <t>90862496</t>
  </si>
  <si>
    <t>283340</t>
  </si>
  <si>
    <t>Královské párky</t>
  </si>
  <si>
    <t>13157117</t>
  </si>
  <si>
    <t>4014400400007</t>
  </si>
  <si>
    <t>Storck Česká republika, s.r.o.</t>
  </si>
  <si>
    <t>Dez.Toffifee 125g</t>
  </si>
  <si>
    <t>31584590</t>
  </si>
  <si>
    <t>85912540</t>
  </si>
  <si>
    <t>Smetana zakys.Klas.K 190g</t>
  </si>
  <si>
    <t>68356151</t>
  </si>
  <si>
    <t>287529</t>
  </si>
  <si>
    <t>Mrkev</t>
  </si>
  <si>
    <t>68356222</t>
  </si>
  <si>
    <t>287537</t>
  </si>
  <si>
    <t>Paprika zelená</t>
  </si>
  <si>
    <t>Ředkvičky svazek 1ks</t>
  </si>
  <si>
    <t>90979179</t>
  </si>
  <si>
    <t>283372</t>
  </si>
  <si>
    <t>Klobása Bítešské kolečko</t>
  </si>
  <si>
    <t>90979587</t>
  </si>
  <si>
    <t>8594017362135</t>
  </si>
  <si>
    <t>Salát Vitamínový 120g</t>
  </si>
  <si>
    <t>90979690</t>
  </si>
  <si>
    <t>283358</t>
  </si>
  <si>
    <t>Špekáčky ČC</t>
  </si>
  <si>
    <t>24125109</t>
  </si>
  <si>
    <t>8590077110013</t>
  </si>
  <si>
    <t>Mouka hladká světlá 1kg</t>
  </si>
  <si>
    <t>56282933</t>
  </si>
  <si>
    <t>5054563152329</t>
  </si>
  <si>
    <t>80507</t>
  </si>
  <si>
    <t>ZP Odol Whitening 75ml</t>
  </si>
  <si>
    <t>31710970</t>
  </si>
  <si>
    <t>85936126</t>
  </si>
  <si>
    <t>20107</t>
  </si>
  <si>
    <t>Tvaroh polotučný 250g</t>
  </si>
  <si>
    <t>12101374</t>
  </si>
  <si>
    <t>8445290552174</t>
  </si>
  <si>
    <t>Kit Kat 4 fing.white 41,5g</t>
  </si>
  <si>
    <t>12101428</t>
  </si>
  <si>
    <t>40052465</t>
  </si>
  <si>
    <t>Kit Kat 4 finger 41,5g</t>
  </si>
  <si>
    <t>12961207</t>
  </si>
  <si>
    <t>3800020401828</t>
  </si>
  <si>
    <t>Kit Kat Cookie Dough 41,5g</t>
  </si>
  <si>
    <t>21196172</t>
  </si>
  <si>
    <t>8595564503682</t>
  </si>
  <si>
    <t>Jeníkův Lup vanil.př.250g</t>
  </si>
  <si>
    <t>28962420</t>
  </si>
  <si>
    <t>8594174210133</t>
  </si>
  <si>
    <t>Pol.Ins.Lucka hovězí 60g</t>
  </si>
  <si>
    <t>28962437</t>
  </si>
  <si>
    <t>8594174210140</t>
  </si>
  <si>
    <t>Pol.Ins.Lucka Slepičí 60g</t>
  </si>
  <si>
    <t>39979475</t>
  </si>
  <si>
    <t>8594017361060</t>
  </si>
  <si>
    <t>Pašt.Myslivecká TO 200g</t>
  </si>
  <si>
    <t>Red Bull Pink les.ovo.250m</t>
  </si>
  <si>
    <t>53871960</t>
  </si>
  <si>
    <t>8594009924853</t>
  </si>
  <si>
    <t>ZLT Soulad grep/rozm.P 0,5</t>
  </si>
  <si>
    <t>Balconi Milk Buonissim.30g</t>
  </si>
  <si>
    <t>35235112</t>
  </si>
  <si>
    <t>8594004564306</t>
  </si>
  <si>
    <t>Kopr ČC TO 280ml 240g</t>
  </si>
  <si>
    <t>90P11905</t>
  </si>
  <si>
    <t>8594016340318</t>
  </si>
  <si>
    <t>Vysočina ČC 100g</t>
  </si>
  <si>
    <t>39870020</t>
  </si>
  <si>
    <t>8594017544272</t>
  </si>
  <si>
    <t>Knedlík houskový 400g</t>
  </si>
  <si>
    <t>68356081</t>
  </si>
  <si>
    <t>287006</t>
  </si>
  <si>
    <t>Grep</t>
  </si>
  <si>
    <t>14101354</t>
  </si>
  <si>
    <t>8593893738225</t>
  </si>
  <si>
    <t>JOJO Vexta 80g</t>
  </si>
  <si>
    <t>14101364</t>
  </si>
  <si>
    <t>8593893738652</t>
  </si>
  <si>
    <t>JOJO Delfínci 80g</t>
  </si>
  <si>
    <t>31122490</t>
  </si>
  <si>
    <t>8594006841214</t>
  </si>
  <si>
    <t>Piknik tuba 8% 150g</t>
  </si>
  <si>
    <t>45245159</t>
  </si>
  <si>
    <t>8594001341894</t>
  </si>
  <si>
    <t>FONTEA a.s.</t>
  </si>
  <si>
    <t>Olé Hrozno 2l</t>
  </si>
  <si>
    <t>56C80971</t>
  </si>
  <si>
    <t>8594024343561</t>
  </si>
  <si>
    <t>80504</t>
  </si>
  <si>
    <t>Šampon ČC Exotic 300ml</t>
  </si>
  <si>
    <t>21196208</t>
  </si>
  <si>
    <t>8595564524359</t>
  </si>
  <si>
    <t>50206</t>
  </si>
  <si>
    <t>Kaše rýž.karam./mandle 50g</t>
  </si>
  <si>
    <t>21196209</t>
  </si>
  <si>
    <t>8595564524373</t>
  </si>
  <si>
    <t>Kaše rýž.borůvka 50g</t>
  </si>
  <si>
    <t>25125108</t>
  </si>
  <si>
    <t>8590077336666</t>
  </si>
  <si>
    <t>10206</t>
  </si>
  <si>
    <t>Strouhanka z krudonů 500g</t>
  </si>
  <si>
    <t>90979790</t>
  </si>
  <si>
    <t>283360</t>
  </si>
  <si>
    <t>Tlačenka Selská</t>
  </si>
  <si>
    <t>31220635</t>
  </si>
  <si>
    <t>8593803327501</t>
  </si>
  <si>
    <t>Sýr Madeland orig.plát.100</t>
  </si>
  <si>
    <t>50478300</t>
  </si>
  <si>
    <t>8594008552323</t>
  </si>
  <si>
    <t>Chardonnay HS B 0,75l</t>
  </si>
  <si>
    <t>Chléb Beskyd BAK 500g</t>
  </si>
  <si>
    <t>10C10935</t>
  </si>
  <si>
    <t>4820280823429</t>
  </si>
  <si>
    <t>Opl.Stroopwafel kondenz.33</t>
  </si>
  <si>
    <t>22151182</t>
  </si>
  <si>
    <t>8595012002408</t>
  </si>
  <si>
    <t>Koř.Avo.Nové koř.ml.22g</t>
  </si>
  <si>
    <t>34225122</t>
  </si>
  <si>
    <t>85923423</t>
  </si>
  <si>
    <t>Kečup Gourm.jemný 900g</t>
  </si>
  <si>
    <t>39979525</t>
  </si>
  <si>
    <t>8594017365266</t>
  </si>
  <si>
    <t>Pašt.Tradiční hrubá 200g</t>
  </si>
  <si>
    <t>39979526</t>
  </si>
  <si>
    <t>8594017365273</t>
  </si>
  <si>
    <t>Pašt.Tradiční jemná 200g</t>
  </si>
  <si>
    <t>68356550</t>
  </si>
  <si>
    <t>287553</t>
  </si>
  <si>
    <t>Žampiony</t>
  </si>
  <si>
    <t>10951399</t>
  </si>
  <si>
    <t>8592794015671</t>
  </si>
  <si>
    <t>Perník ČC Lvíček švest.60g</t>
  </si>
  <si>
    <t>10951400</t>
  </si>
  <si>
    <t>8592794015695</t>
  </si>
  <si>
    <t>Perník ČC Lvíček borův.60g</t>
  </si>
  <si>
    <t>11309855</t>
  </si>
  <si>
    <t>8595606209572</t>
  </si>
  <si>
    <t>Tyč.Bohemia bramborové 80g</t>
  </si>
  <si>
    <t>17109190</t>
  </si>
  <si>
    <t>8594004171412</t>
  </si>
  <si>
    <t>Čaj zelený/broskev 30g</t>
  </si>
  <si>
    <t>18109181</t>
  </si>
  <si>
    <t>8594004172716</t>
  </si>
  <si>
    <t>Čaj Lesní plody 40g</t>
  </si>
  <si>
    <t>57283239</t>
  </si>
  <si>
    <t>4049500170116</t>
  </si>
  <si>
    <t>Tampony Ria super plus 16k</t>
  </si>
  <si>
    <t>14120120</t>
  </si>
  <si>
    <t>42189633</t>
  </si>
  <si>
    <t>Airwaves Extrem.dražé 14g</t>
  </si>
  <si>
    <t>59C45886</t>
  </si>
  <si>
    <t>85916166</t>
  </si>
  <si>
    <t>Cig.Winston Blue 161Kč</t>
  </si>
  <si>
    <t>10101258</t>
  </si>
  <si>
    <t>8445291034624</t>
  </si>
  <si>
    <t>Delissa vanilková 30g</t>
  </si>
  <si>
    <t>14101322</t>
  </si>
  <si>
    <t>8593893775381</t>
  </si>
  <si>
    <t>JOJO Smoothies 80g</t>
  </si>
  <si>
    <t>21171537</t>
  </si>
  <si>
    <t>8595229924784</t>
  </si>
  <si>
    <t>Emco spol. s.r.o.</t>
  </si>
  <si>
    <t>Super kaše jabl./meruň.55g</t>
  </si>
  <si>
    <t>22151187</t>
  </si>
  <si>
    <t>8595012035505</t>
  </si>
  <si>
    <t>Koř.Avo.Paprika sl.maď.25g</t>
  </si>
  <si>
    <t>31220279</t>
  </si>
  <si>
    <t>8593803662237</t>
  </si>
  <si>
    <t>Lipánek DuoMax van/kak.130</t>
  </si>
  <si>
    <t>31584754</t>
  </si>
  <si>
    <t>85930599</t>
  </si>
  <si>
    <t>Termix pistácie maxi 130g</t>
  </si>
  <si>
    <t>31708539</t>
  </si>
  <si>
    <t>8594003022937</t>
  </si>
  <si>
    <t>Kyška Valašská 1,5% 400g</t>
  </si>
  <si>
    <t>68356084</t>
  </si>
  <si>
    <t>287007</t>
  </si>
  <si>
    <t>Hrozny bílé</t>
  </si>
  <si>
    <t>90864711</t>
  </si>
  <si>
    <t>283375</t>
  </si>
  <si>
    <t>Špekáčky výběr vázané</t>
  </si>
  <si>
    <t>90P11904</t>
  </si>
  <si>
    <t>8594016343562</t>
  </si>
  <si>
    <t>MASO UZENINY POLIČKA, a.s.</t>
  </si>
  <si>
    <t>Poličan ČC krájený 100g</t>
  </si>
  <si>
    <t>Párky Bítešské</t>
  </si>
  <si>
    <t>17109173</t>
  </si>
  <si>
    <t>8594004173119</t>
  </si>
  <si>
    <t>50602</t>
  </si>
  <si>
    <t>Čaj Pigi 37,5g</t>
  </si>
  <si>
    <t>49385769</t>
  </si>
  <si>
    <t>8595692202310</t>
  </si>
  <si>
    <t>40205</t>
  </si>
  <si>
    <t>Paprika plněná/raj.om.600g</t>
  </si>
  <si>
    <t>53121268</t>
  </si>
  <si>
    <t>8594404026619</t>
  </si>
  <si>
    <t>Birell Vit.Cit./záz.MC 0,5</t>
  </si>
  <si>
    <t>TP ČC 3vr.160x8ks</t>
  </si>
  <si>
    <t>11172109</t>
  </si>
  <si>
    <t>8594012320123</t>
  </si>
  <si>
    <t>Tyčinky sýr/sůl 90g</t>
  </si>
  <si>
    <t>14101288</t>
  </si>
  <si>
    <t>8593893739291</t>
  </si>
  <si>
    <t>JOJO Kyselé rybičky 80g</t>
  </si>
  <si>
    <t>21140170</t>
  </si>
  <si>
    <t>8594002310097</t>
  </si>
  <si>
    <t>ÚSOVSKO FOOD a.s.</t>
  </si>
  <si>
    <t>Musli Fit meruňková 30g</t>
  </si>
  <si>
    <t>90979471</t>
  </si>
  <si>
    <t>8594017363101</t>
  </si>
  <si>
    <t>Pomazánka sýr/česnek 100g</t>
  </si>
  <si>
    <t>14101290</t>
  </si>
  <si>
    <t>8593893738201</t>
  </si>
  <si>
    <t>JOJO Kyselé žížalky 80g</t>
  </si>
  <si>
    <t>55961230</t>
  </si>
  <si>
    <t>8592920015131</t>
  </si>
  <si>
    <t>52602</t>
  </si>
  <si>
    <t>Baterie ČC tuž.R03 AAA 4ks</t>
  </si>
  <si>
    <t>24123115</t>
  </si>
  <si>
    <t>8594003781131</t>
  </si>
  <si>
    <t>Cukr krystal 1kg</t>
  </si>
  <si>
    <t>49385285</t>
  </si>
  <si>
    <t>8594007916386</t>
  </si>
  <si>
    <t>Vlnky do trouby 750g</t>
  </si>
  <si>
    <t>50260109</t>
  </si>
  <si>
    <t>8594011305770</t>
  </si>
  <si>
    <t>Templářské sklepy</t>
  </si>
  <si>
    <t>Chardonnay JAK B 0,75l</t>
  </si>
  <si>
    <t>C000111</t>
  </si>
  <si>
    <t>8594043500112</t>
  </si>
  <si>
    <t>Sudoku pro radost 1ks</t>
  </si>
  <si>
    <t>28101195</t>
  </si>
  <si>
    <t>8585002436245</t>
  </si>
  <si>
    <t>Pol.PRVJ Hovězí 44g</t>
  </si>
  <si>
    <t>28101946</t>
  </si>
  <si>
    <t>8445291328389</t>
  </si>
  <si>
    <t>52301</t>
  </si>
  <si>
    <t>Pol.Magg.5min.Sýrová 59,2g</t>
  </si>
  <si>
    <t>31708515</t>
  </si>
  <si>
    <t>8594003024115</t>
  </si>
  <si>
    <t>Mléko Acid.3,6% 0,5l</t>
  </si>
  <si>
    <t>31889550</t>
  </si>
  <si>
    <t>8594052745047</t>
  </si>
  <si>
    <t>Máslo 250g</t>
  </si>
  <si>
    <t>39979730</t>
  </si>
  <si>
    <t>8595599000101</t>
  </si>
  <si>
    <t>Svíčková hov./knedl.500g</t>
  </si>
  <si>
    <t>Cig.Rothm.Long.Topaz 162Kč</t>
  </si>
  <si>
    <t>22200114</t>
  </si>
  <si>
    <t>5901135023368</t>
  </si>
  <si>
    <t>Vegeta Kucharek 200g</t>
  </si>
  <si>
    <t>10103141</t>
  </si>
  <si>
    <t>8584004024108</t>
  </si>
  <si>
    <t>Opl.Attack lískový oř.30g</t>
  </si>
  <si>
    <t>Opl.Attack Mléčný 30g</t>
  </si>
  <si>
    <t>Opl.Attack kokos 30g</t>
  </si>
  <si>
    <t>14101197</t>
  </si>
  <si>
    <t>8593893737280</t>
  </si>
  <si>
    <t>Bon Pari Originál 90g</t>
  </si>
  <si>
    <t>22105309</t>
  </si>
  <si>
    <t>8593837241699</t>
  </si>
  <si>
    <t>Koř.majoránka maxi 20g</t>
  </si>
  <si>
    <t>22151270</t>
  </si>
  <si>
    <t>8595019513075</t>
  </si>
  <si>
    <t>Koř.Avo.Guláš maďarský 25g</t>
  </si>
  <si>
    <t>C000008</t>
  </si>
  <si>
    <t>284008</t>
  </si>
  <si>
    <t>Bítešská pom. s česnekem</t>
  </si>
  <si>
    <t>Čaj bezový květ citr.40g</t>
  </si>
  <si>
    <t>31703807</t>
  </si>
  <si>
    <t>3073781122817</t>
  </si>
  <si>
    <t>Sýr Ves.kr.bez lakt.8D 120</t>
  </si>
  <si>
    <t>35231166</t>
  </si>
  <si>
    <t>3083680074094</t>
  </si>
  <si>
    <t>Kukuřice zlatá vak.P 212ml</t>
  </si>
  <si>
    <t>56736348</t>
  </si>
  <si>
    <t>8594001770458</t>
  </si>
  <si>
    <t>Krém Alpa masážní fran.40g</t>
  </si>
  <si>
    <t>27131259</t>
  </si>
  <si>
    <t>8595072630313</t>
  </si>
  <si>
    <t>Dr. Oetker, spol. s r.o.</t>
  </si>
  <si>
    <t>Kaše ovesná vanilka 58g</t>
  </si>
  <si>
    <t>27131538</t>
  </si>
  <si>
    <t>8595072635684</t>
  </si>
  <si>
    <t>Kaše oves.višně 55g</t>
  </si>
  <si>
    <t>27131539</t>
  </si>
  <si>
    <t>8595072636261</t>
  </si>
  <si>
    <t>Kaše oves.meruňka 53g</t>
  </si>
  <si>
    <t>66B37201</t>
  </si>
  <si>
    <t>283669</t>
  </si>
  <si>
    <t>Sýr Gouda 48%</t>
  </si>
  <si>
    <t>48727050</t>
  </si>
  <si>
    <t>4000177019276</t>
  </si>
  <si>
    <t>Capri Sun Monst.Alarm 200m</t>
  </si>
  <si>
    <t>Mřížka párek/Liutenice 83g</t>
  </si>
  <si>
    <t>90739903</t>
  </si>
  <si>
    <t>8594026123369</t>
  </si>
  <si>
    <t>Šunka od kosti NJ shav.100</t>
  </si>
  <si>
    <t>31701235</t>
  </si>
  <si>
    <t>8594001171576</t>
  </si>
  <si>
    <t>Jog.Selský bílý 200g</t>
  </si>
  <si>
    <t>31122146</t>
  </si>
  <si>
    <t>8594006840415</t>
  </si>
  <si>
    <t>Pikao 8% P 397g</t>
  </si>
  <si>
    <t>31220721</t>
  </si>
  <si>
    <t>8593803336886</t>
  </si>
  <si>
    <t>Sýr Niva JČ 30% 100g</t>
  </si>
  <si>
    <t>40112301</t>
  </si>
  <si>
    <t>85915633</t>
  </si>
  <si>
    <t>Pašt.Májka Al 48g</t>
  </si>
  <si>
    <t>46115869</t>
  </si>
  <si>
    <t>8595231222205</t>
  </si>
  <si>
    <t>52205</t>
  </si>
  <si>
    <t>Sirup Jupí citron PET 0,7l</t>
  </si>
  <si>
    <t>49385343</t>
  </si>
  <si>
    <t>8594007911442</t>
  </si>
  <si>
    <t>40301</t>
  </si>
  <si>
    <t>Filé dárkové 300g+100g</t>
  </si>
  <si>
    <t>90862566</t>
  </si>
  <si>
    <t>283024</t>
  </si>
  <si>
    <t>Salám šunkový zauz.</t>
  </si>
  <si>
    <t>C000086</t>
  </si>
  <si>
    <t>9771211564001</t>
  </si>
  <si>
    <t>Rytmus života</t>
  </si>
  <si>
    <t>17185090</t>
  </si>
  <si>
    <t>5900396021069</t>
  </si>
  <si>
    <t>Čaj ČC Zelený 20x1,5g</t>
  </si>
  <si>
    <t>18109191</t>
  </si>
  <si>
    <t>8594004170750</t>
  </si>
  <si>
    <t>Čaj meduňka 30g</t>
  </si>
  <si>
    <t>22151173</t>
  </si>
  <si>
    <t>8595012003559</t>
  </si>
  <si>
    <t>Koř.Avo.Mletá masa 32g</t>
  </si>
  <si>
    <t>22200137</t>
  </si>
  <si>
    <t>5901135011822</t>
  </si>
  <si>
    <t>THYMOS ČR s.r.o.</t>
  </si>
  <si>
    <t>Vegeta Zdravita Kuch.200g</t>
  </si>
  <si>
    <t>24C53280</t>
  </si>
  <si>
    <t>8594048720010</t>
  </si>
  <si>
    <t>Krupice pšeničná hrubá 1kg</t>
  </si>
  <si>
    <t>27131153</t>
  </si>
  <si>
    <t>8595072610704</t>
  </si>
  <si>
    <t>Cukr vanilkový 8g</t>
  </si>
  <si>
    <t>35210030</t>
  </si>
  <si>
    <t>9001466310321</t>
  </si>
  <si>
    <t>Cizrna Happy Frucht 400g</t>
  </si>
  <si>
    <t>12104869</t>
  </si>
  <si>
    <t>7622202206283</t>
  </si>
  <si>
    <t>Čok.Milka Bubbly kokos 97g</t>
  </si>
  <si>
    <t>12961065</t>
  </si>
  <si>
    <t>8445292173285</t>
  </si>
  <si>
    <t>Čok.STPE Bublinky bílé 36g</t>
  </si>
  <si>
    <t>45170701</t>
  </si>
  <si>
    <t>8594008043913</t>
  </si>
  <si>
    <t>Pepsi bez kalorií PET 1,5l</t>
  </si>
  <si>
    <t>90979445</t>
  </si>
  <si>
    <t>8594017366010</t>
  </si>
  <si>
    <t>Pomaz.tuňáková 100g</t>
  </si>
  <si>
    <t>C000250</t>
  </si>
  <si>
    <t>8595232401210</t>
  </si>
  <si>
    <t>Mr. Grico</t>
  </si>
  <si>
    <t>Rumcajs salát 140g</t>
  </si>
  <si>
    <t>31219989</t>
  </si>
  <si>
    <t>8595008801350</t>
  </si>
  <si>
    <t>Sýr Eidam pl.30% 100g</t>
  </si>
  <si>
    <t>39385236</t>
  </si>
  <si>
    <t>8595624792919</t>
  </si>
  <si>
    <t>Pomaz.tuňáková 80g</t>
  </si>
  <si>
    <t>39870003</t>
  </si>
  <si>
    <t>8594017540045</t>
  </si>
  <si>
    <t>Knedlík kynutý jahoda 300g</t>
  </si>
  <si>
    <t>10103140</t>
  </si>
  <si>
    <t>8584004024306</t>
  </si>
  <si>
    <t>Opl.Attack čokoláda 30g</t>
  </si>
  <si>
    <t>31186101</t>
  </si>
  <si>
    <t>8594013590105</t>
  </si>
  <si>
    <t>Smetana Samantha Lux 200g</t>
  </si>
  <si>
    <t>31221141</t>
  </si>
  <si>
    <t>8594007093261</t>
  </si>
  <si>
    <t>50401</t>
  </si>
  <si>
    <t>Smetana do kávy ČC 10x10g</t>
  </si>
  <si>
    <t>32110639</t>
  </si>
  <si>
    <t>8720182764027</t>
  </si>
  <si>
    <t>Om.Tatar.Hellm.S 210ml</t>
  </si>
  <si>
    <t>33B25813</t>
  </si>
  <si>
    <t>8719200264946</t>
  </si>
  <si>
    <t>Rama máslová příchuť 225g</t>
  </si>
  <si>
    <t>39861074</t>
  </si>
  <si>
    <t>8594048740087</t>
  </si>
  <si>
    <t>20209</t>
  </si>
  <si>
    <t>Sádlo vanička 500g</t>
  </si>
  <si>
    <t>50124104</t>
  </si>
  <si>
    <t>8590014837799</t>
  </si>
  <si>
    <t>Hradní svíca bílá TPP 1l</t>
  </si>
  <si>
    <t>55A13953</t>
  </si>
  <si>
    <t>8595025703774</t>
  </si>
  <si>
    <t>SOLO MATCHES &amp; FLAMES, a.s.</t>
  </si>
  <si>
    <t>80102</t>
  </si>
  <si>
    <t>Zápalky dlouhé DZ 100 1ks</t>
  </si>
  <si>
    <t>59C45844</t>
  </si>
  <si>
    <t>85968226</t>
  </si>
  <si>
    <t>Cig.Viceroy Clas.Red 161Kč</t>
  </si>
  <si>
    <t>55A13850</t>
  </si>
  <si>
    <t>8595025705662</t>
  </si>
  <si>
    <t>Zapalovač Solo jednor.1ks</t>
  </si>
  <si>
    <t>90979171</t>
  </si>
  <si>
    <t>8595599000057</t>
  </si>
  <si>
    <t>Guláš segedin./knedlík 500</t>
  </si>
  <si>
    <t>31220395</t>
  </si>
  <si>
    <t>8593803442884</t>
  </si>
  <si>
    <t>Pomaz.JČ pažitka 150g</t>
  </si>
  <si>
    <t>31708519</t>
  </si>
  <si>
    <t>8594003020346</t>
  </si>
  <si>
    <t>Mléko Kefír.Jahoda 450g</t>
  </si>
  <si>
    <t>31780530</t>
  </si>
  <si>
    <t>8592206344009</t>
  </si>
  <si>
    <t>Mléko čer.polot.1,5% PET 1</t>
  </si>
  <si>
    <t>34350109</t>
  </si>
  <si>
    <t>8595008729616</t>
  </si>
  <si>
    <t>BONECO a.s.</t>
  </si>
  <si>
    <t>Hořčice Bon.Dijon TO 260g</t>
  </si>
  <si>
    <t>59C45817</t>
  </si>
  <si>
    <t>85916982</t>
  </si>
  <si>
    <t>Cig.Camel Blue 173Kč</t>
  </si>
  <si>
    <t>Párky Debrecínské 220g</t>
  </si>
  <si>
    <t>10951180</t>
  </si>
  <si>
    <t>8592794034009</t>
  </si>
  <si>
    <t>Chlebíček Biskupský 200g</t>
  </si>
  <si>
    <t>49385377</t>
  </si>
  <si>
    <t>8594001041206</t>
  </si>
  <si>
    <t>Hrášek 350g</t>
  </si>
  <si>
    <t>14159121</t>
  </si>
  <si>
    <t>50985098</t>
  </si>
  <si>
    <t>Halls Extra Strong 33,5g</t>
  </si>
  <si>
    <t>24C53302</t>
  </si>
  <si>
    <t>8594048720034</t>
  </si>
  <si>
    <t>Mouka pšeničná hrubá 1kg</t>
  </si>
  <si>
    <t>28922617</t>
  </si>
  <si>
    <t>8935311171106</t>
  </si>
  <si>
    <t>Tan-Viet International P.S.A.</t>
  </si>
  <si>
    <t>Pol.Ins.Vifon hovězí 60g</t>
  </si>
  <si>
    <t>58C80980</t>
  </si>
  <si>
    <t>8594024342045</t>
  </si>
  <si>
    <t>WC ČC čistič 750ml</t>
  </si>
  <si>
    <t>31708375</t>
  </si>
  <si>
    <t>8594003022715</t>
  </si>
  <si>
    <t>Jog.Valaš.sm.čokoláda 150g</t>
  </si>
  <si>
    <t>31710425</t>
  </si>
  <si>
    <t>8594003965203</t>
  </si>
  <si>
    <t>Jog.Bedřich smet.jah.150g</t>
  </si>
  <si>
    <t>Pytel ČC na odpad 60l 20ks</t>
  </si>
  <si>
    <t>28105422</t>
  </si>
  <si>
    <t>8593837243792</t>
  </si>
  <si>
    <t>Pol.Ins.DHR Gulášová 18g</t>
  </si>
  <si>
    <t>39D47802</t>
  </si>
  <si>
    <t>8595599001153</t>
  </si>
  <si>
    <t>Řízek vepř.sm./br.sal.430g</t>
  </si>
  <si>
    <t>C000042</t>
  </si>
  <si>
    <t>219020</t>
  </si>
  <si>
    <t>601</t>
  </si>
  <si>
    <t>VRATKA OBAL - láhev pivní</t>
  </si>
  <si>
    <t>46115110</t>
  </si>
  <si>
    <t>8594003840203</t>
  </si>
  <si>
    <t>Sirup Jupí jahoda PET 0,7l</t>
  </si>
  <si>
    <t>59C45864</t>
  </si>
  <si>
    <t>85967946</t>
  </si>
  <si>
    <t>Cig.HB Classic 100 161Kč</t>
  </si>
  <si>
    <t>90933575</t>
  </si>
  <si>
    <t>283337</t>
  </si>
  <si>
    <t>Párky Učňovské</t>
  </si>
  <si>
    <t>57A99806</t>
  </si>
  <si>
    <t>6414301083015</t>
  </si>
  <si>
    <t>Metsa Tissue Czech s.r.o.</t>
  </si>
  <si>
    <t>TP Tento Family Economy 1k</t>
  </si>
  <si>
    <t>14153665</t>
  </si>
  <si>
    <t>5903839701818</t>
  </si>
  <si>
    <t>Bonb.Pat Mat mult.crazy 70</t>
  </si>
  <si>
    <t>48119483</t>
  </si>
  <si>
    <t>8595646200188</t>
  </si>
  <si>
    <t>Náp.en.Tiger Speed P 0,5l</t>
  </si>
  <si>
    <t>45B61750</t>
  </si>
  <si>
    <t>8594730100397</t>
  </si>
  <si>
    <t>BHMW TRADE s.r.o.</t>
  </si>
  <si>
    <t>Pramen Rudolfův PET 1,5l</t>
  </si>
  <si>
    <t>10102389</t>
  </si>
  <si>
    <t>8593894907606</t>
  </si>
  <si>
    <t>Opl.Florenta čokoláda 112g</t>
  </si>
  <si>
    <t>31708340</t>
  </si>
  <si>
    <t>8594003023057</t>
  </si>
  <si>
    <t>Jog.Valaš.ovoc.jahoda 150g</t>
  </si>
  <si>
    <t>45116281</t>
  </si>
  <si>
    <t>8594001021772</t>
  </si>
  <si>
    <t>Magnesia jemně perl.0,5l</t>
  </si>
  <si>
    <t>45129143</t>
  </si>
  <si>
    <t>8594005532410</t>
  </si>
  <si>
    <t>Korunní lim./máta JP 1,5l</t>
  </si>
  <si>
    <t>Zmrz.Trad.od Mrazíka 170ml</t>
  </si>
  <si>
    <t>68356082</t>
  </si>
  <si>
    <t>287515</t>
  </si>
  <si>
    <t>Hlíva ústřičná</t>
  </si>
  <si>
    <t>11984290</t>
  </si>
  <si>
    <t>8594004662507</t>
  </si>
  <si>
    <t>Kešu ČC pražené solené 60g</t>
  </si>
  <si>
    <t>Free Style rajče/bazal.25g</t>
  </si>
  <si>
    <t>25146500</t>
  </si>
  <si>
    <t>8594002271114</t>
  </si>
  <si>
    <t>Těst.Zvířátka Zoo sem.500g</t>
  </si>
  <si>
    <t>31710808</t>
  </si>
  <si>
    <t>8594003966330</t>
  </si>
  <si>
    <t>Sýr ČC Copánek uzený 70g</t>
  </si>
  <si>
    <t>Dez.Zott Monte White 150g</t>
  </si>
  <si>
    <t>Pivo Gamb.Patron 12° P 0,5</t>
  </si>
  <si>
    <t>57278222</t>
  </si>
  <si>
    <t>8594008876573</t>
  </si>
  <si>
    <t>Melitrade a.s.</t>
  </si>
  <si>
    <t>Ubr.děts.vlh.Lin.Baby 72ks</t>
  </si>
  <si>
    <t>10102131</t>
  </si>
  <si>
    <t>8593894800044</t>
  </si>
  <si>
    <t>BeBe DR oříšek/med 50g</t>
  </si>
  <si>
    <t>10102539</t>
  </si>
  <si>
    <t>8593894001175</t>
  </si>
  <si>
    <t>Suš.Polomáč.hořké 100g</t>
  </si>
  <si>
    <t>25948420</t>
  </si>
  <si>
    <t>8586012824138</t>
  </si>
  <si>
    <t>Mák mletý/cukr 200g</t>
  </si>
  <si>
    <t>Hořčice ČC kremžská 200g</t>
  </si>
  <si>
    <t>Hořčice ČC plnotučná 200g</t>
  </si>
  <si>
    <t>42112220</t>
  </si>
  <si>
    <t>8595139769499</t>
  </si>
  <si>
    <t>Konzerva vepřová ČC P 400g</t>
  </si>
  <si>
    <t>Jupík Aqua malina PET 0,5l</t>
  </si>
  <si>
    <t>49385594</t>
  </si>
  <si>
    <t>8595692202082</t>
  </si>
  <si>
    <t>Kapusta řezaná Nowaco 400g</t>
  </si>
  <si>
    <t>57134230</t>
  </si>
  <si>
    <t>8594042232151</t>
  </si>
  <si>
    <t>80503</t>
  </si>
  <si>
    <t>KU ČC 2vr.2ks</t>
  </si>
  <si>
    <t>58283651</t>
  </si>
  <si>
    <t>8590273703026</t>
  </si>
  <si>
    <t>Myčka sůl QPower reg.1,1kg</t>
  </si>
  <si>
    <t>59C45894</t>
  </si>
  <si>
    <t>8595701564521</t>
  </si>
  <si>
    <t>Cig.Terea Amber 5,3g 145Kč</t>
  </si>
  <si>
    <t>60532579</t>
  </si>
  <si>
    <t>8596140006924</t>
  </si>
  <si>
    <t>Taška ČC papírová 1ks</t>
  </si>
  <si>
    <t>90933300</t>
  </si>
  <si>
    <t>285002</t>
  </si>
  <si>
    <t>30401</t>
  </si>
  <si>
    <t>Krkovice vepřová BK</t>
  </si>
  <si>
    <t>12104609</t>
  </si>
  <si>
    <t>7622210713650</t>
  </si>
  <si>
    <t>Tyč.Milka Oreo 37g</t>
  </si>
  <si>
    <t>31775752</t>
  </si>
  <si>
    <t>4014500520391</t>
  </si>
  <si>
    <t>Snack Monte lískooříš.29g</t>
  </si>
  <si>
    <t>90979487</t>
  </si>
  <si>
    <t>8594017367796</t>
  </si>
  <si>
    <t>Polévka Frankfur.párek 650</t>
  </si>
  <si>
    <t>Podmáslí kysané 1% 0,5l</t>
  </si>
  <si>
    <t>59C45854</t>
  </si>
  <si>
    <t>85967991</t>
  </si>
  <si>
    <t>Cig.Lucky Strike Red 173Kč</t>
  </si>
  <si>
    <t>90864678</t>
  </si>
  <si>
    <t>283050</t>
  </si>
  <si>
    <t>Salám Vysočina 800g</t>
  </si>
  <si>
    <t>C000002</t>
  </si>
  <si>
    <t>284002</t>
  </si>
  <si>
    <t>Feferonový salát</t>
  </si>
  <si>
    <t>11169164</t>
  </si>
  <si>
    <t>8594042912169</t>
  </si>
  <si>
    <t xml:space="preserve">Chips ČC  klobása 70g</t>
  </si>
  <si>
    <t>39870006</t>
  </si>
  <si>
    <t>8594017540090</t>
  </si>
  <si>
    <t>Knedlík kyn.povid./mák 300</t>
  </si>
  <si>
    <t>90979466</t>
  </si>
  <si>
    <t>8594017362463</t>
  </si>
  <si>
    <t>Polévka Zelná 650g</t>
  </si>
  <si>
    <t>90P13750</t>
  </si>
  <si>
    <t>8595006330197</t>
  </si>
  <si>
    <t>Kuře bez drobů A TF 1,5kg</t>
  </si>
  <si>
    <t>28101421</t>
  </si>
  <si>
    <t>8585002444011</t>
  </si>
  <si>
    <t>Pol.Maggi Dršťková 48g</t>
  </si>
  <si>
    <t>28101423</t>
  </si>
  <si>
    <t>8585002443427</t>
  </si>
  <si>
    <t>Pol.Gulášová Maggi 54g</t>
  </si>
  <si>
    <t>31697556</t>
  </si>
  <si>
    <t>8593807647223</t>
  </si>
  <si>
    <t>Tvaroh Míša mls čoko.130g</t>
  </si>
  <si>
    <t>68356142</t>
  </si>
  <si>
    <t>287528</t>
  </si>
  <si>
    <t>Šalotka banánová</t>
  </si>
  <si>
    <t>C000030</t>
  </si>
  <si>
    <t>Chléb kvasový židloch. 1/2</t>
  </si>
  <si>
    <t>10102194</t>
  </si>
  <si>
    <t>8593894506717</t>
  </si>
  <si>
    <t>Brumík mléčný 30g</t>
  </si>
  <si>
    <t>45259009</t>
  </si>
  <si>
    <t>8586010291437</t>
  </si>
  <si>
    <t>Gemerka Bot.meduňka 1,5l</t>
  </si>
  <si>
    <t>48B40149</t>
  </si>
  <si>
    <t>5999860497646</t>
  </si>
  <si>
    <t>Káva Ice Double espr.250ml</t>
  </si>
  <si>
    <t>Trub.Alas.bezlep.kakao 18g</t>
  </si>
  <si>
    <t>25135176</t>
  </si>
  <si>
    <t>8594003464935</t>
  </si>
  <si>
    <t>Těst.ZÁT Kolínka vaj.500g</t>
  </si>
  <si>
    <t>31584177</t>
  </si>
  <si>
    <t>8594002786830</t>
  </si>
  <si>
    <t>Rýže mléčná karamel 175g</t>
  </si>
  <si>
    <t>31584178</t>
  </si>
  <si>
    <t>8594002786847</t>
  </si>
  <si>
    <t>Rýže mléčná malina 175g</t>
  </si>
  <si>
    <t>31584186</t>
  </si>
  <si>
    <t>8594002786816</t>
  </si>
  <si>
    <t>Rýže mléčná čokoláda 175g</t>
  </si>
  <si>
    <t>39979430</t>
  </si>
  <si>
    <t>8594017361190</t>
  </si>
  <si>
    <t>Pašt.Lahůdková TO 200g</t>
  </si>
  <si>
    <t>68356241</t>
  </si>
  <si>
    <t>Rajčata cherry 250g</t>
  </si>
  <si>
    <t>39979465</t>
  </si>
  <si>
    <t>8594017364498</t>
  </si>
  <si>
    <t>Pašt.Med.čes.jemná TO 200g</t>
  </si>
  <si>
    <t>11170098</t>
  </si>
  <si>
    <t>5900259137524</t>
  </si>
  <si>
    <t>Cheetos Crun.šun./sýr 80g</t>
  </si>
  <si>
    <t>45170709</t>
  </si>
  <si>
    <t>8594008044583</t>
  </si>
  <si>
    <t>Lipton Peach P 0,33l</t>
  </si>
  <si>
    <t>52138186</t>
  </si>
  <si>
    <t>8595004610123</t>
  </si>
  <si>
    <t>Robby Bub.jahoda 0,75l</t>
  </si>
  <si>
    <t>14155434</t>
  </si>
  <si>
    <t>8594006964685</t>
  </si>
  <si>
    <t>Lipo Antiperle 9g</t>
  </si>
  <si>
    <t>45170500</t>
  </si>
  <si>
    <t>5997264103910</t>
  </si>
  <si>
    <t>Lipton Lemon IT P 0,33l</t>
  </si>
  <si>
    <t>38112338</t>
  </si>
  <si>
    <t>8594001698615</t>
  </si>
  <si>
    <t>Džem meruňka TO 260g</t>
  </si>
  <si>
    <t>38112731</t>
  </si>
  <si>
    <t>8595139766108</t>
  </si>
  <si>
    <t>Pyré jabl./meruňka TO 550g</t>
  </si>
  <si>
    <t>40112156</t>
  </si>
  <si>
    <t>8595139752033</t>
  </si>
  <si>
    <t>Pašt.ČC Drůbeží jem.Al 48g</t>
  </si>
  <si>
    <t>40112216</t>
  </si>
  <si>
    <t>8595139752026</t>
  </si>
  <si>
    <t>Pašt.ČC Játrová Al 48g</t>
  </si>
  <si>
    <t>59539236</t>
  </si>
  <si>
    <t>85968264</t>
  </si>
  <si>
    <t>Cig.Roth.Prem.Pl.Silv.161K</t>
  </si>
  <si>
    <t>33697914</t>
  </si>
  <si>
    <t>8593807525019</t>
  </si>
  <si>
    <t>Zlatá Haná k namazání 250g</t>
  </si>
  <si>
    <t>90979402</t>
  </si>
  <si>
    <t>8594017366836</t>
  </si>
  <si>
    <t>Párky Bítešské 230g</t>
  </si>
  <si>
    <t>90979567</t>
  </si>
  <si>
    <t>8594017360315</t>
  </si>
  <si>
    <t>Salát feferonový 100g</t>
  </si>
  <si>
    <t>11170093</t>
  </si>
  <si>
    <t>5900259353276</t>
  </si>
  <si>
    <t>Cheetos Ketchup 85g</t>
  </si>
  <si>
    <t>14177920</t>
  </si>
  <si>
    <t>80768029</t>
  </si>
  <si>
    <t>Žvýk.CShock Jump.jah.4g</t>
  </si>
  <si>
    <t>10951583</t>
  </si>
  <si>
    <t>8592794061029</t>
  </si>
  <si>
    <t>Roláda ČC kak./poléva.200g</t>
  </si>
  <si>
    <t>25135195</t>
  </si>
  <si>
    <t>8594003464980</t>
  </si>
  <si>
    <t>Těst.ZÁT špagety vaj.500g</t>
  </si>
  <si>
    <t>28105829</t>
  </si>
  <si>
    <t>8593837270002</t>
  </si>
  <si>
    <t>Pol.Poctivá hovězí 78g</t>
  </si>
  <si>
    <t>90125343</t>
  </si>
  <si>
    <t>8590077310093</t>
  </si>
  <si>
    <t>Chléb toust.tm.vícezr.500g</t>
  </si>
  <si>
    <t>68356055</t>
  </si>
  <si>
    <t>8594171927973</t>
  </si>
  <si>
    <t>Bazalka 100g</t>
  </si>
  <si>
    <t>48119213</t>
  </si>
  <si>
    <t>8594057636777</t>
  </si>
  <si>
    <t>Relax Pomeranč 0,2l</t>
  </si>
  <si>
    <t>31697337</t>
  </si>
  <si>
    <t>8593807567149</t>
  </si>
  <si>
    <t>Jog.Florian les.sm.8% 150g</t>
  </si>
  <si>
    <t>Chips Lays Stix kečup 130g</t>
  </si>
  <si>
    <t>12104012</t>
  </si>
  <si>
    <t>7622202257124</t>
  </si>
  <si>
    <t>Čok.Milka mléčná 90g</t>
  </si>
  <si>
    <t>48171385</t>
  </si>
  <si>
    <t>5411188116592</t>
  </si>
  <si>
    <t>Nápoj Alpro kokosový 1l</t>
  </si>
  <si>
    <t>45117164</t>
  </si>
  <si>
    <t>8594006820899</t>
  </si>
  <si>
    <t>Poděbr.ProL.citron JP 1,5l</t>
  </si>
  <si>
    <t>24130102</t>
  </si>
  <si>
    <t>8594008333007</t>
  </si>
  <si>
    <t>51403</t>
  </si>
  <si>
    <t>Čočka velkozrnná 500g</t>
  </si>
  <si>
    <t>32550645</t>
  </si>
  <si>
    <t>8594007640021</t>
  </si>
  <si>
    <t>AGRICOL s.r.o.</t>
  </si>
  <si>
    <t>Om.Tatarská sáč.100ml</t>
  </si>
  <si>
    <t>35210107</t>
  </si>
  <si>
    <t>8594014933086</t>
  </si>
  <si>
    <t>Hrášek ČC jemný P 150g</t>
  </si>
  <si>
    <t>39D50847</t>
  </si>
  <si>
    <t>8595232401197</t>
  </si>
  <si>
    <t>Salát hanácký 140g</t>
  </si>
  <si>
    <t>C000035</t>
  </si>
  <si>
    <t>284015</t>
  </si>
  <si>
    <t>30503</t>
  </si>
  <si>
    <t>Zavináče s cibulí</t>
  </si>
  <si>
    <t>31695358</t>
  </si>
  <si>
    <t>8594008359076</t>
  </si>
  <si>
    <t>Pribin.Mixík vnl./kak.125g</t>
  </si>
  <si>
    <t>31695380</t>
  </si>
  <si>
    <t>8594008351964</t>
  </si>
  <si>
    <t>Pribináček vanilka 125g</t>
  </si>
  <si>
    <t>31701239</t>
  </si>
  <si>
    <t>8594001172030</t>
  </si>
  <si>
    <t>Jog.Selský černý rybíz 200</t>
  </si>
  <si>
    <t>31701244</t>
  </si>
  <si>
    <t>8594001171583</t>
  </si>
  <si>
    <t>Jog.Selský jahoda 200g</t>
  </si>
  <si>
    <t>31701248</t>
  </si>
  <si>
    <t>8594001172023</t>
  </si>
  <si>
    <t>Jog.Selský meruňka 200g</t>
  </si>
  <si>
    <t>49385941</t>
  </si>
  <si>
    <t>8595624798980</t>
  </si>
  <si>
    <t>Stripsy kuřecí Zizu 1kg</t>
  </si>
  <si>
    <t>53128355</t>
  </si>
  <si>
    <t>8594000206934</t>
  </si>
  <si>
    <t>Palírna U Zeleného stromu a.s.</t>
  </si>
  <si>
    <t>Vodka Hanácká 37,5% 0,5l</t>
  </si>
  <si>
    <t>Tyč.Flint/tmavá poleva 50g</t>
  </si>
  <si>
    <t>55471161</t>
  </si>
  <si>
    <t>7638900370836</t>
  </si>
  <si>
    <t>Eva Sapáková</t>
  </si>
  <si>
    <t>Bat.Ever.monočlán.R20/2ks</t>
  </si>
  <si>
    <t>18185210</t>
  </si>
  <si>
    <t>5900396021052</t>
  </si>
  <si>
    <t>Čaj ČC Ovocný les.pl.20x2g</t>
  </si>
  <si>
    <t>35C52900</t>
  </si>
  <si>
    <t>8595047200114</t>
  </si>
  <si>
    <t>Zelí Tuřanské kysané 500g</t>
  </si>
  <si>
    <t>C000267</t>
  </si>
  <si>
    <t>9771805388006</t>
  </si>
  <si>
    <t>První novinová spole</t>
  </si>
  <si>
    <t>Sedmička</t>
  </si>
  <si>
    <t>45116311</t>
  </si>
  <si>
    <t>8594001021925</t>
  </si>
  <si>
    <t>Magnesia Red grep 1,5l</t>
  </si>
  <si>
    <t>10185325</t>
  </si>
  <si>
    <t>8594002832599</t>
  </si>
  <si>
    <t>MOKATE Czech s.r.o.</t>
  </si>
  <si>
    <t>Piškoty Marila 120g</t>
  </si>
  <si>
    <t>Chips Boh.vroub.pizza 120g</t>
  </si>
  <si>
    <t>14101910</t>
  </si>
  <si>
    <t>8445292183062</t>
  </si>
  <si>
    <t>JOJO Cola Mix 80g</t>
  </si>
  <si>
    <t>53121166</t>
  </si>
  <si>
    <t>8594404005782</t>
  </si>
  <si>
    <t>Pivo Kozel 11° P 0,5l</t>
  </si>
  <si>
    <t>59C45800</t>
  </si>
  <si>
    <t>4030600358573</t>
  </si>
  <si>
    <t>Cig.P&amp;S Black 100 160Kč</t>
  </si>
  <si>
    <t>10101255</t>
  </si>
  <si>
    <t>8445291034662</t>
  </si>
  <si>
    <t>Delissa kokos bílá 30g</t>
  </si>
  <si>
    <t>11309854</t>
  </si>
  <si>
    <t>8595606209596</t>
  </si>
  <si>
    <t>Tyč.Bohemia sýrové 80g</t>
  </si>
  <si>
    <t>21171283</t>
  </si>
  <si>
    <t>8595229916116</t>
  </si>
  <si>
    <t>Kaše ovesná čoko.sáček 55g</t>
  </si>
  <si>
    <t>46115864</t>
  </si>
  <si>
    <t>8595231222168</t>
  </si>
  <si>
    <t>Sirup Jupí pomer.PET 0,7l</t>
  </si>
  <si>
    <t>42234134</t>
  </si>
  <si>
    <t>8594044444910</t>
  </si>
  <si>
    <t>Maso krůtí Ning/vl.šť.P400</t>
  </si>
  <si>
    <t>31710950</t>
  </si>
  <si>
    <t>85905962</t>
  </si>
  <si>
    <t>Tvaroh odtučněný 250g</t>
  </si>
  <si>
    <t>51B41060</t>
  </si>
  <si>
    <t>8594172642455</t>
  </si>
  <si>
    <t>VINAŘSTVÍ Velké Bílovice s.r.o.</t>
  </si>
  <si>
    <t>Cabernet sauvign.BIB Č 3l</t>
  </si>
  <si>
    <t>53121171</t>
  </si>
  <si>
    <t>8594404000572</t>
  </si>
  <si>
    <t>Pivo Kozel světlý P 0,5l</t>
  </si>
  <si>
    <t>32550585</t>
  </si>
  <si>
    <t>8594007640014</t>
  </si>
  <si>
    <t>Majonéza Poličanka sáč.100</t>
  </si>
  <si>
    <t>59C45823</t>
  </si>
  <si>
    <t>8595701559343</t>
  </si>
  <si>
    <t>Cig.Marlb.Cr.Gold 100 161K</t>
  </si>
  <si>
    <t>68356253</t>
  </si>
  <si>
    <t>Salát hlávkový 1ks</t>
  </si>
  <si>
    <t>10103095</t>
  </si>
  <si>
    <t>8584004061424</t>
  </si>
  <si>
    <t>Horalky mini MUL 3x27g</t>
  </si>
  <si>
    <t>45116469</t>
  </si>
  <si>
    <t>8594001021475</t>
  </si>
  <si>
    <t>Mattoni jemně perlivá 0,5l</t>
  </si>
  <si>
    <t>49B46941</t>
  </si>
  <si>
    <t>8711327575646</t>
  </si>
  <si>
    <t>EFEZA s.r.o.</t>
  </si>
  <si>
    <t>Zmrz.Twister Pineapple 80m</t>
  </si>
  <si>
    <t>Avanti Fragola 0,75l</t>
  </si>
  <si>
    <t>Vroubky Boh.Pál.pepř 120g</t>
  </si>
  <si>
    <t>Trub.Alas.bezlep.mléko 18g</t>
  </si>
  <si>
    <t>Trub.Alas.bezlep.ořech 18g</t>
  </si>
  <si>
    <t>10103205</t>
  </si>
  <si>
    <t>8584004150166</t>
  </si>
  <si>
    <t>Romance 40g</t>
  </si>
  <si>
    <t>39220030</t>
  </si>
  <si>
    <t>8594026121211</t>
  </si>
  <si>
    <t>Šunka vepřová 100g</t>
  </si>
  <si>
    <t>57134150</t>
  </si>
  <si>
    <t>8594042231772</t>
  </si>
  <si>
    <t>TP BS Plus 2vr.160x8ks</t>
  </si>
  <si>
    <t>27105242</t>
  </si>
  <si>
    <t>8593837874095</t>
  </si>
  <si>
    <t>Prášek do perníku kypř.20g</t>
  </si>
  <si>
    <t>27131443</t>
  </si>
  <si>
    <t>8584002008926</t>
  </si>
  <si>
    <t>52302</t>
  </si>
  <si>
    <t>Puding kokos příchuť 38g</t>
  </si>
  <si>
    <t>28101231</t>
  </si>
  <si>
    <t>4820048617376</t>
  </si>
  <si>
    <t>Pol.Ins.Nudle hovězí 59,2g</t>
  </si>
  <si>
    <t>14177371</t>
  </si>
  <si>
    <t>6921211119807</t>
  </si>
  <si>
    <t>Líz.ChCh Melody Cola 15g</t>
  </si>
  <si>
    <t>14768671</t>
  </si>
  <si>
    <t>8594044245913</t>
  </si>
  <si>
    <t>Pendreky Pedro jablko 80g</t>
  </si>
  <si>
    <t>10163952</t>
  </si>
  <si>
    <t>8588010163004</t>
  </si>
  <si>
    <t>Rolky Prima malina 240g</t>
  </si>
  <si>
    <t>90979465</t>
  </si>
  <si>
    <t>8594017361893</t>
  </si>
  <si>
    <t>Polévka Zabijačková 650g</t>
  </si>
  <si>
    <t>C000053</t>
  </si>
  <si>
    <t>Chléb Jeníkov 1/4</t>
  </si>
  <si>
    <t>Capri S.Mystic dragon 0,2l</t>
  </si>
  <si>
    <t>53871632</t>
  </si>
  <si>
    <t>8594001052578</t>
  </si>
  <si>
    <t>Starobrno Medium P 6x4x0,5</t>
  </si>
  <si>
    <t>90933834</t>
  </si>
  <si>
    <t>8594005320864</t>
  </si>
  <si>
    <t>Šunka ČC výběrová 100g</t>
  </si>
  <si>
    <t>C000249</t>
  </si>
  <si>
    <t>8594009922385</t>
  </si>
  <si>
    <t>Krušovice Orig 0,5l P</t>
  </si>
  <si>
    <t>53121133</t>
  </si>
  <si>
    <t>8594404008660</t>
  </si>
  <si>
    <t>Pivo Gambrinus 10° P 0,5l</t>
  </si>
  <si>
    <t>31584750</t>
  </si>
  <si>
    <t>85930506</t>
  </si>
  <si>
    <t>Termix vanilka 90g</t>
  </si>
  <si>
    <t>31703357</t>
  </si>
  <si>
    <t>3073780990400</t>
  </si>
  <si>
    <t>Sýr Gerv.papr./rajče 80g</t>
  </si>
  <si>
    <t>39979420</t>
  </si>
  <si>
    <t>8594017361534</t>
  </si>
  <si>
    <t>Pašt.Bítešská jem.TO 200g</t>
  </si>
  <si>
    <t>40112469</t>
  </si>
  <si>
    <t>85915695</t>
  </si>
  <si>
    <t>Pašt.Svačinka Al 48g</t>
  </si>
  <si>
    <t>45170539</t>
  </si>
  <si>
    <t>8594008040288</t>
  </si>
  <si>
    <t>Mirinda Orange PET 2,25l</t>
  </si>
  <si>
    <t>90864050</t>
  </si>
  <si>
    <t>8594014097450</t>
  </si>
  <si>
    <t>Herkules ČC krájený 100g</t>
  </si>
  <si>
    <t>27105268</t>
  </si>
  <si>
    <t>8593837254897</t>
  </si>
  <si>
    <t>Cukr vanilinový 5x20g</t>
  </si>
  <si>
    <t>27131355</t>
  </si>
  <si>
    <t>8595072636308</t>
  </si>
  <si>
    <t>Prášek kypř.do peč.4+1 60g</t>
  </si>
  <si>
    <t>Komp.Hrušky půlené P 410g</t>
  </si>
  <si>
    <t>40112303</t>
  </si>
  <si>
    <t>8594001691715</t>
  </si>
  <si>
    <t>Pašt.Májka Al 75g</t>
  </si>
  <si>
    <t>C000046</t>
  </si>
  <si>
    <t>244341</t>
  </si>
  <si>
    <t>Čočková polévka porce + KL</t>
  </si>
  <si>
    <t>11170900</t>
  </si>
  <si>
    <t>5900259117564</t>
  </si>
  <si>
    <t>Lupínky Doritos chilli 100</t>
  </si>
  <si>
    <t>45170771</t>
  </si>
  <si>
    <t>8595723301678</t>
  </si>
  <si>
    <t>Lipton IT Orange/mango 1,5</t>
  </si>
  <si>
    <t>90866092</t>
  </si>
  <si>
    <t>8594024652311</t>
  </si>
  <si>
    <t>Váhala a spol. s. r.o.</t>
  </si>
  <si>
    <t>Utopenci S 680g</t>
  </si>
  <si>
    <t>14120310</t>
  </si>
  <si>
    <t>50173822</t>
  </si>
  <si>
    <t>Orbit Spearmint dražé 14g</t>
  </si>
  <si>
    <t>32550647</t>
  </si>
  <si>
    <t>8594007644203</t>
  </si>
  <si>
    <t>Om.Tatarská ČC S 240g</t>
  </si>
  <si>
    <t>12336400</t>
  </si>
  <si>
    <t>8595019697591</t>
  </si>
  <si>
    <t>Čok.Hořká 70% 80g</t>
  </si>
  <si>
    <t>31710365</t>
  </si>
  <si>
    <t>85955813</t>
  </si>
  <si>
    <t>Jog.Řecký borůvka 140g</t>
  </si>
  <si>
    <t>39385079</t>
  </si>
  <si>
    <t>8594002060138</t>
  </si>
  <si>
    <t>Pomaz.tuňáková 135g</t>
  </si>
  <si>
    <t>Pepsi PET 0,5l</t>
  </si>
  <si>
    <t>48664073</t>
  </si>
  <si>
    <t>8588009377573</t>
  </si>
  <si>
    <t>McCarter CZ, s.r.o.</t>
  </si>
  <si>
    <t>Aloe Vera original PET 0,5</t>
  </si>
  <si>
    <t>Káva Ice Latte 250ml</t>
  </si>
  <si>
    <t>49385037</t>
  </si>
  <si>
    <t>8594001043187</t>
  </si>
  <si>
    <t>40102</t>
  </si>
  <si>
    <t>Dort polá.Les.sm.jog.615ml</t>
  </si>
  <si>
    <t>90864039</t>
  </si>
  <si>
    <t>8594014096897</t>
  </si>
  <si>
    <t>Gyros kuřecí sous-vide 300</t>
  </si>
  <si>
    <t>59C45849</t>
  </si>
  <si>
    <t>8595701567065</t>
  </si>
  <si>
    <t>Cig.Marlb.Craft.Red KS 161</t>
  </si>
  <si>
    <t>31122101</t>
  </si>
  <si>
    <t>8594006841016</t>
  </si>
  <si>
    <t>Jesenka tuba 75g</t>
  </si>
  <si>
    <t>11176210</t>
  </si>
  <si>
    <t>8594014992700</t>
  </si>
  <si>
    <t>Tyč.ČC sýrové 90g</t>
  </si>
  <si>
    <t>11984090</t>
  </si>
  <si>
    <t>8586018180672</t>
  </si>
  <si>
    <t>Arašídy ČC pražené sol.80g</t>
  </si>
  <si>
    <t>22151231</t>
  </si>
  <si>
    <t>8595012003894</t>
  </si>
  <si>
    <t>Koř.Avo.Špagety 27g</t>
  </si>
  <si>
    <t>35130192</t>
  </si>
  <si>
    <t>8594008332819</t>
  </si>
  <si>
    <t>Rajčata krájená P 400g</t>
  </si>
  <si>
    <t>59C45879</t>
  </si>
  <si>
    <t>85968493</t>
  </si>
  <si>
    <t>Cig.Rothm.OL Blue 100 161K</t>
  </si>
  <si>
    <t>90979429</t>
  </si>
  <si>
    <t>283346</t>
  </si>
  <si>
    <t>Párky Bítešské/sýr</t>
  </si>
  <si>
    <t>C000050</t>
  </si>
  <si>
    <t>Chalupářský bochník 1/2</t>
  </si>
  <si>
    <t>45116471</t>
  </si>
  <si>
    <t>8594001021499</t>
  </si>
  <si>
    <t>Mattoni jemně perlivá 1,5l</t>
  </si>
  <si>
    <t>45246103</t>
  </si>
  <si>
    <t>8594004582034</t>
  </si>
  <si>
    <t>HK Citron PET 1,5l</t>
  </si>
  <si>
    <t>Gemerka Botanica rakyt.1,5</t>
  </si>
  <si>
    <t>10101254</t>
  </si>
  <si>
    <t>8445291111110</t>
  </si>
  <si>
    <t>Delissa oříšek 30g</t>
  </si>
  <si>
    <t>10101801</t>
  </si>
  <si>
    <t>8445291158542</t>
  </si>
  <si>
    <t>Suš.STPE mléč./křupin.30g</t>
  </si>
  <si>
    <t>15185595</t>
  </si>
  <si>
    <t>5900649064683</t>
  </si>
  <si>
    <t>50301</t>
  </si>
  <si>
    <t>Káva Mok.3v1 Irish 10x17g</t>
  </si>
  <si>
    <t>53871049</t>
  </si>
  <si>
    <t>8588000064052</t>
  </si>
  <si>
    <t>Pivo Zl.Baž.ležák P 0,5l</t>
  </si>
  <si>
    <t>59C45835</t>
  </si>
  <si>
    <t>85968219</t>
  </si>
  <si>
    <t>Cig.Viceroy Clas.Blu.161Kč</t>
  </si>
  <si>
    <t>19119383</t>
  </si>
  <si>
    <t>8595646208849</t>
  </si>
  <si>
    <t>DV Kaps.Kubík malina 100g</t>
  </si>
  <si>
    <t>31219601</t>
  </si>
  <si>
    <t>8594005857063</t>
  </si>
  <si>
    <t>Mlékárna Olešnice a.s.</t>
  </si>
  <si>
    <t>Tvaroh na strouhání 200g</t>
  </si>
  <si>
    <t>38124105</t>
  </si>
  <si>
    <t>8590014838031</t>
  </si>
  <si>
    <t>DV broskev Hello TO 190g</t>
  </si>
  <si>
    <t>68356204</t>
  </si>
  <si>
    <t>Okurka hadovka 1ks</t>
  </si>
  <si>
    <t>47119104</t>
  </si>
  <si>
    <t>5900334007377</t>
  </si>
  <si>
    <t>Caprio pomeranč 2l</t>
  </si>
  <si>
    <t>Capri Sun Fairy drink 0,2l</t>
  </si>
  <si>
    <t>45170704</t>
  </si>
  <si>
    <t>8594008043920</t>
  </si>
  <si>
    <t>Mirinda Orange PET 1,5l</t>
  </si>
  <si>
    <t>31691341</t>
  </si>
  <si>
    <t>8595002101173</t>
  </si>
  <si>
    <t>Jog.Activia bílý slad.120g</t>
  </si>
  <si>
    <t>21140175</t>
  </si>
  <si>
    <t>8594002310011</t>
  </si>
  <si>
    <t>Musli Fit šťavnatá 30g</t>
  </si>
  <si>
    <t>21197271</t>
  </si>
  <si>
    <t>8595573400927</t>
  </si>
  <si>
    <t>Chlebíček ČC rýž./hoř.p.60</t>
  </si>
  <si>
    <t>39707765</t>
  </si>
  <si>
    <t>8594045603118</t>
  </si>
  <si>
    <t>Pizza těsto Brick 280g</t>
  </si>
  <si>
    <t>11309162</t>
  </si>
  <si>
    <t>8595606210042</t>
  </si>
  <si>
    <t>Chips Bohemia paprika 130g</t>
  </si>
  <si>
    <t>90979183</t>
  </si>
  <si>
    <t>283353</t>
  </si>
  <si>
    <t>Klobása/papričky/jalapeňos</t>
  </si>
  <si>
    <t>53259255</t>
  </si>
  <si>
    <t>8586000136724</t>
  </si>
  <si>
    <t>Griotka ČC 18% 0,5l</t>
  </si>
  <si>
    <t>C000004</t>
  </si>
  <si>
    <t>284004</t>
  </si>
  <si>
    <t>Křenový salát</t>
  </si>
  <si>
    <t>10103090</t>
  </si>
  <si>
    <t>8584004803772</t>
  </si>
  <si>
    <t>Muffin kousky čokolády 40g</t>
  </si>
  <si>
    <t>10104048</t>
  </si>
  <si>
    <t>7622202254420</t>
  </si>
  <si>
    <t>Cake Bar kak./polev.7D 32g</t>
  </si>
  <si>
    <t>10168136</t>
  </si>
  <si>
    <t>7622201390648</t>
  </si>
  <si>
    <t>Croissant lískooříšk.7D 60</t>
  </si>
  <si>
    <t>45170770</t>
  </si>
  <si>
    <t>8595723301661</t>
  </si>
  <si>
    <t>Lipton IT Orange/mango 0,5</t>
  </si>
  <si>
    <t>11309163</t>
  </si>
  <si>
    <t>8595606210066</t>
  </si>
  <si>
    <t>Chips Bohemia slanina 130g</t>
  </si>
  <si>
    <t>28105223</t>
  </si>
  <si>
    <t>8593837245673</t>
  </si>
  <si>
    <t>52404</t>
  </si>
  <si>
    <t>Masox hovězí 60g</t>
  </si>
  <si>
    <t>28105225</t>
  </si>
  <si>
    <t>8593837247639</t>
  </si>
  <si>
    <t>Masox zeleninový 60g</t>
  </si>
  <si>
    <t>35356100</t>
  </si>
  <si>
    <t>8588001801199</t>
  </si>
  <si>
    <t>Květák nakládaný 850g</t>
  </si>
  <si>
    <t>39864052</t>
  </si>
  <si>
    <t>8594014099423</t>
  </si>
  <si>
    <t>Kuřecí trhané VB SV 300g</t>
  </si>
  <si>
    <t>49385550</t>
  </si>
  <si>
    <t>8594001047819</t>
  </si>
  <si>
    <t>Směs pol.jemná kostky 350g</t>
  </si>
  <si>
    <t>90P13823</t>
  </si>
  <si>
    <t>8595006326732</t>
  </si>
  <si>
    <t>Směs polévková kuř.600g</t>
  </si>
  <si>
    <t>Chips Bohemia špíz 130g</t>
  </si>
  <si>
    <t>11102273</t>
  </si>
  <si>
    <t>5998711388928</t>
  </si>
  <si>
    <t>50104</t>
  </si>
  <si>
    <t>Tuc sýr 100g</t>
  </si>
  <si>
    <t>13101226</t>
  </si>
  <si>
    <t>85938458</t>
  </si>
  <si>
    <t>Nugeta arašídová 42g</t>
  </si>
  <si>
    <t>Mattoni Imuno hruš/záz.0,7</t>
  </si>
  <si>
    <t>39385013</t>
  </si>
  <si>
    <t>85904651</t>
  </si>
  <si>
    <t>20203</t>
  </si>
  <si>
    <t>Filety rybí Varm.remul.200</t>
  </si>
  <si>
    <t>Dez.Monte -30% cukru 150g</t>
  </si>
  <si>
    <t>28962401</t>
  </si>
  <si>
    <t>8594174210164</t>
  </si>
  <si>
    <t>Pol.Ins.Lucka Česnek 60g</t>
  </si>
  <si>
    <t>Pol.Ins.Lucka kuřecí 60g</t>
  </si>
  <si>
    <t>31708345</t>
  </si>
  <si>
    <t>8594003023071</t>
  </si>
  <si>
    <t>Jog.Valaš.ovoc.meruň.150g</t>
  </si>
  <si>
    <t>90864070</t>
  </si>
  <si>
    <t>283031</t>
  </si>
  <si>
    <t>Bochánek madrid</t>
  </si>
  <si>
    <t>45115888</t>
  </si>
  <si>
    <t>8586019830088</t>
  </si>
  <si>
    <t>Kláštorná kalcia jemná 1,5</t>
  </si>
  <si>
    <t>45115901</t>
  </si>
  <si>
    <t>8586019831092</t>
  </si>
  <si>
    <t>Kláštorná kalcia sycen.1,5</t>
  </si>
  <si>
    <t>10102127</t>
  </si>
  <si>
    <t>8593894800075</t>
  </si>
  <si>
    <t>BeBe DR kakao 50g</t>
  </si>
  <si>
    <t>21196245</t>
  </si>
  <si>
    <t>8594001562671</t>
  </si>
  <si>
    <t>Plátek křehký pohanka 70g</t>
  </si>
  <si>
    <t>24171115</t>
  </si>
  <si>
    <t>8594017130154</t>
  </si>
  <si>
    <t>Vločky ovesné jemné 500g</t>
  </si>
  <si>
    <t>27131774</t>
  </si>
  <si>
    <t>8584002220007</t>
  </si>
  <si>
    <t>Kaše rýž.Jemná vanil.50g</t>
  </si>
  <si>
    <t>49385294</t>
  </si>
  <si>
    <t>8594001042470</t>
  </si>
  <si>
    <t>Směs zelen.Čína 350g</t>
  </si>
  <si>
    <t>49385378</t>
  </si>
  <si>
    <t>8594007917376</t>
  </si>
  <si>
    <t>Zelenina pod svíč.prž.350g</t>
  </si>
  <si>
    <t>49P13118</t>
  </si>
  <si>
    <t>8595006313442</t>
  </si>
  <si>
    <t>40302</t>
  </si>
  <si>
    <t>Játra kuřecí VAK 500g</t>
  </si>
  <si>
    <t>Směs polévk.zeleniny 400g</t>
  </si>
  <si>
    <t>C000057</t>
  </si>
  <si>
    <t>287554</t>
  </si>
  <si>
    <t>AGRO Brno - Tuřany, a.s.</t>
  </si>
  <si>
    <t>Tuřanské kysané zelí</t>
  </si>
  <si>
    <t>27131142</t>
  </si>
  <si>
    <t>8595072636322</t>
  </si>
  <si>
    <t>Cukr vanilínový 4+1 100g</t>
  </si>
  <si>
    <t>31219981</t>
  </si>
  <si>
    <t>8595008801282</t>
  </si>
  <si>
    <t>Sýr Gouda pl. 48% 100g</t>
  </si>
  <si>
    <t>31704287</t>
  </si>
  <si>
    <t>8594006322331</t>
  </si>
  <si>
    <t>Mléko Farmářské 3,6% 1l</t>
  </si>
  <si>
    <t>15104115</t>
  </si>
  <si>
    <t>8711000515204</t>
  </si>
  <si>
    <t>Káva Aroma standard 250g</t>
  </si>
  <si>
    <t>59C45841</t>
  </si>
  <si>
    <t>85916142</t>
  </si>
  <si>
    <t>Cig.Camel Black 83mm 162Kč</t>
  </si>
  <si>
    <t>21196246</t>
  </si>
  <si>
    <t>8595564506591</t>
  </si>
  <si>
    <t>Plátek křehký graham 70g</t>
  </si>
  <si>
    <t>31691009</t>
  </si>
  <si>
    <t>8595002110298</t>
  </si>
  <si>
    <t>Jog.Fantasia jahoda 118g</t>
  </si>
  <si>
    <t>39D50960</t>
  </si>
  <si>
    <t>8595232403047</t>
  </si>
  <si>
    <t>Závitek křenový 140g</t>
  </si>
  <si>
    <t>43765736</t>
  </si>
  <si>
    <t>8588000289455</t>
  </si>
  <si>
    <t>BALTAXIA a.s.</t>
  </si>
  <si>
    <t>Šproty Balt./tomato 240g</t>
  </si>
  <si>
    <t>90979100</t>
  </si>
  <si>
    <t>283351</t>
  </si>
  <si>
    <t>Cigáro Bítešské</t>
  </si>
  <si>
    <t>12132230</t>
  </si>
  <si>
    <t>40084107</t>
  </si>
  <si>
    <t>Kinder Surpr.chlap.T36 20g</t>
  </si>
  <si>
    <t>14120205</t>
  </si>
  <si>
    <t>50173471</t>
  </si>
  <si>
    <t>Orbit Apple dražé 14g</t>
  </si>
  <si>
    <t>49110010</t>
  </si>
  <si>
    <t>8711327485846</t>
  </si>
  <si>
    <t>Algida X pop 50ml</t>
  </si>
  <si>
    <t>59C45820</t>
  </si>
  <si>
    <t>8595701559350</t>
  </si>
  <si>
    <t>Cig.Marlb.Craft.Red100161K</t>
  </si>
  <si>
    <t>40234651</t>
  </si>
  <si>
    <t>8594044446822</t>
  </si>
  <si>
    <t>Paštika drůbež.maso AL 120</t>
  </si>
  <si>
    <t>53871555</t>
  </si>
  <si>
    <t>8594009922408</t>
  </si>
  <si>
    <t>Krušovice Králov.12 P 0,5l</t>
  </si>
  <si>
    <t>35112273</t>
  </si>
  <si>
    <t>8594001694723</t>
  </si>
  <si>
    <t>Paprika červ.řezy TO 340g</t>
  </si>
  <si>
    <t>38214145</t>
  </si>
  <si>
    <t>8595008100866</t>
  </si>
  <si>
    <t>Komp.Švestky cel.TO 660g</t>
  </si>
  <si>
    <t>21707100</t>
  </si>
  <si>
    <t>8594045602876</t>
  </si>
  <si>
    <t>Chléb Brick celoz.sln.375g</t>
  </si>
  <si>
    <t>31723650</t>
  </si>
  <si>
    <t>8594019170264</t>
  </si>
  <si>
    <t>Sýr ČC Balkán 125g</t>
  </si>
  <si>
    <t>43765815</t>
  </si>
  <si>
    <t>8411773204823</t>
  </si>
  <si>
    <t>Tuňák Sun sluneč.olej 80g</t>
  </si>
  <si>
    <t>51478500</t>
  </si>
  <si>
    <t>8594008550145</t>
  </si>
  <si>
    <t>Modrý Portugal HS Č 0,75l</t>
  </si>
  <si>
    <t>Toma Multifruit PET 1l</t>
  </si>
  <si>
    <t>56A07060</t>
  </si>
  <si>
    <t>5201314153559</t>
  </si>
  <si>
    <t>Sarantis Czech Republic, s.r.o.</t>
  </si>
  <si>
    <t>Deo STR8 Red Code 150ml</t>
  </si>
  <si>
    <t>10153050</t>
  </si>
  <si>
    <t>5903890498245</t>
  </si>
  <si>
    <t>Cookies hoř./mléč.čok.150g</t>
  </si>
  <si>
    <t>57134093</t>
  </si>
  <si>
    <t>5901478001313</t>
  </si>
  <si>
    <t>80500</t>
  </si>
  <si>
    <t>Kapes.Velv.Balsam 4vr.6+2k</t>
  </si>
  <si>
    <t>10951060</t>
  </si>
  <si>
    <t>8592794023034</t>
  </si>
  <si>
    <t>Bábovka ČC selská 300g</t>
  </si>
  <si>
    <t>31141337</t>
  </si>
  <si>
    <t>8594003022258</t>
  </si>
  <si>
    <t>Jog.Valaš.sm.jah/van.150g</t>
  </si>
  <si>
    <t>31220385</t>
  </si>
  <si>
    <t>8593803441160</t>
  </si>
  <si>
    <t>Pomaz.JČ bez příchuti 150g</t>
  </si>
  <si>
    <t>33B25832</t>
  </si>
  <si>
    <t>8719200265127</t>
  </si>
  <si>
    <t>Rama máslová příchuť 400g</t>
  </si>
  <si>
    <t>45170326</t>
  </si>
  <si>
    <t>8594008040202</t>
  </si>
  <si>
    <t>Pepsi PET 2,25l</t>
  </si>
  <si>
    <t>53121934</t>
  </si>
  <si>
    <t>85983090</t>
  </si>
  <si>
    <t>Frisco C Jah.Mojito 0,33l</t>
  </si>
  <si>
    <t>53121935</t>
  </si>
  <si>
    <t>85980525</t>
  </si>
  <si>
    <t>Frisco Les.ovoce S 12x0,33</t>
  </si>
  <si>
    <t>Káva Jihl.Staročeská s.70g</t>
  </si>
  <si>
    <t>10104117</t>
  </si>
  <si>
    <t>7622210268914</t>
  </si>
  <si>
    <t>Milka Bis.cake/choc 35g</t>
  </si>
  <si>
    <t>14768672</t>
  </si>
  <si>
    <t>8594044245722</t>
  </si>
  <si>
    <t>Pásky kys.Pedro jahoda 80g</t>
  </si>
  <si>
    <t>10951230</t>
  </si>
  <si>
    <t>8592794050023</t>
  </si>
  <si>
    <t>Kostky punčové 270g</t>
  </si>
  <si>
    <t>12132175</t>
  </si>
  <si>
    <t>80761761</t>
  </si>
  <si>
    <t>Kinder Bueno T2 bílé 39g</t>
  </si>
  <si>
    <t>31122471</t>
  </si>
  <si>
    <t>8594006844963</t>
  </si>
  <si>
    <t>Pikao drink 330ml</t>
  </si>
  <si>
    <t>Snack Monte White 29g</t>
  </si>
  <si>
    <t>45116274</t>
  </si>
  <si>
    <t>8594001028757</t>
  </si>
  <si>
    <t>Magnesia Red brusinka 1,5l</t>
  </si>
  <si>
    <t>48115503</t>
  </si>
  <si>
    <t>8586011332757</t>
  </si>
  <si>
    <t>Náp.En.Semtex orig.P 0,5l</t>
  </si>
  <si>
    <t>48170050</t>
  </si>
  <si>
    <t>8595723300879</t>
  </si>
  <si>
    <t>Guarana Classic P 0,5l</t>
  </si>
  <si>
    <t>59C45878</t>
  </si>
  <si>
    <t>85916159</t>
  </si>
  <si>
    <t>Cig.Camel White 83mm 162Kč</t>
  </si>
  <si>
    <t>90979474</t>
  </si>
  <si>
    <t>8594017360438</t>
  </si>
  <si>
    <t>Pomaz.Bítešská/česnek 100g</t>
  </si>
  <si>
    <t>14153146</t>
  </si>
  <si>
    <t>8594071720278</t>
  </si>
  <si>
    <t>Karamely Krowka mléč.100g</t>
  </si>
  <si>
    <t>14153149</t>
  </si>
  <si>
    <t>8594071720322</t>
  </si>
  <si>
    <t>Karamely Krowka sl.kar.100</t>
  </si>
  <si>
    <t>18424113</t>
  </si>
  <si>
    <t>8594024711827</t>
  </si>
  <si>
    <t>TEEKANNE S.R.O</t>
  </si>
  <si>
    <t>Čaj Teek.Žaludek/střev.20g</t>
  </si>
  <si>
    <t>31697528</t>
  </si>
  <si>
    <t>8593807204716</t>
  </si>
  <si>
    <t>Mléko selské 3,9% PET 1l</t>
  </si>
  <si>
    <t>38214105</t>
  </si>
  <si>
    <t>8595008100354</t>
  </si>
  <si>
    <t>Komp.Borůvky TO370 350g</t>
  </si>
  <si>
    <t>53121163</t>
  </si>
  <si>
    <t>8594404027739</t>
  </si>
  <si>
    <t>Pivo Kozel Velk.12 P 0,5l</t>
  </si>
  <si>
    <t>90979492</t>
  </si>
  <si>
    <t>284012</t>
  </si>
  <si>
    <t>30301</t>
  </si>
  <si>
    <t>Roláda sýrová</t>
  </si>
  <si>
    <t>59C45833</t>
  </si>
  <si>
    <t>8595701559527</t>
  </si>
  <si>
    <t>Sparta by RGD Cl.KS 171Kč</t>
  </si>
  <si>
    <t>11984100</t>
  </si>
  <si>
    <t>8586012827450</t>
  </si>
  <si>
    <t>Arašídy praž.sůl Ensa 100g</t>
  </si>
  <si>
    <t>51260192</t>
  </si>
  <si>
    <t>8595618600152</t>
  </si>
  <si>
    <t>Svatov.pol.ET JAK Č 0,75l</t>
  </si>
  <si>
    <t>40990115</t>
  </si>
  <si>
    <t>8594044447225</t>
  </si>
  <si>
    <t>Tousty pekelníkovy AL 120g</t>
  </si>
  <si>
    <t>31550455</t>
  </si>
  <si>
    <t>8594007641394</t>
  </si>
  <si>
    <t>Sýr Eidam 30% bloček 200g</t>
  </si>
  <si>
    <t>Opl.Leo karam./čoko.100g</t>
  </si>
  <si>
    <t>25962651</t>
  </si>
  <si>
    <t>8594174210188</t>
  </si>
  <si>
    <t>Nudle inst.pšen.Lucka 300g</t>
  </si>
  <si>
    <t>45116336</t>
  </si>
  <si>
    <t>8595723200551</t>
  </si>
  <si>
    <t>Mattoni Imuno mang/pom.0,7</t>
  </si>
  <si>
    <t>66220109</t>
  </si>
  <si>
    <t>283672</t>
  </si>
  <si>
    <t>Sýr Eidam 45% cihla</t>
  </si>
  <si>
    <t>38214152</t>
  </si>
  <si>
    <t>8595008100668</t>
  </si>
  <si>
    <t>Komp.Třešně TO720 700g</t>
  </si>
  <si>
    <t>25962300</t>
  </si>
  <si>
    <t>8934746052158</t>
  </si>
  <si>
    <t>Nudle Rýž.3mm Lucka 240g</t>
  </si>
  <si>
    <t>25984451</t>
  </si>
  <si>
    <t>8586021967710</t>
  </si>
  <si>
    <t>Mák ČC mletý 200g</t>
  </si>
  <si>
    <t>31703621</t>
  </si>
  <si>
    <t>3073781226546</t>
  </si>
  <si>
    <t>Sýr Smet.High protein 150g</t>
  </si>
  <si>
    <t>14768668</t>
  </si>
  <si>
    <t>8594044245708</t>
  </si>
  <si>
    <t>Pendreky Pedro broskev 80g</t>
  </si>
  <si>
    <t>45170919</t>
  </si>
  <si>
    <t>8595723301807</t>
  </si>
  <si>
    <t>Pepsi Maliny PET 0,5l</t>
  </si>
  <si>
    <t>53871955</t>
  </si>
  <si>
    <t>8591036551687</t>
  </si>
  <si>
    <t>Pivo Zlatopr.sv.lež.PET 1,</t>
  </si>
  <si>
    <t>10103160</t>
  </si>
  <si>
    <t>8584004025167</t>
  </si>
  <si>
    <t>Opl.Lina lískooř.kak.p.50g</t>
  </si>
  <si>
    <t>31721619</t>
  </si>
  <si>
    <t>8594005858206</t>
  </si>
  <si>
    <t>Sýr Gyros bílý koření 125g</t>
  </si>
  <si>
    <t>Koř.Paprika uzená mletá 20</t>
  </si>
  <si>
    <t>22151188</t>
  </si>
  <si>
    <t>8595012035307</t>
  </si>
  <si>
    <t>Koř.Avo.Paprika slad.25g</t>
  </si>
  <si>
    <t>31710421</t>
  </si>
  <si>
    <t>8594003965210</t>
  </si>
  <si>
    <t>Jog.Bedřich smet.borův.150</t>
  </si>
  <si>
    <t>C000262</t>
  </si>
  <si>
    <t>9771802056984</t>
  </si>
  <si>
    <t>Deník křížovky speciál</t>
  </si>
  <si>
    <t>C000005</t>
  </si>
  <si>
    <t>284005</t>
  </si>
  <si>
    <t>Budapešťská pomazánka</t>
  </si>
  <si>
    <t>10150141</t>
  </si>
  <si>
    <t>8594033192082</t>
  </si>
  <si>
    <t>Piškoty Marila 240g</t>
  </si>
  <si>
    <t>49385010</t>
  </si>
  <si>
    <t>8594007918250</t>
  </si>
  <si>
    <t>Brambory Amer.slup.750g</t>
  </si>
  <si>
    <t>90979995</t>
  </si>
  <si>
    <t>8595599007056</t>
  </si>
  <si>
    <t>Výpeč.vepř./špen./br.k.500</t>
  </si>
  <si>
    <t>C000103</t>
  </si>
  <si>
    <t>9771214635005</t>
  </si>
  <si>
    <t>803</t>
  </si>
  <si>
    <t>Blesk pro ženy</t>
  </si>
  <si>
    <t>31705381</t>
  </si>
  <si>
    <t>8594003219160</t>
  </si>
  <si>
    <t>Jog.Choc.smet.Max bílý 330</t>
  </si>
  <si>
    <t>90933826</t>
  </si>
  <si>
    <t>283040</t>
  </si>
  <si>
    <t>Slanina uzená BKU</t>
  </si>
  <si>
    <t>27131258</t>
  </si>
  <si>
    <t>8595072630290</t>
  </si>
  <si>
    <t>Kaše ovesná čokoláda 58g</t>
  </si>
  <si>
    <t>31141336</t>
  </si>
  <si>
    <t>8594003022777</t>
  </si>
  <si>
    <t>Jog.Valaš.sm.jahoda 150g</t>
  </si>
  <si>
    <t>53725581</t>
  </si>
  <si>
    <t>8594018930074</t>
  </si>
  <si>
    <t>Pivo Rychtář Gr.11 P 0,5l</t>
  </si>
  <si>
    <t>14101245</t>
  </si>
  <si>
    <t>8593893306226</t>
  </si>
  <si>
    <t>Hašlerky extra silné 90g</t>
  </si>
  <si>
    <t>Náp.Hell Classic P 250ml</t>
  </si>
  <si>
    <t>33C54802</t>
  </si>
  <si>
    <t>8594033962647</t>
  </si>
  <si>
    <t>AVENA s.r.o.</t>
  </si>
  <si>
    <t>51203</t>
  </si>
  <si>
    <t>Olej Apetol řepkov.másl.1l</t>
  </si>
  <si>
    <t>53121263</t>
  </si>
  <si>
    <t>8594404026350</t>
  </si>
  <si>
    <t>Pivo Birel.Pomel./grep 0,5</t>
  </si>
  <si>
    <t>90739880</t>
  </si>
  <si>
    <t>8594026123680</t>
  </si>
  <si>
    <t>Pečeně debrecínská shv.100</t>
  </si>
  <si>
    <t>31793855</t>
  </si>
  <si>
    <t>8594033400026</t>
  </si>
  <si>
    <t>Tvaroh měkký vak.250g</t>
  </si>
  <si>
    <t>90D49050</t>
  </si>
  <si>
    <t>Chléb Jeníkov NB 1,18kg</t>
  </si>
  <si>
    <t>13113800</t>
  </si>
  <si>
    <t>3850104267116</t>
  </si>
  <si>
    <t>Pomaz.Lino Lada Duo 350g</t>
  </si>
  <si>
    <t>58284137</t>
  </si>
  <si>
    <t>8595025813015</t>
  </si>
  <si>
    <t>TOMIL s.r.o.</t>
  </si>
  <si>
    <t>Aviváž Wans.Felic.konc.1l</t>
  </si>
  <si>
    <t>45116535</t>
  </si>
  <si>
    <t>8594001027286</t>
  </si>
  <si>
    <t>Mattoni Esence citron 1,5l</t>
  </si>
  <si>
    <t>31721591</t>
  </si>
  <si>
    <t>283667</t>
  </si>
  <si>
    <t>Sýr Eidam blok 30%</t>
  </si>
  <si>
    <t>24113247</t>
  </si>
  <si>
    <t>8594004497215</t>
  </si>
  <si>
    <t>Rýže ČC loupaná VS 4x120g</t>
  </si>
  <si>
    <t>35235137</t>
  </si>
  <si>
    <t>8594004560841</t>
  </si>
  <si>
    <t>Rapa s.r.o.</t>
  </si>
  <si>
    <t>Okurky řezy Bzen.TO720 680</t>
  </si>
  <si>
    <t>53259435</t>
  </si>
  <si>
    <t>8586000138315</t>
  </si>
  <si>
    <t>Meruňka ČC 30% 0,5l</t>
  </si>
  <si>
    <t>90125160</t>
  </si>
  <si>
    <t>8590077925471</t>
  </si>
  <si>
    <t>Hamburger syp.sezam.4x50g</t>
  </si>
  <si>
    <t>44101909</t>
  </si>
  <si>
    <t>7613039757932</t>
  </si>
  <si>
    <t>Felix kap.FD ku./ho/kr.340</t>
  </si>
  <si>
    <t>11309873</t>
  </si>
  <si>
    <t>8595606209411</t>
  </si>
  <si>
    <t>Popcorn Chio šunka/sýr 75g</t>
  </si>
  <si>
    <t>57278251</t>
  </si>
  <si>
    <t>8594008878348</t>
  </si>
  <si>
    <t>Ubr.vlh.Lint.Sat/anti.40ks</t>
  </si>
  <si>
    <t>57285961</t>
  </si>
  <si>
    <t>5900516711191</t>
  </si>
  <si>
    <t>TZMO Czech Republic s.r.o.</t>
  </si>
  <si>
    <t>Vlož.Bella Herb.Tilia 12ks</t>
  </si>
  <si>
    <t>14153044</t>
  </si>
  <si>
    <t>8594071720049</t>
  </si>
  <si>
    <t>Bonb.Bubble gum orig.65g</t>
  </si>
  <si>
    <t>14101144</t>
  </si>
  <si>
    <t>8593893309197</t>
  </si>
  <si>
    <t>Bon Pari Lesní směs 90g</t>
  </si>
  <si>
    <t>14120199</t>
  </si>
  <si>
    <t>42070351</t>
  </si>
  <si>
    <t>Orbit Strawberry dražé 14g</t>
  </si>
  <si>
    <t>14120206</t>
  </si>
  <si>
    <t>42123880</t>
  </si>
  <si>
    <t>Orbit Blueberry dražé 14g</t>
  </si>
  <si>
    <t>14120330</t>
  </si>
  <si>
    <t>42113270</t>
  </si>
  <si>
    <t>Orbit Watermelon dražé 14g</t>
  </si>
  <si>
    <t>31220261</t>
  </si>
  <si>
    <t>8595671301003</t>
  </si>
  <si>
    <t>Krupička mléč.kakao 150g</t>
  </si>
  <si>
    <t>90979578</t>
  </si>
  <si>
    <t>8594017361008</t>
  </si>
  <si>
    <t>Salát Pařížský retro 120g</t>
  </si>
  <si>
    <t>27105241</t>
  </si>
  <si>
    <t>8593837231683</t>
  </si>
  <si>
    <t>Prášek do pečiva kypř.13g</t>
  </si>
  <si>
    <t>27131398</t>
  </si>
  <si>
    <t>8595072600484</t>
  </si>
  <si>
    <t>Puding Nat.jahoda 37g</t>
  </si>
  <si>
    <t>31122180</t>
  </si>
  <si>
    <t>8594006844758</t>
  </si>
  <si>
    <t>Kravík jahoda 250ml</t>
  </si>
  <si>
    <t>57278203</t>
  </si>
  <si>
    <t>8594158370891</t>
  </si>
  <si>
    <t>TP vlhč.Lint.dub.k.spl.60k</t>
  </si>
  <si>
    <t>26130785</t>
  </si>
  <si>
    <t>8594008339597</t>
  </si>
  <si>
    <t>Těsto bramborové 400g</t>
  </si>
  <si>
    <t>31710521</t>
  </si>
  <si>
    <t>85924475</t>
  </si>
  <si>
    <t>Sýr Milko žervé paprik.80g</t>
  </si>
  <si>
    <t>14132151</t>
  </si>
  <si>
    <t>80052333</t>
  </si>
  <si>
    <t>Tic Tac Orange 18g</t>
  </si>
  <si>
    <t>90A51083</t>
  </si>
  <si>
    <t>8594015841113</t>
  </si>
  <si>
    <t>Chléb s kmínem 1,2kg</t>
  </si>
  <si>
    <t>11172105</t>
  </si>
  <si>
    <t>8594012320130</t>
  </si>
  <si>
    <t>Tyčinky sýr/sůl/graham 90g</t>
  </si>
  <si>
    <t>31708285</t>
  </si>
  <si>
    <t>8594003020124</t>
  </si>
  <si>
    <t>Jog.Bílý Valašsko 3% 150g</t>
  </si>
  <si>
    <t>19124476</t>
  </si>
  <si>
    <t>8590014839373</t>
  </si>
  <si>
    <t>DV Kaps.Hello XXL jab.200g</t>
  </si>
  <si>
    <t>45115943</t>
  </si>
  <si>
    <t>8595231219472</t>
  </si>
  <si>
    <t>Jupík Aqua citrón PET 0,5l</t>
  </si>
  <si>
    <t>12132171</t>
  </si>
  <si>
    <t>80052760</t>
  </si>
  <si>
    <t>Kinder Bueno T2 43g</t>
  </si>
  <si>
    <t>90979593</t>
  </si>
  <si>
    <t>8594017361022</t>
  </si>
  <si>
    <t>Salát Hermelínový 120g</t>
  </si>
  <si>
    <t>27131442</t>
  </si>
  <si>
    <t>8584002008902</t>
  </si>
  <si>
    <t>Puding karamel přích.41g</t>
  </si>
  <si>
    <t>27131449</t>
  </si>
  <si>
    <t>8584002008933</t>
  </si>
  <si>
    <t>Puding mandle 38g</t>
  </si>
  <si>
    <t>27131482</t>
  </si>
  <si>
    <t>8584002008865</t>
  </si>
  <si>
    <t>Puding vanilka přích.38g</t>
  </si>
  <si>
    <t>24205105</t>
  </si>
  <si>
    <t>8595005013053</t>
  </si>
  <si>
    <t>K+S Czech Republic a.s.</t>
  </si>
  <si>
    <t>Sůl jodidovaná 1kg</t>
  </si>
  <si>
    <t>45116250</t>
  </si>
  <si>
    <t>8594001020225</t>
  </si>
  <si>
    <t>Aquila nep.první voda 1,5l</t>
  </si>
  <si>
    <t>11490152</t>
  </si>
  <si>
    <t>8594021040449</t>
  </si>
  <si>
    <t>Bramb.Cyrilovy česnek 100g</t>
  </si>
  <si>
    <t>14153147</t>
  </si>
  <si>
    <t>8594071720308</t>
  </si>
  <si>
    <t>Karamely Krowka jahod.100g</t>
  </si>
  <si>
    <t>53121213</t>
  </si>
  <si>
    <t>8594404115115</t>
  </si>
  <si>
    <t>Pivo Pilsner Urq.P 0,5l</t>
  </si>
  <si>
    <t>10D10200</t>
  </si>
  <si>
    <t>8594041590474</t>
  </si>
  <si>
    <t>Antonín Zetík</t>
  </si>
  <si>
    <t>Med turecký 30g</t>
  </si>
  <si>
    <t>31710260</t>
  </si>
  <si>
    <t>85959804</t>
  </si>
  <si>
    <t>Jog.Můj Skyr 0% bílý 130g</t>
  </si>
  <si>
    <t>31122113</t>
  </si>
  <si>
    <t>8594006842952</t>
  </si>
  <si>
    <t>Mléko plnotučné 3,5% 1l</t>
  </si>
  <si>
    <t>58283173</t>
  </si>
  <si>
    <t>4015400922407</t>
  </si>
  <si>
    <t>80502</t>
  </si>
  <si>
    <t>Jar Lemon 450ml</t>
  </si>
  <si>
    <t>90162125</t>
  </si>
  <si>
    <t>8592368200267</t>
  </si>
  <si>
    <t>UNITED BAKERIES a.s.</t>
  </si>
  <si>
    <t>Veka Chlebíčková kr.360g</t>
  </si>
  <si>
    <t>11169171</t>
  </si>
  <si>
    <t>8594042910264</t>
  </si>
  <si>
    <t>Chips ČC šunka 70g</t>
  </si>
  <si>
    <t>39979239</t>
  </si>
  <si>
    <t>8595599000804</t>
  </si>
  <si>
    <t>Kuře/sladkokys./j.rýže 500</t>
  </si>
  <si>
    <t>51260113</t>
  </si>
  <si>
    <t>8594011306777</t>
  </si>
  <si>
    <t>Cabernet Sau.ET JAK Č 0,75</t>
  </si>
  <si>
    <t>10103116</t>
  </si>
  <si>
    <t>8584004010507</t>
  </si>
  <si>
    <t>Kávenky Latté 50g</t>
  </si>
  <si>
    <t>Monster En.Mega P 0,553l</t>
  </si>
  <si>
    <t>59C45840</t>
  </si>
  <si>
    <t>8595701559435</t>
  </si>
  <si>
    <t>Cig.Marlb.Gold Or.KS 179Kč</t>
  </si>
  <si>
    <t>14132254</t>
  </si>
  <si>
    <t>80956693</t>
  </si>
  <si>
    <t>Tic Tac Spearmint 18g</t>
  </si>
  <si>
    <t>Kofola original PET 0,5l</t>
  </si>
  <si>
    <t>49385181</t>
  </si>
  <si>
    <t>8594001040018</t>
  </si>
  <si>
    <t>Mrož jahoda/tmavá čok.45ml</t>
  </si>
  <si>
    <t>12101345</t>
  </si>
  <si>
    <t>85933330</t>
  </si>
  <si>
    <t>Deli Oříšková 35g</t>
  </si>
  <si>
    <t>31710745</t>
  </si>
  <si>
    <t>85910621</t>
  </si>
  <si>
    <t>Sýr Milko žervé krém.80g</t>
  </si>
  <si>
    <t>31710990</t>
  </si>
  <si>
    <t>85925533</t>
  </si>
  <si>
    <t>Tvaroh Svač.paprika 140g</t>
  </si>
  <si>
    <t>31711052</t>
  </si>
  <si>
    <t>8594004473448</t>
  </si>
  <si>
    <t>Krém Šumavský paprika 150g</t>
  </si>
  <si>
    <t>39864013</t>
  </si>
  <si>
    <t>8594001785643</t>
  </si>
  <si>
    <t>Salám lovecký krájený 75g</t>
  </si>
  <si>
    <t>40112857</t>
  </si>
  <si>
    <t>8594001694945</t>
  </si>
  <si>
    <t>Pašt.Matěj Al 75g+33%</t>
  </si>
  <si>
    <t>55818251</t>
  </si>
  <si>
    <t>8594017670407</t>
  </si>
  <si>
    <t>KRAB BRNO, s.r.o.</t>
  </si>
  <si>
    <t>80410</t>
  </si>
  <si>
    <t>Svíč.hřb.víčko červená 120</t>
  </si>
  <si>
    <t>31819979</t>
  </si>
  <si>
    <t>8595008806744</t>
  </si>
  <si>
    <t>Zákys smetanový 330ml</t>
  </si>
  <si>
    <t>28105417</t>
  </si>
  <si>
    <t>8593837243976</t>
  </si>
  <si>
    <t>Pol.Ins.DHR Brokolico.21g</t>
  </si>
  <si>
    <t>28105424</t>
  </si>
  <si>
    <t>8593837243983</t>
  </si>
  <si>
    <t>Pol.Ins.DHR Hrášková 27g</t>
  </si>
  <si>
    <t>28105425</t>
  </si>
  <si>
    <t>8593837244010</t>
  </si>
  <si>
    <t>Pol.Ins.DHR Kuřecí 14g</t>
  </si>
  <si>
    <t>45116282</t>
  </si>
  <si>
    <t>8594001021734</t>
  </si>
  <si>
    <t>Magnesia jemně perl.1,5l</t>
  </si>
  <si>
    <t>49385163</t>
  </si>
  <si>
    <t>8594001041176</t>
  </si>
  <si>
    <t>Dort polá.Vanilkový 615ml</t>
  </si>
  <si>
    <t>11170381</t>
  </si>
  <si>
    <t>5900259128409</t>
  </si>
  <si>
    <t>Chips Lays Sýr/paž.130g</t>
  </si>
  <si>
    <t>45115183</t>
  </si>
  <si>
    <t>8595231219250</t>
  </si>
  <si>
    <t>Kofola Original PET 1l</t>
  </si>
  <si>
    <t>10951398</t>
  </si>
  <si>
    <t>8592794015688</t>
  </si>
  <si>
    <t>Perník ČC Lvíček jahůd.60g</t>
  </si>
  <si>
    <t>18109222</t>
  </si>
  <si>
    <t>8594004170798</t>
  </si>
  <si>
    <t>Čaj Rakytník/pomeranč 30g</t>
  </si>
  <si>
    <t>24130138</t>
  </si>
  <si>
    <t>8594008334172</t>
  </si>
  <si>
    <t>Hrách žlutý půlený 500g</t>
  </si>
  <si>
    <t>25193686</t>
  </si>
  <si>
    <t>3038359007408</t>
  </si>
  <si>
    <t>Těst.Panz.Makarony DR 500g</t>
  </si>
  <si>
    <t>Sýr Šum.Eidam 30% str.100g</t>
  </si>
  <si>
    <t>90979586</t>
  </si>
  <si>
    <t>8594017365778</t>
  </si>
  <si>
    <t>Salát/celer/ananas 120g</t>
  </si>
  <si>
    <t>52138164</t>
  </si>
  <si>
    <t>8595004650945</t>
  </si>
  <si>
    <t>Moscato Rosé 0,75l</t>
  </si>
  <si>
    <t>52293101</t>
  </si>
  <si>
    <t>8594044830102</t>
  </si>
  <si>
    <t>Avanti Classico 0,75l</t>
  </si>
  <si>
    <t>14177214</t>
  </si>
  <si>
    <t>87311396</t>
  </si>
  <si>
    <t>Mentos Rainbow 37,5g</t>
  </si>
  <si>
    <t>45245141</t>
  </si>
  <si>
    <t>8594001346011</t>
  </si>
  <si>
    <t>Olé Cola 2l</t>
  </si>
  <si>
    <t>Mléko Kefír.Višeň 450g</t>
  </si>
  <si>
    <t>39D47820</t>
  </si>
  <si>
    <t>8595599001238</t>
  </si>
  <si>
    <t>Sýr smaž./bramb./tatar.1ks</t>
  </si>
  <si>
    <t>45118158</t>
  </si>
  <si>
    <t>8594001400621</t>
  </si>
  <si>
    <t>Dobrá V.Pomeranč JP 1,5l</t>
  </si>
  <si>
    <t>Pašt.Mandlová TO 200g</t>
  </si>
  <si>
    <t>45116362</t>
  </si>
  <si>
    <t>8594001021529</t>
  </si>
  <si>
    <t>Mattoni citron 1,5l</t>
  </si>
  <si>
    <t>10951353</t>
  </si>
  <si>
    <t>8592794012809</t>
  </si>
  <si>
    <t>Perník na strouhání 50g</t>
  </si>
  <si>
    <t>15107500</t>
  </si>
  <si>
    <t>4046234767636</t>
  </si>
  <si>
    <t>Káva Ins.Gold Sel.200g</t>
  </si>
  <si>
    <t>44858160</t>
  </si>
  <si>
    <t>8594014721010</t>
  </si>
  <si>
    <t>Prop.GP Malá plemena 1kg</t>
  </si>
  <si>
    <t>44918600</t>
  </si>
  <si>
    <t>8595606400610</t>
  </si>
  <si>
    <t>Kaps.ČC hovězí/krůt.4x100g</t>
  </si>
  <si>
    <t>49385012</t>
  </si>
  <si>
    <t>8594007912630</t>
  </si>
  <si>
    <t>Brambory Amer./koř.750g</t>
  </si>
  <si>
    <t>59C45856</t>
  </si>
  <si>
    <t>85968172</t>
  </si>
  <si>
    <t>Cig.Rothm.OL KS Blue 161Kč</t>
  </si>
  <si>
    <t>11169169</t>
  </si>
  <si>
    <t>8594042910257</t>
  </si>
  <si>
    <t>Chips ČC paprika 70g</t>
  </si>
  <si>
    <t>11170916</t>
  </si>
  <si>
    <t>5900259094704</t>
  </si>
  <si>
    <t>Lupínky Doritos sýr 100g</t>
  </si>
  <si>
    <t>Těst.Panz.Špagety DR 500g</t>
  </si>
  <si>
    <t>53121718</t>
  </si>
  <si>
    <t>8594404012674</t>
  </si>
  <si>
    <t>Pivo Radeg.Rázn.10° S 0,5l</t>
  </si>
  <si>
    <t>10132250</t>
  </si>
  <si>
    <t>8000500434123</t>
  </si>
  <si>
    <t>Kinder Crispy 34g</t>
  </si>
  <si>
    <t>Tyč.Lina choco/nuts 50g</t>
  </si>
  <si>
    <t>Mysli tyč.BA! 5 fruits 40g</t>
  </si>
  <si>
    <t>Mysli tyč.BA! banán 40g</t>
  </si>
  <si>
    <t>21171235</t>
  </si>
  <si>
    <t>8595229909750</t>
  </si>
  <si>
    <t>Tyč.Ořechy/med 35g</t>
  </si>
  <si>
    <t>21468151</t>
  </si>
  <si>
    <t>4011800546519</t>
  </si>
  <si>
    <t>HERO CZECH s.r.o.</t>
  </si>
  <si>
    <t>Corny Big čokoláda 50g</t>
  </si>
  <si>
    <t>21468171</t>
  </si>
  <si>
    <t>4011800547516</t>
  </si>
  <si>
    <t>Corny Big oříšek 50g</t>
  </si>
  <si>
    <t>31699414</t>
  </si>
  <si>
    <t>8594008271088</t>
  </si>
  <si>
    <t>Sýr Lučina Jar.pažit.120g</t>
  </si>
  <si>
    <t>31699520</t>
  </si>
  <si>
    <t>8594008276694</t>
  </si>
  <si>
    <t>Sýr Lučina nadch.byl.140g</t>
  </si>
  <si>
    <t>C000048</t>
  </si>
  <si>
    <t>Chléb Zábrdovický 1/2</t>
  </si>
  <si>
    <t>11160222</t>
  </si>
  <si>
    <t>8594007535525</t>
  </si>
  <si>
    <t>ALIKA a.s.</t>
  </si>
  <si>
    <t>Tyč.ČC solené 100g</t>
  </si>
  <si>
    <t>56283830</t>
  </si>
  <si>
    <t>8850006330449</t>
  </si>
  <si>
    <t>ZK Colgate Prem.střed.1ks</t>
  </si>
  <si>
    <t>48252080</t>
  </si>
  <si>
    <t>8594033174859</t>
  </si>
  <si>
    <t>Big Shock s.r.o.</t>
  </si>
  <si>
    <t>Nápoj En.Shock Apple 0,5l</t>
  </si>
  <si>
    <t>10103101</t>
  </si>
  <si>
    <t>8584004040108</t>
  </si>
  <si>
    <t>Horalky 50g</t>
  </si>
  <si>
    <t>38468313</t>
  </si>
  <si>
    <t>4011800136413</t>
  </si>
  <si>
    <t>Džem Schw.Ex.jahoda 340g</t>
  </si>
  <si>
    <t>11178860</t>
  </si>
  <si>
    <t>3800203050683</t>
  </si>
  <si>
    <t>Popcorn do MWT sůl 100g</t>
  </si>
  <si>
    <t>Popcorn Cinema time sýr.90</t>
  </si>
  <si>
    <t>49385115</t>
  </si>
  <si>
    <t>5709342447980</t>
  </si>
  <si>
    <t>Surimi tyčinky 250g</t>
  </si>
  <si>
    <t>49385152</t>
  </si>
  <si>
    <t>8594001041671</t>
  </si>
  <si>
    <t>Lusky fazolové řez.350g</t>
  </si>
  <si>
    <t>31584655</t>
  </si>
  <si>
    <t>8595021604983</t>
  </si>
  <si>
    <t>Sýr Président Šunka 150g</t>
  </si>
  <si>
    <t>Chléb Jeníkov 1/2</t>
  </si>
  <si>
    <t>45115856</t>
  </si>
  <si>
    <t>8595231213951</t>
  </si>
  <si>
    <t>Top Topic malina 1,5l</t>
  </si>
  <si>
    <t>28922687</t>
  </si>
  <si>
    <t>8935311171045</t>
  </si>
  <si>
    <t>Pol.Ins.Vifon zelenina 60g</t>
  </si>
  <si>
    <t>31550380</t>
  </si>
  <si>
    <t>8594007641042</t>
  </si>
  <si>
    <t>Sýr ČC Eidam pl.30% 100g</t>
  </si>
  <si>
    <t>53725258</t>
  </si>
  <si>
    <t>85918214</t>
  </si>
  <si>
    <t>Pivo Ježek sv.lež.11 S 0,5</t>
  </si>
  <si>
    <t>C000255</t>
  </si>
  <si>
    <t>9771212740015</t>
  </si>
  <si>
    <t xml:space="preserve">Jihlavské listy-pátek </t>
  </si>
  <si>
    <t>11309161</t>
  </si>
  <si>
    <t>8595606210011</t>
  </si>
  <si>
    <t>Chips Bohemia solené 130g</t>
  </si>
  <si>
    <t>11984830</t>
  </si>
  <si>
    <t>8586015878183</t>
  </si>
  <si>
    <t>Višně hořká čokoláda 80g</t>
  </si>
  <si>
    <t>PEZ Štangličky ovocné 8,5g</t>
  </si>
  <si>
    <t>53121267</t>
  </si>
  <si>
    <t>8594404026503</t>
  </si>
  <si>
    <t>Pivo Birell viš./ostr.0,5l</t>
  </si>
  <si>
    <t>53121274</t>
  </si>
  <si>
    <t>8594404026763</t>
  </si>
  <si>
    <t>Birell Vital.Marakuja 0,5l</t>
  </si>
  <si>
    <t>11170147</t>
  </si>
  <si>
    <t>5900259113948</t>
  </si>
  <si>
    <t>Chips Lays Cheese přích.60</t>
  </si>
  <si>
    <t>45115939</t>
  </si>
  <si>
    <t>8595231219373</t>
  </si>
  <si>
    <t>Jupík Aqua jahoda PET 0,5l</t>
  </si>
  <si>
    <t>49385972</t>
  </si>
  <si>
    <t>8595692200002</t>
  </si>
  <si>
    <t>Pegas Premium Almond 100ml</t>
  </si>
  <si>
    <t>90979180</t>
  </si>
  <si>
    <t>283368</t>
  </si>
  <si>
    <t>Kabanos</t>
  </si>
  <si>
    <t>31697955</t>
  </si>
  <si>
    <t>8593807210502</t>
  </si>
  <si>
    <t>BIO Mléko čers.3,5% PET 1l</t>
  </si>
  <si>
    <t>18109971</t>
  </si>
  <si>
    <t>8594004171733</t>
  </si>
  <si>
    <t>Čaj Zázvor/pomeranč 30g</t>
  </si>
  <si>
    <t>Řepa červ.vař./loup.500g</t>
  </si>
  <si>
    <t>53121243</t>
  </si>
  <si>
    <t>8594404001302</t>
  </si>
  <si>
    <t>Pivo Birell světlé S 0,5l</t>
  </si>
  <si>
    <t>43236870</t>
  </si>
  <si>
    <t>8594012793910</t>
  </si>
  <si>
    <t>Sleď filety/rajče Gia.170g</t>
  </si>
  <si>
    <t>90162380</t>
  </si>
  <si>
    <t>8592368312069</t>
  </si>
  <si>
    <t>Buchty 50% nápl.mák 360g</t>
  </si>
  <si>
    <t>28110907</t>
  </si>
  <si>
    <t>8720182884992</t>
  </si>
  <si>
    <t>Snack Těst.boloň.om.60g</t>
  </si>
  <si>
    <t>59C45860</t>
  </si>
  <si>
    <t>85967977</t>
  </si>
  <si>
    <t>Cig.HB Classic KS 161Kč</t>
  </si>
  <si>
    <t>25A49500</t>
  </si>
  <si>
    <t>8586001080408</t>
  </si>
  <si>
    <t>Strouhanka Mlýn 500g</t>
  </si>
  <si>
    <t>11169202</t>
  </si>
  <si>
    <t>8594042911391</t>
  </si>
  <si>
    <t>Křupky ČC arašídové 70g</t>
  </si>
  <si>
    <t>39979500</t>
  </si>
  <si>
    <t>8594017363064</t>
  </si>
  <si>
    <t>Pašt.Slámova TO 200g</t>
  </si>
  <si>
    <t>22105033</t>
  </si>
  <si>
    <t>8593837256006</t>
  </si>
  <si>
    <t>Koř.Hřebíček celý 18g</t>
  </si>
  <si>
    <t>43240213</t>
  </si>
  <si>
    <t>85912922</t>
  </si>
  <si>
    <t>NEKTON - Vrňata, s.r.o.</t>
  </si>
  <si>
    <t>Sard.Jadran/vl.štáva 125g</t>
  </si>
  <si>
    <t>53121126</t>
  </si>
  <si>
    <t>8594404008639</t>
  </si>
  <si>
    <t>Pivo Gambrinus 10° S 0,5l</t>
  </si>
  <si>
    <t>58C80200</t>
  </si>
  <si>
    <t>8594024341413</t>
  </si>
  <si>
    <t>Mýdlo ČC tekuté 500ml</t>
  </si>
  <si>
    <t>53126345</t>
  </si>
  <si>
    <t>8594005010550</t>
  </si>
  <si>
    <t>STOCK Plzeň-Božkov s.r.o.</t>
  </si>
  <si>
    <t>Vodka Božkov 37,5% 0,2l</t>
  </si>
  <si>
    <t>31780529</t>
  </si>
  <si>
    <t>8592206673383</t>
  </si>
  <si>
    <t>Mléko čerstvé plno.S 750ml</t>
  </si>
  <si>
    <t>43236923</t>
  </si>
  <si>
    <t>8595241504667</t>
  </si>
  <si>
    <t>Tuňák drc./vl.šť.Gia.170g</t>
  </si>
  <si>
    <t>27131349</t>
  </si>
  <si>
    <t>8595072600057</t>
  </si>
  <si>
    <t>Prášek kypř.do pečiva 12g</t>
  </si>
  <si>
    <t>31697325</t>
  </si>
  <si>
    <t>8593807567248</t>
  </si>
  <si>
    <t>Jog.Florian chocob.8% 150g</t>
  </si>
  <si>
    <t>47124190</t>
  </si>
  <si>
    <t>8590014818538</t>
  </si>
  <si>
    <t>Džus ČC Jablko TPP 100% 1l</t>
  </si>
  <si>
    <t>50267056</t>
  </si>
  <si>
    <t>8594015330037</t>
  </si>
  <si>
    <t>Igristoe-trading CZ, s.r.o.</t>
  </si>
  <si>
    <t>Chardonnay Promenáda 0,75l</t>
  </si>
  <si>
    <t>C000063</t>
  </si>
  <si>
    <t>9771210116058</t>
  </si>
  <si>
    <t>MF Dnes Vysočina</t>
  </si>
  <si>
    <t>12101414</t>
  </si>
  <si>
    <t>85920897</t>
  </si>
  <si>
    <t>Kaštany 45g</t>
  </si>
  <si>
    <t>31708280</t>
  </si>
  <si>
    <t>8594003022975</t>
  </si>
  <si>
    <t>Jog.Bílý Valašsko 380g</t>
  </si>
  <si>
    <t>39D47800</t>
  </si>
  <si>
    <t>8595599016539</t>
  </si>
  <si>
    <t>Řízek kuř.smaž./bramb.1ks</t>
  </si>
  <si>
    <t>53121324</t>
  </si>
  <si>
    <t>8594404008080</t>
  </si>
  <si>
    <t>Pivo Kozel světlý P 6x0,5l</t>
  </si>
  <si>
    <t>12101401</t>
  </si>
  <si>
    <t>7613287757043</t>
  </si>
  <si>
    <t>Lion Čokoláda 42g</t>
  </si>
  <si>
    <t>50588178</t>
  </si>
  <si>
    <t>8594031257097</t>
  </si>
  <si>
    <t>Chardonnay polos.B 1l</t>
  </si>
  <si>
    <t>21196132</t>
  </si>
  <si>
    <t>8594001566754</t>
  </si>
  <si>
    <t>Chlebíček Act.rýž/sój.120g</t>
  </si>
  <si>
    <t>39979460</t>
  </si>
  <si>
    <t>8594017364580</t>
  </si>
  <si>
    <t>Pašt.Med.čes.hrubá TO 200g</t>
  </si>
  <si>
    <t>Pivo Březňák světlý PET 2l</t>
  </si>
  <si>
    <t>25146381</t>
  </si>
  <si>
    <t>8594002270940</t>
  </si>
  <si>
    <t>Těst.ČC Vřetena bezv.400g</t>
  </si>
  <si>
    <t>45116486</t>
  </si>
  <si>
    <t>8594001021536</t>
  </si>
  <si>
    <t>Mattoni pomeranč 1,5l</t>
  </si>
  <si>
    <t>31C10802</t>
  </si>
  <si>
    <t>8594198800082</t>
  </si>
  <si>
    <t>Gornicky, s.r.o.</t>
  </si>
  <si>
    <t>Provázky sýr.česnek 100g</t>
  </si>
  <si>
    <t>10D10100</t>
  </si>
  <si>
    <t>8594041593110</t>
  </si>
  <si>
    <t>Banánek linecký 50g</t>
  </si>
  <si>
    <t>Dez.Laguna Moř.pl.mléč.50g</t>
  </si>
  <si>
    <t>14177912</t>
  </si>
  <si>
    <t>80823476</t>
  </si>
  <si>
    <t>Žvýk.ChCh BB Painter 27,6g</t>
  </si>
  <si>
    <t>45118176</t>
  </si>
  <si>
    <t>8594001406012</t>
  </si>
  <si>
    <t>Dobrá V.Malina nep.1,5l</t>
  </si>
  <si>
    <t>45170430</t>
  </si>
  <si>
    <t>8594008040554</t>
  </si>
  <si>
    <t>Pepsi bez kalorií PET 0,5l</t>
  </si>
  <si>
    <t>45115938</t>
  </si>
  <si>
    <t>8595231219397</t>
  </si>
  <si>
    <t>Jupík Aqua jablko PET 0,5l</t>
  </si>
  <si>
    <t>10103706</t>
  </si>
  <si>
    <t>8584004113857</t>
  </si>
  <si>
    <t>Suš.Mini Club karamel.160g</t>
  </si>
  <si>
    <t>10541489</t>
  </si>
  <si>
    <t>5941311013837</t>
  </si>
  <si>
    <t>Jiří Šafránek</t>
  </si>
  <si>
    <t>Suš.Naty Elit Mix 300g</t>
  </si>
  <si>
    <t>12101431</t>
  </si>
  <si>
    <t>3800020423349</t>
  </si>
  <si>
    <t>Kit Kat Chunky 40g</t>
  </si>
  <si>
    <t>12101445</t>
  </si>
  <si>
    <t>85906662</t>
  </si>
  <si>
    <t>Kofila 35g</t>
  </si>
  <si>
    <t>Čok.Království zvířat 15g</t>
  </si>
  <si>
    <t>12336248</t>
  </si>
  <si>
    <t>8595019626614</t>
  </si>
  <si>
    <t>Jazýčky čok.mléč Mikeš 50g</t>
  </si>
  <si>
    <t>14103076</t>
  </si>
  <si>
    <t>8585000211134</t>
  </si>
  <si>
    <t>Bonb.Verbena rakytník 60g</t>
  </si>
  <si>
    <t>31710370</t>
  </si>
  <si>
    <t>85955820</t>
  </si>
  <si>
    <t>Jog.Řecký čokoláda 140g</t>
  </si>
  <si>
    <t>31710380</t>
  </si>
  <si>
    <t>85955806</t>
  </si>
  <si>
    <t>Jog.Řecký jahoda 140g</t>
  </si>
  <si>
    <t>68356510</t>
  </si>
  <si>
    <t>287550</t>
  </si>
  <si>
    <t>Zelí bílé nové</t>
  </si>
  <si>
    <t>67725660</t>
  </si>
  <si>
    <t>85918191</t>
  </si>
  <si>
    <t>Pivo Ježek Šenk.vyč.S 0,5l</t>
  </si>
  <si>
    <t>19124440</t>
  </si>
  <si>
    <t>8590014839243</t>
  </si>
  <si>
    <t>DV Kaps.Hello maliny 100g</t>
  </si>
  <si>
    <t>35235154</t>
  </si>
  <si>
    <t>8594004562487</t>
  </si>
  <si>
    <t>Řepa ČC červená TO720 640g</t>
  </si>
  <si>
    <t>57278263</t>
  </si>
  <si>
    <t>8594158371591</t>
  </si>
  <si>
    <t>Kapes.Linteo Sat.box 200ks</t>
  </si>
  <si>
    <t>21A49731</t>
  </si>
  <si>
    <t>9005300011535</t>
  </si>
  <si>
    <t>Toust Ölz pšeničný 500g</t>
  </si>
  <si>
    <t>Magnesia Red jahoda 1,5l</t>
  </si>
  <si>
    <t>90933661</t>
  </si>
  <si>
    <t>8594005320581</t>
  </si>
  <si>
    <t>Salám ČC Gothajský 100g</t>
  </si>
  <si>
    <t>10101257</t>
  </si>
  <si>
    <t>8445291034433</t>
  </si>
  <si>
    <t>Delissa hořká čokoláda 30g</t>
  </si>
  <si>
    <t>11984144</t>
  </si>
  <si>
    <t>8586021966164</t>
  </si>
  <si>
    <t>Arašídy těstíč.BBQ Ensa 50</t>
  </si>
  <si>
    <t>90C10807</t>
  </si>
  <si>
    <t>5908230522765</t>
  </si>
  <si>
    <t>Snack Kabanos Ex.chilli 50</t>
  </si>
  <si>
    <t>10103275</t>
  </si>
  <si>
    <t>8584004010712</t>
  </si>
  <si>
    <t>Vesna Citron 50g</t>
  </si>
  <si>
    <t>90979650</t>
  </si>
  <si>
    <t>283056</t>
  </si>
  <si>
    <t>Slanina Maďarská pik.1kg</t>
  </si>
  <si>
    <t>31780750</t>
  </si>
  <si>
    <t>8592206673017</t>
  </si>
  <si>
    <t>Mléko zah.slad.Cond.P 400g</t>
  </si>
  <si>
    <t>35214160</t>
  </si>
  <si>
    <t>8595008110445</t>
  </si>
  <si>
    <t>Lusky fazolové TO370 350g</t>
  </si>
  <si>
    <t>57134160</t>
  </si>
  <si>
    <t>8594042232168</t>
  </si>
  <si>
    <t>TP ČC 2vr.celuloza 20m 4ks</t>
  </si>
  <si>
    <t>31697545</t>
  </si>
  <si>
    <t>8593807647117</t>
  </si>
  <si>
    <t>Nápoj Míša 250g</t>
  </si>
  <si>
    <t>59C45818</t>
  </si>
  <si>
    <t>8595701559510</t>
  </si>
  <si>
    <t>Cig.Petra RGD Kl.červ.161K</t>
  </si>
  <si>
    <t>53268881</t>
  </si>
  <si>
    <t>8594000202790</t>
  </si>
  <si>
    <t>Vodka 42 42% 0,5l</t>
  </si>
  <si>
    <t>14153080</t>
  </si>
  <si>
    <t>5900353500750</t>
  </si>
  <si>
    <t>Bonb.Eukalyp./extra 150g</t>
  </si>
  <si>
    <t>14153207</t>
  </si>
  <si>
    <t>5900353505663</t>
  </si>
  <si>
    <t>Bonb.Eukalyp./lemon 150g</t>
  </si>
  <si>
    <t>31707540</t>
  </si>
  <si>
    <t>8594045602951</t>
  </si>
  <si>
    <t>Sýr Brick šunka 1D 100g</t>
  </si>
  <si>
    <t>31707580</t>
  </si>
  <si>
    <t>8594045602975</t>
  </si>
  <si>
    <t>Sýr Brick žampiony 1D 100g</t>
  </si>
  <si>
    <t>39112951</t>
  </si>
  <si>
    <t>85926554</t>
  </si>
  <si>
    <t>Pom.Losos uzená př.Al 100g</t>
  </si>
  <si>
    <t>40112715</t>
  </si>
  <si>
    <t>8595139780289</t>
  </si>
  <si>
    <t>Pašť.Tuňáková pom.Al 100g</t>
  </si>
  <si>
    <t>31220717</t>
  </si>
  <si>
    <t>8593803313047</t>
  </si>
  <si>
    <t>Sýr Romadur 40% 100g</t>
  </si>
  <si>
    <t>53871951</t>
  </si>
  <si>
    <t>8594001053780</t>
  </si>
  <si>
    <t>Starobrno Štatl 12 P 6x0,5</t>
  </si>
  <si>
    <t>25135219</t>
  </si>
  <si>
    <t>8594003465215</t>
  </si>
  <si>
    <t>Bratři Zátkové,</t>
  </si>
  <si>
    <t>Těst.ZÁT nudle vl.vaj.400g</t>
  </si>
  <si>
    <t>31695485</t>
  </si>
  <si>
    <t>8588001555986</t>
  </si>
  <si>
    <t>Bryndza termizovaná 100g</t>
  </si>
  <si>
    <t>38214147</t>
  </si>
  <si>
    <t>8595008111909</t>
  </si>
  <si>
    <t>Komp.Švestky půl.TO 340g</t>
  </si>
  <si>
    <t>68356228</t>
  </si>
  <si>
    <t>287541</t>
  </si>
  <si>
    <t>Pórek</t>
  </si>
  <si>
    <t>22105070</t>
  </si>
  <si>
    <t>8593837256778</t>
  </si>
  <si>
    <t>Koř.Pepř černý mletý 18g</t>
  </si>
  <si>
    <t>45116280</t>
  </si>
  <si>
    <t>8594001023738</t>
  </si>
  <si>
    <t>Magnesia GO 0,75l</t>
  </si>
  <si>
    <t>12C10901</t>
  </si>
  <si>
    <t>4820200893143</t>
  </si>
  <si>
    <t>Tyč.Gangster 100g</t>
  </si>
  <si>
    <t>Tyč.kokosová/poleva 100g</t>
  </si>
  <si>
    <t>28110904</t>
  </si>
  <si>
    <t>8584057005352</t>
  </si>
  <si>
    <t>Snack Těst.Carbonara 55g</t>
  </si>
  <si>
    <t>10707925</t>
  </si>
  <si>
    <t>8594045603071</t>
  </si>
  <si>
    <t>Trubičky Brick vanilk.150g</t>
  </si>
  <si>
    <t>40112181</t>
  </si>
  <si>
    <t>8594001692897</t>
  </si>
  <si>
    <t>Pašt.Favorit Al 120g</t>
  </si>
  <si>
    <t>40112639</t>
  </si>
  <si>
    <t>8595139766207</t>
  </si>
  <si>
    <t>Pašť.Bůčková pomaz.Al 120g</t>
  </si>
  <si>
    <t>45116350</t>
  </si>
  <si>
    <t>8594001021543</t>
  </si>
  <si>
    <t>Mattoni broskev 1,5l</t>
  </si>
  <si>
    <t>Lipton Lemon PET 1,5l</t>
  </si>
  <si>
    <t>59C45836</t>
  </si>
  <si>
    <t>8595701559442</t>
  </si>
  <si>
    <t>Marlb.KS Box Red FWD 179Kč</t>
  </si>
  <si>
    <t>24113226</t>
  </si>
  <si>
    <t>8594004492876</t>
  </si>
  <si>
    <t>51401</t>
  </si>
  <si>
    <t>Rýže kulatoznná loup.1kg</t>
  </si>
  <si>
    <t>31220647</t>
  </si>
  <si>
    <t>8593803327525</t>
  </si>
  <si>
    <t>Sýr Madeland light pl.100g</t>
  </si>
  <si>
    <t>11309848</t>
  </si>
  <si>
    <t>8594006090070</t>
  </si>
  <si>
    <t>Křupky Bohem.arašíd.100g</t>
  </si>
  <si>
    <t>53121237</t>
  </si>
  <si>
    <t>8594404010328</t>
  </si>
  <si>
    <t>Pivo Radeg.hoř.12° P 0,5l</t>
  </si>
  <si>
    <t>DrWitt FIT PET 0,75l</t>
  </si>
  <si>
    <t>14101109</t>
  </si>
  <si>
    <t>85933668</t>
  </si>
  <si>
    <t>Anticol extra strong 50g</t>
  </si>
  <si>
    <t>Pomazánkové Choc.trad.150g</t>
  </si>
  <si>
    <t>31708520</t>
  </si>
  <si>
    <t>8594003020353</t>
  </si>
  <si>
    <t>Mléko Kefír.Meruňka 450g</t>
  </si>
  <si>
    <t>90C10740</t>
  </si>
  <si>
    <t>8008524003561</t>
  </si>
  <si>
    <t>Prosciutto Crudo 80 g</t>
  </si>
  <si>
    <t>53259100</t>
  </si>
  <si>
    <t>8586000133709</t>
  </si>
  <si>
    <t>Tuzemák ČC 37,5% 0,5l</t>
  </si>
  <si>
    <t>53121205</t>
  </si>
  <si>
    <t>8594404110110</t>
  </si>
  <si>
    <t>Pivo Pilsner Urq.S 0,5l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</si>
</sst>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46132</v>
      </c>
      <c r="G1" s="8"/>
    </row>
    <row r="2" ht="13.7">
      <c r="A2" s="6" t="s">
        <v>1</v>
      </c>
      <c r="B2" s="7">
        <v>46132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92316.37999999999</v>
      </c>
      <c r="D14" s="27">
        <f>B14+C14</f>
        <v>92316.37999999999</v>
      </c>
      <c r="F14" s="28" t="s">
        <v>25</v>
      </c>
      <c r="G14" s="29">
        <v>46132.01478009259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1083.0861</v>
      </c>
      <c r="D15" s="32">
        <f>B15+C15</f>
        <v>1083.0861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21.229999999999983</v>
      </c>
      <c r="D16" s="34">
        <f>B16+C16</f>
        <v>21.229999999999983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80438.67069999992</v>
      </c>
      <c r="D19" s="32">
        <f>B19+C19</f>
        <v>80438.67069999992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0</v>
      </c>
      <c r="D20" s="32">
        <f>B20+C20</f>
        <v>0</v>
      </c>
      <c r="F20" s="30" t="s">
        <v>27</v>
      </c>
      <c r="G20" s="32">
        <f>D40</f>
        <v>38903</v>
      </c>
    </row>
    <row r="21" ht="13.7">
      <c r="A21" s="25" t="s">
        <v>35</v>
      </c>
      <c r="B21" s="26">
        <f>B19+B20</f>
        <v>0</v>
      </c>
      <c r="C21" s="26">
        <f>C19+C20</f>
        <v>80438.67069999992</v>
      </c>
      <c r="D21" s="38">
        <f>B21+C21</f>
        <v>80438.67069999992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92289.14999999995</v>
      </c>
      <c r="D22" s="32">
        <f>B22+C22</f>
        <v>92289.14999999995</v>
      </c>
      <c r="F22" s="25" t="s">
        <v>37</v>
      </c>
      <c r="G22" s="27">
        <f>G20+G21</f>
        <v>38903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0</v>
      </c>
      <c r="D23" s="32">
        <f>B23+C23</f>
        <v>0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92289.14999999995</v>
      </c>
      <c r="D24" s="38">
        <f>B24+C24</f>
        <v>92289.14999999995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75</v>
      </c>
      <c r="D25" s="32">
        <f>B25+C25</f>
        <v>75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-69</v>
      </c>
      <c r="D26" s="32">
        <f>B26+C26</f>
        <v>-69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6</v>
      </c>
      <c r="D27" s="27">
        <f>B27+C27</f>
        <v>6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21.229999999999983</v>
      </c>
      <c r="D28" s="27">
        <f>B28+C28</f>
        <v>21.229999999999983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92316.37999999995</v>
      </c>
      <c r="D29" s="42">
        <f>B29+C29</f>
        <v>92316.37999999995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24403.4246</v>
      </c>
      <c r="D31" s="32">
        <f>B31+C31</f>
        <v>24403.4246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56035.2461</v>
      </c>
      <c r="D32" s="32">
        <f>B32+C32</f>
        <v>56035.2461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6</v>
      </c>
      <c r="D33" s="32">
        <f>B33+C33</f>
        <v>6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80444.67069999999</v>
      </c>
      <c r="D34" s="27">
        <f>B34+C34</f>
        <v>80444.67069999999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5125.005399999998</v>
      </c>
      <c r="D35" s="32">
        <f>B35+C35</f>
        <v>5125.005399999998</v>
      </c>
      <c r="F35" s="28" t="s">
        <v>59</v>
      </c>
      <c r="G35" s="29">
        <v>46132.835543981484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6725.473900000005</v>
      </c>
      <c r="D36" s="32">
        <f>B36+C36</f>
        <v>6725.473900000005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11850.479300000003</v>
      </c>
      <c r="D37" s="27">
        <f>B37+C37</f>
        <v>11850.479300000003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92316.37999999999</v>
      </c>
      <c r="D38" s="42">
        <f>B38+C38</f>
        <v>92316.37999999999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38903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38903</v>
      </c>
      <c r="D40" s="32">
        <f>B40+C40</f>
        <v>38903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53413.38000000002</v>
      </c>
      <c r="D42" s="32">
        <f>B42+C42</f>
        <v>53413.38000000002</v>
      </c>
    </row>
    <row r="43" ht="12.8">
      <c r="A43" s="25" t="s">
        <v>37</v>
      </c>
      <c r="B43" s="27">
        <f>SUM(B40:B42)</f>
        <v>0</v>
      </c>
      <c r="C43" s="27">
        <f>SUM(C40:C42)</f>
        <v>92316.38000000002</v>
      </c>
      <c r="D43" s="27">
        <f>B43+C43</f>
        <v>92316.38000000002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92316.38000000008</v>
      </c>
      <c r="I2" s="67">
        <f>SUBTOTAL(109,I4:I999856)</f>
        <v>80444.67069999996</v>
      </c>
      <c r="J2" s="67">
        <f>SUBTOTAL(109,J4:J999856)</f>
        <v>11850.4793</v>
      </c>
      <c r="K2" s="68">
        <f>SUBTOTAL(109,K4:K999856)</f>
        <v>21.229999999999993</v>
      </c>
      <c r="L2" s="66">
        <f>SUBTOTAL(109,L4:L999856)</f>
        <v>24403.42459999998</v>
      </c>
      <c r="M2" s="67">
        <f>SUBTOTAL(109,M4:M999856)</f>
        <v>56035.24610000002</v>
      </c>
      <c r="N2" s="69">
        <f>SUBTOTAL(109,N4:N999856)</f>
        <v>6</v>
      </c>
      <c r="O2" s="67">
        <f>SUBTOTAL(109,O4:O999856)</f>
        <v>5125.005400000002</v>
      </c>
      <c r="P2" s="67">
        <f>SUBTOTAL(109,P4:P999856)</f>
        <v>6725.473900000002</v>
      </c>
      <c r="Q2" s="70">
        <f>SUBTOTAL(109,Q4:Q999938)</f>
        <v>80438.67069999996</v>
      </c>
      <c r="R2" s="67">
        <f>SUBTOTAL(109,R4:R999938)</f>
        <v>92289.15000000004</v>
      </c>
      <c r="S2" s="67">
        <f>SUBTOTAL(109,S4:S999938)</f>
        <v>0</v>
      </c>
      <c r="T2" s="67">
        <f>SUBTOTAL(109,T4:T999938)</f>
        <v>0</v>
      </c>
      <c r="U2" s="67">
        <f>SUBTOTAL(109,U4:U999938)</f>
        <v>75</v>
      </c>
      <c r="V2" s="67">
        <f>SUBTOTAL(109,V4:V999938)</f>
        <v>-69</v>
      </c>
      <c r="W2" s="69">
        <f>SUBTOTAL(109,W4:W999938)</f>
        <v>21.229999999999993</v>
      </c>
      <c r="X2" s="70">
        <f>SUBTOTAL(109,X4:X999938)</f>
        <v>87217</v>
      </c>
      <c r="Y2" s="67">
        <f>SUBTOTAL(109,Y4:Y999938)</f>
        <v>0</v>
      </c>
      <c r="Z2" s="67">
        <f>SUBTOTAL(109,Z4:Z999938)</f>
        <v>53413.38000000005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46132.835543981484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1083.0861000000004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46132.014814814815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46132.014814814815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46132.01513888889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46132.01513888889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46132.01520833333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46132.01520833333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46132.29179398148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46132.29179398148</v>
      </c>
      <c r="AH7" s="92">
        <v>26214</v>
      </c>
      <c r="AI7" s="92">
        <v>0</v>
      </c>
      <c r="AJ7" s="93">
        <f>AH7+AI7</f>
        <v>26214</v>
      </c>
      <c r="AK7" s="56"/>
    </row>
    <row r="8" ht="12.75">
      <c r="A8" s="90">
        <v>46132.29180555556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46132.29180555556</v>
      </c>
      <c r="AH8" s="92">
        <v>26214</v>
      </c>
      <c r="AI8" s="92">
        <v>0</v>
      </c>
      <c r="AJ8" s="93">
        <f>AH8+AI8</f>
        <v>26214</v>
      </c>
      <c r="AK8" s="56"/>
    </row>
    <row r="9" ht="12.75">
      <c r="A9" s="90">
        <v>46132.29319444444</v>
      </c>
      <c r="B9" s="49" t="s">
        <v>108</v>
      </c>
      <c r="C9" s="49" t="s">
        <v>106</v>
      </c>
      <c r="D9" s="49" t="s">
        <v>5</v>
      </c>
      <c r="E9" s="91">
        <v>96</v>
      </c>
      <c r="F9" s="49" t="s">
        <v>107</v>
      </c>
      <c r="G9" s="51">
        <v>166004504</v>
      </c>
      <c r="H9" s="92">
        <v>69.7</v>
      </c>
      <c r="I9" s="92">
        <f>L9+M9+N9</f>
        <v>59.848</v>
      </c>
      <c r="J9" s="92">
        <f>O9+P9</f>
        <v>9.852</v>
      </c>
      <c r="K9" s="93">
        <f>IF(H9=I9+J9,0,W9)</f>
        <v>0</v>
      </c>
      <c r="L9" s="92">
        <v>29.6694</v>
      </c>
      <c r="M9" s="92">
        <v>30.1786</v>
      </c>
      <c r="N9" s="92">
        <v>0</v>
      </c>
      <c r="O9" s="92">
        <v>6.2306</v>
      </c>
      <c r="P9" s="92">
        <v>3.6214</v>
      </c>
      <c r="Q9" s="94">
        <v>59.848</v>
      </c>
      <c r="R9" s="92">
        <v>69.7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69.7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46132.29319444444</v>
      </c>
      <c r="AH9" s="92">
        <v>26214</v>
      </c>
      <c r="AI9" s="92">
        <v>0</v>
      </c>
      <c r="AJ9" s="93">
        <f>AH9+AI9</f>
        <v>26214</v>
      </c>
      <c r="AK9" s="56">
        <v>0</v>
      </c>
    </row>
    <row r="10" ht="12.75">
      <c r="A10" s="90">
        <v>46132.294375</v>
      </c>
      <c r="B10" s="49" t="s">
        <v>108</v>
      </c>
      <c r="C10" s="49" t="s">
        <v>106</v>
      </c>
      <c r="D10" s="49" t="s">
        <v>5</v>
      </c>
      <c r="E10" s="91">
        <v>96</v>
      </c>
      <c r="F10" s="49" t="s">
        <v>107</v>
      </c>
      <c r="G10" s="95">
        <v>166004505</v>
      </c>
      <c r="H10" s="92">
        <v>51.4</v>
      </c>
      <c r="I10" s="92">
        <f>L10+M10+N10</f>
        <v>42.4793</v>
      </c>
      <c r="J10" s="92">
        <f>O10+P10</f>
        <v>8.9207</v>
      </c>
      <c r="K10" s="93">
        <f>IF(H10=I10+J10,0,W10)</f>
        <v>0</v>
      </c>
      <c r="L10" s="92">
        <v>42.4793</v>
      </c>
      <c r="M10" s="92">
        <v>0</v>
      </c>
      <c r="N10" s="92">
        <v>0</v>
      </c>
      <c r="O10" s="92">
        <v>8.9207</v>
      </c>
      <c r="P10" s="92">
        <v>0</v>
      </c>
      <c r="Q10" s="94">
        <v>42.4793</v>
      </c>
      <c r="R10" s="92">
        <v>51.4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51.4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46132.294375</v>
      </c>
      <c r="AH10" s="92">
        <v>26214</v>
      </c>
      <c r="AI10" s="92">
        <v>0</v>
      </c>
      <c r="AJ10" s="93">
        <f>AH10+AI10</f>
        <v>26214</v>
      </c>
      <c r="AK10" s="56">
        <v>0</v>
      </c>
    </row>
    <row r="11" ht="12.75">
      <c r="A11" s="90">
        <v>46132.29450231481</v>
      </c>
      <c r="B11" s="49" t="s">
        <v>108</v>
      </c>
      <c r="C11" s="49" t="s">
        <v>106</v>
      </c>
      <c r="D11" s="49" t="s">
        <v>5</v>
      </c>
      <c r="E11" s="91">
        <v>96</v>
      </c>
      <c r="F11" s="49" t="s">
        <v>107</v>
      </c>
      <c r="G11" s="51">
        <v>166004506</v>
      </c>
      <c r="H11" s="92">
        <v>38</v>
      </c>
      <c r="I11" s="92">
        <f>L11+M11+N11</f>
        <v>31.2396</v>
      </c>
      <c r="J11" s="92">
        <f>O11+P11</f>
        <v>6.5604</v>
      </c>
      <c r="K11" s="93">
        <f>IF(H11=I11+J11,0,W11)</f>
        <v>0.2</v>
      </c>
      <c r="L11" s="92">
        <v>31.2396</v>
      </c>
      <c r="M11" s="92">
        <v>0</v>
      </c>
      <c r="N11" s="92">
        <v>0</v>
      </c>
      <c r="O11" s="92">
        <v>6.5604</v>
      </c>
      <c r="P11" s="92">
        <v>0</v>
      </c>
      <c r="Q11" s="94">
        <v>31.2396</v>
      </c>
      <c r="R11" s="92">
        <v>37.8</v>
      </c>
      <c r="S11" s="92">
        <v>0</v>
      </c>
      <c r="T11" s="92">
        <v>0</v>
      </c>
      <c r="U11" s="92">
        <v>0</v>
      </c>
      <c r="V11" s="92">
        <v>0</v>
      </c>
      <c r="W11" s="92">
        <v>0.2</v>
      </c>
      <c r="X11" s="54">
        <v>50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46132.29450231481</v>
      </c>
      <c r="AH11" s="92">
        <v>26252</v>
      </c>
      <c r="AI11" s="92">
        <v>0</v>
      </c>
      <c r="AJ11" s="93">
        <f>AH11+AI11</f>
        <v>26252</v>
      </c>
      <c r="AK11" s="56">
        <v>0</v>
      </c>
    </row>
    <row r="12" ht="12.75">
      <c r="A12" s="90">
        <v>46132.29476851852</v>
      </c>
      <c r="B12" s="49" t="s">
        <v>108</v>
      </c>
      <c r="C12" s="49" t="s">
        <v>106</v>
      </c>
      <c r="D12" s="49" t="s">
        <v>5</v>
      </c>
      <c r="E12" s="91">
        <v>96</v>
      </c>
      <c r="F12" s="49" t="s">
        <v>107</v>
      </c>
      <c r="G12" s="95">
        <v>166004507</v>
      </c>
      <c r="H12" s="92">
        <v>70</v>
      </c>
      <c r="I12" s="92">
        <f>L12+M12+N12</f>
        <v>62.8572</v>
      </c>
      <c r="J12" s="92">
        <f>O12+P12</f>
        <v>7.5428</v>
      </c>
      <c r="K12" s="93">
        <f>IF(H12=I12+J12,0,W12)</f>
        <v>-0.4</v>
      </c>
      <c r="L12" s="92">
        <v>0</v>
      </c>
      <c r="M12" s="92">
        <v>62.8572</v>
      </c>
      <c r="N12" s="92">
        <v>0</v>
      </c>
      <c r="O12" s="92">
        <v>0</v>
      </c>
      <c r="P12" s="92">
        <v>7.5428</v>
      </c>
      <c r="Q12" s="94">
        <v>62.8572</v>
      </c>
      <c r="R12" s="92">
        <v>70.4</v>
      </c>
      <c r="S12" s="92">
        <v>0</v>
      </c>
      <c r="T12" s="92">
        <v>0</v>
      </c>
      <c r="U12" s="92">
        <v>0</v>
      </c>
      <c r="V12" s="92">
        <v>0</v>
      </c>
      <c r="W12" s="92">
        <v>-0.4</v>
      </c>
      <c r="X12" s="54">
        <v>100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46132.29476851852</v>
      </c>
      <c r="AH12" s="92">
        <v>26322</v>
      </c>
      <c r="AI12" s="92">
        <v>0</v>
      </c>
      <c r="AJ12" s="93">
        <f>AH12+AI12</f>
        <v>26322</v>
      </c>
      <c r="AK12" s="56">
        <v>0</v>
      </c>
    </row>
    <row r="13" ht="12.75">
      <c r="A13" s="90">
        <v>46132.297268518516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166004508</v>
      </c>
      <c r="H13" s="92">
        <v>253</v>
      </c>
      <c r="I13" s="92">
        <f>L13+M13+N13</f>
        <v>219.21089999999998</v>
      </c>
      <c r="J13" s="92">
        <f>O13+P13</f>
        <v>33.6391</v>
      </c>
      <c r="K13" s="93">
        <f>IF(H13=I13+J13,0,W13)</f>
        <v>0.15</v>
      </c>
      <c r="L13" s="92">
        <v>81.4875</v>
      </c>
      <c r="M13" s="92">
        <v>137.7234</v>
      </c>
      <c r="N13" s="92">
        <v>0</v>
      </c>
      <c r="O13" s="92">
        <v>17.1125</v>
      </c>
      <c r="P13" s="92">
        <v>16.5266</v>
      </c>
      <c r="Q13" s="94">
        <v>219.2109</v>
      </c>
      <c r="R13" s="92">
        <v>252.85</v>
      </c>
      <c r="S13" s="92">
        <v>0</v>
      </c>
      <c r="T13" s="92">
        <v>0</v>
      </c>
      <c r="U13" s="92">
        <v>0</v>
      </c>
      <c r="V13" s="92">
        <v>0</v>
      </c>
      <c r="W13" s="92">
        <v>0.15</v>
      </c>
      <c r="X13" s="54">
        <v>500</v>
      </c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46132.297268518516</v>
      </c>
      <c r="AH13" s="92">
        <v>26575</v>
      </c>
      <c r="AI13" s="92">
        <v>0</v>
      </c>
      <c r="AJ13" s="93">
        <f>AH13+AI13</f>
        <v>26575</v>
      </c>
      <c r="AK13" s="56">
        <v>0</v>
      </c>
    </row>
    <row r="14" ht="12.75">
      <c r="A14" s="90">
        <v>46132.297847222224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166004509</v>
      </c>
      <c r="H14" s="92">
        <v>32</v>
      </c>
      <c r="I14" s="92">
        <f>L14+M14+N14</f>
        <v>26.281</v>
      </c>
      <c r="J14" s="92">
        <f>O14+P14</f>
        <v>5.519</v>
      </c>
      <c r="K14" s="93">
        <f>IF(H14=I14+J14,0,W14)</f>
        <v>0.2</v>
      </c>
      <c r="L14" s="92">
        <v>26.281</v>
      </c>
      <c r="M14" s="92">
        <v>0</v>
      </c>
      <c r="N14" s="92">
        <v>0</v>
      </c>
      <c r="O14" s="92">
        <v>5.519</v>
      </c>
      <c r="P14" s="92">
        <v>0</v>
      </c>
      <c r="Q14" s="94">
        <v>26.281</v>
      </c>
      <c r="R14" s="92">
        <v>31.8</v>
      </c>
      <c r="S14" s="92">
        <v>0</v>
      </c>
      <c r="T14" s="92">
        <v>0</v>
      </c>
      <c r="U14" s="92">
        <v>0</v>
      </c>
      <c r="V14" s="92">
        <v>0</v>
      </c>
      <c r="W14" s="92">
        <v>0.2</v>
      </c>
      <c r="X14" s="54">
        <v>32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46132.297847222224</v>
      </c>
      <c r="AH14" s="92">
        <v>26607</v>
      </c>
      <c r="AI14" s="92">
        <v>0</v>
      </c>
      <c r="AJ14" s="93">
        <f>AH14+AI14</f>
        <v>26607</v>
      </c>
      <c r="AK14" s="56">
        <v>0</v>
      </c>
    </row>
    <row r="15" ht="12.75">
      <c r="A15" s="90">
        <v>46132.29892361111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166004510</v>
      </c>
      <c r="H15" s="92">
        <v>164</v>
      </c>
      <c r="I15" s="92">
        <f>L15+M15+N15</f>
        <v>141.3984</v>
      </c>
      <c r="J15" s="92">
        <f>O15+P15</f>
        <v>22.531599999999997</v>
      </c>
      <c r="K15" s="93">
        <f>IF(H15=I15+J15,0,W15)</f>
        <v>0.07</v>
      </c>
      <c r="L15" s="92">
        <v>61.8182</v>
      </c>
      <c r="M15" s="92">
        <v>79.5802</v>
      </c>
      <c r="N15" s="92">
        <v>0</v>
      </c>
      <c r="O15" s="92">
        <v>12.9818</v>
      </c>
      <c r="P15" s="92">
        <v>9.5498</v>
      </c>
      <c r="Q15" s="94">
        <v>141.3984</v>
      </c>
      <c r="R15" s="92">
        <v>163.93</v>
      </c>
      <c r="S15" s="92">
        <v>0</v>
      </c>
      <c r="T15" s="92">
        <v>0</v>
      </c>
      <c r="U15" s="92">
        <v>0</v>
      </c>
      <c r="V15" s="92">
        <v>0</v>
      </c>
      <c r="W15" s="92">
        <v>0.07</v>
      </c>
      <c r="X15" s="54">
        <v>500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46132.29892361111</v>
      </c>
      <c r="AH15" s="92">
        <v>26771</v>
      </c>
      <c r="AI15" s="92">
        <v>0</v>
      </c>
      <c r="AJ15" s="93">
        <f>AH15+AI15</f>
        <v>26771</v>
      </c>
      <c r="AK15" s="56">
        <v>0</v>
      </c>
    </row>
    <row r="16" ht="12.75">
      <c r="A16" s="90">
        <v>46132.30043981481</v>
      </c>
      <c r="B16" s="49" t="s">
        <v>108</v>
      </c>
      <c r="C16" s="49" t="s">
        <v>106</v>
      </c>
      <c r="D16" s="49" t="s">
        <v>5</v>
      </c>
      <c r="E16" s="91">
        <v>96</v>
      </c>
      <c r="F16" s="49" t="s">
        <v>107</v>
      </c>
      <c r="G16" s="95">
        <v>166004511</v>
      </c>
      <c r="H16" s="92">
        <v>198.41</v>
      </c>
      <c r="I16" s="92">
        <f>L16+M16+N16</f>
        <v>175.8304</v>
      </c>
      <c r="J16" s="92">
        <f>O16+P16</f>
        <v>22.579600000000003</v>
      </c>
      <c r="K16" s="93">
        <f>IF(H16=I16+J16,0,W16)</f>
        <v>0</v>
      </c>
      <c r="L16" s="92">
        <v>16.4463</v>
      </c>
      <c r="M16" s="92">
        <v>159.3841</v>
      </c>
      <c r="N16" s="92">
        <v>0</v>
      </c>
      <c r="O16" s="92">
        <v>3.4537</v>
      </c>
      <c r="P16" s="92">
        <v>19.1259</v>
      </c>
      <c r="Q16" s="94">
        <v>175.8304</v>
      </c>
      <c r="R16" s="92">
        <v>198.41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198.41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46132.30043981481</v>
      </c>
      <c r="AH16" s="92">
        <v>26771</v>
      </c>
      <c r="AI16" s="92">
        <v>0</v>
      </c>
      <c r="AJ16" s="93">
        <f>AH16+AI16</f>
        <v>26771</v>
      </c>
      <c r="AK16" s="56">
        <v>0</v>
      </c>
    </row>
    <row r="17" ht="12.75">
      <c r="A17" s="90">
        <v>46132.30211805556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166004512</v>
      </c>
      <c r="H17" s="92">
        <v>200</v>
      </c>
      <c r="I17" s="92">
        <f>L17+M17+N17</f>
        <v>165.2893</v>
      </c>
      <c r="J17" s="92">
        <f>O17+P17</f>
        <v>34.7107</v>
      </c>
      <c r="K17" s="93">
        <f>IF(H17=I17+J17,0,W17)</f>
        <v>0</v>
      </c>
      <c r="L17" s="92">
        <v>165.2893</v>
      </c>
      <c r="M17" s="92">
        <v>0</v>
      </c>
      <c r="N17" s="92">
        <v>0</v>
      </c>
      <c r="O17" s="92">
        <v>34.7107</v>
      </c>
      <c r="P17" s="92">
        <v>0</v>
      </c>
      <c r="Q17" s="94">
        <v>165.2893</v>
      </c>
      <c r="R17" s="92">
        <v>200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200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46132.30211805556</v>
      </c>
      <c r="AH17" s="92">
        <v>26971</v>
      </c>
      <c r="AI17" s="92">
        <v>0</v>
      </c>
      <c r="AJ17" s="93">
        <f>AH17+AI17</f>
        <v>26971</v>
      </c>
      <c r="AK17" s="56">
        <v>0</v>
      </c>
    </row>
    <row r="18" ht="12.75">
      <c r="A18" s="90">
        <v>46132.303611111114</v>
      </c>
      <c r="B18" s="49" t="s">
        <v>108</v>
      </c>
      <c r="C18" s="49" t="s">
        <v>106</v>
      </c>
      <c r="D18" s="49" t="s">
        <v>5</v>
      </c>
      <c r="E18" s="91">
        <v>96</v>
      </c>
      <c r="F18" s="49" t="s">
        <v>107</v>
      </c>
      <c r="G18" s="95">
        <v>166004513</v>
      </c>
      <c r="H18" s="92">
        <v>67.42</v>
      </c>
      <c r="I18" s="92">
        <f>L18+M18+N18</f>
        <v>60.1964</v>
      </c>
      <c r="J18" s="92">
        <f>O18+P18</f>
        <v>7.2236</v>
      </c>
      <c r="K18" s="93">
        <f>IF(H18=I18+J18,0,W18)</f>
        <v>0</v>
      </c>
      <c r="L18" s="92">
        <v>0</v>
      </c>
      <c r="M18" s="92">
        <v>60.1964</v>
      </c>
      <c r="N18" s="92">
        <v>0</v>
      </c>
      <c r="O18" s="92">
        <v>0</v>
      </c>
      <c r="P18" s="92">
        <v>7.2236</v>
      </c>
      <c r="Q18" s="94">
        <v>60.1964</v>
      </c>
      <c r="R18" s="92">
        <v>67.42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67.42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46132.303611111114</v>
      </c>
      <c r="AH18" s="92">
        <v>26971</v>
      </c>
      <c r="AI18" s="92">
        <v>0</v>
      </c>
      <c r="AJ18" s="93">
        <f>AH18+AI18</f>
        <v>26971</v>
      </c>
      <c r="AK18" s="56">
        <v>0</v>
      </c>
    </row>
    <row r="19">
      <c r="A19" s="48">
        <v>46132.30443287037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166004514</v>
      </c>
      <c r="H19" s="52">
        <v>104</v>
      </c>
      <c r="I19" s="52">
        <f>L19+M19+N19</f>
        <v>88.1936</v>
      </c>
      <c r="J19" s="52">
        <f>O19+P19</f>
        <v>16.2064</v>
      </c>
      <c r="K19" s="53">
        <f>IF(H19=I19+J19,0,W19)</f>
        <v>-0.4</v>
      </c>
      <c r="L19" s="52">
        <v>62.4794</v>
      </c>
      <c r="M19" s="52">
        <v>25.7142</v>
      </c>
      <c r="N19" s="52">
        <v>0</v>
      </c>
      <c r="O19" s="52">
        <v>13.1206</v>
      </c>
      <c r="P19" s="52">
        <v>3.0858</v>
      </c>
      <c r="Q19" s="54">
        <v>88.1936</v>
      </c>
      <c r="R19" s="52">
        <v>104.4</v>
      </c>
      <c r="S19" s="52">
        <v>0</v>
      </c>
      <c r="T19" s="52">
        <v>0</v>
      </c>
      <c r="U19" s="52">
        <v>0</v>
      </c>
      <c r="V19" s="52">
        <v>0</v>
      </c>
      <c r="W19" s="52">
        <v>-0.4</v>
      </c>
      <c r="X19" s="54">
        <v>150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46132.30443287037</v>
      </c>
      <c r="AH19" s="52">
        <v>27075</v>
      </c>
      <c r="AI19" s="52">
        <v>0</v>
      </c>
      <c r="AJ19" s="53">
        <f>AH19+AI19</f>
        <v>27075</v>
      </c>
      <c r="AK19" s="56">
        <v>0</v>
      </c>
    </row>
    <row r="20">
      <c r="A20" s="48">
        <v>46132.30663194445</v>
      </c>
      <c r="B20" s="49" t="s">
        <v>108</v>
      </c>
      <c r="C20" s="49" t="s">
        <v>106</v>
      </c>
      <c r="D20" s="49" t="s">
        <v>5</v>
      </c>
      <c r="E20" s="50">
        <v>96</v>
      </c>
      <c r="F20" s="49" t="s">
        <v>107</v>
      </c>
      <c r="G20" s="51">
        <v>166004515</v>
      </c>
      <c r="H20" s="52">
        <v>209.2</v>
      </c>
      <c r="I20" s="52">
        <f>L20+M20+N20</f>
        <v>186.7857</v>
      </c>
      <c r="J20" s="52">
        <f>O20+P20</f>
        <v>22.4143</v>
      </c>
      <c r="K20" s="53">
        <f>IF(H20=I20+J20,0,W20)</f>
        <v>0</v>
      </c>
      <c r="L20" s="52">
        <v>0</v>
      </c>
      <c r="M20" s="52">
        <v>186.7857</v>
      </c>
      <c r="N20" s="52">
        <v>0</v>
      </c>
      <c r="O20" s="52">
        <v>0</v>
      </c>
      <c r="P20" s="52">
        <v>22.4143</v>
      </c>
      <c r="Q20" s="54">
        <v>186.7857</v>
      </c>
      <c r="R20" s="52">
        <v>209.2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209.2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46132.30663194445</v>
      </c>
      <c r="AH20" s="52">
        <v>27075</v>
      </c>
      <c r="AI20" s="52">
        <v>0</v>
      </c>
      <c r="AJ20" s="53">
        <f>AH20+AI20</f>
        <v>27075</v>
      </c>
      <c r="AK20" s="56">
        <v>0</v>
      </c>
    </row>
    <row r="21">
      <c r="A21" s="48">
        <v>46132.30954861111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166004516</v>
      </c>
      <c r="H21" s="52">
        <v>59</v>
      </c>
      <c r="I21" s="52">
        <f>L21+M21+N21</f>
        <v>52.384</v>
      </c>
      <c r="J21" s="52">
        <f>O21+P21</f>
        <v>6.286</v>
      </c>
      <c r="K21" s="53">
        <f>IF(H21=I21+J21,0,W21)</f>
        <v>0.33</v>
      </c>
      <c r="L21" s="52">
        <v>0</v>
      </c>
      <c r="M21" s="52">
        <v>52.384</v>
      </c>
      <c r="N21" s="52">
        <v>0</v>
      </c>
      <c r="O21" s="52">
        <v>0</v>
      </c>
      <c r="P21" s="52">
        <v>6.286</v>
      </c>
      <c r="Q21" s="54">
        <v>52.384</v>
      </c>
      <c r="R21" s="52">
        <v>58.67</v>
      </c>
      <c r="S21" s="52">
        <v>0</v>
      </c>
      <c r="T21" s="52">
        <v>0</v>
      </c>
      <c r="U21" s="52">
        <v>0</v>
      </c>
      <c r="V21" s="52">
        <v>0</v>
      </c>
      <c r="W21" s="52">
        <v>0.33</v>
      </c>
      <c r="X21" s="54">
        <v>59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46132.30954861111</v>
      </c>
      <c r="AH21" s="52">
        <v>27134</v>
      </c>
      <c r="AI21" s="52">
        <v>0</v>
      </c>
      <c r="AJ21" s="53">
        <f>AH21+AI21</f>
        <v>27134</v>
      </c>
      <c r="AK21" s="56">
        <v>12.7163</v>
      </c>
    </row>
    <row r="22">
      <c r="A22" s="48">
        <v>46132.31048611111</v>
      </c>
      <c r="B22" s="49" t="s">
        <v>108</v>
      </c>
      <c r="C22" s="49" t="s">
        <v>106</v>
      </c>
      <c r="D22" s="49" t="s">
        <v>5</v>
      </c>
      <c r="E22" s="50">
        <v>96</v>
      </c>
      <c r="F22" s="49" t="s">
        <v>107</v>
      </c>
      <c r="G22" s="51">
        <v>166004517</v>
      </c>
      <c r="H22" s="52">
        <v>171</v>
      </c>
      <c r="I22" s="52">
        <f>L22+M22+N22</f>
        <v>150.16809999999998</v>
      </c>
      <c r="J22" s="52">
        <f>O22+P22</f>
        <v>20.831899999999997</v>
      </c>
      <c r="K22" s="53">
        <f>IF(H22=I22+J22,0,W22)</f>
        <v>0</v>
      </c>
      <c r="L22" s="52">
        <v>31.2397</v>
      </c>
      <c r="M22" s="52">
        <v>118.9284</v>
      </c>
      <c r="N22" s="52">
        <v>0</v>
      </c>
      <c r="O22" s="52">
        <v>6.5603</v>
      </c>
      <c r="P22" s="52">
        <v>14.2716</v>
      </c>
      <c r="Q22" s="54">
        <v>150.1681</v>
      </c>
      <c r="R22" s="52">
        <v>171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500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46132.31048611111</v>
      </c>
      <c r="AH22" s="52">
        <v>27305</v>
      </c>
      <c r="AI22" s="52">
        <v>0</v>
      </c>
      <c r="AJ22" s="53">
        <f>AH22+AI22</f>
        <v>27305</v>
      </c>
      <c r="AK22" s="56">
        <v>0</v>
      </c>
    </row>
    <row r="23">
      <c r="A23" s="48">
        <v>46132.31284722222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166004518</v>
      </c>
      <c r="H23" s="52">
        <v>16</v>
      </c>
      <c r="I23" s="52">
        <f>L23+M23+N23</f>
        <v>13.1405</v>
      </c>
      <c r="J23" s="52">
        <f>O23+P23</f>
        <v>2.7595</v>
      </c>
      <c r="K23" s="53">
        <f>IF(H23=I23+J23,0,W23)</f>
        <v>0.1</v>
      </c>
      <c r="L23" s="52">
        <v>13.1405</v>
      </c>
      <c r="M23" s="52">
        <v>0</v>
      </c>
      <c r="N23" s="52">
        <v>0</v>
      </c>
      <c r="O23" s="52">
        <v>2.7595</v>
      </c>
      <c r="P23" s="52">
        <v>0</v>
      </c>
      <c r="Q23" s="54">
        <v>13.1405</v>
      </c>
      <c r="R23" s="52">
        <v>15.9</v>
      </c>
      <c r="S23" s="52">
        <v>0</v>
      </c>
      <c r="T23" s="52">
        <v>0</v>
      </c>
      <c r="U23" s="52">
        <v>0</v>
      </c>
      <c r="V23" s="52">
        <v>0</v>
      </c>
      <c r="W23" s="52">
        <v>0.1</v>
      </c>
      <c r="X23" s="54">
        <v>16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46132.31284722222</v>
      </c>
      <c r="AH23" s="52">
        <v>27321</v>
      </c>
      <c r="AI23" s="52">
        <v>0</v>
      </c>
      <c r="AJ23" s="53">
        <f>AH23+AI23</f>
        <v>27321</v>
      </c>
      <c r="AK23" s="56">
        <v>0</v>
      </c>
    </row>
    <row r="24">
      <c r="A24" s="48">
        <v>46132.31489583333</v>
      </c>
      <c r="B24" s="49" t="s">
        <v>108</v>
      </c>
      <c r="C24" s="49" t="s">
        <v>106</v>
      </c>
      <c r="D24" s="49" t="s">
        <v>5</v>
      </c>
      <c r="E24" s="50">
        <v>96</v>
      </c>
      <c r="F24" s="49" t="s">
        <v>107</v>
      </c>
      <c r="G24" s="51">
        <v>166004519</v>
      </c>
      <c r="H24" s="52">
        <v>67</v>
      </c>
      <c r="I24" s="52">
        <f>L24+M24+N24</f>
        <v>58.2755</v>
      </c>
      <c r="J24" s="52">
        <f>O24+P24</f>
        <v>8.3245</v>
      </c>
      <c r="K24" s="53">
        <f>IF(H24=I24+J24,0,W24)</f>
        <v>0.4</v>
      </c>
      <c r="L24" s="52">
        <v>14.7934</v>
      </c>
      <c r="M24" s="52">
        <v>43.4821</v>
      </c>
      <c r="N24" s="52">
        <v>0</v>
      </c>
      <c r="O24" s="52">
        <v>3.1066</v>
      </c>
      <c r="P24" s="52">
        <v>5.2179</v>
      </c>
      <c r="Q24" s="54">
        <v>58.2755</v>
      </c>
      <c r="R24" s="52">
        <v>66.6</v>
      </c>
      <c r="S24" s="52">
        <v>0</v>
      </c>
      <c r="T24" s="52">
        <v>0</v>
      </c>
      <c r="U24" s="52">
        <v>0</v>
      </c>
      <c r="V24" s="52">
        <v>0</v>
      </c>
      <c r="W24" s="52">
        <v>0.4</v>
      </c>
      <c r="X24" s="54">
        <v>200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46132.31489583333</v>
      </c>
      <c r="AH24" s="52">
        <v>27388</v>
      </c>
      <c r="AI24" s="52">
        <v>0</v>
      </c>
      <c r="AJ24" s="53">
        <f>AH24+AI24</f>
        <v>27388</v>
      </c>
      <c r="AK24" s="56">
        <v>0</v>
      </c>
    </row>
    <row r="25">
      <c r="A25" s="48">
        <v>46132.316342592596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166004520</v>
      </c>
      <c r="H25" s="52">
        <v>69.8</v>
      </c>
      <c r="I25" s="52">
        <f>L25+M25+N25</f>
        <v>62.3214</v>
      </c>
      <c r="J25" s="52">
        <f>O25+P25</f>
        <v>7.4786</v>
      </c>
      <c r="K25" s="53">
        <f>IF(H25=I25+J25,0,W25)</f>
        <v>0</v>
      </c>
      <c r="L25" s="52">
        <v>0</v>
      </c>
      <c r="M25" s="52">
        <v>62.3214</v>
      </c>
      <c r="N25" s="52">
        <v>0</v>
      </c>
      <c r="O25" s="52">
        <v>0</v>
      </c>
      <c r="P25" s="52">
        <v>7.4786</v>
      </c>
      <c r="Q25" s="54">
        <v>62.3214</v>
      </c>
      <c r="R25" s="52">
        <v>69.8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69.8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46132.316342592596</v>
      </c>
      <c r="AH25" s="52">
        <v>27388</v>
      </c>
      <c r="AI25" s="52">
        <v>0</v>
      </c>
      <c r="AJ25" s="53">
        <f>AH25+AI25</f>
        <v>27388</v>
      </c>
      <c r="AK25" s="56">
        <v>0</v>
      </c>
    </row>
    <row r="26">
      <c r="A26" s="48">
        <v>46132.31649305556</v>
      </c>
      <c r="B26" s="49" t="s">
        <v>108</v>
      </c>
      <c r="C26" s="49" t="s">
        <v>100</v>
      </c>
      <c r="D26" s="49" t="s">
        <v>5</v>
      </c>
      <c r="E26" s="50">
        <v>96</v>
      </c>
      <c r="F26" s="49" t="s">
        <v>105</v>
      </c>
      <c r="G26" s="51">
        <v>161000330</v>
      </c>
      <c r="H26" s="52">
        <v>32.9</v>
      </c>
      <c r="I26" s="52">
        <f>L26+M26+N26</f>
        <v>29.37</v>
      </c>
      <c r="J26" s="52">
        <f>O26+P26</f>
        <v>3.53</v>
      </c>
      <c r="K26" s="53">
        <f>IF(H26=I26+J26,0,W26)</f>
        <v>0</v>
      </c>
      <c r="L26" s="52">
        <v>0</v>
      </c>
      <c r="M26" s="52">
        <v>29.37</v>
      </c>
      <c r="N26" s="52">
        <v>0</v>
      </c>
      <c r="O26" s="52">
        <v>0</v>
      </c>
      <c r="P26" s="52">
        <v>3.53</v>
      </c>
      <c r="Q26" s="54">
        <v>29.37</v>
      </c>
      <c r="R26" s="52">
        <v>32.9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4">
        <v>0</v>
      </c>
      <c r="Y26" s="52">
        <v>0</v>
      </c>
      <c r="Z26" s="52">
        <v>32.9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46132.31649305556</v>
      </c>
      <c r="AH26" s="52">
        <v>0</v>
      </c>
      <c r="AI26" s="52">
        <v>0</v>
      </c>
      <c r="AJ26" s="53">
        <f>AH26+AI26</f>
        <v>0</v>
      </c>
      <c r="AK26" s="56">
        <v>0</v>
      </c>
    </row>
    <row r="27">
      <c r="A27" s="48">
        <v>46132.316608796296</v>
      </c>
      <c r="B27" s="49" t="s">
        <v>108</v>
      </c>
      <c r="C27" s="49" t="s">
        <v>106</v>
      </c>
      <c r="D27" s="49" t="s">
        <v>5</v>
      </c>
      <c r="E27" s="50">
        <v>96</v>
      </c>
      <c r="F27" s="49" t="s">
        <v>107</v>
      </c>
      <c r="G27" s="51">
        <v>166004521</v>
      </c>
      <c r="H27" s="52">
        <v>161</v>
      </c>
      <c r="I27" s="52">
        <f>L27+M27+N27</f>
        <v>133.0579</v>
      </c>
      <c r="J27" s="52">
        <f>O27+P27</f>
        <v>27.9421</v>
      </c>
      <c r="K27" s="53">
        <f>IF(H27=I27+J27,0,W27)</f>
        <v>0</v>
      </c>
      <c r="L27" s="52">
        <v>133.0579</v>
      </c>
      <c r="M27" s="52">
        <v>0</v>
      </c>
      <c r="N27" s="52">
        <v>0</v>
      </c>
      <c r="O27" s="52">
        <v>27.9421</v>
      </c>
      <c r="P27" s="52">
        <v>0</v>
      </c>
      <c r="Q27" s="54">
        <v>133.0579</v>
      </c>
      <c r="R27" s="52">
        <v>161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200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46132.316608796296</v>
      </c>
      <c r="AH27" s="52">
        <v>27549</v>
      </c>
      <c r="AI27" s="52">
        <v>0</v>
      </c>
      <c r="AJ27" s="53">
        <f>AH27+AI27</f>
        <v>27549</v>
      </c>
      <c r="AK27" s="56">
        <v>0</v>
      </c>
    </row>
    <row r="28">
      <c r="A28" s="48">
        <v>46132.31684027778</v>
      </c>
      <c r="B28" s="49" t="s">
        <v>108</v>
      </c>
      <c r="C28" s="49" t="s">
        <v>106</v>
      </c>
      <c r="D28" s="49" t="s">
        <v>5</v>
      </c>
      <c r="E28" s="50">
        <v>96</v>
      </c>
      <c r="F28" s="49" t="s">
        <v>107</v>
      </c>
      <c r="G28" s="51">
        <v>166004522</v>
      </c>
      <c r="H28" s="52">
        <v>32</v>
      </c>
      <c r="I28" s="52">
        <f>L28+M28+N28</f>
        <v>28.3928</v>
      </c>
      <c r="J28" s="52">
        <f>O28+P28</f>
        <v>3.4072</v>
      </c>
      <c r="K28" s="53">
        <f>IF(H28=I28+J28,0,W28)</f>
        <v>0.2</v>
      </c>
      <c r="L28" s="52">
        <v>0</v>
      </c>
      <c r="M28" s="52">
        <v>28.3928</v>
      </c>
      <c r="N28" s="52">
        <v>0</v>
      </c>
      <c r="O28" s="52">
        <v>0</v>
      </c>
      <c r="P28" s="52">
        <v>3.4072</v>
      </c>
      <c r="Q28" s="54">
        <v>28.3928</v>
      </c>
      <c r="R28" s="52">
        <v>31.8</v>
      </c>
      <c r="S28" s="52">
        <v>0</v>
      </c>
      <c r="T28" s="52">
        <v>0</v>
      </c>
      <c r="U28" s="52">
        <v>0</v>
      </c>
      <c r="V28" s="52">
        <v>0</v>
      </c>
      <c r="W28" s="52">
        <v>0.2</v>
      </c>
      <c r="X28" s="54">
        <v>100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46132.31684027778</v>
      </c>
      <c r="AH28" s="52">
        <v>27581</v>
      </c>
      <c r="AI28" s="52">
        <v>0</v>
      </c>
      <c r="AJ28" s="53">
        <f>AH28+AI28</f>
        <v>27581</v>
      </c>
      <c r="AK28" s="56">
        <v>0</v>
      </c>
    </row>
    <row r="29">
      <c r="A29" s="48">
        <v>46132.31710648148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166004523</v>
      </c>
      <c r="H29" s="52">
        <v>32</v>
      </c>
      <c r="I29" s="52">
        <f>L29+M29+N29</f>
        <v>26.3636</v>
      </c>
      <c r="J29" s="52">
        <f>O29+P29</f>
        <v>5.5364</v>
      </c>
      <c r="K29" s="53">
        <f>IF(H29=I29+J29,0,W29)</f>
        <v>0.1</v>
      </c>
      <c r="L29" s="52">
        <v>26.3636</v>
      </c>
      <c r="M29" s="52">
        <v>0</v>
      </c>
      <c r="N29" s="52">
        <v>0</v>
      </c>
      <c r="O29" s="52">
        <v>5.5364</v>
      </c>
      <c r="P29" s="52">
        <v>0</v>
      </c>
      <c r="Q29" s="54">
        <v>26.3636</v>
      </c>
      <c r="R29" s="52">
        <v>31.9</v>
      </c>
      <c r="S29" s="52">
        <v>0</v>
      </c>
      <c r="T29" s="52">
        <v>0</v>
      </c>
      <c r="U29" s="52">
        <v>0</v>
      </c>
      <c r="V29" s="52">
        <v>0</v>
      </c>
      <c r="W29" s="52">
        <v>0.1</v>
      </c>
      <c r="X29" s="54">
        <v>32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46132.31710648148</v>
      </c>
      <c r="AH29" s="52">
        <v>27613</v>
      </c>
      <c r="AI29" s="52">
        <v>0</v>
      </c>
      <c r="AJ29" s="53">
        <f>AH29+AI29</f>
        <v>27613</v>
      </c>
      <c r="AK29" s="56">
        <v>0</v>
      </c>
    </row>
    <row r="30">
      <c r="A30" s="48">
        <v>46132.317719907405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166004524</v>
      </c>
      <c r="H30" s="52">
        <v>77</v>
      </c>
      <c r="I30" s="52">
        <f>L30+M30+N30</f>
        <v>68.4809</v>
      </c>
      <c r="J30" s="52">
        <f>O30+P30</f>
        <v>8.3591</v>
      </c>
      <c r="K30" s="53">
        <f>IF(H30=I30+J30,0,W30)</f>
        <v>0.16</v>
      </c>
      <c r="L30" s="52">
        <v>1.5702</v>
      </c>
      <c r="M30" s="52">
        <v>66.9107</v>
      </c>
      <c r="N30" s="52">
        <v>0</v>
      </c>
      <c r="O30" s="52">
        <v>0.3298</v>
      </c>
      <c r="P30" s="52">
        <v>8.0293</v>
      </c>
      <c r="Q30" s="54">
        <v>68.4809</v>
      </c>
      <c r="R30" s="52">
        <v>76.84</v>
      </c>
      <c r="S30" s="52">
        <v>0</v>
      </c>
      <c r="T30" s="52">
        <v>0</v>
      </c>
      <c r="U30" s="52">
        <v>0</v>
      </c>
      <c r="V30" s="52">
        <v>0</v>
      </c>
      <c r="W30" s="52">
        <v>0.16</v>
      </c>
      <c r="X30" s="54">
        <v>200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46132.317719907405</v>
      </c>
      <c r="AH30" s="52">
        <v>27690</v>
      </c>
      <c r="AI30" s="52">
        <v>0</v>
      </c>
      <c r="AJ30" s="53">
        <f>AH30+AI30</f>
        <v>27690</v>
      </c>
      <c r="AK30" s="56">
        <v>0</v>
      </c>
    </row>
    <row r="31">
      <c r="A31" s="48">
        <v>46132.31811342593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166004525</v>
      </c>
      <c r="H31" s="52">
        <v>36</v>
      </c>
      <c r="I31" s="52">
        <f>L31+M31+N31</f>
        <v>31.7767</v>
      </c>
      <c r="J31" s="52">
        <f>O31+P31</f>
        <v>3.8133</v>
      </c>
      <c r="K31" s="53">
        <f>IF(H31=I31+J31,0,W31)</f>
        <v>0.41</v>
      </c>
      <c r="L31" s="52">
        <v>0</v>
      </c>
      <c r="M31" s="52">
        <v>31.7767</v>
      </c>
      <c r="N31" s="52">
        <v>0</v>
      </c>
      <c r="O31" s="52">
        <v>0</v>
      </c>
      <c r="P31" s="52">
        <v>3.8133</v>
      </c>
      <c r="Q31" s="54">
        <v>31.7767</v>
      </c>
      <c r="R31" s="52">
        <v>35.59</v>
      </c>
      <c r="S31" s="52">
        <v>0</v>
      </c>
      <c r="T31" s="52">
        <v>0</v>
      </c>
      <c r="U31" s="52">
        <v>0</v>
      </c>
      <c r="V31" s="52">
        <v>0</v>
      </c>
      <c r="W31" s="52">
        <v>0.41</v>
      </c>
      <c r="X31" s="54">
        <v>100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46132.31811342593</v>
      </c>
      <c r="AH31" s="52">
        <v>27726</v>
      </c>
      <c r="AI31" s="52">
        <v>0</v>
      </c>
      <c r="AJ31" s="53">
        <f>AH31+AI31</f>
        <v>27726</v>
      </c>
      <c r="AK31" s="56">
        <v>0</v>
      </c>
    </row>
    <row r="32">
      <c r="A32" s="48">
        <v>46132.318194444444</v>
      </c>
      <c r="B32" s="49" t="s">
        <v>108</v>
      </c>
      <c r="C32" s="49" t="s">
        <v>100</v>
      </c>
      <c r="D32" s="49" t="s">
        <v>5</v>
      </c>
      <c r="E32" s="50">
        <v>96</v>
      </c>
      <c r="F32" s="49" t="s">
        <v>105</v>
      </c>
      <c r="G32" s="51">
        <v>161000331</v>
      </c>
      <c r="H32" s="52">
        <v>23.9</v>
      </c>
      <c r="I32" s="52">
        <f>L32+M32+N32</f>
        <v>19.75</v>
      </c>
      <c r="J32" s="52">
        <f>O32+P32</f>
        <v>4.15</v>
      </c>
      <c r="K32" s="53">
        <f>IF(H32=I32+J32,0,W32)</f>
        <v>0</v>
      </c>
      <c r="L32" s="52">
        <v>19.75</v>
      </c>
      <c r="M32" s="52">
        <v>0</v>
      </c>
      <c r="N32" s="52">
        <v>0</v>
      </c>
      <c r="O32" s="52">
        <v>4.15</v>
      </c>
      <c r="P32" s="52">
        <v>0</v>
      </c>
      <c r="Q32" s="54">
        <v>19.75</v>
      </c>
      <c r="R32" s="52">
        <v>23.9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0</v>
      </c>
      <c r="Y32" s="52">
        <v>0</v>
      </c>
      <c r="Z32" s="52">
        <v>23.9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46132.318194444444</v>
      </c>
      <c r="AH32" s="52">
        <v>0</v>
      </c>
      <c r="AI32" s="52">
        <v>0</v>
      </c>
      <c r="AJ32" s="53">
        <f>AH32+AI32</f>
        <v>0</v>
      </c>
      <c r="AK32" s="56">
        <v>0</v>
      </c>
    </row>
    <row r="33">
      <c r="A33" s="48">
        <v>46132.31974537037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166004526</v>
      </c>
      <c r="H33" s="52">
        <v>210</v>
      </c>
      <c r="I33" s="52">
        <f>L33+M33+N33</f>
        <v>187.857</v>
      </c>
      <c r="J33" s="52">
        <f>O33+P33</f>
        <v>22.543</v>
      </c>
      <c r="K33" s="53">
        <f>IF(H33=I33+J33,0,W33)</f>
        <v>-0.4</v>
      </c>
      <c r="L33" s="52">
        <v>0</v>
      </c>
      <c r="M33" s="52">
        <v>187.857</v>
      </c>
      <c r="N33" s="52">
        <v>0</v>
      </c>
      <c r="O33" s="52">
        <v>0</v>
      </c>
      <c r="P33" s="52">
        <v>22.543</v>
      </c>
      <c r="Q33" s="54">
        <v>187.857</v>
      </c>
      <c r="R33" s="52">
        <v>210.4</v>
      </c>
      <c r="S33" s="52">
        <v>0</v>
      </c>
      <c r="T33" s="52">
        <v>0</v>
      </c>
      <c r="U33" s="52">
        <v>0</v>
      </c>
      <c r="V33" s="52">
        <v>0</v>
      </c>
      <c r="W33" s="52">
        <v>-0.4</v>
      </c>
      <c r="X33" s="54">
        <v>210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46132.31974537037</v>
      </c>
      <c r="AH33" s="52">
        <v>27936</v>
      </c>
      <c r="AI33" s="52">
        <v>0</v>
      </c>
      <c r="AJ33" s="53">
        <f>AH33+AI33</f>
        <v>27936</v>
      </c>
      <c r="AK33" s="56">
        <v>0</v>
      </c>
    </row>
    <row r="34">
      <c r="A34" s="48">
        <v>46132.32405092593</v>
      </c>
      <c r="B34" s="49" t="s">
        <v>108</v>
      </c>
      <c r="C34" s="49" t="s">
        <v>106</v>
      </c>
      <c r="D34" s="49" t="s">
        <v>5</v>
      </c>
      <c r="E34" s="50">
        <v>96</v>
      </c>
      <c r="F34" s="49" t="s">
        <v>107</v>
      </c>
      <c r="G34" s="51">
        <v>166004527</v>
      </c>
      <c r="H34" s="52">
        <v>145</v>
      </c>
      <c r="I34" s="52">
        <f>L34+M34+N34</f>
        <v>119.8347</v>
      </c>
      <c r="J34" s="52">
        <f>O34+P34</f>
        <v>25.1653</v>
      </c>
      <c r="K34" s="53">
        <f>IF(H34=I34+J34,0,W34)</f>
        <v>0</v>
      </c>
      <c r="L34" s="52">
        <v>119.8347</v>
      </c>
      <c r="M34" s="52">
        <v>0</v>
      </c>
      <c r="N34" s="52">
        <v>0</v>
      </c>
      <c r="O34" s="52">
        <v>25.1653</v>
      </c>
      <c r="P34" s="52">
        <v>0</v>
      </c>
      <c r="Q34" s="54">
        <v>119.8347</v>
      </c>
      <c r="R34" s="52">
        <v>145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145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46132.32405092593</v>
      </c>
      <c r="AH34" s="52">
        <v>27936</v>
      </c>
      <c r="AI34" s="52">
        <v>0</v>
      </c>
      <c r="AJ34" s="53">
        <f>AH34+AI34</f>
        <v>27936</v>
      </c>
      <c r="AK34" s="56">
        <v>0</v>
      </c>
    </row>
    <row r="35">
      <c r="A35" s="48">
        <v>46132.326840277776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166004528</v>
      </c>
      <c r="H35" s="52">
        <v>460</v>
      </c>
      <c r="I35" s="52">
        <f>L35+M35+N35</f>
        <v>388.2116</v>
      </c>
      <c r="J35" s="52">
        <f>O35+P35</f>
        <v>71.7184</v>
      </c>
      <c r="K35" s="53">
        <f>IF(H35=I35+J35,0,W35)</f>
        <v>0.07</v>
      </c>
      <c r="L35" s="52">
        <v>279.2562</v>
      </c>
      <c r="M35" s="52">
        <v>108.9554</v>
      </c>
      <c r="N35" s="52">
        <v>0</v>
      </c>
      <c r="O35" s="52">
        <v>58.6438</v>
      </c>
      <c r="P35" s="52">
        <v>13.0746</v>
      </c>
      <c r="Q35" s="54">
        <v>388.2116</v>
      </c>
      <c r="R35" s="52">
        <v>459.93</v>
      </c>
      <c r="S35" s="52">
        <v>0</v>
      </c>
      <c r="T35" s="52">
        <v>0</v>
      </c>
      <c r="U35" s="52">
        <v>0</v>
      </c>
      <c r="V35" s="52">
        <v>0</v>
      </c>
      <c r="W35" s="52">
        <v>0.07</v>
      </c>
      <c r="X35" s="54">
        <v>500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46132.326840277776</v>
      </c>
      <c r="AH35" s="52">
        <v>28396</v>
      </c>
      <c r="AI35" s="52">
        <v>0</v>
      </c>
      <c r="AJ35" s="53">
        <f>AH35+AI35</f>
        <v>28396</v>
      </c>
      <c r="AK35" s="56">
        <v>7.4062</v>
      </c>
    </row>
    <row r="36">
      <c r="A36" s="48">
        <v>46132.32824074074</v>
      </c>
      <c r="B36" s="49" t="s">
        <v>108</v>
      </c>
      <c r="C36" s="49" t="s">
        <v>106</v>
      </c>
      <c r="D36" s="49" t="s">
        <v>5</v>
      </c>
      <c r="E36" s="50">
        <v>96</v>
      </c>
      <c r="F36" s="49" t="s">
        <v>107</v>
      </c>
      <c r="G36" s="51">
        <v>166004529</v>
      </c>
      <c r="H36" s="52">
        <v>608</v>
      </c>
      <c r="I36" s="52">
        <f>L36+M36+N36</f>
        <v>533.2121</v>
      </c>
      <c r="J36" s="52">
        <f>O36+P36</f>
        <v>75.0679</v>
      </c>
      <c r="K36" s="53">
        <f>IF(H36=I36+J36,0,W36)</f>
        <v>-0.28</v>
      </c>
      <c r="L36" s="52">
        <v>123.1405</v>
      </c>
      <c r="M36" s="52">
        <v>410.0716</v>
      </c>
      <c r="N36" s="52">
        <v>0</v>
      </c>
      <c r="O36" s="52">
        <v>25.8595</v>
      </c>
      <c r="P36" s="52">
        <v>49.2084</v>
      </c>
      <c r="Q36" s="54">
        <v>533.2121</v>
      </c>
      <c r="R36" s="52">
        <v>608.28</v>
      </c>
      <c r="S36" s="52">
        <v>0</v>
      </c>
      <c r="T36" s="52">
        <v>0</v>
      </c>
      <c r="U36" s="52">
        <v>0</v>
      </c>
      <c r="V36" s="52">
        <v>0</v>
      </c>
      <c r="W36" s="52">
        <v>-0.28</v>
      </c>
      <c r="X36" s="54">
        <v>2000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46132.32824074074</v>
      </c>
      <c r="AH36" s="52">
        <v>29004</v>
      </c>
      <c r="AI36" s="52">
        <v>0</v>
      </c>
      <c r="AJ36" s="53">
        <f>AH36+AI36</f>
        <v>29004</v>
      </c>
      <c r="AK36" s="56">
        <v>14.533</v>
      </c>
    </row>
    <row r="37">
      <c r="A37" s="48">
        <v>46132.32855324074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166004530</v>
      </c>
      <c r="H37" s="52">
        <v>161</v>
      </c>
      <c r="I37" s="52">
        <f>L37+M37+N37</f>
        <v>133.0579</v>
      </c>
      <c r="J37" s="52">
        <f>O37+P37</f>
        <v>27.9421</v>
      </c>
      <c r="K37" s="53">
        <f>IF(H37=I37+J37,0,W37)</f>
        <v>0</v>
      </c>
      <c r="L37" s="52">
        <v>133.0579</v>
      </c>
      <c r="M37" s="52">
        <v>0</v>
      </c>
      <c r="N37" s="52">
        <v>0</v>
      </c>
      <c r="O37" s="52">
        <v>27.9421</v>
      </c>
      <c r="P37" s="52">
        <v>0</v>
      </c>
      <c r="Q37" s="54">
        <v>133.0579</v>
      </c>
      <c r="R37" s="52">
        <v>161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200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46132.32855324074</v>
      </c>
      <c r="AH37" s="52">
        <v>29165</v>
      </c>
      <c r="AI37" s="52">
        <v>0</v>
      </c>
      <c r="AJ37" s="53">
        <f>AH37+AI37</f>
        <v>29165</v>
      </c>
      <c r="AK37" s="56">
        <v>0</v>
      </c>
    </row>
    <row r="38">
      <c r="A38" s="48">
        <v>46132.32880787037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166004531</v>
      </c>
      <c r="H38" s="52">
        <v>98</v>
      </c>
      <c r="I38" s="52">
        <f>L38+M38+N38</f>
        <v>86.9585</v>
      </c>
      <c r="J38" s="52">
        <f>O38+P38</f>
        <v>11.1715</v>
      </c>
      <c r="K38" s="53">
        <f>IF(H38=I38+J38,0,W38)</f>
        <v>-0.13</v>
      </c>
      <c r="L38" s="52">
        <v>8.1818</v>
      </c>
      <c r="M38" s="52">
        <v>78.7767</v>
      </c>
      <c r="N38" s="52">
        <v>0</v>
      </c>
      <c r="O38" s="52">
        <v>1.7182</v>
      </c>
      <c r="P38" s="52">
        <v>9.4533</v>
      </c>
      <c r="Q38" s="54">
        <v>86.9585</v>
      </c>
      <c r="R38" s="52">
        <v>98.13</v>
      </c>
      <c r="S38" s="52">
        <v>0</v>
      </c>
      <c r="T38" s="52">
        <v>0</v>
      </c>
      <c r="U38" s="52">
        <v>0</v>
      </c>
      <c r="V38" s="52">
        <v>0</v>
      </c>
      <c r="W38" s="52">
        <v>-0.13</v>
      </c>
      <c r="X38" s="54">
        <v>100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46132.32880787037</v>
      </c>
      <c r="AH38" s="52">
        <v>29263</v>
      </c>
      <c r="AI38" s="52">
        <v>0</v>
      </c>
      <c r="AJ38" s="53">
        <f>AH38+AI38</f>
        <v>29263</v>
      </c>
      <c r="AK38" s="56">
        <v>17.37</v>
      </c>
    </row>
    <row r="39">
      <c r="A39" s="48">
        <v>46132.329375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166004532</v>
      </c>
      <c r="H39" s="52">
        <v>292.38</v>
      </c>
      <c r="I39" s="52">
        <f>L39+M39+N39</f>
        <v>257.40749999999997</v>
      </c>
      <c r="J39" s="52">
        <f>O39+P39</f>
        <v>34.972500000000004</v>
      </c>
      <c r="K39" s="53">
        <f>IF(H39=I39+J39,0,W39)</f>
        <v>0</v>
      </c>
      <c r="L39" s="52">
        <v>45.3719</v>
      </c>
      <c r="M39" s="52">
        <v>212.0356</v>
      </c>
      <c r="N39" s="52">
        <v>0</v>
      </c>
      <c r="O39" s="52">
        <v>9.5281</v>
      </c>
      <c r="P39" s="52">
        <v>25.4444</v>
      </c>
      <c r="Q39" s="54">
        <v>257.4075</v>
      </c>
      <c r="R39" s="52">
        <v>292.38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292.38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46132.329375</v>
      </c>
      <c r="AH39" s="52">
        <v>29263</v>
      </c>
      <c r="AI39" s="52">
        <v>0</v>
      </c>
      <c r="AJ39" s="53">
        <f>AH39+AI39</f>
        <v>29263</v>
      </c>
      <c r="AK39" s="56">
        <v>0</v>
      </c>
    </row>
    <row r="40">
      <c r="A40" s="48">
        <v>46132.33091435185</v>
      </c>
      <c r="B40" s="49" t="s">
        <v>108</v>
      </c>
      <c r="C40" s="49" t="s">
        <v>100</v>
      </c>
      <c r="D40" s="49" t="s">
        <v>5</v>
      </c>
      <c r="E40" s="50">
        <v>96</v>
      </c>
      <c r="F40" s="49" t="s">
        <v>105</v>
      </c>
      <c r="G40" s="51">
        <v>161000332</v>
      </c>
      <c r="H40" s="52">
        <v>75.55</v>
      </c>
      <c r="I40" s="52">
        <f>L40+M40+N40</f>
        <v>67.28999999999999</v>
      </c>
      <c r="J40" s="52">
        <f>O40+P40</f>
        <v>8.26</v>
      </c>
      <c r="K40" s="53">
        <f>IF(H40=I40+J40,0,W40)</f>
        <v>0</v>
      </c>
      <c r="L40" s="52">
        <v>1.57</v>
      </c>
      <c r="M40" s="52">
        <v>65.72</v>
      </c>
      <c r="N40" s="52">
        <v>0</v>
      </c>
      <c r="O40" s="52">
        <v>0.33</v>
      </c>
      <c r="P40" s="52">
        <v>7.93</v>
      </c>
      <c r="Q40" s="54">
        <v>67.29</v>
      </c>
      <c r="R40" s="52">
        <v>75.55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75.55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46132.33091435185</v>
      </c>
      <c r="AH40" s="52">
        <v>0</v>
      </c>
      <c r="AI40" s="52">
        <v>0</v>
      </c>
      <c r="AJ40" s="53">
        <f>AH40+AI40</f>
        <v>0</v>
      </c>
      <c r="AK40" s="56">
        <v>0</v>
      </c>
    </row>
    <row r="41">
      <c r="A41" s="48">
        <v>46132.33113425926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166004533</v>
      </c>
      <c r="H41" s="52">
        <v>6</v>
      </c>
      <c r="I41" s="52">
        <f>L41+M41+N41</f>
        <v>5.1786</v>
      </c>
      <c r="J41" s="52">
        <f>O41+P41</f>
        <v>0.6214</v>
      </c>
      <c r="K41" s="53">
        <f>IF(H41=I41+J41,0,W41)</f>
        <v>0.2</v>
      </c>
      <c r="L41" s="52">
        <v>0</v>
      </c>
      <c r="M41" s="52">
        <v>5.1786</v>
      </c>
      <c r="N41" s="52">
        <v>0</v>
      </c>
      <c r="O41" s="52">
        <v>0</v>
      </c>
      <c r="P41" s="52">
        <v>0.6214</v>
      </c>
      <c r="Q41" s="54">
        <v>5.1786</v>
      </c>
      <c r="R41" s="52">
        <v>5.8</v>
      </c>
      <c r="S41" s="52">
        <v>0</v>
      </c>
      <c r="T41" s="52">
        <v>0</v>
      </c>
      <c r="U41" s="52">
        <v>0</v>
      </c>
      <c r="V41" s="52">
        <v>0</v>
      </c>
      <c r="W41" s="52">
        <v>0.2</v>
      </c>
      <c r="X41" s="54">
        <v>6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46132.33113425926</v>
      </c>
      <c r="AH41" s="52">
        <v>29269</v>
      </c>
      <c r="AI41" s="52">
        <v>0</v>
      </c>
      <c r="AJ41" s="53">
        <f>AH41+AI41</f>
        <v>29269</v>
      </c>
      <c r="AK41" s="56">
        <v>0</v>
      </c>
    </row>
    <row r="42">
      <c r="A42" s="48">
        <v>46132.33251157407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166004534</v>
      </c>
      <c r="H42" s="52">
        <v>35.6</v>
      </c>
      <c r="I42" s="52">
        <f>L42+M42+N42</f>
        <v>31.7857</v>
      </c>
      <c r="J42" s="52">
        <f>O42+P42</f>
        <v>3.8143</v>
      </c>
      <c r="K42" s="53">
        <f>IF(H42=I42+J42,0,W42)</f>
        <v>0</v>
      </c>
      <c r="L42" s="52">
        <v>0</v>
      </c>
      <c r="M42" s="52">
        <v>31.7857</v>
      </c>
      <c r="N42" s="52">
        <v>0</v>
      </c>
      <c r="O42" s="52">
        <v>0</v>
      </c>
      <c r="P42" s="52">
        <v>3.8143</v>
      </c>
      <c r="Q42" s="54">
        <v>31.7857</v>
      </c>
      <c r="R42" s="52">
        <v>35.6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35.6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46132.33251157407</v>
      </c>
      <c r="AH42" s="52">
        <v>29269</v>
      </c>
      <c r="AI42" s="52">
        <v>0</v>
      </c>
      <c r="AJ42" s="53">
        <f>AH42+AI42</f>
        <v>29269</v>
      </c>
      <c r="AK42" s="56">
        <v>0</v>
      </c>
    </row>
    <row r="43">
      <c r="A43" s="48">
        <v>46132.33337962963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166004535</v>
      </c>
      <c r="H43" s="52">
        <v>392.9</v>
      </c>
      <c r="I43" s="52">
        <f>L43+M43+N43</f>
        <v>346.0355</v>
      </c>
      <c r="J43" s="52">
        <f>O43+P43</f>
        <v>46.8645</v>
      </c>
      <c r="K43" s="53">
        <f>IF(H43=I43+J43,0,W43)</f>
        <v>0</v>
      </c>
      <c r="L43" s="52">
        <v>59.3388</v>
      </c>
      <c r="M43" s="52">
        <v>286.6967</v>
      </c>
      <c r="N43" s="52">
        <v>0</v>
      </c>
      <c r="O43" s="52">
        <v>12.4612</v>
      </c>
      <c r="P43" s="52">
        <v>34.4033</v>
      </c>
      <c r="Q43" s="54">
        <v>346.0355</v>
      </c>
      <c r="R43" s="52">
        <v>392.9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392.9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46132.33337962963</v>
      </c>
      <c r="AH43" s="52">
        <v>29269</v>
      </c>
      <c r="AI43" s="52">
        <v>0</v>
      </c>
      <c r="AJ43" s="53">
        <f>AH43+AI43</f>
        <v>29269</v>
      </c>
      <c r="AK43" s="56">
        <v>0</v>
      </c>
    </row>
    <row r="44">
      <c r="A44" s="48">
        <v>46132.334131944444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166004536</v>
      </c>
      <c r="H44" s="52">
        <v>24</v>
      </c>
      <c r="I44" s="52">
        <f>L44+M44+N44</f>
        <v>20.9821</v>
      </c>
      <c r="J44" s="52">
        <f>O44+P44</f>
        <v>2.5179</v>
      </c>
      <c r="K44" s="53">
        <f>IF(H44=I44+J44,0,W44)</f>
        <v>0.5</v>
      </c>
      <c r="L44" s="52">
        <v>0</v>
      </c>
      <c r="M44" s="52">
        <v>20.9821</v>
      </c>
      <c r="N44" s="52">
        <v>0</v>
      </c>
      <c r="O44" s="52">
        <v>0</v>
      </c>
      <c r="P44" s="52">
        <v>2.5179</v>
      </c>
      <c r="Q44" s="54">
        <v>20.9821</v>
      </c>
      <c r="R44" s="52">
        <v>23.5</v>
      </c>
      <c r="S44" s="52">
        <v>0</v>
      </c>
      <c r="T44" s="52">
        <v>0</v>
      </c>
      <c r="U44" s="52">
        <v>0</v>
      </c>
      <c r="V44" s="52">
        <v>0</v>
      </c>
      <c r="W44" s="52">
        <v>0.5</v>
      </c>
      <c r="X44" s="54">
        <v>100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46132.334131944444</v>
      </c>
      <c r="AH44" s="52">
        <v>29293</v>
      </c>
      <c r="AI44" s="52">
        <v>0</v>
      </c>
      <c r="AJ44" s="53">
        <f>AH44+AI44</f>
        <v>29293</v>
      </c>
      <c r="AK44" s="56">
        <v>0</v>
      </c>
    </row>
    <row r="45">
      <c r="A45" s="48">
        <v>46132.33495370371</v>
      </c>
      <c r="B45" s="49" t="s">
        <v>108</v>
      </c>
      <c r="C45" s="49" t="s">
        <v>106</v>
      </c>
      <c r="D45" s="49" t="s">
        <v>5</v>
      </c>
      <c r="E45" s="50">
        <v>96</v>
      </c>
      <c r="F45" s="49" t="s">
        <v>107</v>
      </c>
      <c r="G45" s="51">
        <v>166004537</v>
      </c>
      <c r="H45" s="52">
        <v>174.5</v>
      </c>
      <c r="I45" s="52">
        <f>L45+M45+N45</f>
        <v>155.8035</v>
      </c>
      <c r="J45" s="52">
        <f>O45+P45</f>
        <v>18.6965</v>
      </c>
      <c r="K45" s="53">
        <f>IF(H45=I45+J45,0,W45)</f>
        <v>0</v>
      </c>
      <c r="L45" s="52">
        <v>0</v>
      </c>
      <c r="M45" s="52">
        <v>155.8035</v>
      </c>
      <c r="N45" s="52">
        <v>0</v>
      </c>
      <c r="O45" s="52">
        <v>0</v>
      </c>
      <c r="P45" s="52">
        <v>18.6965</v>
      </c>
      <c r="Q45" s="54">
        <v>155.8035</v>
      </c>
      <c r="R45" s="52">
        <v>174.5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174.5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46132.33495370371</v>
      </c>
      <c r="AH45" s="52">
        <v>29293</v>
      </c>
      <c r="AI45" s="52">
        <v>0</v>
      </c>
      <c r="AJ45" s="53">
        <f>AH45+AI45</f>
        <v>29293</v>
      </c>
      <c r="AK45" s="56">
        <v>0</v>
      </c>
    </row>
    <row r="46">
      <c r="A46" s="48">
        <v>46132.33560185185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166004538</v>
      </c>
      <c r="H46" s="52">
        <v>84</v>
      </c>
      <c r="I46" s="52">
        <f>L46+M46+N46</f>
        <v>72.48740000000001</v>
      </c>
      <c r="J46" s="52">
        <f>O46+P46</f>
        <v>11.2126</v>
      </c>
      <c r="K46" s="53">
        <f>IF(H46=I46+J46,0,W46)</f>
        <v>0.3</v>
      </c>
      <c r="L46" s="52">
        <v>27.9338</v>
      </c>
      <c r="M46" s="52">
        <v>44.5536</v>
      </c>
      <c r="N46" s="52">
        <v>0</v>
      </c>
      <c r="O46" s="52">
        <v>5.8662</v>
      </c>
      <c r="P46" s="52">
        <v>5.3464</v>
      </c>
      <c r="Q46" s="54">
        <v>72.4874</v>
      </c>
      <c r="R46" s="52">
        <v>83.7</v>
      </c>
      <c r="S46" s="52">
        <v>0</v>
      </c>
      <c r="T46" s="52">
        <v>0</v>
      </c>
      <c r="U46" s="52">
        <v>0</v>
      </c>
      <c r="V46" s="52">
        <v>0</v>
      </c>
      <c r="W46" s="52">
        <v>0.3</v>
      </c>
      <c r="X46" s="54">
        <v>1000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46132.33560185185</v>
      </c>
      <c r="AH46" s="52">
        <v>29377</v>
      </c>
      <c r="AI46" s="52">
        <v>0</v>
      </c>
      <c r="AJ46" s="53">
        <f>AH46+AI46</f>
        <v>29377</v>
      </c>
      <c r="AK46" s="56">
        <v>0</v>
      </c>
    </row>
    <row r="47">
      <c r="A47" s="48">
        <v>46132.33809027778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166004539</v>
      </c>
      <c r="H47" s="52">
        <v>76.6</v>
      </c>
      <c r="I47" s="52">
        <f>L47+M47+N47</f>
        <v>66.208</v>
      </c>
      <c r="J47" s="52">
        <f>O47+P47</f>
        <v>10.392</v>
      </c>
      <c r="K47" s="53">
        <f>IF(H47=I47+J47,0,W47)</f>
        <v>0</v>
      </c>
      <c r="L47" s="52">
        <v>27.1901</v>
      </c>
      <c r="M47" s="52">
        <v>39.0179</v>
      </c>
      <c r="N47" s="52">
        <v>0</v>
      </c>
      <c r="O47" s="52">
        <v>5.7099</v>
      </c>
      <c r="P47" s="52">
        <v>4.6821</v>
      </c>
      <c r="Q47" s="54">
        <v>66.208</v>
      </c>
      <c r="R47" s="52">
        <v>76.6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76.6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46132.33809027778</v>
      </c>
      <c r="AH47" s="52">
        <v>29377</v>
      </c>
      <c r="AI47" s="52">
        <v>0</v>
      </c>
      <c r="AJ47" s="53">
        <f>AH47+AI47</f>
        <v>29377</v>
      </c>
      <c r="AK47" s="56">
        <v>0</v>
      </c>
    </row>
    <row r="48">
      <c r="A48" s="48">
        <v>46132.33824074074</v>
      </c>
      <c r="B48" s="49" t="s">
        <v>108</v>
      </c>
      <c r="C48" s="49" t="s">
        <v>106</v>
      </c>
      <c r="D48" s="49" t="s">
        <v>5</v>
      </c>
      <c r="E48" s="50">
        <v>96</v>
      </c>
      <c r="F48" s="49" t="s">
        <v>107</v>
      </c>
      <c r="G48" s="51">
        <v>166004540</v>
      </c>
      <c r="H48" s="52">
        <v>81</v>
      </c>
      <c r="I48" s="52">
        <f>L48+M48+N48</f>
        <v>68.7072</v>
      </c>
      <c r="J48" s="52">
        <f>O48+P48</f>
        <v>11.7928</v>
      </c>
      <c r="K48" s="53">
        <f>IF(H48=I48+J48,0,W48)</f>
        <v>0.5</v>
      </c>
      <c r="L48" s="52">
        <v>39.4215</v>
      </c>
      <c r="M48" s="52">
        <v>29.2857</v>
      </c>
      <c r="N48" s="52">
        <v>0</v>
      </c>
      <c r="O48" s="52">
        <v>8.2785</v>
      </c>
      <c r="P48" s="52">
        <v>3.5143</v>
      </c>
      <c r="Q48" s="54">
        <v>68.7072</v>
      </c>
      <c r="R48" s="52">
        <v>80.5</v>
      </c>
      <c r="S48" s="52">
        <v>0</v>
      </c>
      <c r="T48" s="52">
        <v>0</v>
      </c>
      <c r="U48" s="52">
        <v>0</v>
      </c>
      <c r="V48" s="52">
        <v>0</v>
      </c>
      <c r="W48" s="52">
        <v>0.5</v>
      </c>
      <c r="X48" s="54">
        <v>200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46132.33824074074</v>
      </c>
      <c r="AH48" s="52">
        <v>29458</v>
      </c>
      <c r="AI48" s="52">
        <v>0</v>
      </c>
      <c r="AJ48" s="53">
        <f>AH48+AI48</f>
        <v>29458</v>
      </c>
      <c r="AK48" s="56">
        <v>0</v>
      </c>
    </row>
    <row r="49">
      <c r="A49" s="48">
        <v>46132.338784722226</v>
      </c>
      <c r="B49" s="49" t="s">
        <v>108</v>
      </c>
      <c r="C49" s="49" t="s">
        <v>106</v>
      </c>
      <c r="D49" s="49" t="s">
        <v>5</v>
      </c>
      <c r="E49" s="50">
        <v>96</v>
      </c>
      <c r="F49" s="49" t="s">
        <v>107</v>
      </c>
      <c r="G49" s="51">
        <v>166004541</v>
      </c>
      <c r="H49" s="52">
        <v>47.7</v>
      </c>
      <c r="I49" s="52">
        <f>L49+M49+N49</f>
        <v>42.5893</v>
      </c>
      <c r="J49" s="52">
        <f>O49+P49</f>
        <v>5.1107</v>
      </c>
      <c r="K49" s="53">
        <f>IF(H49=I49+J49,0,W49)</f>
        <v>0</v>
      </c>
      <c r="L49" s="52">
        <v>0</v>
      </c>
      <c r="M49" s="52">
        <v>42.5893</v>
      </c>
      <c r="N49" s="52">
        <v>0</v>
      </c>
      <c r="O49" s="52">
        <v>0</v>
      </c>
      <c r="P49" s="52">
        <v>5.1107</v>
      </c>
      <c r="Q49" s="54">
        <v>42.5893</v>
      </c>
      <c r="R49" s="52">
        <v>47.7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47.7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46132.338784722226</v>
      </c>
      <c r="AH49" s="52">
        <v>29458</v>
      </c>
      <c r="AI49" s="52">
        <v>0</v>
      </c>
      <c r="AJ49" s="53">
        <f>AH49+AI49</f>
        <v>29458</v>
      </c>
      <c r="AK49" s="56">
        <v>0</v>
      </c>
    </row>
    <row r="50">
      <c r="A50" s="48">
        <v>46132.3390625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166004542</v>
      </c>
      <c r="H50" s="52">
        <v>120.6</v>
      </c>
      <c r="I50" s="52">
        <f>L50+M50+N50</f>
        <v>105.0355</v>
      </c>
      <c r="J50" s="52">
        <f>O50+P50</f>
        <v>15.564499999999999</v>
      </c>
      <c r="K50" s="53">
        <f>IF(H50=I50+J50,0,W50)</f>
        <v>0</v>
      </c>
      <c r="L50" s="52">
        <v>32.8926</v>
      </c>
      <c r="M50" s="52">
        <v>72.1429</v>
      </c>
      <c r="N50" s="52">
        <v>0</v>
      </c>
      <c r="O50" s="52">
        <v>6.9074</v>
      </c>
      <c r="P50" s="52">
        <v>8.6571</v>
      </c>
      <c r="Q50" s="54">
        <v>105.0355</v>
      </c>
      <c r="R50" s="52">
        <v>120.6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120.6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46132.3390625</v>
      </c>
      <c r="AH50" s="52">
        <v>29458</v>
      </c>
      <c r="AI50" s="52">
        <v>0</v>
      </c>
      <c r="AJ50" s="53">
        <f>AH50+AI50</f>
        <v>29458</v>
      </c>
      <c r="AK50" s="56">
        <v>0</v>
      </c>
    </row>
    <row r="51">
      <c r="A51" s="48">
        <v>46132.33960648148</v>
      </c>
      <c r="B51" s="49" t="s">
        <v>108</v>
      </c>
      <c r="C51" s="49" t="s">
        <v>106</v>
      </c>
      <c r="D51" s="49" t="s">
        <v>5</v>
      </c>
      <c r="E51" s="50">
        <v>96</v>
      </c>
      <c r="F51" s="49" t="s">
        <v>107</v>
      </c>
      <c r="G51" s="51">
        <v>166004543</v>
      </c>
      <c r="H51" s="52">
        <v>169.3</v>
      </c>
      <c r="I51" s="52">
        <f>L51+M51+N51</f>
        <v>149.8391</v>
      </c>
      <c r="J51" s="52">
        <f>O51+P51</f>
        <v>19.460900000000002</v>
      </c>
      <c r="K51" s="53">
        <f>IF(H51=I51+J51,0,W51)</f>
        <v>0</v>
      </c>
      <c r="L51" s="52">
        <v>16.4463</v>
      </c>
      <c r="M51" s="52">
        <v>133.3928</v>
      </c>
      <c r="N51" s="52">
        <v>0</v>
      </c>
      <c r="O51" s="52">
        <v>3.4537</v>
      </c>
      <c r="P51" s="52">
        <v>16.0072</v>
      </c>
      <c r="Q51" s="54">
        <v>149.8391</v>
      </c>
      <c r="R51" s="52">
        <v>169.3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0</v>
      </c>
      <c r="Y51" s="52">
        <v>0</v>
      </c>
      <c r="Z51" s="52">
        <v>169.3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46132.33960648148</v>
      </c>
      <c r="AH51" s="52">
        <v>29458</v>
      </c>
      <c r="AI51" s="52">
        <v>0</v>
      </c>
      <c r="AJ51" s="53">
        <f>AH51+AI51</f>
        <v>29458</v>
      </c>
      <c r="AK51" s="56">
        <v>0</v>
      </c>
    </row>
    <row r="52">
      <c r="A52" s="48">
        <v>46132.34008101852</v>
      </c>
      <c r="B52" s="49" t="s">
        <v>108</v>
      </c>
      <c r="C52" s="49" t="s">
        <v>106</v>
      </c>
      <c r="D52" s="49" t="s">
        <v>5</v>
      </c>
      <c r="E52" s="50">
        <v>96</v>
      </c>
      <c r="F52" s="49" t="s">
        <v>107</v>
      </c>
      <c r="G52" s="51">
        <v>166004544</v>
      </c>
      <c r="H52" s="52">
        <v>71</v>
      </c>
      <c r="I52" s="52">
        <f>L52+M52+N52</f>
        <v>61.4595</v>
      </c>
      <c r="J52" s="52">
        <f>O52+P52</f>
        <v>9.7405</v>
      </c>
      <c r="K52" s="53">
        <f>IF(H52=I52+J52,0,W52)</f>
        <v>-0.2</v>
      </c>
      <c r="L52" s="52">
        <v>26.281</v>
      </c>
      <c r="M52" s="52">
        <v>35.1785</v>
      </c>
      <c r="N52" s="52">
        <v>0</v>
      </c>
      <c r="O52" s="52">
        <v>5.519</v>
      </c>
      <c r="P52" s="52">
        <v>4.2215</v>
      </c>
      <c r="Q52" s="54">
        <v>61.4595</v>
      </c>
      <c r="R52" s="52">
        <v>71.2</v>
      </c>
      <c r="S52" s="52">
        <v>0</v>
      </c>
      <c r="T52" s="52">
        <v>0</v>
      </c>
      <c r="U52" s="52">
        <v>0</v>
      </c>
      <c r="V52" s="52">
        <v>0</v>
      </c>
      <c r="W52" s="52">
        <v>-0.2</v>
      </c>
      <c r="X52" s="54">
        <v>200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46132.34008101852</v>
      </c>
      <c r="AH52" s="52">
        <v>29529</v>
      </c>
      <c r="AI52" s="52">
        <v>0</v>
      </c>
      <c r="AJ52" s="53">
        <f>AH52+AI52</f>
        <v>29529</v>
      </c>
      <c r="AK52" s="56">
        <v>0</v>
      </c>
    </row>
    <row r="53">
      <c r="A53" s="48">
        <v>46132.342199074075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166004545</v>
      </c>
      <c r="H53" s="52">
        <v>107</v>
      </c>
      <c r="I53" s="52">
        <f>L53+M53+N53</f>
        <v>89.468</v>
      </c>
      <c r="J53" s="52">
        <f>O53+P53</f>
        <v>17.831999999999997</v>
      </c>
      <c r="K53" s="53">
        <f>IF(H53=I53+J53,0,W53)</f>
        <v>-0.3</v>
      </c>
      <c r="L53" s="52">
        <v>78.843</v>
      </c>
      <c r="M53" s="52">
        <v>10.625</v>
      </c>
      <c r="N53" s="52">
        <v>0</v>
      </c>
      <c r="O53" s="52">
        <v>16.557</v>
      </c>
      <c r="P53" s="52">
        <v>1.275</v>
      </c>
      <c r="Q53" s="54">
        <v>89.468</v>
      </c>
      <c r="R53" s="52">
        <v>107.3</v>
      </c>
      <c r="S53" s="52">
        <v>0</v>
      </c>
      <c r="T53" s="52">
        <v>0</v>
      </c>
      <c r="U53" s="52">
        <v>0</v>
      </c>
      <c r="V53" s="52">
        <v>0</v>
      </c>
      <c r="W53" s="52">
        <v>-0.3</v>
      </c>
      <c r="X53" s="54">
        <v>200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46132.342199074075</v>
      </c>
      <c r="AH53" s="52">
        <v>29636</v>
      </c>
      <c r="AI53" s="52">
        <v>0</v>
      </c>
      <c r="AJ53" s="53">
        <f>AH53+AI53</f>
        <v>29636</v>
      </c>
      <c r="AK53" s="56">
        <v>0</v>
      </c>
    </row>
    <row r="54">
      <c r="A54" s="48">
        <v>46132.34376157408</v>
      </c>
      <c r="B54" s="49" t="s">
        <v>108</v>
      </c>
      <c r="C54" s="49" t="s">
        <v>106</v>
      </c>
      <c r="D54" s="49" t="s">
        <v>5</v>
      </c>
      <c r="E54" s="50">
        <v>96</v>
      </c>
      <c r="F54" s="49" t="s">
        <v>107</v>
      </c>
      <c r="G54" s="51">
        <v>166004546</v>
      </c>
      <c r="H54" s="52">
        <v>57</v>
      </c>
      <c r="I54" s="52">
        <f>L54+M54+N54</f>
        <v>50.8929</v>
      </c>
      <c r="J54" s="52">
        <f>O54+P54</f>
        <v>6.1071</v>
      </c>
      <c r="K54" s="53">
        <f>IF(H54=I54+J54,0,W54)</f>
        <v>0</v>
      </c>
      <c r="L54" s="52">
        <v>0</v>
      </c>
      <c r="M54" s="52">
        <v>50.8929</v>
      </c>
      <c r="N54" s="52">
        <v>0</v>
      </c>
      <c r="O54" s="52">
        <v>0</v>
      </c>
      <c r="P54" s="52">
        <v>6.1071</v>
      </c>
      <c r="Q54" s="54">
        <v>50.8929</v>
      </c>
      <c r="R54" s="52">
        <v>57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4">
        <v>200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46132.34376157408</v>
      </c>
      <c r="AH54" s="52">
        <v>29693</v>
      </c>
      <c r="AI54" s="52">
        <v>0</v>
      </c>
      <c r="AJ54" s="53">
        <f>AH54+AI54</f>
        <v>29693</v>
      </c>
      <c r="AK54" s="56">
        <v>0</v>
      </c>
    </row>
    <row r="55">
      <c r="A55" s="48">
        <v>46132.34457175926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166004547</v>
      </c>
      <c r="H55" s="52">
        <v>239.4</v>
      </c>
      <c r="I55" s="52">
        <f>L55+M55+N55</f>
        <v>208.7824</v>
      </c>
      <c r="J55" s="52">
        <f>O55+P55</f>
        <v>30.6176</v>
      </c>
      <c r="K55" s="53">
        <f>IF(H55=I55+J55,0,W55)</f>
        <v>0</v>
      </c>
      <c r="L55" s="52">
        <v>61.8181</v>
      </c>
      <c r="M55" s="52">
        <v>146.9643</v>
      </c>
      <c r="N55" s="52">
        <v>0</v>
      </c>
      <c r="O55" s="52">
        <v>12.9819</v>
      </c>
      <c r="P55" s="52">
        <v>17.6357</v>
      </c>
      <c r="Q55" s="54">
        <v>208.7824</v>
      </c>
      <c r="R55" s="52">
        <v>239.4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239.4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46132.34457175926</v>
      </c>
      <c r="AH55" s="52">
        <v>29693</v>
      </c>
      <c r="AI55" s="52">
        <v>0</v>
      </c>
      <c r="AJ55" s="53">
        <f>AH55+AI55</f>
        <v>29693</v>
      </c>
      <c r="AK55" s="56">
        <v>0</v>
      </c>
    </row>
    <row r="56">
      <c r="A56" s="48">
        <v>46132.34630787037</v>
      </c>
      <c r="B56" s="49" t="s">
        <v>108</v>
      </c>
      <c r="C56" s="49" t="s">
        <v>106</v>
      </c>
      <c r="D56" s="49" t="s">
        <v>5</v>
      </c>
      <c r="E56" s="50">
        <v>96</v>
      </c>
      <c r="F56" s="49" t="s">
        <v>107</v>
      </c>
      <c r="G56" s="51">
        <v>166004548</v>
      </c>
      <c r="H56" s="52">
        <v>91.4</v>
      </c>
      <c r="I56" s="52">
        <f>L56+M56+N56</f>
        <v>81.6071</v>
      </c>
      <c r="J56" s="52">
        <f>O56+P56</f>
        <v>9.7929</v>
      </c>
      <c r="K56" s="53">
        <f>IF(H56=I56+J56,0,W56)</f>
        <v>0</v>
      </c>
      <c r="L56" s="52">
        <v>0</v>
      </c>
      <c r="M56" s="52">
        <v>81.6071</v>
      </c>
      <c r="N56" s="52">
        <v>0</v>
      </c>
      <c r="O56" s="52">
        <v>0</v>
      </c>
      <c r="P56" s="52">
        <v>9.7929</v>
      </c>
      <c r="Q56" s="54">
        <v>81.6071</v>
      </c>
      <c r="R56" s="52">
        <v>91.4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91.4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46132.34630787037</v>
      </c>
      <c r="AH56" s="52">
        <v>29693</v>
      </c>
      <c r="AI56" s="52">
        <v>0</v>
      </c>
      <c r="AJ56" s="53">
        <f>AH56+AI56</f>
        <v>29693</v>
      </c>
      <c r="AK56" s="56">
        <v>0</v>
      </c>
    </row>
    <row r="57">
      <c r="A57" s="48">
        <v>46132.346921296295</v>
      </c>
      <c r="B57" s="49" t="s">
        <v>108</v>
      </c>
      <c r="C57" s="49" t="s">
        <v>106</v>
      </c>
      <c r="D57" s="49" t="s">
        <v>5</v>
      </c>
      <c r="E57" s="50">
        <v>96</v>
      </c>
      <c r="F57" s="49" t="s">
        <v>107</v>
      </c>
      <c r="G57" s="51">
        <v>166004549</v>
      </c>
      <c r="H57" s="52">
        <v>211.96</v>
      </c>
      <c r="I57" s="52">
        <f>L57+M57+N57</f>
        <v>189.2501</v>
      </c>
      <c r="J57" s="52">
        <f>O57+P57</f>
        <v>22.7099</v>
      </c>
      <c r="K57" s="53">
        <f>IF(H57=I57+J57,0,W57)</f>
        <v>0</v>
      </c>
      <c r="L57" s="52">
        <v>0</v>
      </c>
      <c r="M57" s="52">
        <v>189.2501</v>
      </c>
      <c r="N57" s="52">
        <v>0</v>
      </c>
      <c r="O57" s="52">
        <v>0</v>
      </c>
      <c r="P57" s="52">
        <v>22.7099</v>
      </c>
      <c r="Q57" s="54">
        <v>189.2501</v>
      </c>
      <c r="R57" s="52">
        <v>211.96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211.96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46132.346921296295</v>
      </c>
      <c r="AH57" s="52">
        <v>29693</v>
      </c>
      <c r="AI57" s="52">
        <v>0</v>
      </c>
      <c r="AJ57" s="53">
        <f>AH57+AI57</f>
        <v>29693</v>
      </c>
      <c r="AK57" s="56">
        <v>0</v>
      </c>
    </row>
    <row r="58">
      <c r="A58" s="48">
        <v>46132.34762731481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166004550</v>
      </c>
      <c r="H58" s="52">
        <v>338</v>
      </c>
      <c r="I58" s="52">
        <f>L58+M58+N58</f>
        <v>302.0537</v>
      </c>
      <c r="J58" s="52">
        <f>O58+P58</f>
        <v>36.2463</v>
      </c>
      <c r="K58" s="53">
        <f>IF(H58=I58+J58,0,W58)</f>
        <v>-0.3</v>
      </c>
      <c r="L58" s="52">
        <v>0</v>
      </c>
      <c r="M58" s="52">
        <v>302.0537</v>
      </c>
      <c r="N58" s="52">
        <v>0</v>
      </c>
      <c r="O58" s="52">
        <v>0</v>
      </c>
      <c r="P58" s="52">
        <v>36.2463</v>
      </c>
      <c r="Q58" s="54">
        <v>302.0537</v>
      </c>
      <c r="R58" s="52">
        <v>338.3</v>
      </c>
      <c r="S58" s="52">
        <v>0</v>
      </c>
      <c r="T58" s="52">
        <v>0</v>
      </c>
      <c r="U58" s="52">
        <v>0</v>
      </c>
      <c r="V58" s="52">
        <v>0</v>
      </c>
      <c r="W58" s="52">
        <v>-0.3</v>
      </c>
      <c r="X58" s="54">
        <v>338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46132.34762731481</v>
      </c>
      <c r="AH58" s="52">
        <v>30031</v>
      </c>
      <c r="AI58" s="52">
        <v>0</v>
      </c>
      <c r="AJ58" s="53">
        <f>AH58+AI58</f>
        <v>30031</v>
      </c>
      <c r="AK58" s="56">
        <v>0</v>
      </c>
    </row>
    <row r="59">
      <c r="A59" s="48">
        <v>46132.3490625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166004551</v>
      </c>
      <c r="H59" s="52">
        <v>133.6</v>
      </c>
      <c r="I59" s="52">
        <f>L59+M59+N59</f>
        <v>112.7244</v>
      </c>
      <c r="J59" s="52">
        <f>O59+P59</f>
        <v>20.8756</v>
      </c>
      <c r="K59" s="53">
        <f>IF(H59=I59+J59,0,W59)</f>
        <v>0</v>
      </c>
      <c r="L59" s="52">
        <v>81.6529</v>
      </c>
      <c r="M59" s="52">
        <v>31.0715</v>
      </c>
      <c r="N59" s="52">
        <v>0</v>
      </c>
      <c r="O59" s="52">
        <v>17.1471</v>
      </c>
      <c r="P59" s="52">
        <v>3.7285</v>
      </c>
      <c r="Q59" s="54">
        <v>112.7244</v>
      </c>
      <c r="R59" s="52">
        <v>133.6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4">
        <v>0</v>
      </c>
      <c r="Y59" s="52">
        <v>0</v>
      </c>
      <c r="Z59" s="52">
        <v>133.6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46132.3490625</v>
      </c>
      <c r="AH59" s="52">
        <v>30031</v>
      </c>
      <c r="AI59" s="52">
        <v>0</v>
      </c>
      <c r="AJ59" s="53">
        <f>AH59+AI59</f>
        <v>30031</v>
      </c>
      <c r="AK59" s="56">
        <v>0</v>
      </c>
    </row>
    <row r="60">
      <c r="A60" s="48">
        <v>46132.349953703706</v>
      </c>
      <c r="B60" s="49" t="s">
        <v>108</v>
      </c>
      <c r="C60" s="49" t="s">
        <v>106</v>
      </c>
      <c r="D60" s="49" t="s">
        <v>5</v>
      </c>
      <c r="E60" s="50">
        <v>96</v>
      </c>
      <c r="F60" s="49" t="s">
        <v>107</v>
      </c>
      <c r="G60" s="51">
        <v>166004552</v>
      </c>
      <c r="H60" s="52">
        <v>170</v>
      </c>
      <c r="I60" s="52">
        <f>L60+M60+N60</f>
        <v>149.6739</v>
      </c>
      <c r="J60" s="52">
        <f>O60+P60</f>
        <v>20.3261</v>
      </c>
      <c r="K60" s="53">
        <f>IF(H60=I60+J60,0,W60)</f>
        <v>0</v>
      </c>
      <c r="L60" s="52">
        <v>26.281</v>
      </c>
      <c r="M60" s="52">
        <v>123.3929</v>
      </c>
      <c r="N60" s="52">
        <v>0</v>
      </c>
      <c r="O60" s="52">
        <v>5.519</v>
      </c>
      <c r="P60" s="52">
        <v>14.8071</v>
      </c>
      <c r="Q60" s="54">
        <v>149.6739</v>
      </c>
      <c r="R60" s="52">
        <v>170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170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46132.349953703706</v>
      </c>
      <c r="AH60" s="52">
        <v>30031</v>
      </c>
      <c r="AI60" s="52">
        <v>0</v>
      </c>
      <c r="AJ60" s="53">
        <f>AH60+AI60</f>
        <v>30031</v>
      </c>
      <c r="AK60" s="56">
        <v>0</v>
      </c>
    </row>
    <row r="61">
      <c r="A61" s="48">
        <v>46132.35265046296</v>
      </c>
      <c r="B61" s="49" t="s">
        <v>108</v>
      </c>
      <c r="C61" s="49" t="s">
        <v>106</v>
      </c>
      <c r="D61" s="49" t="s">
        <v>5</v>
      </c>
      <c r="E61" s="50">
        <v>96</v>
      </c>
      <c r="F61" s="49" t="s">
        <v>107</v>
      </c>
      <c r="G61" s="51">
        <v>166004553</v>
      </c>
      <c r="H61" s="52">
        <v>325.2</v>
      </c>
      <c r="I61" s="52">
        <f>L61+M61+N61</f>
        <v>284.20759999999996</v>
      </c>
      <c r="J61" s="52">
        <f>O61+P61</f>
        <v>40.9924</v>
      </c>
      <c r="K61" s="53">
        <f>IF(H61=I61+J61,0,W61)</f>
        <v>0</v>
      </c>
      <c r="L61" s="52">
        <v>76.529</v>
      </c>
      <c r="M61" s="52">
        <v>207.6786</v>
      </c>
      <c r="N61" s="52">
        <v>0</v>
      </c>
      <c r="O61" s="52">
        <v>16.071</v>
      </c>
      <c r="P61" s="52">
        <v>24.9214</v>
      </c>
      <c r="Q61" s="54">
        <v>284.2076</v>
      </c>
      <c r="R61" s="52">
        <v>325.2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325.2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46132.35265046296</v>
      </c>
      <c r="AH61" s="52">
        <v>30031</v>
      </c>
      <c r="AI61" s="52">
        <v>0</v>
      </c>
      <c r="AJ61" s="53">
        <f>AH61+AI61</f>
        <v>30031</v>
      </c>
      <c r="AK61" s="56">
        <v>0</v>
      </c>
    </row>
    <row r="62">
      <c r="A62" s="48">
        <v>46132.35325231482</v>
      </c>
      <c r="B62" s="49" t="s">
        <v>108</v>
      </c>
      <c r="C62" s="49" t="s">
        <v>106</v>
      </c>
      <c r="D62" s="49" t="s">
        <v>5</v>
      </c>
      <c r="E62" s="50">
        <v>96</v>
      </c>
      <c r="F62" s="49" t="s">
        <v>107</v>
      </c>
      <c r="G62" s="51">
        <v>166004554</v>
      </c>
      <c r="H62" s="52">
        <v>23.8</v>
      </c>
      <c r="I62" s="52">
        <f>L62+M62+N62</f>
        <v>21.25</v>
      </c>
      <c r="J62" s="52">
        <f>O62+P62</f>
        <v>2.55</v>
      </c>
      <c r="K62" s="53">
        <f>IF(H62=I62+J62,0,W62)</f>
        <v>0</v>
      </c>
      <c r="L62" s="52">
        <v>0</v>
      </c>
      <c r="M62" s="52">
        <v>21.25</v>
      </c>
      <c r="N62" s="52">
        <v>0</v>
      </c>
      <c r="O62" s="52">
        <v>0</v>
      </c>
      <c r="P62" s="52">
        <v>2.55</v>
      </c>
      <c r="Q62" s="54">
        <v>21.25</v>
      </c>
      <c r="R62" s="52">
        <v>23.8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23.8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46132.35325231482</v>
      </c>
      <c r="AH62" s="52">
        <v>30031</v>
      </c>
      <c r="AI62" s="52">
        <v>0</v>
      </c>
      <c r="AJ62" s="53">
        <f>AH62+AI62</f>
        <v>30031</v>
      </c>
      <c r="AK62" s="56">
        <v>0</v>
      </c>
    </row>
    <row r="63">
      <c r="A63" s="48">
        <v>46132.354050925926</v>
      </c>
      <c r="B63" s="49" t="s">
        <v>108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166004555</v>
      </c>
      <c r="H63" s="52">
        <v>76.35</v>
      </c>
      <c r="I63" s="52">
        <f>L63+M63+N63</f>
        <v>68.1696</v>
      </c>
      <c r="J63" s="52">
        <f>O63+P63</f>
        <v>8.1804</v>
      </c>
      <c r="K63" s="53">
        <f>IF(H63=I63+J63,0,W63)</f>
        <v>0</v>
      </c>
      <c r="L63" s="52">
        <v>0</v>
      </c>
      <c r="M63" s="52">
        <v>68.1696</v>
      </c>
      <c r="N63" s="52">
        <v>0</v>
      </c>
      <c r="O63" s="52">
        <v>0</v>
      </c>
      <c r="P63" s="52">
        <v>8.1804</v>
      </c>
      <c r="Q63" s="54">
        <v>68.1696</v>
      </c>
      <c r="R63" s="52">
        <v>76.35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4">
        <v>0</v>
      </c>
      <c r="Y63" s="52">
        <v>0</v>
      </c>
      <c r="Z63" s="52">
        <v>76.35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46132.354050925926</v>
      </c>
      <c r="AH63" s="52">
        <v>30031</v>
      </c>
      <c r="AI63" s="52">
        <v>0</v>
      </c>
      <c r="AJ63" s="53">
        <f>AH63+AI63</f>
        <v>30031</v>
      </c>
      <c r="AK63" s="56">
        <v>9.1114</v>
      </c>
    </row>
    <row r="64">
      <c r="A64" s="48">
        <v>46132.35569444444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166004556</v>
      </c>
      <c r="H64" s="52">
        <v>43</v>
      </c>
      <c r="I64" s="52">
        <f>L64+M64+N64</f>
        <v>38.3036</v>
      </c>
      <c r="J64" s="52">
        <f>O64+P64</f>
        <v>4.5964</v>
      </c>
      <c r="K64" s="53">
        <f>IF(H64=I64+J64,0,W64)</f>
        <v>0.1</v>
      </c>
      <c r="L64" s="52">
        <v>0</v>
      </c>
      <c r="M64" s="52">
        <v>38.3036</v>
      </c>
      <c r="N64" s="52">
        <v>0</v>
      </c>
      <c r="O64" s="52">
        <v>0</v>
      </c>
      <c r="P64" s="52">
        <v>4.5964</v>
      </c>
      <c r="Q64" s="54">
        <v>38.3036</v>
      </c>
      <c r="R64" s="52">
        <v>42.9</v>
      </c>
      <c r="S64" s="52">
        <v>0</v>
      </c>
      <c r="T64" s="52">
        <v>0</v>
      </c>
      <c r="U64" s="52">
        <v>0</v>
      </c>
      <c r="V64" s="52">
        <v>0</v>
      </c>
      <c r="W64" s="52">
        <v>0.1</v>
      </c>
      <c r="X64" s="54">
        <v>50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46132.35569444444</v>
      </c>
      <c r="AH64" s="52">
        <v>30074</v>
      </c>
      <c r="AI64" s="52">
        <v>0</v>
      </c>
      <c r="AJ64" s="53">
        <f>AH64+AI64</f>
        <v>30074</v>
      </c>
      <c r="AK64" s="56">
        <v>0</v>
      </c>
    </row>
    <row r="65">
      <c r="A65" s="48">
        <v>46132.356770833336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166004557</v>
      </c>
      <c r="H65" s="52">
        <v>154.14</v>
      </c>
      <c r="I65" s="52">
        <f>L65+M65+N65</f>
        <v>137.625</v>
      </c>
      <c r="J65" s="52">
        <f>O65+P65</f>
        <v>16.515</v>
      </c>
      <c r="K65" s="53">
        <f>IF(H65=I65+J65,0,W65)</f>
        <v>0</v>
      </c>
      <c r="L65" s="52">
        <v>0</v>
      </c>
      <c r="M65" s="52">
        <v>137.625</v>
      </c>
      <c r="N65" s="52">
        <v>0</v>
      </c>
      <c r="O65" s="52">
        <v>0</v>
      </c>
      <c r="P65" s="52">
        <v>16.515</v>
      </c>
      <c r="Q65" s="54">
        <v>137.625</v>
      </c>
      <c r="R65" s="52">
        <v>154.14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4">
        <v>0</v>
      </c>
      <c r="Y65" s="52">
        <v>0</v>
      </c>
      <c r="Z65" s="52">
        <v>154.14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46132.356770833336</v>
      </c>
      <c r="AH65" s="52">
        <v>30074</v>
      </c>
      <c r="AI65" s="52">
        <v>0</v>
      </c>
      <c r="AJ65" s="53">
        <f>AH65+AI65</f>
        <v>30074</v>
      </c>
      <c r="AK65" s="56">
        <v>0</v>
      </c>
    </row>
    <row r="66">
      <c r="A66" s="48">
        <v>46132.35726851852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166004558</v>
      </c>
      <c r="H66" s="52">
        <v>48</v>
      </c>
      <c r="I66" s="52">
        <f>L66+M66+N66</f>
        <v>42.6786</v>
      </c>
      <c r="J66" s="52">
        <f>O66+P66</f>
        <v>5.1214</v>
      </c>
      <c r="K66" s="53">
        <f>IF(H66=I66+J66,0,W66)</f>
        <v>0.2</v>
      </c>
      <c r="L66" s="52">
        <v>0</v>
      </c>
      <c r="M66" s="52">
        <v>42.6786</v>
      </c>
      <c r="N66" s="52">
        <v>0</v>
      </c>
      <c r="O66" s="52">
        <v>0</v>
      </c>
      <c r="P66" s="52">
        <v>5.1214</v>
      </c>
      <c r="Q66" s="54">
        <v>42.6786</v>
      </c>
      <c r="R66" s="52">
        <v>47.8</v>
      </c>
      <c r="S66" s="52">
        <v>0</v>
      </c>
      <c r="T66" s="52">
        <v>0</v>
      </c>
      <c r="U66" s="52">
        <v>0</v>
      </c>
      <c r="V66" s="52">
        <v>0</v>
      </c>
      <c r="W66" s="52">
        <v>0.2</v>
      </c>
      <c r="X66" s="54">
        <v>50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46132.35726851852</v>
      </c>
      <c r="AH66" s="52">
        <v>30122</v>
      </c>
      <c r="AI66" s="52">
        <v>0</v>
      </c>
      <c r="AJ66" s="53">
        <f>AH66+AI66</f>
        <v>30122</v>
      </c>
      <c r="AK66" s="56">
        <v>0</v>
      </c>
    </row>
    <row r="67">
      <c r="A67" s="48">
        <v>46132.35824074074</v>
      </c>
      <c r="B67" s="49" t="s">
        <v>108</v>
      </c>
      <c r="C67" s="49" t="s">
        <v>100</v>
      </c>
      <c r="D67" s="49" t="s">
        <v>5</v>
      </c>
      <c r="E67" s="50">
        <v>96</v>
      </c>
      <c r="F67" s="49" t="s">
        <v>105</v>
      </c>
      <c r="G67" s="51">
        <v>161000333</v>
      </c>
      <c r="H67" s="52">
        <v>85.4</v>
      </c>
      <c r="I67" s="52">
        <f>L67+M67+N67</f>
        <v>76.23</v>
      </c>
      <c r="J67" s="52">
        <f>O67+P67</f>
        <v>9.17</v>
      </c>
      <c r="K67" s="53">
        <f>IF(H67=I67+J67,0,W67)</f>
        <v>0</v>
      </c>
      <c r="L67" s="52">
        <v>0</v>
      </c>
      <c r="M67" s="52">
        <v>76.23</v>
      </c>
      <c r="N67" s="52">
        <v>0</v>
      </c>
      <c r="O67" s="52">
        <v>0</v>
      </c>
      <c r="P67" s="52">
        <v>9.17</v>
      </c>
      <c r="Q67" s="54">
        <v>76.23</v>
      </c>
      <c r="R67" s="52">
        <v>85.4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85.4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46132.35824074074</v>
      </c>
      <c r="AH67" s="52">
        <v>0</v>
      </c>
      <c r="AI67" s="52">
        <v>0</v>
      </c>
      <c r="AJ67" s="53">
        <f>AH67+AI67</f>
        <v>0</v>
      </c>
      <c r="AK67" s="56">
        <v>0</v>
      </c>
    </row>
    <row r="68">
      <c r="A68" s="48">
        <v>46132.36251157407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166004559</v>
      </c>
      <c r="H68" s="52">
        <v>40</v>
      </c>
      <c r="I68" s="52">
        <f>L68+M68+N68</f>
        <v>35.5357</v>
      </c>
      <c r="J68" s="52">
        <f>O68+P68</f>
        <v>4.2643</v>
      </c>
      <c r="K68" s="53">
        <f>IF(H68=I68+J68,0,W68)</f>
        <v>0.2</v>
      </c>
      <c r="L68" s="52">
        <v>0</v>
      </c>
      <c r="M68" s="52">
        <v>35.5357</v>
      </c>
      <c r="N68" s="52">
        <v>0</v>
      </c>
      <c r="O68" s="52">
        <v>0</v>
      </c>
      <c r="P68" s="52">
        <v>4.2643</v>
      </c>
      <c r="Q68" s="54">
        <v>35.5357</v>
      </c>
      <c r="R68" s="52">
        <v>39.8</v>
      </c>
      <c r="S68" s="52">
        <v>0</v>
      </c>
      <c r="T68" s="52">
        <v>0</v>
      </c>
      <c r="U68" s="52">
        <v>0</v>
      </c>
      <c r="V68" s="52">
        <v>0</v>
      </c>
      <c r="W68" s="52">
        <v>0.2</v>
      </c>
      <c r="X68" s="54">
        <v>40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46132.36251157407</v>
      </c>
      <c r="AH68" s="52">
        <v>30162</v>
      </c>
      <c r="AI68" s="52">
        <v>0</v>
      </c>
      <c r="AJ68" s="53">
        <f>AH68+AI68</f>
        <v>30162</v>
      </c>
      <c r="AK68" s="56">
        <v>0</v>
      </c>
    </row>
    <row r="69">
      <c r="A69" s="48">
        <v>46132.36429398148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166004560</v>
      </c>
      <c r="H69" s="52">
        <v>299.82</v>
      </c>
      <c r="I69" s="52">
        <f>L69+M69+N69</f>
        <v>261.08169999999996</v>
      </c>
      <c r="J69" s="52">
        <f>O69+P69</f>
        <v>38.7383</v>
      </c>
      <c r="K69" s="53">
        <f>IF(H69=I69+J69,0,W69)</f>
        <v>0</v>
      </c>
      <c r="L69" s="52">
        <v>82.314</v>
      </c>
      <c r="M69" s="52">
        <v>178.7677</v>
      </c>
      <c r="N69" s="52">
        <v>0</v>
      </c>
      <c r="O69" s="52">
        <v>17.286</v>
      </c>
      <c r="P69" s="52">
        <v>21.4523</v>
      </c>
      <c r="Q69" s="54">
        <v>261.0817</v>
      </c>
      <c r="R69" s="52">
        <v>299.82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0</v>
      </c>
      <c r="Y69" s="52">
        <v>0</v>
      </c>
      <c r="Z69" s="52">
        <v>299.82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46132.36429398148</v>
      </c>
      <c r="AH69" s="52">
        <v>30162</v>
      </c>
      <c r="AI69" s="52">
        <v>0</v>
      </c>
      <c r="AJ69" s="53">
        <f>AH69+AI69</f>
        <v>30162</v>
      </c>
      <c r="AK69" s="56">
        <v>0</v>
      </c>
    </row>
    <row r="70">
      <c r="A70" s="48">
        <v>46132.364849537036</v>
      </c>
      <c r="B70" s="49" t="s">
        <v>108</v>
      </c>
      <c r="C70" s="49" t="s">
        <v>106</v>
      </c>
      <c r="D70" s="49" t="s">
        <v>5</v>
      </c>
      <c r="E70" s="50">
        <v>96</v>
      </c>
      <c r="F70" s="49" t="s">
        <v>107</v>
      </c>
      <c r="G70" s="51">
        <v>166004561</v>
      </c>
      <c r="H70" s="52">
        <v>284.96</v>
      </c>
      <c r="I70" s="52">
        <f>L70+M70+N70</f>
        <v>245.888</v>
      </c>
      <c r="J70" s="52">
        <f>O70+P70</f>
        <v>39.072</v>
      </c>
      <c r="K70" s="53">
        <f>IF(H70=I70+J70,0,W70)</f>
        <v>0</v>
      </c>
      <c r="L70" s="52">
        <v>106.281</v>
      </c>
      <c r="M70" s="52">
        <v>139.607</v>
      </c>
      <c r="N70" s="52">
        <v>0</v>
      </c>
      <c r="O70" s="52">
        <v>22.319</v>
      </c>
      <c r="P70" s="52">
        <v>16.753</v>
      </c>
      <c r="Q70" s="54">
        <v>245.888</v>
      </c>
      <c r="R70" s="52">
        <v>284.96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284.96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46132.364849537036</v>
      </c>
      <c r="AH70" s="52">
        <v>30162</v>
      </c>
      <c r="AI70" s="52">
        <v>0</v>
      </c>
      <c r="AJ70" s="53">
        <f>AH70+AI70</f>
        <v>30162</v>
      </c>
      <c r="AK70" s="56">
        <v>0</v>
      </c>
    </row>
    <row r="71">
      <c r="A71" s="48">
        <v>46132.365578703706</v>
      </c>
      <c r="B71" s="49" t="s">
        <v>108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166004562</v>
      </c>
      <c r="H71" s="52">
        <v>28.8</v>
      </c>
      <c r="I71" s="52">
        <f>L71+M71+N71</f>
        <v>25.7143</v>
      </c>
      <c r="J71" s="52">
        <f>O71+P71</f>
        <v>3.0857</v>
      </c>
      <c r="K71" s="53">
        <f>IF(H71=I71+J71,0,W71)</f>
        <v>0</v>
      </c>
      <c r="L71" s="52">
        <v>0</v>
      </c>
      <c r="M71" s="52">
        <v>25.7143</v>
      </c>
      <c r="N71" s="52">
        <v>0</v>
      </c>
      <c r="O71" s="52">
        <v>0</v>
      </c>
      <c r="P71" s="52">
        <v>3.0857</v>
      </c>
      <c r="Q71" s="54">
        <v>25.7143</v>
      </c>
      <c r="R71" s="52">
        <v>28.8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28.8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46132.365578703706</v>
      </c>
      <c r="AH71" s="52">
        <v>30162</v>
      </c>
      <c r="AI71" s="52">
        <v>0</v>
      </c>
      <c r="AJ71" s="53">
        <f>AH71+AI71</f>
        <v>30162</v>
      </c>
      <c r="AK71" s="56">
        <v>0</v>
      </c>
    </row>
    <row r="72">
      <c r="A72" s="48">
        <v>46132.36608796296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166004563</v>
      </c>
      <c r="H72" s="52">
        <v>51</v>
      </c>
      <c r="I72" s="52">
        <f>L72+M72+N72</f>
        <v>44.301199999999994</v>
      </c>
      <c r="J72" s="52">
        <f>O72+P72</f>
        <v>6.4988</v>
      </c>
      <c r="K72" s="53">
        <f>IF(H72=I72+J72,0,W72)</f>
        <v>0.2</v>
      </c>
      <c r="L72" s="52">
        <v>13.1405</v>
      </c>
      <c r="M72" s="52">
        <v>31.1607</v>
      </c>
      <c r="N72" s="52">
        <v>0</v>
      </c>
      <c r="O72" s="52">
        <v>2.7595</v>
      </c>
      <c r="P72" s="52">
        <v>3.7393</v>
      </c>
      <c r="Q72" s="54">
        <v>44.3012</v>
      </c>
      <c r="R72" s="52">
        <v>50.8</v>
      </c>
      <c r="S72" s="52">
        <v>0</v>
      </c>
      <c r="T72" s="52">
        <v>0</v>
      </c>
      <c r="U72" s="52">
        <v>0</v>
      </c>
      <c r="V72" s="52">
        <v>0</v>
      </c>
      <c r="W72" s="52">
        <v>0.2</v>
      </c>
      <c r="X72" s="54">
        <v>201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46132.36608796296</v>
      </c>
      <c r="AH72" s="52">
        <v>30213</v>
      </c>
      <c r="AI72" s="52">
        <v>0</v>
      </c>
      <c r="AJ72" s="53">
        <f>AH72+AI72</f>
        <v>30213</v>
      </c>
      <c r="AK72" s="56">
        <v>0</v>
      </c>
    </row>
    <row r="73">
      <c r="A73" s="48">
        <v>46132.36715277778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166004564</v>
      </c>
      <c r="H73" s="52">
        <v>29</v>
      </c>
      <c r="I73" s="52">
        <f>L73+M73+N73</f>
        <v>25.8929</v>
      </c>
      <c r="J73" s="52">
        <f>O73+P73</f>
        <v>3.1071</v>
      </c>
      <c r="K73" s="53">
        <f>IF(H73=I73+J73,0,W73)</f>
        <v>0</v>
      </c>
      <c r="L73" s="52">
        <v>0</v>
      </c>
      <c r="M73" s="52">
        <v>25.8929</v>
      </c>
      <c r="N73" s="52">
        <v>0</v>
      </c>
      <c r="O73" s="52">
        <v>0</v>
      </c>
      <c r="P73" s="52">
        <v>3.1071</v>
      </c>
      <c r="Q73" s="54">
        <v>25.8929</v>
      </c>
      <c r="R73" s="52">
        <v>29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29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46132.36715277778</v>
      </c>
      <c r="AH73" s="52">
        <v>30242</v>
      </c>
      <c r="AI73" s="52">
        <v>0</v>
      </c>
      <c r="AJ73" s="53">
        <f>AH73+AI73</f>
        <v>30242</v>
      </c>
      <c r="AK73" s="56">
        <v>0</v>
      </c>
    </row>
    <row r="74">
      <c r="A74" s="48">
        <v>46132.367893518516</v>
      </c>
      <c r="B74" s="49" t="s">
        <v>108</v>
      </c>
      <c r="C74" s="49" t="s">
        <v>100</v>
      </c>
      <c r="D74" s="49" t="s">
        <v>5</v>
      </c>
      <c r="E74" s="50">
        <v>96</v>
      </c>
      <c r="F74" s="49" t="s">
        <v>105</v>
      </c>
      <c r="G74" s="51">
        <v>161000334</v>
      </c>
      <c r="H74" s="52">
        <v>92.6</v>
      </c>
      <c r="I74" s="52">
        <f>L74+M74+N74</f>
        <v>82.67</v>
      </c>
      <c r="J74" s="52">
        <f>O74+P74</f>
        <v>9.93</v>
      </c>
      <c r="K74" s="53">
        <f>IF(H74=I74+J74,0,W74)</f>
        <v>0</v>
      </c>
      <c r="L74" s="52">
        <v>0</v>
      </c>
      <c r="M74" s="52">
        <v>82.67</v>
      </c>
      <c r="N74" s="52">
        <v>0</v>
      </c>
      <c r="O74" s="52">
        <v>0</v>
      </c>
      <c r="P74" s="52">
        <v>9.93</v>
      </c>
      <c r="Q74" s="54">
        <v>82.67</v>
      </c>
      <c r="R74" s="52">
        <v>92.6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92.6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46132.367893518516</v>
      </c>
      <c r="AH74" s="52">
        <v>0</v>
      </c>
      <c r="AI74" s="52">
        <v>0</v>
      </c>
      <c r="AJ74" s="53">
        <f>AH74+AI74</f>
        <v>0</v>
      </c>
      <c r="AK74" s="56">
        <v>0</v>
      </c>
    </row>
    <row r="75">
      <c r="A75" s="48">
        <v>46132.36804398148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166004565</v>
      </c>
      <c r="H75" s="52">
        <v>232</v>
      </c>
      <c r="I75" s="52">
        <f>L75+M75+N75</f>
        <v>207.4452</v>
      </c>
      <c r="J75" s="52">
        <f>O75+P75</f>
        <v>25.034799999999997</v>
      </c>
      <c r="K75" s="53">
        <f>IF(H75=I75+J75,0,W75)</f>
        <v>-0.48</v>
      </c>
      <c r="L75" s="52">
        <v>1.5702</v>
      </c>
      <c r="M75" s="52">
        <v>205.875</v>
      </c>
      <c r="N75" s="52">
        <v>0</v>
      </c>
      <c r="O75" s="52">
        <v>0.3298</v>
      </c>
      <c r="P75" s="52">
        <v>24.705</v>
      </c>
      <c r="Q75" s="54">
        <v>207.4452</v>
      </c>
      <c r="R75" s="52">
        <v>232.48</v>
      </c>
      <c r="S75" s="52">
        <v>0</v>
      </c>
      <c r="T75" s="52">
        <v>0</v>
      </c>
      <c r="U75" s="52">
        <v>0</v>
      </c>
      <c r="V75" s="52">
        <v>0</v>
      </c>
      <c r="W75" s="52">
        <v>-0.48</v>
      </c>
      <c r="X75" s="54">
        <v>300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46132.36804398148</v>
      </c>
      <c r="AH75" s="52">
        <v>30474</v>
      </c>
      <c r="AI75" s="52">
        <v>0</v>
      </c>
      <c r="AJ75" s="53">
        <f>AH75+AI75</f>
        <v>30474</v>
      </c>
      <c r="AK75" s="56">
        <v>0</v>
      </c>
    </row>
    <row r="76">
      <c r="A76" s="48">
        <v>46132.36876157407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166004566</v>
      </c>
      <c r="H76" s="52">
        <v>159</v>
      </c>
      <c r="I76" s="52">
        <f>L76+M76+N76</f>
        <v>142.1966</v>
      </c>
      <c r="J76" s="52">
        <f>O76+P76</f>
        <v>17.0634</v>
      </c>
      <c r="K76" s="53">
        <f>IF(H76=I76+J76,0,W76)</f>
        <v>-0.26</v>
      </c>
      <c r="L76" s="52">
        <v>0</v>
      </c>
      <c r="M76" s="52">
        <v>142.1966</v>
      </c>
      <c r="N76" s="52">
        <v>0</v>
      </c>
      <c r="O76" s="52">
        <v>0</v>
      </c>
      <c r="P76" s="52">
        <v>17.0634</v>
      </c>
      <c r="Q76" s="54">
        <v>142.1966</v>
      </c>
      <c r="R76" s="52">
        <v>159.26</v>
      </c>
      <c r="S76" s="52">
        <v>0</v>
      </c>
      <c r="T76" s="52">
        <v>0</v>
      </c>
      <c r="U76" s="52">
        <v>0</v>
      </c>
      <c r="V76" s="52">
        <v>0</v>
      </c>
      <c r="W76" s="52">
        <v>-0.26</v>
      </c>
      <c r="X76" s="54">
        <v>160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46132.36876157407</v>
      </c>
      <c r="AH76" s="52">
        <v>30633</v>
      </c>
      <c r="AI76" s="52">
        <v>0</v>
      </c>
      <c r="AJ76" s="53">
        <f>AH76+AI76</f>
        <v>30633</v>
      </c>
      <c r="AK76" s="56">
        <v>0</v>
      </c>
    </row>
    <row r="77">
      <c r="A77" s="48">
        <v>46132.36918981482</v>
      </c>
      <c r="B77" s="49" t="s">
        <v>108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166004567</v>
      </c>
      <c r="H77" s="52">
        <v>69</v>
      </c>
      <c r="I77" s="52">
        <f>L77+M77+N77</f>
        <v>61.5</v>
      </c>
      <c r="J77" s="52">
        <f>O77+P77</f>
        <v>7.38</v>
      </c>
      <c r="K77" s="53">
        <f>IF(H77=I77+J77,0,W77)</f>
        <v>0.12</v>
      </c>
      <c r="L77" s="52">
        <v>0</v>
      </c>
      <c r="M77" s="52">
        <v>61.5</v>
      </c>
      <c r="N77" s="52">
        <v>0</v>
      </c>
      <c r="O77" s="52">
        <v>0</v>
      </c>
      <c r="P77" s="52">
        <v>7.38</v>
      </c>
      <c r="Q77" s="54">
        <v>61.5</v>
      </c>
      <c r="R77" s="52">
        <v>68.88</v>
      </c>
      <c r="S77" s="52">
        <v>0</v>
      </c>
      <c r="T77" s="52">
        <v>0</v>
      </c>
      <c r="U77" s="52">
        <v>0</v>
      </c>
      <c r="V77" s="52">
        <v>0</v>
      </c>
      <c r="W77" s="52">
        <v>0.12</v>
      </c>
      <c r="X77" s="54">
        <v>100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46132.36918981482</v>
      </c>
      <c r="AH77" s="52">
        <v>30702</v>
      </c>
      <c r="AI77" s="52">
        <v>0</v>
      </c>
      <c r="AJ77" s="53">
        <f>AH77+AI77</f>
        <v>30702</v>
      </c>
      <c r="AK77" s="56">
        <v>0</v>
      </c>
    </row>
    <row r="78">
      <c r="A78" s="48">
        <v>46132.370150462964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166004568</v>
      </c>
      <c r="H78" s="52">
        <v>483</v>
      </c>
      <c r="I78" s="52">
        <f>L78+M78+N78</f>
        <v>399.1737</v>
      </c>
      <c r="J78" s="52">
        <f>O78+P78</f>
        <v>83.8263</v>
      </c>
      <c r="K78" s="53">
        <f>IF(H78=I78+J78,0,W78)</f>
        <v>0</v>
      </c>
      <c r="L78" s="52">
        <v>399.1737</v>
      </c>
      <c r="M78" s="52">
        <v>0</v>
      </c>
      <c r="N78" s="52">
        <v>0</v>
      </c>
      <c r="O78" s="52">
        <v>83.8263</v>
      </c>
      <c r="P78" s="52">
        <v>0</v>
      </c>
      <c r="Q78" s="54">
        <v>399.1737</v>
      </c>
      <c r="R78" s="52">
        <v>483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483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46132.370150462964</v>
      </c>
      <c r="AH78" s="52">
        <v>30702</v>
      </c>
      <c r="AI78" s="52">
        <v>0</v>
      </c>
      <c r="AJ78" s="53">
        <f>AH78+AI78</f>
        <v>30702</v>
      </c>
      <c r="AK78" s="56">
        <v>0</v>
      </c>
    </row>
    <row r="79">
      <c r="A79" s="48">
        <v>46132.37138888889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166004569</v>
      </c>
      <c r="H79" s="52">
        <v>110</v>
      </c>
      <c r="I79" s="52">
        <f>L79+M79+N79</f>
        <v>98.2858</v>
      </c>
      <c r="J79" s="52">
        <f>O79+P79</f>
        <v>11.7942</v>
      </c>
      <c r="K79" s="53">
        <f>IF(H79=I79+J79,0,W79)</f>
        <v>-0.08</v>
      </c>
      <c r="L79" s="52">
        <v>0</v>
      </c>
      <c r="M79" s="52">
        <v>98.2858</v>
      </c>
      <c r="N79" s="52">
        <v>0</v>
      </c>
      <c r="O79" s="52">
        <v>0</v>
      </c>
      <c r="P79" s="52">
        <v>11.7942</v>
      </c>
      <c r="Q79" s="54">
        <v>98.2858</v>
      </c>
      <c r="R79" s="52">
        <v>110.08</v>
      </c>
      <c r="S79" s="52">
        <v>0</v>
      </c>
      <c r="T79" s="52">
        <v>0</v>
      </c>
      <c r="U79" s="52">
        <v>0</v>
      </c>
      <c r="V79" s="52">
        <v>0</v>
      </c>
      <c r="W79" s="52">
        <v>-0.08</v>
      </c>
      <c r="X79" s="54">
        <v>110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46132.37138888889</v>
      </c>
      <c r="AH79" s="52">
        <v>30812</v>
      </c>
      <c r="AI79" s="52">
        <v>0</v>
      </c>
      <c r="AJ79" s="53">
        <f>AH79+AI79</f>
        <v>30812</v>
      </c>
      <c r="AK79" s="56">
        <v>0</v>
      </c>
    </row>
    <row r="80">
      <c r="A80" s="48">
        <v>46132.371979166666</v>
      </c>
      <c r="B80" s="49" t="s">
        <v>108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166004570</v>
      </c>
      <c r="H80" s="52">
        <v>142</v>
      </c>
      <c r="I80" s="52">
        <f>L80+M80+N80</f>
        <v>127.0537</v>
      </c>
      <c r="J80" s="52">
        <f>O80+P80</f>
        <v>15.2463</v>
      </c>
      <c r="K80" s="53">
        <f>IF(H80=I80+J80,0,W80)</f>
        <v>-0.3</v>
      </c>
      <c r="L80" s="52">
        <v>0</v>
      </c>
      <c r="M80" s="52">
        <v>127.0537</v>
      </c>
      <c r="N80" s="52">
        <v>0</v>
      </c>
      <c r="O80" s="52">
        <v>0</v>
      </c>
      <c r="P80" s="52">
        <v>15.2463</v>
      </c>
      <c r="Q80" s="54">
        <v>127.0537</v>
      </c>
      <c r="R80" s="52">
        <v>142.3</v>
      </c>
      <c r="S80" s="52">
        <v>0</v>
      </c>
      <c r="T80" s="52">
        <v>0</v>
      </c>
      <c r="U80" s="52">
        <v>0</v>
      </c>
      <c r="V80" s="52">
        <v>0</v>
      </c>
      <c r="W80" s="52">
        <v>-0.3</v>
      </c>
      <c r="X80" s="54">
        <v>142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46132.371979166666</v>
      </c>
      <c r="AH80" s="52">
        <v>30954</v>
      </c>
      <c r="AI80" s="52">
        <v>0</v>
      </c>
      <c r="AJ80" s="53">
        <f>AH80+AI80</f>
        <v>30954</v>
      </c>
      <c r="AK80" s="56">
        <v>0</v>
      </c>
    </row>
    <row r="81">
      <c r="A81" s="48">
        <v>46132.37293981481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166004571</v>
      </c>
      <c r="H81" s="52">
        <v>195.99</v>
      </c>
      <c r="I81" s="52">
        <f>L81+M81+N81</f>
        <v>174.9911</v>
      </c>
      <c r="J81" s="52">
        <f>O81+P81</f>
        <v>20.9989</v>
      </c>
      <c r="K81" s="53">
        <f>IF(H81=I81+J81,0,W81)</f>
        <v>0</v>
      </c>
      <c r="L81" s="52">
        <v>0</v>
      </c>
      <c r="M81" s="52">
        <v>174.9911</v>
      </c>
      <c r="N81" s="52">
        <v>0</v>
      </c>
      <c r="O81" s="52">
        <v>0</v>
      </c>
      <c r="P81" s="52">
        <v>20.9989</v>
      </c>
      <c r="Q81" s="54">
        <v>174.9911</v>
      </c>
      <c r="R81" s="52">
        <v>195.99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4">
        <v>0</v>
      </c>
      <c r="Y81" s="52">
        <v>0</v>
      </c>
      <c r="Z81" s="52">
        <v>195.99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46132.37293981481</v>
      </c>
      <c r="AH81" s="52">
        <v>30954</v>
      </c>
      <c r="AI81" s="52">
        <v>0</v>
      </c>
      <c r="AJ81" s="53">
        <f>AH81+AI81</f>
        <v>30954</v>
      </c>
      <c r="AK81" s="56">
        <v>0</v>
      </c>
    </row>
    <row r="82">
      <c r="A82" s="48">
        <v>46132.37332175926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166004572</v>
      </c>
      <c r="H82" s="52">
        <v>25</v>
      </c>
      <c r="I82" s="52">
        <f>L82+M82+N82</f>
        <v>22.5892</v>
      </c>
      <c r="J82" s="52">
        <f>O82+P82</f>
        <v>2.7108</v>
      </c>
      <c r="K82" s="53">
        <f>IF(H82=I82+J82,0,W82)</f>
        <v>-0.3</v>
      </c>
      <c r="L82" s="52">
        <v>0</v>
      </c>
      <c r="M82" s="52">
        <v>22.5892</v>
      </c>
      <c r="N82" s="52">
        <v>0</v>
      </c>
      <c r="O82" s="52">
        <v>0</v>
      </c>
      <c r="P82" s="52">
        <v>2.7108</v>
      </c>
      <c r="Q82" s="54">
        <v>22.5892</v>
      </c>
      <c r="R82" s="52">
        <v>25.3</v>
      </c>
      <c r="S82" s="52">
        <v>0</v>
      </c>
      <c r="T82" s="52">
        <v>0</v>
      </c>
      <c r="U82" s="52">
        <v>0</v>
      </c>
      <c r="V82" s="52">
        <v>0</v>
      </c>
      <c r="W82" s="52">
        <v>-0.3</v>
      </c>
      <c r="X82" s="54">
        <v>25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46132.37332175926</v>
      </c>
      <c r="AH82" s="52">
        <v>30979</v>
      </c>
      <c r="AI82" s="52">
        <v>0</v>
      </c>
      <c r="AJ82" s="53">
        <f>AH82+AI82</f>
        <v>30979</v>
      </c>
      <c r="AK82" s="56">
        <v>0</v>
      </c>
    </row>
    <row r="83">
      <c r="A83" s="48">
        <v>46132.374768518515</v>
      </c>
      <c r="B83" s="49" t="s">
        <v>108</v>
      </c>
      <c r="C83" s="49" t="s">
        <v>100</v>
      </c>
      <c r="D83" s="49" t="s">
        <v>5</v>
      </c>
      <c r="E83" s="50">
        <v>96</v>
      </c>
      <c r="F83" s="49" t="s">
        <v>101</v>
      </c>
      <c r="G83" s="51">
        <v>163000332</v>
      </c>
      <c r="H83" s="52">
        <v>553.02</v>
      </c>
      <c r="I83" s="52">
        <f>L83+M83+N83</f>
        <v>487.38</v>
      </c>
      <c r="J83" s="52">
        <f>O83+P83</f>
        <v>65.64</v>
      </c>
      <c r="K83" s="53">
        <f>IF(H83=I83+J83,0,W83)</f>
        <v>0</v>
      </c>
      <c r="L83" s="52">
        <v>78.84</v>
      </c>
      <c r="M83" s="52">
        <v>408.54</v>
      </c>
      <c r="N83" s="52">
        <v>0</v>
      </c>
      <c r="O83" s="52">
        <v>16.56</v>
      </c>
      <c r="P83" s="52">
        <v>49.08</v>
      </c>
      <c r="Q83" s="54">
        <v>487.38</v>
      </c>
      <c r="R83" s="52">
        <v>553.02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4">
        <v>0</v>
      </c>
      <c r="Y83" s="52">
        <v>0</v>
      </c>
      <c r="Z83" s="52">
        <v>553.02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46132.374768518515</v>
      </c>
      <c r="AH83" s="52">
        <v>0</v>
      </c>
      <c r="AI83" s="52">
        <v>0</v>
      </c>
      <c r="AJ83" s="53">
        <f>AH83+AI83</f>
        <v>0</v>
      </c>
      <c r="AK83" s="56">
        <v>0</v>
      </c>
    </row>
    <row r="84">
      <c r="A84" s="48">
        <v>46132.3750462963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166004573</v>
      </c>
      <c r="H84" s="52">
        <v>162</v>
      </c>
      <c r="I84" s="52">
        <f>L84+M84+N84</f>
        <v>142.0936</v>
      </c>
      <c r="J84" s="52">
        <f>O84+P84</f>
        <v>19.4164</v>
      </c>
      <c r="K84" s="53">
        <f>IF(H84=I84+J84,0,W84)</f>
        <v>0.49</v>
      </c>
      <c r="L84" s="52">
        <v>26.281</v>
      </c>
      <c r="M84" s="52">
        <v>115.8126</v>
      </c>
      <c r="N84" s="52">
        <v>0</v>
      </c>
      <c r="O84" s="52">
        <v>5.519</v>
      </c>
      <c r="P84" s="52">
        <v>13.8974</v>
      </c>
      <c r="Q84" s="54">
        <v>142.0936</v>
      </c>
      <c r="R84" s="52">
        <v>161.51</v>
      </c>
      <c r="S84" s="52">
        <v>0</v>
      </c>
      <c r="T84" s="52">
        <v>0</v>
      </c>
      <c r="U84" s="52">
        <v>0</v>
      </c>
      <c r="V84" s="52">
        <v>0</v>
      </c>
      <c r="W84" s="52">
        <v>0.49</v>
      </c>
      <c r="X84" s="54">
        <v>500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46132.3750462963</v>
      </c>
      <c r="AH84" s="52">
        <v>31141</v>
      </c>
      <c r="AI84" s="52">
        <v>0</v>
      </c>
      <c r="AJ84" s="53">
        <f>AH84+AI84</f>
        <v>31141</v>
      </c>
      <c r="AK84" s="56">
        <v>0</v>
      </c>
    </row>
    <row r="85">
      <c r="A85" s="48">
        <v>46132.37550925926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166004574</v>
      </c>
      <c r="H85" s="52">
        <v>107.5</v>
      </c>
      <c r="I85" s="52">
        <f>L85+M85+N85</f>
        <v>95.9821</v>
      </c>
      <c r="J85" s="52">
        <f>O85+P85</f>
        <v>11.5179</v>
      </c>
      <c r="K85" s="53">
        <f>IF(H85=I85+J85,0,W85)</f>
        <v>0</v>
      </c>
      <c r="L85" s="52">
        <v>0</v>
      </c>
      <c r="M85" s="52">
        <v>95.9821</v>
      </c>
      <c r="N85" s="52">
        <v>0</v>
      </c>
      <c r="O85" s="52">
        <v>0</v>
      </c>
      <c r="P85" s="52">
        <v>11.5179</v>
      </c>
      <c r="Q85" s="54">
        <v>95.9821</v>
      </c>
      <c r="R85" s="52">
        <v>107.5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107.5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46132.37550925926</v>
      </c>
      <c r="AH85" s="52">
        <v>31141</v>
      </c>
      <c r="AI85" s="52">
        <v>0</v>
      </c>
      <c r="AJ85" s="53">
        <f>AH85+AI85</f>
        <v>31141</v>
      </c>
      <c r="AK85" s="56">
        <v>0</v>
      </c>
    </row>
    <row r="86">
      <c r="A86" s="48">
        <v>46132.376550925925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166004575</v>
      </c>
      <c r="H86" s="52">
        <v>213.09</v>
      </c>
      <c r="I86" s="52">
        <f>L86+M86+N86</f>
        <v>190.2591</v>
      </c>
      <c r="J86" s="52">
        <f>O86+P86</f>
        <v>22.8309</v>
      </c>
      <c r="K86" s="53">
        <f>IF(H86=I86+J86,0,W86)</f>
        <v>0</v>
      </c>
      <c r="L86" s="52">
        <v>0</v>
      </c>
      <c r="M86" s="52">
        <v>190.2591</v>
      </c>
      <c r="N86" s="52">
        <v>0</v>
      </c>
      <c r="O86" s="52">
        <v>0</v>
      </c>
      <c r="P86" s="52">
        <v>22.8309</v>
      </c>
      <c r="Q86" s="54">
        <v>190.2591</v>
      </c>
      <c r="R86" s="52">
        <v>213.09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0</v>
      </c>
      <c r="Y86" s="52">
        <v>0</v>
      </c>
      <c r="Z86" s="52">
        <v>213.09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46132.376550925925</v>
      </c>
      <c r="AH86" s="52">
        <v>31141</v>
      </c>
      <c r="AI86" s="52">
        <v>0</v>
      </c>
      <c r="AJ86" s="53">
        <f>AH86+AI86</f>
        <v>31141</v>
      </c>
      <c r="AK86" s="56">
        <v>0</v>
      </c>
    </row>
    <row r="87">
      <c r="A87" s="48">
        <v>46132.37709490741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166004576</v>
      </c>
      <c r="H87" s="52">
        <v>41.3</v>
      </c>
      <c r="I87" s="52">
        <f>L87+M87+N87</f>
        <v>36.8753</v>
      </c>
      <c r="J87" s="52">
        <f>O87+P87</f>
        <v>4.4247</v>
      </c>
      <c r="K87" s="53">
        <f>IF(H87=I87+J87,0,W87)</f>
        <v>0</v>
      </c>
      <c r="L87" s="52">
        <v>0</v>
      </c>
      <c r="M87" s="52">
        <v>36.8753</v>
      </c>
      <c r="N87" s="52">
        <v>0</v>
      </c>
      <c r="O87" s="52">
        <v>0</v>
      </c>
      <c r="P87" s="52">
        <v>4.4247</v>
      </c>
      <c r="Q87" s="54">
        <v>36.8753</v>
      </c>
      <c r="R87" s="52">
        <v>41.3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41.3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46132.37709490741</v>
      </c>
      <c r="AH87" s="52">
        <v>31141</v>
      </c>
      <c r="AI87" s="52">
        <v>0</v>
      </c>
      <c r="AJ87" s="53">
        <f>AH87+AI87</f>
        <v>31141</v>
      </c>
      <c r="AK87" s="56">
        <v>0</v>
      </c>
    </row>
    <row r="88">
      <c r="A88" s="48">
        <v>46132.378796296296</v>
      </c>
      <c r="B88" s="49" t="s">
        <v>108</v>
      </c>
      <c r="C88" s="49" t="s">
        <v>100</v>
      </c>
      <c r="D88" s="49" t="s">
        <v>5</v>
      </c>
      <c r="E88" s="50">
        <v>96</v>
      </c>
      <c r="F88" s="49" t="s">
        <v>105</v>
      </c>
      <c r="G88" s="51">
        <v>161000335</v>
      </c>
      <c r="H88" s="52">
        <v>129.6</v>
      </c>
      <c r="I88" s="52">
        <f>L88+M88+N88</f>
        <v>110.4</v>
      </c>
      <c r="J88" s="52">
        <f>O88+P88</f>
        <v>19.2</v>
      </c>
      <c r="K88" s="53">
        <f>IF(H88=I88+J88,0,W88)</f>
        <v>0</v>
      </c>
      <c r="L88" s="52">
        <v>65.94</v>
      </c>
      <c r="M88" s="52">
        <v>44.46</v>
      </c>
      <c r="N88" s="52">
        <v>0</v>
      </c>
      <c r="O88" s="52">
        <v>13.86</v>
      </c>
      <c r="P88" s="52">
        <v>5.34</v>
      </c>
      <c r="Q88" s="54">
        <v>110.4</v>
      </c>
      <c r="R88" s="52">
        <v>129.6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129.6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46132.378796296296</v>
      </c>
      <c r="AH88" s="52">
        <v>0</v>
      </c>
      <c r="AI88" s="52">
        <v>0</v>
      </c>
      <c r="AJ88" s="53">
        <f>AH88+AI88</f>
        <v>0</v>
      </c>
      <c r="AK88" s="56">
        <v>0</v>
      </c>
    </row>
    <row r="89">
      <c r="A89" s="48">
        <v>46132.37899305556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166004577</v>
      </c>
      <c r="H89" s="52">
        <v>23.2</v>
      </c>
      <c r="I89" s="52">
        <f>L89+M89+N89</f>
        <v>20.7143</v>
      </c>
      <c r="J89" s="52">
        <f>O89+P89</f>
        <v>2.4857</v>
      </c>
      <c r="K89" s="53">
        <f>IF(H89=I89+J89,0,W89)</f>
        <v>0</v>
      </c>
      <c r="L89" s="52">
        <v>0</v>
      </c>
      <c r="M89" s="52">
        <v>20.7143</v>
      </c>
      <c r="N89" s="52">
        <v>0</v>
      </c>
      <c r="O89" s="52">
        <v>0</v>
      </c>
      <c r="P89" s="52">
        <v>2.4857</v>
      </c>
      <c r="Q89" s="54">
        <v>20.7143</v>
      </c>
      <c r="R89" s="52">
        <v>23.2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4">
        <v>0</v>
      </c>
      <c r="Y89" s="52">
        <v>0</v>
      </c>
      <c r="Z89" s="52">
        <v>23.2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46132.37899305556</v>
      </c>
      <c r="AH89" s="52">
        <v>31141</v>
      </c>
      <c r="AI89" s="52">
        <v>0</v>
      </c>
      <c r="AJ89" s="53">
        <f>AH89+AI89</f>
        <v>31141</v>
      </c>
      <c r="AK89" s="56">
        <v>0</v>
      </c>
    </row>
    <row r="90">
      <c r="A90" s="48">
        <v>46132.379837962966</v>
      </c>
      <c r="B90" s="49" t="s">
        <v>108</v>
      </c>
      <c r="C90" s="49" t="s">
        <v>100</v>
      </c>
      <c r="D90" s="49" t="s">
        <v>5</v>
      </c>
      <c r="E90" s="50">
        <v>96</v>
      </c>
      <c r="F90" s="49" t="s">
        <v>101</v>
      </c>
      <c r="G90" s="51">
        <v>163000333</v>
      </c>
      <c r="H90" s="52">
        <v>37.19</v>
      </c>
      <c r="I90" s="52">
        <f>L90+M90+N90</f>
        <v>33.2</v>
      </c>
      <c r="J90" s="52">
        <f>O90+P90</f>
        <v>3.99</v>
      </c>
      <c r="K90" s="53">
        <f>IF(H90=I90+J90,0,W90)</f>
        <v>0</v>
      </c>
      <c r="L90" s="52">
        <v>0</v>
      </c>
      <c r="M90" s="52">
        <v>33.2</v>
      </c>
      <c r="N90" s="52">
        <v>0</v>
      </c>
      <c r="O90" s="52">
        <v>0</v>
      </c>
      <c r="P90" s="52">
        <v>3.99</v>
      </c>
      <c r="Q90" s="54">
        <v>33.2</v>
      </c>
      <c r="R90" s="52">
        <v>37.19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37.19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46132.379837962966</v>
      </c>
      <c r="AH90" s="52">
        <v>0</v>
      </c>
      <c r="AI90" s="52">
        <v>0</v>
      </c>
      <c r="AJ90" s="53">
        <f>AH90+AI90</f>
        <v>0</v>
      </c>
      <c r="AK90" s="56">
        <v>0</v>
      </c>
    </row>
    <row r="91">
      <c r="A91" s="48">
        <v>46132.38054398148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166004578</v>
      </c>
      <c r="H91" s="52">
        <v>787.35</v>
      </c>
      <c r="I91" s="52">
        <f>L91+M91+N91</f>
        <v>702.9911</v>
      </c>
      <c r="J91" s="52">
        <f>O91+P91</f>
        <v>84.3589</v>
      </c>
      <c r="K91" s="53">
        <f>IF(H91=I91+J91,0,W91)</f>
        <v>0</v>
      </c>
      <c r="L91" s="52">
        <v>0</v>
      </c>
      <c r="M91" s="52">
        <v>702.9911</v>
      </c>
      <c r="N91" s="52">
        <v>0</v>
      </c>
      <c r="O91" s="52">
        <v>0</v>
      </c>
      <c r="P91" s="52">
        <v>84.3589</v>
      </c>
      <c r="Q91" s="54">
        <v>702.9911</v>
      </c>
      <c r="R91" s="52">
        <v>787.35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787.35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46132.38054398148</v>
      </c>
      <c r="AH91" s="52">
        <v>31141</v>
      </c>
      <c r="AI91" s="52">
        <v>0</v>
      </c>
      <c r="AJ91" s="53">
        <f>AH91+AI91</f>
        <v>31141</v>
      </c>
      <c r="AK91" s="56">
        <v>0</v>
      </c>
    </row>
    <row r="92">
      <c r="A92" s="48">
        <v>46132.3816087963</v>
      </c>
      <c r="B92" s="49" t="s">
        <v>108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166004579</v>
      </c>
      <c r="H92" s="52">
        <v>388</v>
      </c>
      <c r="I92" s="52">
        <f>L92+M92+N92</f>
        <v>332.3694</v>
      </c>
      <c r="J92" s="52">
        <f>O92+P92</f>
        <v>55.6306</v>
      </c>
      <c r="K92" s="53">
        <f>IF(H92=I92+J92,0,W92)</f>
        <v>0</v>
      </c>
      <c r="L92" s="52">
        <v>174.9586</v>
      </c>
      <c r="M92" s="52">
        <v>157.4108</v>
      </c>
      <c r="N92" s="52">
        <v>0</v>
      </c>
      <c r="O92" s="52">
        <v>36.7414</v>
      </c>
      <c r="P92" s="52">
        <v>18.8892</v>
      </c>
      <c r="Q92" s="54">
        <v>332.3694</v>
      </c>
      <c r="R92" s="52">
        <v>388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500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46132.3816087963</v>
      </c>
      <c r="AH92" s="52">
        <v>31529</v>
      </c>
      <c r="AI92" s="52">
        <v>0</v>
      </c>
      <c r="AJ92" s="53">
        <f>AH92+AI92</f>
        <v>31529</v>
      </c>
      <c r="AK92" s="56">
        <v>0</v>
      </c>
    </row>
    <row r="93">
      <c r="A93" s="48">
        <v>46132.383356481485</v>
      </c>
      <c r="B93" s="49" t="s">
        <v>108</v>
      </c>
      <c r="C93" s="49" t="s">
        <v>106</v>
      </c>
      <c r="D93" s="49" t="s">
        <v>5</v>
      </c>
      <c r="E93" s="50">
        <v>96</v>
      </c>
      <c r="F93" s="49" t="s">
        <v>107</v>
      </c>
      <c r="G93" s="51">
        <v>166004580</v>
      </c>
      <c r="H93" s="52">
        <v>114</v>
      </c>
      <c r="I93" s="52">
        <f>L93+M93+N93</f>
        <v>102.0893</v>
      </c>
      <c r="J93" s="52">
        <f>O93+P93</f>
        <v>12.2507</v>
      </c>
      <c r="K93" s="53">
        <f>IF(H93=I93+J93,0,W93)</f>
        <v>-0.34</v>
      </c>
      <c r="L93" s="52">
        <v>0</v>
      </c>
      <c r="M93" s="52">
        <v>102.0893</v>
      </c>
      <c r="N93" s="52">
        <v>0</v>
      </c>
      <c r="O93" s="52">
        <v>0</v>
      </c>
      <c r="P93" s="52">
        <v>12.2507</v>
      </c>
      <c r="Q93" s="54">
        <v>102.0893</v>
      </c>
      <c r="R93" s="52">
        <v>114.34</v>
      </c>
      <c r="S93" s="52">
        <v>0</v>
      </c>
      <c r="T93" s="52">
        <v>0</v>
      </c>
      <c r="U93" s="52">
        <v>0</v>
      </c>
      <c r="V93" s="52">
        <v>0</v>
      </c>
      <c r="W93" s="52">
        <v>-0.34</v>
      </c>
      <c r="X93" s="54">
        <v>114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46132.383356481485</v>
      </c>
      <c r="AH93" s="52">
        <v>31643</v>
      </c>
      <c r="AI93" s="52">
        <v>0</v>
      </c>
      <c r="AJ93" s="53">
        <f>AH93+AI93</f>
        <v>31643</v>
      </c>
      <c r="AK93" s="56">
        <v>0</v>
      </c>
    </row>
    <row r="94">
      <c r="A94" s="48">
        <v>46132.38416666666</v>
      </c>
      <c r="B94" s="49" t="s">
        <v>108</v>
      </c>
      <c r="C94" s="49" t="s">
        <v>100</v>
      </c>
      <c r="D94" s="49" t="s">
        <v>5</v>
      </c>
      <c r="E94" s="50">
        <v>96</v>
      </c>
      <c r="F94" s="49" t="s">
        <v>105</v>
      </c>
      <c r="G94" s="51">
        <v>161000336</v>
      </c>
      <c r="H94" s="52">
        <v>54.8</v>
      </c>
      <c r="I94" s="52">
        <f>L94+M94+N94</f>
        <v>47.260000000000005</v>
      </c>
      <c r="J94" s="52">
        <f>O94+P94</f>
        <v>7.54</v>
      </c>
      <c r="K94" s="53">
        <f>IF(H94=I94+J94,0,W94)</f>
        <v>0</v>
      </c>
      <c r="L94" s="52">
        <v>20.57</v>
      </c>
      <c r="M94" s="52">
        <v>26.69</v>
      </c>
      <c r="N94" s="52">
        <v>0</v>
      </c>
      <c r="O94" s="52">
        <v>4.33</v>
      </c>
      <c r="P94" s="52">
        <v>3.21</v>
      </c>
      <c r="Q94" s="54">
        <v>47.26</v>
      </c>
      <c r="R94" s="52">
        <v>54.8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54.8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46132.38416666666</v>
      </c>
      <c r="AH94" s="52">
        <v>0</v>
      </c>
      <c r="AI94" s="52">
        <v>0</v>
      </c>
      <c r="AJ94" s="53">
        <f>AH94+AI94</f>
        <v>0</v>
      </c>
      <c r="AK94" s="56">
        <v>0</v>
      </c>
    </row>
    <row r="95">
      <c r="A95" s="48">
        <v>46132.385150462964</v>
      </c>
      <c r="B95" s="49" t="s">
        <v>108</v>
      </c>
      <c r="C95" s="49" t="s">
        <v>106</v>
      </c>
      <c r="D95" s="49" t="s">
        <v>5</v>
      </c>
      <c r="E95" s="50">
        <v>96</v>
      </c>
      <c r="F95" s="49" t="s">
        <v>107</v>
      </c>
      <c r="G95" s="51">
        <v>166004581</v>
      </c>
      <c r="H95" s="52">
        <v>182</v>
      </c>
      <c r="I95" s="52">
        <f>L95+M95+N95</f>
        <v>162.1694</v>
      </c>
      <c r="J95" s="52">
        <f>O95+P95</f>
        <v>19.4606</v>
      </c>
      <c r="K95" s="53">
        <f>IF(H95=I95+J95,0,W95)</f>
        <v>0.37</v>
      </c>
      <c r="L95" s="52">
        <v>0</v>
      </c>
      <c r="M95" s="52">
        <v>162.1694</v>
      </c>
      <c r="N95" s="52">
        <v>0</v>
      </c>
      <c r="O95" s="52">
        <v>0</v>
      </c>
      <c r="P95" s="52">
        <v>19.4606</v>
      </c>
      <c r="Q95" s="54">
        <v>162.1694</v>
      </c>
      <c r="R95" s="52">
        <v>181.63</v>
      </c>
      <c r="S95" s="52">
        <v>0</v>
      </c>
      <c r="T95" s="52">
        <v>0</v>
      </c>
      <c r="U95" s="52">
        <v>0</v>
      </c>
      <c r="V95" s="52">
        <v>0</v>
      </c>
      <c r="W95" s="52">
        <v>0.37</v>
      </c>
      <c r="X95" s="54">
        <v>200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46132.385150462964</v>
      </c>
      <c r="AH95" s="52">
        <v>31825</v>
      </c>
      <c r="AI95" s="52">
        <v>0</v>
      </c>
      <c r="AJ95" s="53">
        <f>AH95+AI95</f>
        <v>31825</v>
      </c>
      <c r="AK95" s="56">
        <v>0</v>
      </c>
    </row>
    <row r="96">
      <c r="A96" s="48">
        <v>46132.387094907404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166004582</v>
      </c>
      <c r="H96" s="52">
        <v>424</v>
      </c>
      <c r="I96" s="52">
        <f>L96+M96+N96</f>
        <v>378.2409</v>
      </c>
      <c r="J96" s="52">
        <f>O96+P96</f>
        <v>45.3891</v>
      </c>
      <c r="K96" s="53">
        <f>IF(H96=I96+J96,0,W96)</f>
        <v>0.37</v>
      </c>
      <c r="L96" s="52">
        <v>0</v>
      </c>
      <c r="M96" s="52">
        <v>378.2409</v>
      </c>
      <c r="N96" s="52">
        <v>0</v>
      </c>
      <c r="O96" s="52">
        <v>0</v>
      </c>
      <c r="P96" s="52">
        <v>45.3891</v>
      </c>
      <c r="Q96" s="54">
        <v>378.2409</v>
      </c>
      <c r="R96" s="52">
        <v>423.63</v>
      </c>
      <c r="S96" s="52">
        <v>0</v>
      </c>
      <c r="T96" s="52">
        <v>0</v>
      </c>
      <c r="U96" s="52">
        <v>0</v>
      </c>
      <c r="V96" s="52">
        <v>0</v>
      </c>
      <c r="W96" s="52">
        <v>0.37</v>
      </c>
      <c r="X96" s="54">
        <v>1024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46132.387094907404</v>
      </c>
      <c r="AH96" s="52">
        <v>32249</v>
      </c>
      <c r="AI96" s="52">
        <v>0</v>
      </c>
      <c r="AJ96" s="53">
        <f>AH96+AI96</f>
        <v>32249</v>
      </c>
      <c r="AK96" s="56">
        <v>16.47</v>
      </c>
    </row>
    <row r="97">
      <c r="A97" s="48">
        <v>46132.387604166666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166004583</v>
      </c>
      <c r="H97" s="52">
        <v>9</v>
      </c>
      <c r="I97" s="52">
        <f>L97+M97+N97</f>
        <v>8.4554</v>
      </c>
      <c r="J97" s="52">
        <f>O97+P97</f>
        <v>1.0146</v>
      </c>
      <c r="K97" s="53">
        <f>IF(H97=I97+J97,0,W97)</f>
        <v>-0.47</v>
      </c>
      <c r="L97" s="52">
        <v>0</v>
      </c>
      <c r="M97" s="52">
        <v>8.4554</v>
      </c>
      <c r="N97" s="52">
        <v>0</v>
      </c>
      <c r="O97" s="52">
        <v>0</v>
      </c>
      <c r="P97" s="52">
        <v>1.0146</v>
      </c>
      <c r="Q97" s="54">
        <v>8.4554</v>
      </c>
      <c r="R97" s="52">
        <v>9.47</v>
      </c>
      <c r="S97" s="52">
        <v>0</v>
      </c>
      <c r="T97" s="52">
        <v>0</v>
      </c>
      <c r="U97" s="52">
        <v>0</v>
      </c>
      <c r="V97" s="52">
        <v>0</v>
      </c>
      <c r="W97" s="52">
        <v>-0.47</v>
      </c>
      <c r="X97" s="54">
        <v>9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46132.387604166666</v>
      </c>
      <c r="AH97" s="52">
        <v>32258</v>
      </c>
      <c r="AI97" s="52">
        <v>0</v>
      </c>
      <c r="AJ97" s="53">
        <f>AH97+AI97</f>
        <v>32258</v>
      </c>
      <c r="AK97" s="56">
        <v>0</v>
      </c>
    </row>
    <row r="98">
      <c r="A98" s="48">
        <v>46132.38792824074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166004584</v>
      </c>
      <c r="H98" s="52">
        <v>155</v>
      </c>
      <c r="I98" s="52">
        <f>L98+M98+N98</f>
        <v>138.7053</v>
      </c>
      <c r="J98" s="52">
        <f>O98+P98</f>
        <v>16.6447</v>
      </c>
      <c r="K98" s="53">
        <f>IF(H98=I98+J98,0,W98)</f>
        <v>-0.35</v>
      </c>
      <c r="L98" s="52">
        <v>0</v>
      </c>
      <c r="M98" s="52">
        <v>138.7053</v>
      </c>
      <c r="N98" s="52">
        <v>0</v>
      </c>
      <c r="O98" s="52">
        <v>0</v>
      </c>
      <c r="P98" s="52">
        <v>16.6447</v>
      </c>
      <c r="Q98" s="54">
        <v>138.7053</v>
      </c>
      <c r="R98" s="52">
        <v>155.35</v>
      </c>
      <c r="S98" s="52">
        <v>0</v>
      </c>
      <c r="T98" s="52">
        <v>0</v>
      </c>
      <c r="U98" s="52">
        <v>0</v>
      </c>
      <c r="V98" s="52">
        <v>0</v>
      </c>
      <c r="W98" s="52">
        <v>-0.35</v>
      </c>
      <c r="X98" s="54">
        <v>200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46132.38792824074</v>
      </c>
      <c r="AH98" s="52">
        <v>32413</v>
      </c>
      <c r="AI98" s="52">
        <v>0</v>
      </c>
      <c r="AJ98" s="53">
        <f>AH98+AI98</f>
        <v>32413</v>
      </c>
      <c r="AK98" s="56">
        <v>0</v>
      </c>
    </row>
    <row r="99">
      <c r="A99" s="48">
        <v>46132.38846064815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166004585</v>
      </c>
      <c r="H99" s="52">
        <v>188.8</v>
      </c>
      <c r="I99" s="52">
        <f>L99+M99+N99</f>
        <v>165.9216</v>
      </c>
      <c r="J99" s="52">
        <f>O99+P99</f>
        <v>22.8784</v>
      </c>
      <c r="K99" s="53">
        <f>IF(H99=I99+J99,0,W99)</f>
        <v>0</v>
      </c>
      <c r="L99" s="52">
        <v>32.9752</v>
      </c>
      <c r="M99" s="52">
        <v>132.9464</v>
      </c>
      <c r="N99" s="52">
        <v>0</v>
      </c>
      <c r="O99" s="52">
        <v>6.9248</v>
      </c>
      <c r="P99" s="52">
        <v>15.9536</v>
      </c>
      <c r="Q99" s="54">
        <v>165.9216</v>
      </c>
      <c r="R99" s="52">
        <v>188.8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0</v>
      </c>
      <c r="Y99" s="52">
        <v>0</v>
      </c>
      <c r="Z99" s="52">
        <v>188.8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46132.38846064815</v>
      </c>
      <c r="AH99" s="52">
        <v>32413</v>
      </c>
      <c r="AI99" s="52">
        <v>0</v>
      </c>
      <c r="AJ99" s="53">
        <f>AH99+AI99</f>
        <v>32413</v>
      </c>
      <c r="AK99" s="56">
        <v>0</v>
      </c>
    </row>
    <row r="100">
      <c r="A100" s="48">
        <v>46132.38857638889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166004586</v>
      </c>
      <c r="H100" s="52">
        <v>35</v>
      </c>
      <c r="I100" s="52">
        <f>L100+M100+N100</f>
        <v>31.6161</v>
      </c>
      <c r="J100" s="52">
        <f>O100+P100</f>
        <v>3.7939</v>
      </c>
      <c r="K100" s="53">
        <f>IF(H100=I100+J100,0,W100)</f>
        <v>-0.41</v>
      </c>
      <c r="L100" s="52">
        <v>0</v>
      </c>
      <c r="M100" s="52">
        <v>31.6161</v>
      </c>
      <c r="N100" s="52">
        <v>0</v>
      </c>
      <c r="O100" s="52">
        <v>0</v>
      </c>
      <c r="P100" s="52">
        <v>3.7939</v>
      </c>
      <c r="Q100" s="54">
        <v>31.6161</v>
      </c>
      <c r="R100" s="52">
        <v>35.41</v>
      </c>
      <c r="S100" s="52">
        <v>0</v>
      </c>
      <c r="T100" s="52">
        <v>0</v>
      </c>
      <c r="U100" s="52">
        <v>0</v>
      </c>
      <c r="V100" s="52">
        <v>0</v>
      </c>
      <c r="W100" s="52">
        <v>-0.41</v>
      </c>
      <c r="X100" s="54">
        <v>40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46132.38857638889</v>
      </c>
      <c r="AH100" s="52">
        <v>32448</v>
      </c>
      <c r="AI100" s="52">
        <v>0</v>
      </c>
      <c r="AJ100" s="53">
        <f>AH100+AI100</f>
        <v>32448</v>
      </c>
      <c r="AK100" s="56">
        <v>0</v>
      </c>
    </row>
    <row r="101">
      <c r="A101" s="48">
        <v>46132.3908912037</v>
      </c>
      <c r="B101" s="49" t="s">
        <v>108</v>
      </c>
      <c r="C101" s="49" t="s">
        <v>106</v>
      </c>
      <c r="D101" s="49" t="s">
        <v>5</v>
      </c>
      <c r="E101" s="50">
        <v>96</v>
      </c>
      <c r="F101" s="49" t="s">
        <v>107</v>
      </c>
      <c r="G101" s="51">
        <v>166004587</v>
      </c>
      <c r="H101" s="52">
        <v>213</v>
      </c>
      <c r="I101" s="52">
        <f>L101+M101+N101</f>
        <v>175.9504</v>
      </c>
      <c r="J101" s="52">
        <f>O101+P101</f>
        <v>36.9496</v>
      </c>
      <c r="K101" s="53">
        <f>IF(H101=I101+J101,0,W101)</f>
        <v>0.1</v>
      </c>
      <c r="L101" s="52">
        <v>175.9504</v>
      </c>
      <c r="M101" s="52">
        <v>0</v>
      </c>
      <c r="N101" s="52">
        <v>0</v>
      </c>
      <c r="O101" s="52">
        <v>36.9496</v>
      </c>
      <c r="P101" s="52">
        <v>0</v>
      </c>
      <c r="Q101" s="54">
        <v>175.9504</v>
      </c>
      <c r="R101" s="52">
        <v>212.9</v>
      </c>
      <c r="S101" s="52">
        <v>0</v>
      </c>
      <c r="T101" s="52">
        <v>0</v>
      </c>
      <c r="U101" s="52">
        <v>0</v>
      </c>
      <c r="V101" s="52">
        <v>0</v>
      </c>
      <c r="W101" s="52">
        <v>0.1</v>
      </c>
      <c r="X101" s="54">
        <v>220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46132.3908912037</v>
      </c>
      <c r="AH101" s="52">
        <v>32661</v>
      </c>
      <c r="AI101" s="52">
        <v>0</v>
      </c>
      <c r="AJ101" s="53">
        <f>AH101+AI101</f>
        <v>32661</v>
      </c>
      <c r="AK101" s="56">
        <v>0</v>
      </c>
    </row>
    <row r="102">
      <c r="A102" s="48">
        <v>46132.39134259259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166004588</v>
      </c>
      <c r="H102" s="52">
        <v>225</v>
      </c>
      <c r="I102" s="52">
        <f>L102+M102+N102</f>
        <v>190.6015</v>
      </c>
      <c r="J102" s="52">
        <f>O102+P102</f>
        <v>34.698499999999996</v>
      </c>
      <c r="K102" s="53">
        <f>IF(H102=I102+J102,0,W102)</f>
        <v>-0.3</v>
      </c>
      <c r="L102" s="52">
        <v>131.405</v>
      </c>
      <c r="M102" s="52">
        <v>59.1965</v>
      </c>
      <c r="N102" s="52">
        <v>0</v>
      </c>
      <c r="O102" s="52">
        <v>27.595</v>
      </c>
      <c r="P102" s="52">
        <v>7.1035</v>
      </c>
      <c r="Q102" s="54">
        <v>190.6015</v>
      </c>
      <c r="R102" s="52">
        <v>225.3</v>
      </c>
      <c r="S102" s="52">
        <v>0</v>
      </c>
      <c r="T102" s="52">
        <v>0</v>
      </c>
      <c r="U102" s="52">
        <v>0</v>
      </c>
      <c r="V102" s="52">
        <v>0</v>
      </c>
      <c r="W102" s="52">
        <v>-0.3</v>
      </c>
      <c r="X102" s="54">
        <v>500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46132.39134259259</v>
      </c>
      <c r="AH102" s="52">
        <v>32886</v>
      </c>
      <c r="AI102" s="52">
        <v>0</v>
      </c>
      <c r="AJ102" s="53">
        <f>AH102+AI102</f>
        <v>32886</v>
      </c>
      <c r="AK102" s="56">
        <v>0</v>
      </c>
    </row>
    <row r="103">
      <c r="A103" s="48">
        <v>46132.3915625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166004589</v>
      </c>
      <c r="H103" s="52">
        <v>22</v>
      </c>
      <c r="I103" s="52">
        <f>L103+M103+N103</f>
        <v>19.9107</v>
      </c>
      <c r="J103" s="52">
        <f>O103+P103</f>
        <v>2.3893</v>
      </c>
      <c r="K103" s="53">
        <f>IF(H103=I103+J103,0,W103)</f>
        <v>-0.3</v>
      </c>
      <c r="L103" s="52">
        <v>0</v>
      </c>
      <c r="M103" s="52">
        <v>19.9107</v>
      </c>
      <c r="N103" s="52">
        <v>0</v>
      </c>
      <c r="O103" s="52">
        <v>0</v>
      </c>
      <c r="P103" s="52">
        <v>2.3893</v>
      </c>
      <c r="Q103" s="54">
        <v>19.9107</v>
      </c>
      <c r="R103" s="52">
        <v>22.3</v>
      </c>
      <c r="S103" s="52">
        <v>0</v>
      </c>
      <c r="T103" s="52">
        <v>0</v>
      </c>
      <c r="U103" s="52">
        <v>0</v>
      </c>
      <c r="V103" s="52">
        <v>0</v>
      </c>
      <c r="W103" s="52">
        <v>-0.3</v>
      </c>
      <c r="X103" s="54">
        <v>50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46132.3915625</v>
      </c>
      <c r="AH103" s="52">
        <v>32908</v>
      </c>
      <c r="AI103" s="52">
        <v>0</v>
      </c>
      <c r="AJ103" s="53">
        <f>AH103+AI103</f>
        <v>32908</v>
      </c>
      <c r="AK103" s="56">
        <v>0</v>
      </c>
    </row>
    <row r="104">
      <c r="A104" s="48">
        <v>46132.392233796294</v>
      </c>
      <c r="B104" s="49" t="s">
        <v>108</v>
      </c>
      <c r="C104" s="49" t="s">
        <v>106</v>
      </c>
      <c r="D104" s="49" t="s">
        <v>5</v>
      </c>
      <c r="E104" s="50">
        <v>96</v>
      </c>
      <c r="F104" s="49" t="s">
        <v>107</v>
      </c>
      <c r="G104" s="51">
        <v>166004590</v>
      </c>
      <c r="H104" s="52">
        <v>240</v>
      </c>
      <c r="I104" s="52">
        <f>L104+M104+N104</f>
        <v>207.61090000000002</v>
      </c>
      <c r="J104" s="52">
        <f>O104+P104</f>
        <v>32.0091</v>
      </c>
      <c r="K104" s="53">
        <f>IF(H104=I104+J104,0,W104)</f>
        <v>0.38</v>
      </c>
      <c r="L104" s="52">
        <v>78.843</v>
      </c>
      <c r="M104" s="52">
        <v>128.7679</v>
      </c>
      <c r="N104" s="52">
        <v>0</v>
      </c>
      <c r="O104" s="52">
        <v>16.557</v>
      </c>
      <c r="P104" s="52">
        <v>15.4521</v>
      </c>
      <c r="Q104" s="54">
        <v>207.6109</v>
      </c>
      <c r="R104" s="52">
        <v>239.62</v>
      </c>
      <c r="S104" s="52">
        <v>0</v>
      </c>
      <c r="T104" s="52">
        <v>0</v>
      </c>
      <c r="U104" s="52">
        <v>0</v>
      </c>
      <c r="V104" s="52">
        <v>0</v>
      </c>
      <c r="W104" s="52">
        <v>0.38</v>
      </c>
      <c r="X104" s="54">
        <v>2000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46132.392233796294</v>
      </c>
      <c r="AH104" s="52">
        <v>33148</v>
      </c>
      <c r="AI104" s="52">
        <v>0</v>
      </c>
      <c r="AJ104" s="53">
        <f>AH104+AI104</f>
        <v>33148</v>
      </c>
      <c r="AK104" s="56">
        <v>0</v>
      </c>
    </row>
    <row r="105">
      <c r="A105" s="48">
        <v>46132.3934375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166004591</v>
      </c>
      <c r="H105" s="52">
        <v>174</v>
      </c>
      <c r="I105" s="52">
        <f>L105+M105+N105</f>
        <v>155.6251</v>
      </c>
      <c r="J105" s="52">
        <f>O105+P105</f>
        <v>18.6749</v>
      </c>
      <c r="K105" s="53">
        <f>IF(H105=I105+J105,0,W105)</f>
        <v>-0.3</v>
      </c>
      <c r="L105" s="52">
        <v>0</v>
      </c>
      <c r="M105" s="52">
        <v>155.6251</v>
      </c>
      <c r="N105" s="52">
        <v>0</v>
      </c>
      <c r="O105" s="52">
        <v>0</v>
      </c>
      <c r="P105" s="52">
        <v>18.6749</v>
      </c>
      <c r="Q105" s="54">
        <v>155.6251</v>
      </c>
      <c r="R105" s="52">
        <v>174.3</v>
      </c>
      <c r="S105" s="52">
        <v>0</v>
      </c>
      <c r="T105" s="52">
        <v>0</v>
      </c>
      <c r="U105" s="52">
        <v>0</v>
      </c>
      <c r="V105" s="52">
        <v>0</v>
      </c>
      <c r="W105" s="52">
        <v>-0.3</v>
      </c>
      <c r="X105" s="54">
        <v>204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46132.3934375</v>
      </c>
      <c r="AH105" s="52">
        <v>33322</v>
      </c>
      <c r="AI105" s="52">
        <v>0</v>
      </c>
      <c r="AJ105" s="53">
        <f>AH105+AI105</f>
        <v>33322</v>
      </c>
      <c r="AK105" s="56">
        <v>0</v>
      </c>
    </row>
    <row r="106">
      <c r="A106" s="48">
        <v>46132.39386574074</v>
      </c>
      <c r="B106" s="49" t="s">
        <v>108</v>
      </c>
      <c r="C106" s="49" t="s">
        <v>106</v>
      </c>
      <c r="D106" s="49" t="s">
        <v>5</v>
      </c>
      <c r="E106" s="50">
        <v>96</v>
      </c>
      <c r="F106" s="49" t="s">
        <v>107</v>
      </c>
      <c r="G106" s="51">
        <v>166004592</v>
      </c>
      <c r="H106" s="52">
        <v>182.7</v>
      </c>
      <c r="I106" s="52">
        <f>L106+M106+N106</f>
        <v>163.125</v>
      </c>
      <c r="J106" s="52">
        <f>O106+P106</f>
        <v>19.575</v>
      </c>
      <c r="K106" s="53">
        <f>IF(H106=I106+J106,0,W106)</f>
        <v>0</v>
      </c>
      <c r="L106" s="52">
        <v>0</v>
      </c>
      <c r="M106" s="52">
        <v>163.125</v>
      </c>
      <c r="N106" s="52">
        <v>0</v>
      </c>
      <c r="O106" s="52">
        <v>0</v>
      </c>
      <c r="P106" s="52">
        <v>19.575</v>
      </c>
      <c r="Q106" s="54">
        <v>163.125</v>
      </c>
      <c r="R106" s="52">
        <v>182.7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182.7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46132.39386574074</v>
      </c>
      <c r="AH106" s="52">
        <v>33322</v>
      </c>
      <c r="AI106" s="52">
        <v>0</v>
      </c>
      <c r="AJ106" s="53">
        <f>AH106+AI106</f>
        <v>33322</v>
      </c>
      <c r="AK106" s="56">
        <v>0</v>
      </c>
    </row>
    <row r="107">
      <c r="A107" s="48">
        <v>46132.396527777775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166004593</v>
      </c>
      <c r="H107" s="52">
        <v>326</v>
      </c>
      <c r="I107" s="52">
        <f>L107+M107+N107</f>
        <v>290.8216</v>
      </c>
      <c r="J107" s="52">
        <f>O107+P107</f>
        <v>34.8984</v>
      </c>
      <c r="K107" s="53">
        <f>IF(H107=I107+J107,0,W107)</f>
        <v>0.28</v>
      </c>
      <c r="L107" s="52">
        <v>0</v>
      </c>
      <c r="M107" s="52">
        <v>290.8216</v>
      </c>
      <c r="N107" s="52">
        <v>0</v>
      </c>
      <c r="O107" s="52">
        <v>0</v>
      </c>
      <c r="P107" s="52">
        <v>34.8984</v>
      </c>
      <c r="Q107" s="54">
        <v>290.8216</v>
      </c>
      <c r="R107" s="52">
        <v>325.72</v>
      </c>
      <c r="S107" s="52">
        <v>0</v>
      </c>
      <c r="T107" s="52">
        <v>0</v>
      </c>
      <c r="U107" s="52">
        <v>0</v>
      </c>
      <c r="V107" s="52">
        <v>0</v>
      </c>
      <c r="W107" s="52">
        <v>0.28</v>
      </c>
      <c r="X107" s="54">
        <v>326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46132.396527777775</v>
      </c>
      <c r="AH107" s="52">
        <v>33648</v>
      </c>
      <c r="AI107" s="52">
        <v>0</v>
      </c>
      <c r="AJ107" s="53">
        <f>AH107+AI107</f>
        <v>33648</v>
      </c>
      <c r="AK107" s="56">
        <v>7.2665</v>
      </c>
    </row>
    <row r="108">
      <c r="A108" s="48">
        <v>46132.39855324074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166004594</v>
      </c>
      <c r="H108" s="52">
        <v>189</v>
      </c>
      <c r="I108" s="52">
        <f>L108+M108+N108</f>
        <v>168.6606</v>
      </c>
      <c r="J108" s="52">
        <f>O108+P108</f>
        <v>20.2394</v>
      </c>
      <c r="K108" s="53">
        <f>IF(H108=I108+J108,0,W108)</f>
        <v>0.1</v>
      </c>
      <c r="L108" s="52">
        <v>0</v>
      </c>
      <c r="M108" s="52">
        <v>168.6606</v>
      </c>
      <c r="N108" s="52">
        <v>0</v>
      </c>
      <c r="O108" s="52">
        <v>0</v>
      </c>
      <c r="P108" s="52">
        <v>20.2394</v>
      </c>
      <c r="Q108" s="54">
        <v>168.6606</v>
      </c>
      <c r="R108" s="52">
        <v>188.9</v>
      </c>
      <c r="S108" s="52">
        <v>0</v>
      </c>
      <c r="T108" s="52">
        <v>0</v>
      </c>
      <c r="U108" s="52">
        <v>0</v>
      </c>
      <c r="V108" s="52">
        <v>0</v>
      </c>
      <c r="W108" s="52">
        <v>0.1</v>
      </c>
      <c r="X108" s="54">
        <v>500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46132.39855324074</v>
      </c>
      <c r="AH108" s="52">
        <v>33837</v>
      </c>
      <c r="AI108" s="52">
        <v>0</v>
      </c>
      <c r="AJ108" s="53">
        <f>AH108+AI108</f>
        <v>33837</v>
      </c>
      <c r="AK108" s="56">
        <v>0</v>
      </c>
    </row>
    <row r="109">
      <c r="A109" s="48">
        <v>46132.399351851855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166004595</v>
      </c>
      <c r="H109" s="52">
        <v>223.94</v>
      </c>
      <c r="I109" s="52">
        <f>L109+M109+N109</f>
        <v>199.9464</v>
      </c>
      <c r="J109" s="52">
        <f>O109+P109</f>
        <v>23.9936</v>
      </c>
      <c r="K109" s="53">
        <f>IF(H109=I109+J109,0,W109)</f>
        <v>0</v>
      </c>
      <c r="L109" s="52">
        <v>0</v>
      </c>
      <c r="M109" s="52">
        <v>199.9464</v>
      </c>
      <c r="N109" s="52">
        <v>0</v>
      </c>
      <c r="O109" s="52">
        <v>0</v>
      </c>
      <c r="P109" s="52">
        <v>23.9936</v>
      </c>
      <c r="Q109" s="54">
        <v>199.9464</v>
      </c>
      <c r="R109" s="52">
        <v>223.94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>
        <v>0</v>
      </c>
      <c r="Y109" s="52">
        <v>0</v>
      </c>
      <c r="Z109" s="52">
        <v>223.94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46132.399351851855</v>
      </c>
      <c r="AH109" s="52">
        <v>33837</v>
      </c>
      <c r="AI109" s="52">
        <v>0</v>
      </c>
      <c r="AJ109" s="53">
        <f>AH109+AI109</f>
        <v>33837</v>
      </c>
      <c r="AK109" s="56">
        <v>0</v>
      </c>
    </row>
    <row r="110">
      <c r="A110" s="48">
        <v>46132.399502314816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166004596</v>
      </c>
      <c r="H110" s="52">
        <v>49</v>
      </c>
      <c r="I110" s="52">
        <f>L110+M110+N110</f>
        <v>43.3035</v>
      </c>
      <c r="J110" s="52">
        <f>O110+P110</f>
        <v>5.1965</v>
      </c>
      <c r="K110" s="53">
        <f>IF(H110=I110+J110,0,W110)</f>
        <v>0.5</v>
      </c>
      <c r="L110" s="52">
        <v>0</v>
      </c>
      <c r="M110" s="52">
        <v>43.3035</v>
      </c>
      <c r="N110" s="52">
        <v>0</v>
      </c>
      <c r="O110" s="52">
        <v>0</v>
      </c>
      <c r="P110" s="52">
        <v>5.1965</v>
      </c>
      <c r="Q110" s="54">
        <v>43.3035</v>
      </c>
      <c r="R110" s="52">
        <v>48.5</v>
      </c>
      <c r="S110" s="52">
        <v>0</v>
      </c>
      <c r="T110" s="52">
        <v>0</v>
      </c>
      <c r="U110" s="52">
        <v>0</v>
      </c>
      <c r="V110" s="52">
        <v>0</v>
      </c>
      <c r="W110" s="52">
        <v>0.5</v>
      </c>
      <c r="X110" s="54">
        <v>200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46132.399502314816</v>
      </c>
      <c r="AH110" s="52">
        <v>33886</v>
      </c>
      <c r="AI110" s="52">
        <v>0</v>
      </c>
      <c r="AJ110" s="53">
        <f>AH110+AI110</f>
        <v>33886</v>
      </c>
      <c r="AK110" s="56">
        <v>0</v>
      </c>
    </row>
    <row r="111">
      <c r="A111" s="48">
        <v>46132.40011574074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166004597</v>
      </c>
      <c r="H111" s="52">
        <v>175.35</v>
      </c>
      <c r="I111" s="52">
        <f>L111+M111+N111</f>
        <v>151.93359999999998</v>
      </c>
      <c r="J111" s="52">
        <f>O111+P111</f>
        <v>23.4164</v>
      </c>
      <c r="K111" s="53">
        <f>IF(H111=I111+J111,0,W111)</f>
        <v>0</v>
      </c>
      <c r="L111" s="52">
        <v>57.6033</v>
      </c>
      <c r="M111" s="52">
        <v>94.3303</v>
      </c>
      <c r="N111" s="52">
        <v>0</v>
      </c>
      <c r="O111" s="52">
        <v>12.0967</v>
      </c>
      <c r="P111" s="52">
        <v>11.3197</v>
      </c>
      <c r="Q111" s="54">
        <v>151.9336</v>
      </c>
      <c r="R111" s="52">
        <v>175.35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175.35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46132.40011574074</v>
      </c>
      <c r="AH111" s="52">
        <v>33886</v>
      </c>
      <c r="AI111" s="52">
        <v>0</v>
      </c>
      <c r="AJ111" s="53">
        <f>AH111+AI111</f>
        <v>33886</v>
      </c>
      <c r="AK111" s="56">
        <v>0</v>
      </c>
    </row>
    <row r="112">
      <c r="A112" s="48">
        <v>46132.40054398148</v>
      </c>
      <c r="B112" s="49" t="s">
        <v>108</v>
      </c>
      <c r="C112" s="49" t="s">
        <v>106</v>
      </c>
      <c r="D112" s="49" t="s">
        <v>5</v>
      </c>
      <c r="E112" s="50">
        <v>96</v>
      </c>
      <c r="F112" s="49" t="s">
        <v>107</v>
      </c>
      <c r="G112" s="51">
        <v>166004598</v>
      </c>
      <c r="H112" s="52">
        <v>115.61</v>
      </c>
      <c r="I112" s="52">
        <f>L112+M112+N112</f>
        <v>103.2232</v>
      </c>
      <c r="J112" s="52">
        <f>O112+P112</f>
        <v>12.3868</v>
      </c>
      <c r="K112" s="53">
        <f>IF(H112=I112+J112,0,W112)</f>
        <v>0</v>
      </c>
      <c r="L112" s="52">
        <v>0</v>
      </c>
      <c r="M112" s="52">
        <v>103.2232</v>
      </c>
      <c r="N112" s="52">
        <v>0</v>
      </c>
      <c r="O112" s="52">
        <v>0</v>
      </c>
      <c r="P112" s="52">
        <v>12.3868</v>
      </c>
      <c r="Q112" s="54">
        <v>103.2232</v>
      </c>
      <c r="R112" s="52">
        <v>115.61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115.61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46132.40054398148</v>
      </c>
      <c r="AH112" s="52">
        <v>33886</v>
      </c>
      <c r="AI112" s="52">
        <v>0</v>
      </c>
      <c r="AJ112" s="53">
        <f>AH112+AI112</f>
        <v>33886</v>
      </c>
      <c r="AK112" s="56">
        <v>0</v>
      </c>
    </row>
    <row r="113">
      <c r="A113" s="48">
        <v>46132.40111111111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166004599</v>
      </c>
      <c r="H113" s="52">
        <v>208.8</v>
      </c>
      <c r="I113" s="52">
        <f>L113+M113+N113</f>
        <v>183.6525</v>
      </c>
      <c r="J113" s="52">
        <f>O113+P113</f>
        <v>25.1475</v>
      </c>
      <c r="K113" s="53">
        <f>IF(H113=I113+J113,0,W113)</f>
        <v>0</v>
      </c>
      <c r="L113" s="52">
        <v>34.5454</v>
      </c>
      <c r="M113" s="52">
        <v>149.1071</v>
      </c>
      <c r="N113" s="52">
        <v>0</v>
      </c>
      <c r="O113" s="52">
        <v>7.2546</v>
      </c>
      <c r="P113" s="52">
        <v>17.8929</v>
      </c>
      <c r="Q113" s="54">
        <v>183.6525</v>
      </c>
      <c r="R113" s="52">
        <v>208.8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208.8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46132.40111111111</v>
      </c>
      <c r="AH113" s="52">
        <v>33886</v>
      </c>
      <c r="AI113" s="52">
        <v>0</v>
      </c>
      <c r="AJ113" s="53">
        <f>AH113+AI113</f>
        <v>33886</v>
      </c>
      <c r="AK113" s="56">
        <v>0</v>
      </c>
    </row>
    <row r="114">
      <c r="A114" s="48">
        <v>46132.40329861111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166004600</v>
      </c>
      <c r="H114" s="52">
        <v>79</v>
      </c>
      <c r="I114" s="52">
        <f>L114+M114+N114</f>
        <v>70.8035</v>
      </c>
      <c r="J114" s="52">
        <f>O114+P114</f>
        <v>8.4965</v>
      </c>
      <c r="K114" s="53">
        <f>IF(H114=I114+J114,0,W114)</f>
        <v>-0.3</v>
      </c>
      <c r="L114" s="52">
        <v>0</v>
      </c>
      <c r="M114" s="52">
        <v>70.8035</v>
      </c>
      <c r="N114" s="52">
        <v>0</v>
      </c>
      <c r="O114" s="52">
        <v>0</v>
      </c>
      <c r="P114" s="52">
        <v>8.4965</v>
      </c>
      <c r="Q114" s="54">
        <v>70.8035</v>
      </c>
      <c r="R114" s="52">
        <v>79.3</v>
      </c>
      <c r="S114" s="52">
        <v>0</v>
      </c>
      <c r="T114" s="52">
        <v>0</v>
      </c>
      <c r="U114" s="52">
        <v>0</v>
      </c>
      <c r="V114" s="52">
        <v>0</v>
      </c>
      <c r="W114" s="52">
        <v>-0.3</v>
      </c>
      <c r="X114" s="54">
        <v>1000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46132.40329861111</v>
      </c>
      <c r="AH114" s="52">
        <v>33965</v>
      </c>
      <c r="AI114" s="52">
        <v>0</v>
      </c>
      <c r="AJ114" s="53">
        <f>AH114+AI114</f>
        <v>33965</v>
      </c>
      <c r="AK114" s="56">
        <v>0</v>
      </c>
    </row>
    <row r="115">
      <c r="A115" s="48">
        <v>46132.403333333335</v>
      </c>
      <c r="B115" s="49" t="s">
        <v>108</v>
      </c>
      <c r="C115" s="49" t="s">
        <v>100</v>
      </c>
      <c r="D115" s="49" t="s">
        <v>5</v>
      </c>
      <c r="E115" s="50">
        <v>96</v>
      </c>
      <c r="F115" s="49" t="s">
        <v>105</v>
      </c>
      <c r="G115" s="51">
        <v>161000337</v>
      </c>
      <c r="H115" s="52">
        <v>39.3</v>
      </c>
      <c r="I115" s="52">
        <f>L115+M115+N115</f>
        <v>35.08</v>
      </c>
      <c r="J115" s="52">
        <f>O115+P115</f>
        <v>4.22</v>
      </c>
      <c r="K115" s="53">
        <f>IF(H115=I115+J115,0,W115)</f>
        <v>0</v>
      </c>
      <c r="L115" s="52">
        <v>0</v>
      </c>
      <c r="M115" s="52">
        <v>35.08</v>
      </c>
      <c r="N115" s="52">
        <v>0</v>
      </c>
      <c r="O115" s="52">
        <v>0</v>
      </c>
      <c r="P115" s="52">
        <v>4.22</v>
      </c>
      <c r="Q115" s="54">
        <v>35.08</v>
      </c>
      <c r="R115" s="52">
        <v>39.3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39.3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46132.403333333335</v>
      </c>
      <c r="AH115" s="52">
        <v>0</v>
      </c>
      <c r="AI115" s="52">
        <v>0</v>
      </c>
      <c r="AJ115" s="53">
        <f>AH115+AI115</f>
        <v>0</v>
      </c>
      <c r="AK115" s="56">
        <v>0</v>
      </c>
    </row>
    <row r="116">
      <c r="A116" s="48">
        <v>46132.403761574074</v>
      </c>
      <c r="B116" s="49" t="s">
        <v>108</v>
      </c>
      <c r="C116" s="49" t="s">
        <v>106</v>
      </c>
      <c r="D116" s="49" t="s">
        <v>5</v>
      </c>
      <c r="E116" s="50">
        <v>96</v>
      </c>
      <c r="F116" s="49" t="s">
        <v>107</v>
      </c>
      <c r="G116" s="51">
        <v>166004601</v>
      </c>
      <c r="H116" s="52">
        <v>81.7</v>
      </c>
      <c r="I116" s="52">
        <f>L116+M116+N116</f>
        <v>72.9464</v>
      </c>
      <c r="J116" s="52">
        <f>O116+P116</f>
        <v>8.7536</v>
      </c>
      <c r="K116" s="53">
        <f>IF(H116=I116+J116,0,W116)</f>
        <v>0</v>
      </c>
      <c r="L116" s="52">
        <v>0</v>
      </c>
      <c r="M116" s="52">
        <v>72.9464</v>
      </c>
      <c r="N116" s="52">
        <v>0</v>
      </c>
      <c r="O116" s="52">
        <v>0</v>
      </c>
      <c r="P116" s="52">
        <v>8.7536</v>
      </c>
      <c r="Q116" s="54">
        <v>72.9464</v>
      </c>
      <c r="R116" s="52">
        <v>81.7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81.7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46132.403761574074</v>
      </c>
      <c r="AH116" s="52">
        <v>33965</v>
      </c>
      <c r="AI116" s="52">
        <v>0</v>
      </c>
      <c r="AJ116" s="53">
        <f>AH116+AI116</f>
        <v>33965</v>
      </c>
      <c r="AK116" s="56">
        <v>0</v>
      </c>
    </row>
    <row r="117">
      <c r="A117" s="48">
        <v>46132.403958333336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166004602</v>
      </c>
      <c r="H117" s="52">
        <v>29</v>
      </c>
      <c r="I117" s="52">
        <f>L117+M117+N117</f>
        <v>25.8929</v>
      </c>
      <c r="J117" s="52">
        <f>O117+P117</f>
        <v>3.1071</v>
      </c>
      <c r="K117" s="53">
        <f>IF(H117=I117+J117,0,W117)</f>
        <v>0</v>
      </c>
      <c r="L117" s="52">
        <v>0</v>
      </c>
      <c r="M117" s="52">
        <v>25.8929</v>
      </c>
      <c r="N117" s="52">
        <v>0</v>
      </c>
      <c r="O117" s="52">
        <v>0</v>
      </c>
      <c r="P117" s="52">
        <v>3.1071</v>
      </c>
      <c r="Q117" s="54">
        <v>25.8929</v>
      </c>
      <c r="R117" s="52">
        <v>29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4">
        <v>50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46132.403958333336</v>
      </c>
      <c r="AH117" s="52">
        <v>33994</v>
      </c>
      <c r="AI117" s="52">
        <v>0</v>
      </c>
      <c r="AJ117" s="53">
        <f>AH117+AI117</f>
        <v>33994</v>
      </c>
      <c r="AK117" s="56">
        <v>0</v>
      </c>
    </row>
    <row r="118">
      <c r="A118" s="48">
        <v>46132.40460648148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166004603</v>
      </c>
      <c r="H118" s="52">
        <v>51.6</v>
      </c>
      <c r="I118" s="52">
        <f>L118+M118+N118</f>
        <v>44.4178</v>
      </c>
      <c r="J118" s="52">
        <f>O118+P118</f>
        <v>7.1822</v>
      </c>
      <c r="K118" s="53">
        <f>IF(H118=I118+J118,0,W118)</f>
        <v>0</v>
      </c>
      <c r="L118" s="52">
        <v>20.5785</v>
      </c>
      <c r="M118" s="52">
        <v>23.8393</v>
      </c>
      <c r="N118" s="52">
        <v>0</v>
      </c>
      <c r="O118" s="52">
        <v>4.3215</v>
      </c>
      <c r="P118" s="52">
        <v>2.8607</v>
      </c>
      <c r="Q118" s="54">
        <v>44.4178</v>
      </c>
      <c r="R118" s="52">
        <v>51.6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51.6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46132.40460648148</v>
      </c>
      <c r="AH118" s="52">
        <v>33994</v>
      </c>
      <c r="AI118" s="52">
        <v>0</v>
      </c>
      <c r="AJ118" s="53">
        <f>AH118+AI118</f>
        <v>33994</v>
      </c>
      <c r="AK118" s="56">
        <v>0</v>
      </c>
    </row>
    <row r="119">
      <c r="A119" s="48">
        <v>46132.404861111114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166004604</v>
      </c>
      <c r="H119" s="52">
        <v>71.2</v>
      </c>
      <c r="I119" s="52">
        <f>L119+M119+N119</f>
        <v>63.5714</v>
      </c>
      <c r="J119" s="52">
        <f>O119+P119</f>
        <v>7.6286</v>
      </c>
      <c r="K119" s="53">
        <f>IF(H119=I119+J119,0,W119)</f>
        <v>0</v>
      </c>
      <c r="L119" s="52">
        <v>0</v>
      </c>
      <c r="M119" s="52">
        <v>63.5714</v>
      </c>
      <c r="N119" s="52">
        <v>0</v>
      </c>
      <c r="O119" s="52">
        <v>0</v>
      </c>
      <c r="P119" s="52">
        <v>7.6286</v>
      </c>
      <c r="Q119" s="54">
        <v>63.5714</v>
      </c>
      <c r="R119" s="52">
        <v>71.2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71.2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46132.404861111114</v>
      </c>
      <c r="AH119" s="52">
        <v>33994</v>
      </c>
      <c r="AI119" s="52">
        <v>0</v>
      </c>
      <c r="AJ119" s="53">
        <f>AH119+AI119</f>
        <v>33994</v>
      </c>
      <c r="AK119" s="56">
        <v>0</v>
      </c>
    </row>
    <row r="120">
      <c r="A120" s="48">
        <v>46132.405277777776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166004605</v>
      </c>
      <c r="H120" s="52">
        <v>164</v>
      </c>
      <c r="I120" s="52">
        <f>L120+M120+N120</f>
        <v>135.96290000000002</v>
      </c>
      <c r="J120" s="52">
        <f>O120+P120</f>
        <v>27.837100000000003</v>
      </c>
      <c r="K120" s="53">
        <f>IF(H120=I120+J120,0,W120)</f>
        <v>0.2</v>
      </c>
      <c r="L120" s="52">
        <v>128.0165</v>
      </c>
      <c r="M120" s="52">
        <v>7.9464</v>
      </c>
      <c r="N120" s="52">
        <v>0</v>
      </c>
      <c r="O120" s="52">
        <v>26.8835</v>
      </c>
      <c r="P120" s="52">
        <v>0.9536</v>
      </c>
      <c r="Q120" s="54">
        <v>135.9629</v>
      </c>
      <c r="R120" s="52">
        <v>163.8</v>
      </c>
      <c r="S120" s="52">
        <v>0</v>
      </c>
      <c r="T120" s="52">
        <v>0</v>
      </c>
      <c r="U120" s="52">
        <v>0</v>
      </c>
      <c r="V120" s="52">
        <v>0</v>
      </c>
      <c r="W120" s="52">
        <v>0.2</v>
      </c>
      <c r="X120" s="54">
        <v>200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46132.405277777776</v>
      </c>
      <c r="AH120" s="52">
        <v>34158</v>
      </c>
      <c r="AI120" s="52">
        <v>0</v>
      </c>
      <c r="AJ120" s="53">
        <f>AH120+AI120</f>
        <v>34158</v>
      </c>
      <c r="AK120" s="56">
        <v>0</v>
      </c>
    </row>
    <row r="121">
      <c r="A121" s="48">
        <v>46132.41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166004606</v>
      </c>
      <c r="H121" s="52">
        <v>75.5</v>
      </c>
      <c r="I121" s="52">
        <f>L121+M121+N121</f>
        <v>66.0892</v>
      </c>
      <c r="J121" s="52">
        <f>O121+P121</f>
        <v>9.4108</v>
      </c>
      <c r="K121" s="53">
        <f>IF(H121=I121+J121,0,W121)</f>
        <v>0</v>
      </c>
      <c r="L121" s="52">
        <v>16.4463</v>
      </c>
      <c r="M121" s="52">
        <v>49.6429</v>
      </c>
      <c r="N121" s="52">
        <v>0</v>
      </c>
      <c r="O121" s="52">
        <v>3.4537</v>
      </c>
      <c r="P121" s="52">
        <v>5.9571</v>
      </c>
      <c r="Q121" s="54">
        <v>66.0892</v>
      </c>
      <c r="R121" s="52">
        <v>75.5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4">
        <v>0</v>
      </c>
      <c r="Y121" s="52">
        <v>0</v>
      </c>
      <c r="Z121" s="52">
        <v>75.5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46132.41</v>
      </c>
      <c r="AH121" s="52">
        <v>34158</v>
      </c>
      <c r="AI121" s="52">
        <v>0</v>
      </c>
      <c r="AJ121" s="53">
        <f>AH121+AI121</f>
        <v>34158</v>
      </c>
      <c r="AK121" s="56">
        <v>0</v>
      </c>
    </row>
    <row r="122">
      <c r="A122" s="48">
        <v>46132.412094907406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166004607</v>
      </c>
      <c r="H122" s="52">
        <v>164.84</v>
      </c>
      <c r="I122" s="52">
        <f>L122+M122+N122</f>
        <v>147.1787</v>
      </c>
      <c r="J122" s="52">
        <f>O122+P122</f>
        <v>17.6613</v>
      </c>
      <c r="K122" s="53">
        <f>IF(H122=I122+J122,0,W122)</f>
        <v>0</v>
      </c>
      <c r="L122" s="52">
        <v>0</v>
      </c>
      <c r="M122" s="52">
        <v>147.1787</v>
      </c>
      <c r="N122" s="52">
        <v>0</v>
      </c>
      <c r="O122" s="52">
        <v>0</v>
      </c>
      <c r="P122" s="52">
        <v>17.6613</v>
      </c>
      <c r="Q122" s="54">
        <v>147.1787</v>
      </c>
      <c r="R122" s="52">
        <v>164.84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164.84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46132.412094907406</v>
      </c>
      <c r="AH122" s="52">
        <v>34158</v>
      </c>
      <c r="AI122" s="52">
        <v>0</v>
      </c>
      <c r="AJ122" s="53">
        <f>AH122+AI122</f>
        <v>34158</v>
      </c>
      <c r="AK122" s="56">
        <v>0</v>
      </c>
    </row>
    <row r="123">
      <c r="A123" s="48">
        <v>46132.41268518518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166004608</v>
      </c>
      <c r="H123" s="52">
        <v>84</v>
      </c>
      <c r="I123" s="52">
        <f>L123+M123+N123</f>
        <v>74.5893</v>
      </c>
      <c r="J123" s="52">
        <f>O123+P123</f>
        <v>8.9507</v>
      </c>
      <c r="K123" s="53">
        <f>IF(H123=I123+J123,0,W123)</f>
        <v>0.46</v>
      </c>
      <c r="L123" s="52">
        <v>0</v>
      </c>
      <c r="M123" s="52">
        <v>74.5893</v>
      </c>
      <c r="N123" s="52">
        <v>0</v>
      </c>
      <c r="O123" s="52">
        <v>0</v>
      </c>
      <c r="P123" s="52">
        <v>8.9507</v>
      </c>
      <c r="Q123" s="54">
        <v>74.5893</v>
      </c>
      <c r="R123" s="52">
        <v>83.54</v>
      </c>
      <c r="S123" s="52">
        <v>0</v>
      </c>
      <c r="T123" s="52">
        <v>0</v>
      </c>
      <c r="U123" s="52">
        <v>0</v>
      </c>
      <c r="V123" s="52">
        <v>0</v>
      </c>
      <c r="W123" s="52">
        <v>0.46</v>
      </c>
      <c r="X123" s="54">
        <v>100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46132.41268518518</v>
      </c>
      <c r="AH123" s="52">
        <v>34242</v>
      </c>
      <c r="AI123" s="52">
        <v>0</v>
      </c>
      <c r="AJ123" s="53">
        <f>AH123+AI123</f>
        <v>34242</v>
      </c>
      <c r="AK123" s="56">
        <v>0</v>
      </c>
    </row>
    <row r="124">
      <c r="A124" s="48">
        <v>46132.41599537037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166004609</v>
      </c>
      <c r="H124" s="52">
        <v>75</v>
      </c>
      <c r="I124" s="52">
        <f>L124+M124+N124</f>
        <v>66.9643</v>
      </c>
      <c r="J124" s="52">
        <f>O124+P124</f>
        <v>8.0357</v>
      </c>
      <c r="K124" s="53">
        <f>IF(H124=I124+J124,0,W124)</f>
        <v>0</v>
      </c>
      <c r="L124" s="52">
        <v>0</v>
      </c>
      <c r="M124" s="52">
        <v>66.9643</v>
      </c>
      <c r="N124" s="52">
        <v>0</v>
      </c>
      <c r="O124" s="52">
        <v>0</v>
      </c>
      <c r="P124" s="52">
        <v>8.0357</v>
      </c>
      <c r="Q124" s="54">
        <v>66.9643</v>
      </c>
      <c r="R124" s="52">
        <v>75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75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46132.41599537037</v>
      </c>
      <c r="AH124" s="52">
        <v>34317</v>
      </c>
      <c r="AI124" s="52">
        <v>0</v>
      </c>
      <c r="AJ124" s="53">
        <f>AH124+AI124</f>
        <v>34317</v>
      </c>
      <c r="AK124" s="56">
        <v>0</v>
      </c>
    </row>
    <row r="125">
      <c r="A125" s="48">
        <v>46132.41866898148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166004610</v>
      </c>
      <c r="H125" s="52">
        <v>462</v>
      </c>
      <c r="I125" s="52">
        <f>L125+M125+N125</f>
        <v>409.53420000000006</v>
      </c>
      <c r="J125" s="52">
        <f>O125+P125</f>
        <v>52.8558</v>
      </c>
      <c r="K125" s="53">
        <f>IF(H125=I125+J125,0,W125)</f>
        <v>-0.39</v>
      </c>
      <c r="L125" s="52">
        <v>41.2397</v>
      </c>
      <c r="M125" s="52">
        <v>368.2945</v>
      </c>
      <c r="N125" s="52">
        <v>0</v>
      </c>
      <c r="O125" s="52">
        <v>8.6603</v>
      </c>
      <c r="P125" s="52">
        <v>44.1955</v>
      </c>
      <c r="Q125" s="54">
        <v>409.5342</v>
      </c>
      <c r="R125" s="52">
        <v>462.39</v>
      </c>
      <c r="S125" s="52">
        <v>0</v>
      </c>
      <c r="T125" s="52">
        <v>0</v>
      </c>
      <c r="U125" s="52">
        <v>0</v>
      </c>
      <c r="V125" s="52">
        <v>0</v>
      </c>
      <c r="W125" s="52">
        <v>-0.39</v>
      </c>
      <c r="X125" s="54">
        <v>500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46132.41866898148</v>
      </c>
      <c r="AH125" s="52">
        <v>34779</v>
      </c>
      <c r="AI125" s="52">
        <v>0</v>
      </c>
      <c r="AJ125" s="53">
        <f>AH125+AI125</f>
        <v>34779</v>
      </c>
      <c r="AK125" s="56">
        <v>0</v>
      </c>
    </row>
    <row r="126">
      <c r="A126" s="48">
        <v>46132.42025462963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166004611</v>
      </c>
      <c r="H126" s="52">
        <v>16</v>
      </c>
      <c r="I126" s="52">
        <f>L126+M126+N126</f>
        <v>13.1405</v>
      </c>
      <c r="J126" s="52">
        <f>O126+P126</f>
        <v>2.7595</v>
      </c>
      <c r="K126" s="53">
        <f>IF(H126=I126+J126,0,W126)</f>
        <v>0.1</v>
      </c>
      <c r="L126" s="52">
        <v>13.1405</v>
      </c>
      <c r="M126" s="52">
        <v>0</v>
      </c>
      <c r="N126" s="52">
        <v>0</v>
      </c>
      <c r="O126" s="52">
        <v>2.7595</v>
      </c>
      <c r="P126" s="52">
        <v>0</v>
      </c>
      <c r="Q126" s="54">
        <v>13.1405</v>
      </c>
      <c r="R126" s="52">
        <v>15.9</v>
      </c>
      <c r="S126" s="52">
        <v>0</v>
      </c>
      <c r="T126" s="52">
        <v>0</v>
      </c>
      <c r="U126" s="52">
        <v>0</v>
      </c>
      <c r="V126" s="52">
        <v>0</v>
      </c>
      <c r="W126" s="52">
        <v>0.1</v>
      </c>
      <c r="X126" s="54">
        <v>16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46132.42025462963</v>
      </c>
      <c r="AH126" s="52">
        <v>34795</v>
      </c>
      <c r="AI126" s="52">
        <v>0</v>
      </c>
      <c r="AJ126" s="53">
        <f>AH126+AI126</f>
        <v>34795</v>
      </c>
      <c r="AK126" s="56">
        <v>0</v>
      </c>
    </row>
    <row r="127">
      <c r="A127" s="48">
        <v>46132.42050925926</v>
      </c>
      <c r="B127" s="49" t="s">
        <v>108</v>
      </c>
      <c r="C127" s="49" t="s">
        <v>106</v>
      </c>
      <c r="D127" s="49" t="s">
        <v>5</v>
      </c>
      <c r="E127" s="50">
        <v>96</v>
      </c>
      <c r="F127" s="49" t="s">
        <v>107</v>
      </c>
      <c r="G127" s="51">
        <v>166004612</v>
      </c>
      <c r="H127" s="52">
        <v>39</v>
      </c>
      <c r="I127" s="52">
        <f>L127+M127+N127</f>
        <v>34.625</v>
      </c>
      <c r="J127" s="52">
        <f>O127+P127</f>
        <v>4.155</v>
      </c>
      <c r="K127" s="53">
        <f>IF(H127=I127+J127,0,W127)</f>
        <v>0.22</v>
      </c>
      <c r="L127" s="52">
        <v>0</v>
      </c>
      <c r="M127" s="52">
        <v>34.625</v>
      </c>
      <c r="N127" s="52">
        <v>0</v>
      </c>
      <c r="O127" s="52">
        <v>0</v>
      </c>
      <c r="P127" s="52">
        <v>4.155</v>
      </c>
      <c r="Q127" s="54">
        <v>34.625</v>
      </c>
      <c r="R127" s="52">
        <v>38.78</v>
      </c>
      <c r="S127" s="52">
        <v>0</v>
      </c>
      <c r="T127" s="52">
        <v>0</v>
      </c>
      <c r="U127" s="52">
        <v>0</v>
      </c>
      <c r="V127" s="52">
        <v>0</v>
      </c>
      <c r="W127" s="52">
        <v>0.22</v>
      </c>
      <c r="X127" s="54">
        <v>200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46132.42050925926</v>
      </c>
      <c r="AH127" s="52">
        <v>34834</v>
      </c>
      <c r="AI127" s="52">
        <v>0</v>
      </c>
      <c r="AJ127" s="53">
        <f>AH127+AI127</f>
        <v>34834</v>
      </c>
      <c r="AK127" s="56">
        <v>0</v>
      </c>
    </row>
    <row r="128">
      <c r="A128" s="48">
        <v>46132.420902777776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166004613</v>
      </c>
      <c r="H128" s="52">
        <v>22.9</v>
      </c>
      <c r="I128" s="52">
        <f>L128+M128+N128</f>
        <v>18.9256</v>
      </c>
      <c r="J128" s="52">
        <f>O128+P128</f>
        <v>3.9744</v>
      </c>
      <c r="K128" s="53">
        <f>IF(H128=I128+J128,0,W128)</f>
        <v>0</v>
      </c>
      <c r="L128" s="52">
        <v>18.9256</v>
      </c>
      <c r="M128" s="52">
        <v>0</v>
      </c>
      <c r="N128" s="52">
        <v>0</v>
      </c>
      <c r="O128" s="52">
        <v>3.9744</v>
      </c>
      <c r="P128" s="52">
        <v>0</v>
      </c>
      <c r="Q128" s="54">
        <v>18.9256</v>
      </c>
      <c r="R128" s="52">
        <v>22.9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22.9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46132.420902777776</v>
      </c>
      <c r="AH128" s="52">
        <v>34834</v>
      </c>
      <c r="AI128" s="52">
        <v>0</v>
      </c>
      <c r="AJ128" s="53">
        <f>AH128+AI128</f>
        <v>34834</v>
      </c>
      <c r="AK128" s="56">
        <v>0</v>
      </c>
    </row>
    <row r="129">
      <c r="A129" s="48">
        <v>46132.42236111111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166004614</v>
      </c>
      <c r="H129" s="52">
        <v>39</v>
      </c>
      <c r="I129" s="52">
        <f>L129+M129+N129</f>
        <v>34.7232</v>
      </c>
      <c r="J129" s="52">
        <f>O129+P129</f>
        <v>4.1668</v>
      </c>
      <c r="K129" s="53">
        <f>IF(H129=I129+J129,0,W129)</f>
        <v>0.11</v>
      </c>
      <c r="L129" s="52">
        <v>0</v>
      </c>
      <c r="M129" s="52">
        <v>34.7232</v>
      </c>
      <c r="N129" s="52">
        <v>0</v>
      </c>
      <c r="O129" s="52">
        <v>0</v>
      </c>
      <c r="P129" s="52">
        <v>4.1668</v>
      </c>
      <c r="Q129" s="54">
        <v>34.7232</v>
      </c>
      <c r="R129" s="52">
        <v>38.89</v>
      </c>
      <c r="S129" s="52">
        <v>0</v>
      </c>
      <c r="T129" s="52">
        <v>0</v>
      </c>
      <c r="U129" s="52">
        <v>0</v>
      </c>
      <c r="V129" s="52">
        <v>0</v>
      </c>
      <c r="W129" s="52">
        <v>0.11</v>
      </c>
      <c r="X129" s="54">
        <v>39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46132.42236111111</v>
      </c>
      <c r="AH129" s="52">
        <v>34873</v>
      </c>
      <c r="AI129" s="52">
        <v>0</v>
      </c>
      <c r="AJ129" s="53">
        <f>AH129+AI129</f>
        <v>34873</v>
      </c>
      <c r="AK129" s="56">
        <v>0</v>
      </c>
    </row>
    <row r="130">
      <c r="A130" s="48">
        <v>46132.42359953704</v>
      </c>
      <c r="B130" s="49" t="s">
        <v>108</v>
      </c>
      <c r="C130" s="49" t="s">
        <v>106</v>
      </c>
      <c r="D130" s="49" t="s">
        <v>5</v>
      </c>
      <c r="E130" s="50">
        <v>96</v>
      </c>
      <c r="F130" s="49" t="s">
        <v>107</v>
      </c>
      <c r="G130" s="51">
        <v>166004615</v>
      </c>
      <c r="H130" s="52">
        <v>473.68</v>
      </c>
      <c r="I130" s="52">
        <f>L130+M130+N130</f>
        <v>422.9289</v>
      </c>
      <c r="J130" s="52">
        <f>O130+P130</f>
        <v>50.7511</v>
      </c>
      <c r="K130" s="53">
        <f>IF(H130=I130+J130,0,W130)</f>
        <v>0</v>
      </c>
      <c r="L130" s="52">
        <v>0</v>
      </c>
      <c r="M130" s="52">
        <v>422.9289</v>
      </c>
      <c r="N130" s="52">
        <v>0</v>
      </c>
      <c r="O130" s="52">
        <v>0</v>
      </c>
      <c r="P130" s="52">
        <v>50.7511</v>
      </c>
      <c r="Q130" s="54">
        <v>422.9289</v>
      </c>
      <c r="R130" s="52">
        <v>473.68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473.68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46132.42359953704</v>
      </c>
      <c r="AH130" s="52">
        <v>34873</v>
      </c>
      <c r="AI130" s="52">
        <v>0</v>
      </c>
      <c r="AJ130" s="53">
        <f>AH130+AI130</f>
        <v>34873</v>
      </c>
      <c r="AK130" s="56">
        <v>0</v>
      </c>
    </row>
    <row r="131">
      <c r="A131" s="48">
        <v>46132.42488425926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166004616</v>
      </c>
      <c r="H131" s="52">
        <v>121</v>
      </c>
      <c r="I131" s="52">
        <f>L131+M131+N131</f>
        <v>104.5868</v>
      </c>
      <c r="J131" s="52">
        <f>O131+P131</f>
        <v>16.1132</v>
      </c>
      <c r="K131" s="53">
        <f>IF(H131=I131+J131,0,W131)</f>
        <v>0.3</v>
      </c>
      <c r="L131" s="52">
        <v>39.5868</v>
      </c>
      <c r="M131" s="52">
        <v>65</v>
      </c>
      <c r="N131" s="52">
        <v>0</v>
      </c>
      <c r="O131" s="52">
        <v>8.3132</v>
      </c>
      <c r="P131" s="52">
        <v>7.8</v>
      </c>
      <c r="Q131" s="54">
        <v>104.5868</v>
      </c>
      <c r="R131" s="52">
        <v>120.7</v>
      </c>
      <c r="S131" s="52">
        <v>0</v>
      </c>
      <c r="T131" s="52">
        <v>0</v>
      </c>
      <c r="U131" s="52">
        <v>0</v>
      </c>
      <c r="V131" s="52">
        <v>0</v>
      </c>
      <c r="W131" s="52">
        <v>0.3</v>
      </c>
      <c r="X131" s="54">
        <v>200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46132.42488425926</v>
      </c>
      <c r="AH131" s="52">
        <v>34994</v>
      </c>
      <c r="AI131" s="52">
        <v>0</v>
      </c>
      <c r="AJ131" s="53">
        <f>AH131+AI131</f>
        <v>34994</v>
      </c>
      <c r="AK131" s="56">
        <v>0</v>
      </c>
    </row>
    <row r="132">
      <c r="A132" s="48">
        <v>46132.42532407407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166004617</v>
      </c>
      <c r="H132" s="52">
        <v>43</v>
      </c>
      <c r="I132" s="52">
        <f>L132+M132+N132</f>
        <v>38.3929</v>
      </c>
      <c r="J132" s="52">
        <f>O132+P132</f>
        <v>4.6071</v>
      </c>
      <c r="K132" s="53">
        <f>IF(H132=I132+J132,0,W132)</f>
        <v>0</v>
      </c>
      <c r="L132" s="52">
        <v>0</v>
      </c>
      <c r="M132" s="52">
        <v>38.3929</v>
      </c>
      <c r="N132" s="52">
        <v>0</v>
      </c>
      <c r="O132" s="52">
        <v>0</v>
      </c>
      <c r="P132" s="52">
        <v>4.6071</v>
      </c>
      <c r="Q132" s="54">
        <v>38.3929</v>
      </c>
      <c r="R132" s="52">
        <v>43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43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46132.42532407407</v>
      </c>
      <c r="AH132" s="52">
        <v>34994</v>
      </c>
      <c r="AI132" s="52">
        <v>0</v>
      </c>
      <c r="AJ132" s="53">
        <f>AH132+AI132</f>
        <v>34994</v>
      </c>
      <c r="AK132" s="56">
        <v>0</v>
      </c>
    </row>
    <row r="133">
      <c r="A133" s="48">
        <v>46132.425462962965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166004618</v>
      </c>
      <c r="H133" s="52">
        <v>48</v>
      </c>
      <c r="I133" s="52">
        <f>L133+M133+N133</f>
        <v>42.6786</v>
      </c>
      <c r="J133" s="52">
        <f>O133+P133</f>
        <v>5.1214</v>
      </c>
      <c r="K133" s="53">
        <f>IF(H133=I133+J133,0,W133)</f>
        <v>0.2</v>
      </c>
      <c r="L133" s="52">
        <v>0</v>
      </c>
      <c r="M133" s="52">
        <v>42.6786</v>
      </c>
      <c r="N133" s="52">
        <v>0</v>
      </c>
      <c r="O133" s="52">
        <v>0</v>
      </c>
      <c r="P133" s="52">
        <v>5.1214</v>
      </c>
      <c r="Q133" s="54">
        <v>42.6786</v>
      </c>
      <c r="R133" s="52">
        <v>47.8</v>
      </c>
      <c r="S133" s="52">
        <v>0</v>
      </c>
      <c r="T133" s="52">
        <v>0</v>
      </c>
      <c r="U133" s="52">
        <v>0</v>
      </c>
      <c r="V133" s="52">
        <v>0</v>
      </c>
      <c r="W133" s="52">
        <v>0.2</v>
      </c>
      <c r="X133" s="54">
        <v>50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46132.425462962965</v>
      </c>
      <c r="AH133" s="52">
        <v>35042</v>
      </c>
      <c r="AI133" s="52">
        <v>0</v>
      </c>
      <c r="AJ133" s="53">
        <f>AH133+AI133</f>
        <v>35042</v>
      </c>
      <c r="AK133" s="56">
        <v>0</v>
      </c>
    </row>
    <row r="134">
      <c r="A134" s="48">
        <v>46132.42611111111</v>
      </c>
      <c r="B134" s="49" t="s">
        <v>108</v>
      </c>
      <c r="C134" s="49" t="s">
        <v>106</v>
      </c>
      <c r="D134" s="49" t="s">
        <v>5</v>
      </c>
      <c r="E134" s="50">
        <v>96</v>
      </c>
      <c r="F134" s="49" t="s">
        <v>107</v>
      </c>
      <c r="G134" s="51">
        <v>166004619</v>
      </c>
      <c r="H134" s="52">
        <v>226.9</v>
      </c>
      <c r="I134" s="52">
        <f>L134+M134+N134</f>
        <v>202.5895</v>
      </c>
      <c r="J134" s="52">
        <f>O134+P134</f>
        <v>24.3105</v>
      </c>
      <c r="K134" s="53">
        <f>IF(H134=I134+J134,0,W134)</f>
        <v>0</v>
      </c>
      <c r="L134" s="52">
        <v>0</v>
      </c>
      <c r="M134" s="52">
        <v>202.5895</v>
      </c>
      <c r="N134" s="52">
        <v>0</v>
      </c>
      <c r="O134" s="52">
        <v>0</v>
      </c>
      <c r="P134" s="52">
        <v>24.3105</v>
      </c>
      <c r="Q134" s="54">
        <v>202.5895</v>
      </c>
      <c r="R134" s="52">
        <v>226.9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226.9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46132.42611111111</v>
      </c>
      <c r="AH134" s="52">
        <v>35042</v>
      </c>
      <c r="AI134" s="52">
        <v>0</v>
      </c>
      <c r="AJ134" s="53">
        <f>AH134+AI134</f>
        <v>35042</v>
      </c>
      <c r="AK134" s="56">
        <v>0</v>
      </c>
    </row>
    <row r="135">
      <c r="A135" s="48">
        <v>46132.426203703704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166004620</v>
      </c>
      <c r="H135" s="52">
        <v>68</v>
      </c>
      <c r="I135" s="52">
        <f>L135+M135+N135</f>
        <v>60.3482</v>
      </c>
      <c r="J135" s="52">
        <f>O135+P135</f>
        <v>7.2418</v>
      </c>
      <c r="K135" s="53">
        <f>IF(H135=I135+J135,0,W135)</f>
        <v>0.41</v>
      </c>
      <c r="L135" s="52">
        <v>0</v>
      </c>
      <c r="M135" s="52">
        <v>60.3482</v>
      </c>
      <c r="N135" s="52">
        <v>0</v>
      </c>
      <c r="O135" s="52">
        <v>0</v>
      </c>
      <c r="P135" s="52">
        <v>7.2418</v>
      </c>
      <c r="Q135" s="54">
        <v>60.3482</v>
      </c>
      <c r="R135" s="52">
        <v>67.59</v>
      </c>
      <c r="S135" s="52">
        <v>0</v>
      </c>
      <c r="T135" s="52">
        <v>0</v>
      </c>
      <c r="U135" s="52">
        <v>0</v>
      </c>
      <c r="V135" s="52">
        <v>0</v>
      </c>
      <c r="W135" s="52">
        <v>0.41</v>
      </c>
      <c r="X135" s="54">
        <v>100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46132.426203703704</v>
      </c>
      <c r="AH135" s="52">
        <v>35110</v>
      </c>
      <c r="AI135" s="52">
        <v>0</v>
      </c>
      <c r="AJ135" s="53">
        <f>AH135+AI135</f>
        <v>35110</v>
      </c>
      <c r="AK135" s="56">
        <v>0</v>
      </c>
    </row>
    <row r="136">
      <c r="A136" s="48">
        <v>46132.42648148148</v>
      </c>
      <c r="B136" s="49" t="s">
        <v>108</v>
      </c>
      <c r="C136" s="49" t="s">
        <v>106</v>
      </c>
      <c r="D136" s="49" t="s">
        <v>5</v>
      </c>
      <c r="E136" s="50">
        <v>96</v>
      </c>
      <c r="F136" s="49" t="s">
        <v>107</v>
      </c>
      <c r="G136" s="51">
        <v>166004621</v>
      </c>
      <c r="H136" s="52">
        <v>92</v>
      </c>
      <c r="I136" s="52">
        <f>L136+M136+N136</f>
        <v>79.1817</v>
      </c>
      <c r="J136" s="52">
        <f>O136+P136</f>
        <v>12.6183</v>
      </c>
      <c r="K136" s="53">
        <f>IF(H136=I136+J136,0,W136)</f>
        <v>0.2</v>
      </c>
      <c r="L136" s="52">
        <v>34.6281</v>
      </c>
      <c r="M136" s="52">
        <v>44.5536</v>
      </c>
      <c r="N136" s="52">
        <v>0</v>
      </c>
      <c r="O136" s="52">
        <v>7.2719</v>
      </c>
      <c r="P136" s="52">
        <v>5.3464</v>
      </c>
      <c r="Q136" s="54">
        <v>79.1817</v>
      </c>
      <c r="R136" s="52">
        <v>91.8</v>
      </c>
      <c r="S136" s="52">
        <v>0</v>
      </c>
      <c r="T136" s="52">
        <v>0</v>
      </c>
      <c r="U136" s="52">
        <v>0</v>
      </c>
      <c r="V136" s="52">
        <v>0</v>
      </c>
      <c r="W136" s="52">
        <v>0.2</v>
      </c>
      <c r="X136" s="54">
        <v>102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46132.42648148148</v>
      </c>
      <c r="AH136" s="52">
        <v>35202</v>
      </c>
      <c r="AI136" s="52">
        <v>0</v>
      </c>
      <c r="AJ136" s="53">
        <f>AH136+AI136</f>
        <v>35202</v>
      </c>
      <c r="AK136" s="56">
        <v>0</v>
      </c>
    </row>
    <row r="137">
      <c r="A137" s="48">
        <v>46132.4296412037</v>
      </c>
      <c r="B137" s="49" t="s">
        <v>108</v>
      </c>
      <c r="C137" s="49" t="s">
        <v>100</v>
      </c>
      <c r="D137" s="49" t="s">
        <v>5</v>
      </c>
      <c r="E137" s="50">
        <v>96</v>
      </c>
      <c r="F137" s="49" t="s">
        <v>105</v>
      </c>
      <c r="G137" s="51">
        <v>161000338</v>
      </c>
      <c r="H137" s="52">
        <v>113.5</v>
      </c>
      <c r="I137" s="52">
        <f>L137+M137+N137</f>
        <v>98.41999999999999</v>
      </c>
      <c r="J137" s="52">
        <f>O137+P137</f>
        <v>15.08</v>
      </c>
      <c r="K137" s="53">
        <f>IF(H137=I137+J137,0,W137)</f>
        <v>0</v>
      </c>
      <c r="L137" s="52">
        <v>36.19</v>
      </c>
      <c r="M137" s="52">
        <v>62.23</v>
      </c>
      <c r="N137" s="52">
        <v>0</v>
      </c>
      <c r="O137" s="52">
        <v>7.61</v>
      </c>
      <c r="P137" s="52">
        <v>7.47</v>
      </c>
      <c r="Q137" s="54">
        <v>98.42</v>
      </c>
      <c r="R137" s="52">
        <v>113.5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113.5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46132.4296412037</v>
      </c>
      <c r="AH137" s="52">
        <v>0</v>
      </c>
      <c r="AI137" s="52">
        <v>0</v>
      </c>
      <c r="AJ137" s="53">
        <f>AH137+AI137</f>
        <v>0</v>
      </c>
      <c r="AK137" s="56">
        <v>0</v>
      </c>
    </row>
    <row r="138">
      <c r="A138" s="48">
        <v>46132.431238425925</v>
      </c>
      <c r="B138" s="49" t="s">
        <v>108</v>
      </c>
      <c r="C138" s="49" t="s">
        <v>106</v>
      </c>
      <c r="D138" s="49" t="s">
        <v>5</v>
      </c>
      <c r="E138" s="50">
        <v>96</v>
      </c>
      <c r="F138" s="49" t="s">
        <v>107</v>
      </c>
      <c r="G138" s="51">
        <v>166004622</v>
      </c>
      <c r="H138" s="52">
        <v>53.8</v>
      </c>
      <c r="I138" s="52">
        <f>L138+M138+N138</f>
        <v>46.714200000000005</v>
      </c>
      <c r="J138" s="52">
        <f>O138+P138</f>
        <v>7.0858</v>
      </c>
      <c r="K138" s="53">
        <f>IF(H138=I138+J138,0,W138)</f>
        <v>0</v>
      </c>
      <c r="L138" s="52">
        <v>16.4463</v>
      </c>
      <c r="M138" s="52">
        <v>30.2679</v>
      </c>
      <c r="N138" s="52">
        <v>0</v>
      </c>
      <c r="O138" s="52">
        <v>3.4537</v>
      </c>
      <c r="P138" s="52">
        <v>3.6321</v>
      </c>
      <c r="Q138" s="54">
        <v>46.7142</v>
      </c>
      <c r="R138" s="52">
        <v>53.8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53.8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46132.431238425925</v>
      </c>
      <c r="AH138" s="52">
        <v>35202</v>
      </c>
      <c r="AI138" s="52">
        <v>0</v>
      </c>
      <c r="AJ138" s="53">
        <f>AH138+AI138</f>
        <v>35202</v>
      </c>
      <c r="AK138" s="56">
        <v>0</v>
      </c>
    </row>
    <row r="139">
      <c r="A139" s="48">
        <v>46132.431493055556</v>
      </c>
      <c r="B139" s="49" t="s">
        <v>108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166004623</v>
      </c>
      <c r="H139" s="52">
        <v>19.9</v>
      </c>
      <c r="I139" s="52">
        <f>L139+M139+N139</f>
        <v>16.4463</v>
      </c>
      <c r="J139" s="52">
        <f>O139+P139</f>
        <v>3.4537</v>
      </c>
      <c r="K139" s="53">
        <f>IF(H139=I139+J139,0,W139)</f>
        <v>0</v>
      </c>
      <c r="L139" s="52">
        <v>16.4463</v>
      </c>
      <c r="M139" s="52">
        <v>0</v>
      </c>
      <c r="N139" s="52">
        <v>0</v>
      </c>
      <c r="O139" s="52">
        <v>3.4537</v>
      </c>
      <c r="P139" s="52">
        <v>0</v>
      </c>
      <c r="Q139" s="54">
        <v>16.4463</v>
      </c>
      <c r="R139" s="52">
        <v>19.9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19.9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46132.431493055556</v>
      </c>
      <c r="AH139" s="52">
        <v>35202</v>
      </c>
      <c r="AI139" s="52">
        <v>0</v>
      </c>
      <c r="AJ139" s="53">
        <f>AH139+AI139</f>
        <v>35202</v>
      </c>
      <c r="AK139" s="56">
        <v>0</v>
      </c>
    </row>
    <row r="140">
      <c r="A140" s="48">
        <v>46132.432233796295</v>
      </c>
      <c r="B140" s="49" t="s">
        <v>108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166004624</v>
      </c>
      <c r="H140" s="52">
        <v>88</v>
      </c>
      <c r="I140" s="52">
        <f>L140+M140+N140</f>
        <v>78.875</v>
      </c>
      <c r="J140" s="52">
        <f>O140+P140</f>
        <v>9.465</v>
      </c>
      <c r="K140" s="53">
        <f>IF(H140=I140+J140,0,W140)</f>
        <v>-0.34</v>
      </c>
      <c r="L140" s="52">
        <v>0</v>
      </c>
      <c r="M140" s="52">
        <v>78.875</v>
      </c>
      <c r="N140" s="52">
        <v>0</v>
      </c>
      <c r="O140" s="52">
        <v>0</v>
      </c>
      <c r="P140" s="52">
        <v>9.465</v>
      </c>
      <c r="Q140" s="54">
        <v>78.875</v>
      </c>
      <c r="R140" s="52">
        <v>88.34</v>
      </c>
      <c r="S140" s="52">
        <v>0</v>
      </c>
      <c r="T140" s="52">
        <v>0</v>
      </c>
      <c r="U140" s="52">
        <v>0</v>
      </c>
      <c r="V140" s="52">
        <v>0</v>
      </c>
      <c r="W140" s="52">
        <v>-0.34</v>
      </c>
      <c r="X140" s="54">
        <v>200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46132.432233796295</v>
      </c>
      <c r="AH140" s="52">
        <v>35290</v>
      </c>
      <c r="AI140" s="52">
        <v>0</v>
      </c>
      <c r="AJ140" s="53">
        <f>AH140+AI140</f>
        <v>35290</v>
      </c>
      <c r="AK140" s="56">
        <v>0</v>
      </c>
    </row>
    <row r="141">
      <c r="A141" s="48">
        <v>46132.43269675926</v>
      </c>
      <c r="B141" s="49" t="s">
        <v>108</v>
      </c>
      <c r="C141" s="49" t="s">
        <v>106</v>
      </c>
      <c r="D141" s="49" t="s">
        <v>5</v>
      </c>
      <c r="E141" s="50">
        <v>96</v>
      </c>
      <c r="F141" s="49" t="s">
        <v>107</v>
      </c>
      <c r="G141" s="51">
        <v>166004625</v>
      </c>
      <c r="H141" s="52">
        <v>75</v>
      </c>
      <c r="I141" s="52">
        <f>L141+M141+N141</f>
        <v>66.4318</v>
      </c>
      <c r="J141" s="52">
        <f>O141+P141</f>
        <v>8.7082</v>
      </c>
      <c r="K141" s="53">
        <f>IF(H141=I141+J141,0,W141)</f>
        <v>-0.14</v>
      </c>
      <c r="L141" s="52">
        <v>8.1818</v>
      </c>
      <c r="M141" s="52">
        <v>58.25</v>
      </c>
      <c r="N141" s="52">
        <v>0</v>
      </c>
      <c r="O141" s="52">
        <v>1.7182</v>
      </c>
      <c r="P141" s="52">
        <v>6.99</v>
      </c>
      <c r="Q141" s="54">
        <v>66.4318</v>
      </c>
      <c r="R141" s="52">
        <v>75.14</v>
      </c>
      <c r="S141" s="52">
        <v>0</v>
      </c>
      <c r="T141" s="52">
        <v>0</v>
      </c>
      <c r="U141" s="52">
        <v>0</v>
      </c>
      <c r="V141" s="52">
        <v>0</v>
      </c>
      <c r="W141" s="52">
        <v>-0.14</v>
      </c>
      <c r="X141" s="54">
        <v>75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46132.43269675926</v>
      </c>
      <c r="AH141" s="52">
        <v>35365</v>
      </c>
      <c r="AI141" s="52">
        <v>0</v>
      </c>
      <c r="AJ141" s="53">
        <f>AH141+AI141</f>
        <v>35365</v>
      </c>
      <c r="AK141" s="56">
        <v>0</v>
      </c>
    </row>
    <row r="142">
      <c r="A142" s="48">
        <v>46132.43283564815</v>
      </c>
      <c r="B142" s="49" t="s">
        <v>108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166004626</v>
      </c>
      <c r="H142" s="52">
        <v>38</v>
      </c>
      <c r="I142" s="52">
        <f>L142+M142+N142</f>
        <v>33.8393</v>
      </c>
      <c r="J142" s="52">
        <f>O142+P142</f>
        <v>4.0607</v>
      </c>
      <c r="K142" s="53">
        <f>IF(H142=I142+J142,0,W142)</f>
        <v>0.1</v>
      </c>
      <c r="L142" s="52">
        <v>0</v>
      </c>
      <c r="M142" s="52">
        <v>33.8393</v>
      </c>
      <c r="N142" s="52">
        <v>0</v>
      </c>
      <c r="O142" s="52">
        <v>0</v>
      </c>
      <c r="P142" s="52">
        <v>4.0607</v>
      </c>
      <c r="Q142" s="54">
        <v>33.8393</v>
      </c>
      <c r="R142" s="52">
        <v>37.9</v>
      </c>
      <c r="S142" s="52">
        <v>0</v>
      </c>
      <c r="T142" s="52">
        <v>0</v>
      </c>
      <c r="U142" s="52">
        <v>0</v>
      </c>
      <c r="V142" s="52">
        <v>0</v>
      </c>
      <c r="W142" s="52">
        <v>0.1</v>
      </c>
      <c r="X142" s="54">
        <v>50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46132.43283564815</v>
      </c>
      <c r="AH142" s="52">
        <v>35403</v>
      </c>
      <c r="AI142" s="52">
        <v>0</v>
      </c>
      <c r="AJ142" s="53">
        <f>AH142+AI142</f>
        <v>35403</v>
      </c>
      <c r="AK142" s="56">
        <v>0</v>
      </c>
    </row>
    <row r="143">
      <c r="A143" s="48">
        <v>46132.43332175926</v>
      </c>
      <c r="B143" s="49" t="s">
        <v>108</v>
      </c>
      <c r="C143" s="49" t="s">
        <v>106</v>
      </c>
      <c r="D143" s="49" t="s">
        <v>5</v>
      </c>
      <c r="E143" s="50">
        <v>96</v>
      </c>
      <c r="F143" s="49" t="s">
        <v>107</v>
      </c>
      <c r="G143" s="51">
        <v>166004627</v>
      </c>
      <c r="H143" s="52">
        <v>254</v>
      </c>
      <c r="I143" s="52">
        <f>L143+M143+N143</f>
        <v>220.04539999999997</v>
      </c>
      <c r="J143" s="52">
        <f>O143+P143</f>
        <v>33.6646</v>
      </c>
      <c r="K143" s="53">
        <f>IF(H143=I143+J143,0,W143)</f>
        <v>0.29</v>
      </c>
      <c r="L143" s="52">
        <v>80.6613</v>
      </c>
      <c r="M143" s="52">
        <v>139.3841</v>
      </c>
      <c r="N143" s="52">
        <v>0</v>
      </c>
      <c r="O143" s="52">
        <v>16.9387</v>
      </c>
      <c r="P143" s="52">
        <v>16.7259</v>
      </c>
      <c r="Q143" s="54">
        <v>220.0454</v>
      </c>
      <c r="R143" s="52">
        <v>253.71</v>
      </c>
      <c r="S143" s="52">
        <v>0</v>
      </c>
      <c r="T143" s="52">
        <v>0</v>
      </c>
      <c r="U143" s="52">
        <v>0</v>
      </c>
      <c r="V143" s="52">
        <v>0</v>
      </c>
      <c r="W143" s="52">
        <v>0.29</v>
      </c>
      <c r="X143" s="54">
        <v>500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46132.43332175926</v>
      </c>
      <c r="AH143" s="52">
        <v>35657</v>
      </c>
      <c r="AI143" s="52">
        <v>0</v>
      </c>
      <c r="AJ143" s="53">
        <f>AH143+AI143</f>
        <v>35657</v>
      </c>
      <c r="AK143" s="56">
        <v>0</v>
      </c>
    </row>
    <row r="144">
      <c r="A144" s="48">
        <v>46132.43450231481</v>
      </c>
      <c r="B144" s="49" t="s">
        <v>108</v>
      </c>
      <c r="C144" s="49" t="s">
        <v>106</v>
      </c>
      <c r="D144" s="49" t="s">
        <v>5</v>
      </c>
      <c r="E144" s="50">
        <v>96</v>
      </c>
      <c r="F144" s="49" t="s">
        <v>107</v>
      </c>
      <c r="G144" s="51">
        <v>166004628</v>
      </c>
      <c r="H144" s="52">
        <v>181</v>
      </c>
      <c r="I144" s="52">
        <f>L144+M144+N144</f>
        <v>161.9285</v>
      </c>
      <c r="J144" s="52">
        <f>O144+P144</f>
        <v>19.4315</v>
      </c>
      <c r="K144" s="53">
        <f>IF(H144=I144+J144,0,W144)</f>
        <v>-0.36</v>
      </c>
      <c r="L144" s="52">
        <v>0</v>
      </c>
      <c r="M144" s="52">
        <v>161.9285</v>
      </c>
      <c r="N144" s="52">
        <v>0</v>
      </c>
      <c r="O144" s="52">
        <v>0</v>
      </c>
      <c r="P144" s="52">
        <v>19.4315</v>
      </c>
      <c r="Q144" s="54">
        <v>161.9285</v>
      </c>
      <c r="R144" s="52">
        <v>181.36</v>
      </c>
      <c r="S144" s="52">
        <v>0</v>
      </c>
      <c r="T144" s="52">
        <v>0</v>
      </c>
      <c r="U144" s="52">
        <v>0</v>
      </c>
      <c r="V144" s="52">
        <v>0</v>
      </c>
      <c r="W144" s="52">
        <v>-0.36</v>
      </c>
      <c r="X144" s="54">
        <v>200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46132.43450231481</v>
      </c>
      <c r="AH144" s="52">
        <v>35838</v>
      </c>
      <c r="AI144" s="52">
        <v>0</v>
      </c>
      <c r="AJ144" s="53">
        <f>AH144+AI144</f>
        <v>35838</v>
      </c>
      <c r="AK144" s="56">
        <v>0</v>
      </c>
    </row>
    <row r="145">
      <c r="A145" s="48">
        <v>46132.43509259259</v>
      </c>
      <c r="B145" s="49" t="s">
        <v>108</v>
      </c>
      <c r="C145" s="49" t="s">
        <v>106</v>
      </c>
      <c r="D145" s="49" t="s">
        <v>5</v>
      </c>
      <c r="E145" s="50">
        <v>96</v>
      </c>
      <c r="F145" s="49" t="s">
        <v>107</v>
      </c>
      <c r="G145" s="51">
        <v>166004629</v>
      </c>
      <c r="H145" s="52">
        <v>222.3</v>
      </c>
      <c r="I145" s="52">
        <f>L145+M145+N145</f>
        <v>190.8516</v>
      </c>
      <c r="J145" s="52">
        <f>O145+P145</f>
        <v>31.4484</v>
      </c>
      <c r="K145" s="53">
        <f>IF(H145=I145+J145,0,W145)</f>
        <v>0</v>
      </c>
      <c r="L145" s="52">
        <v>94.9587</v>
      </c>
      <c r="M145" s="52">
        <v>95.8929</v>
      </c>
      <c r="N145" s="52">
        <v>0</v>
      </c>
      <c r="O145" s="52">
        <v>19.9413</v>
      </c>
      <c r="P145" s="52">
        <v>11.5071</v>
      </c>
      <c r="Q145" s="54">
        <v>190.8516</v>
      </c>
      <c r="R145" s="52">
        <v>222.3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0</v>
      </c>
      <c r="Y145" s="52">
        <v>0</v>
      </c>
      <c r="Z145" s="52">
        <v>222.3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46132.43509259259</v>
      </c>
      <c r="AH145" s="52">
        <v>35838</v>
      </c>
      <c r="AI145" s="52">
        <v>0</v>
      </c>
      <c r="AJ145" s="53">
        <f>AH145+AI145</f>
        <v>35838</v>
      </c>
      <c r="AK145" s="56">
        <v>0</v>
      </c>
    </row>
    <row r="146">
      <c r="A146" s="48">
        <v>46132.43613425926</v>
      </c>
      <c r="B146" s="49" t="s">
        <v>108</v>
      </c>
      <c r="C146" s="49" t="s">
        <v>100</v>
      </c>
      <c r="D146" s="49" t="s">
        <v>5</v>
      </c>
      <c r="E146" s="50">
        <v>96</v>
      </c>
      <c r="F146" s="49" t="s">
        <v>105</v>
      </c>
      <c r="G146" s="51">
        <v>161000339</v>
      </c>
      <c r="H146" s="52">
        <v>37.9</v>
      </c>
      <c r="I146" s="52">
        <f>L146+M146+N146</f>
        <v>33.83</v>
      </c>
      <c r="J146" s="52">
        <f>O146+P146</f>
        <v>4.07</v>
      </c>
      <c r="K146" s="53">
        <f>IF(H146=I146+J146,0,W146)</f>
        <v>0</v>
      </c>
      <c r="L146" s="52">
        <v>0</v>
      </c>
      <c r="M146" s="52">
        <v>33.83</v>
      </c>
      <c r="N146" s="52">
        <v>0</v>
      </c>
      <c r="O146" s="52">
        <v>0</v>
      </c>
      <c r="P146" s="52">
        <v>4.07</v>
      </c>
      <c r="Q146" s="54">
        <v>33.83</v>
      </c>
      <c r="R146" s="52">
        <v>37.9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37.9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46132.43613425926</v>
      </c>
      <c r="AH146" s="52">
        <v>0</v>
      </c>
      <c r="AI146" s="52">
        <v>0</v>
      </c>
      <c r="AJ146" s="53">
        <f>AH146+AI146</f>
        <v>0</v>
      </c>
      <c r="AK146" s="56">
        <v>0</v>
      </c>
    </row>
    <row r="147">
      <c r="A147" s="48">
        <v>46132.436319444445</v>
      </c>
      <c r="B147" s="49" t="s">
        <v>108</v>
      </c>
      <c r="C147" s="49" t="s">
        <v>106</v>
      </c>
      <c r="D147" s="49" t="s">
        <v>5</v>
      </c>
      <c r="E147" s="50">
        <v>96</v>
      </c>
      <c r="F147" s="49" t="s">
        <v>107</v>
      </c>
      <c r="G147" s="51">
        <v>166004630</v>
      </c>
      <c r="H147" s="52">
        <v>352.94</v>
      </c>
      <c r="I147" s="52">
        <f>L147+M147+N147</f>
        <v>315.1253</v>
      </c>
      <c r="J147" s="52">
        <f>O147+P147</f>
        <v>37.8147</v>
      </c>
      <c r="K147" s="53">
        <f>IF(H147=I147+J147,0,W147)</f>
        <v>0</v>
      </c>
      <c r="L147" s="52">
        <v>0</v>
      </c>
      <c r="M147" s="52">
        <v>315.1253</v>
      </c>
      <c r="N147" s="52">
        <v>0</v>
      </c>
      <c r="O147" s="52">
        <v>0</v>
      </c>
      <c r="P147" s="52">
        <v>37.8147</v>
      </c>
      <c r="Q147" s="54">
        <v>315.1253</v>
      </c>
      <c r="R147" s="52">
        <v>352.94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352.94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46132.436319444445</v>
      </c>
      <c r="AH147" s="52">
        <v>35838</v>
      </c>
      <c r="AI147" s="52">
        <v>0</v>
      </c>
      <c r="AJ147" s="53">
        <f>AH147+AI147</f>
        <v>35838</v>
      </c>
      <c r="AK147" s="56">
        <v>0</v>
      </c>
    </row>
    <row r="148">
      <c r="A148" s="48">
        <v>46132.43739583333</v>
      </c>
      <c r="B148" s="49" t="s">
        <v>108</v>
      </c>
      <c r="C148" s="49" t="s">
        <v>106</v>
      </c>
      <c r="D148" s="49" t="s">
        <v>5</v>
      </c>
      <c r="E148" s="50">
        <v>96</v>
      </c>
      <c r="F148" s="49" t="s">
        <v>107</v>
      </c>
      <c r="G148" s="51">
        <v>166004631</v>
      </c>
      <c r="H148" s="52">
        <v>255.55</v>
      </c>
      <c r="I148" s="52">
        <f>L148+M148+N148</f>
        <v>223.7338</v>
      </c>
      <c r="J148" s="52">
        <f>O148+P148</f>
        <v>31.816200000000002</v>
      </c>
      <c r="K148" s="53">
        <f>IF(H148=I148+J148,0,W148)</f>
        <v>0</v>
      </c>
      <c r="L148" s="52">
        <v>55.2066</v>
      </c>
      <c r="M148" s="52">
        <v>168.5272</v>
      </c>
      <c r="N148" s="52">
        <v>0</v>
      </c>
      <c r="O148" s="52">
        <v>11.5934</v>
      </c>
      <c r="P148" s="52">
        <v>20.2228</v>
      </c>
      <c r="Q148" s="54">
        <v>223.7338</v>
      </c>
      <c r="R148" s="52">
        <v>255.55</v>
      </c>
      <c r="S148" s="52">
        <v>0</v>
      </c>
      <c r="T148" s="52">
        <v>0</v>
      </c>
      <c r="U148" s="52">
        <v>0</v>
      </c>
      <c r="V148" s="52">
        <v>0</v>
      </c>
      <c r="W148" s="52">
        <v>0</v>
      </c>
      <c r="X148" s="54">
        <v>0</v>
      </c>
      <c r="Y148" s="52">
        <v>0</v>
      </c>
      <c r="Z148" s="52">
        <v>255.55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46132.43739583333</v>
      </c>
      <c r="AH148" s="52">
        <v>35838</v>
      </c>
      <c r="AI148" s="52">
        <v>0</v>
      </c>
      <c r="AJ148" s="53">
        <f>AH148+AI148</f>
        <v>35838</v>
      </c>
      <c r="AK148" s="56">
        <v>8.7431</v>
      </c>
    </row>
    <row r="149">
      <c r="A149" s="48">
        <v>46132.43763888889</v>
      </c>
      <c r="B149" s="49" t="s">
        <v>108</v>
      </c>
      <c r="C149" s="49" t="s">
        <v>106</v>
      </c>
      <c r="D149" s="49" t="s">
        <v>5</v>
      </c>
      <c r="E149" s="50">
        <v>96</v>
      </c>
      <c r="F149" s="49" t="s">
        <v>107</v>
      </c>
      <c r="G149" s="51">
        <v>166004632</v>
      </c>
      <c r="H149" s="52">
        <v>21.9</v>
      </c>
      <c r="I149" s="52">
        <f>L149+M149+N149</f>
        <v>19.5536</v>
      </c>
      <c r="J149" s="52">
        <f>O149+P149</f>
        <v>2.3464</v>
      </c>
      <c r="K149" s="53">
        <f>IF(H149=I149+J149,0,W149)</f>
        <v>0</v>
      </c>
      <c r="L149" s="52">
        <v>0</v>
      </c>
      <c r="M149" s="52">
        <v>19.5536</v>
      </c>
      <c r="N149" s="52">
        <v>0</v>
      </c>
      <c r="O149" s="52">
        <v>0</v>
      </c>
      <c r="P149" s="52">
        <v>2.3464</v>
      </c>
      <c r="Q149" s="54">
        <v>19.5536</v>
      </c>
      <c r="R149" s="52">
        <v>21.9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21.9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46132.43763888889</v>
      </c>
      <c r="AH149" s="52">
        <v>35838</v>
      </c>
      <c r="AI149" s="52">
        <v>0</v>
      </c>
      <c r="AJ149" s="53">
        <f>AH149+AI149</f>
        <v>35838</v>
      </c>
      <c r="AK149" s="56">
        <v>0</v>
      </c>
    </row>
    <row r="150">
      <c r="A150" s="48">
        <v>46132.43792824074</v>
      </c>
      <c r="B150" s="49" t="s">
        <v>108</v>
      </c>
      <c r="C150" s="49" t="s">
        <v>106</v>
      </c>
      <c r="D150" s="49" t="s">
        <v>5</v>
      </c>
      <c r="E150" s="50">
        <v>96</v>
      </c>
      <c r="F150" s="49" t="s">
        <v>107</v>
      </c>
      <c r="G150" s="51">
        <v>166004633</v>
      </c>
      <c r="H150" s="52">
        <v>161</v>
      </c>
      <c r="I150" s="52">
        <f>L150+M150+N150</f>
        <v>133.0579</v>
      </c>
      <c r="J150" s="52">
        <f>O150+P150</f>
        <v>27.9421</v>
      </c>
      <c r="K150" s="53">
        <f>IF(H150=I150+J150,0,W150)</f>
        <v>0</v>
      </c>
      <c r="L150" s="52">
        <v>133.0579</v>
      </c>
      <c r="M150" s="52">
        <v>0</v>
      </c>
      <c r="N150" s="52">
        <v>0</v>
      </c>
      <c r="O150" s="52">
        <v>27.9421</v>
      </c>
      <c r="P150" s="52">
        <v>0</v>
      </c>
      <c r="Q150" s="54">
        <v>133.0579</v>
      </c>
      <c r="R150" s="52">
        <v>161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4">
        <v>0</v>
      </c>
      <c r="Y150" s="52">
        <v>0</v>
      </c>
      <c r="Z150" s="52">
        <v>161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46132.43792824074</v>
      </c>
      <c r="AH150" s="52">
        <v>35838</v>
      </c>
      <c r="AI150" s="52">
        <v>0</v>
      </c>
      <c r="AJ150" s="53">
        <f>AH150+AI150</f>
        <v>35838</v>
      </c>
      <c r="AK150" s="56">
        <v>0</v>
      </c>
    </row>
    <row r="151">
      <c r="A151" s="48">
        <v>46132.43881944445</v>
      </c>
      <c r="B151" s="49" t="s">
        <v>108</v>
      </c>
      <c r="C151" s="49" t="s">
        <v>106</v>
      </c>
      <c r="D151" s="49" t="s">
        <v>5</v>
      </c>
      <c r="E151" s="50">
        <v>96</v>
      </c>
      <c r="F151" s="49" t="s">
        <v>107</v>
      </c>
      <c r="G151" s="51">
        <v>166004634</v>
      </c>
      <c r="H151" s="52">
        <v>421</v>
      </c>
      <c r="I151" s="52">
        <f>L151+M151+N151</f>
        <v>376.2768</v>
      </c>
      <c r="J151" s="52">
        <f>O151+P151</f>
        <v>45.1532</v>
      </c>
      <c r="K151" s="53">
        <f>IF(H151=I151+J151,0,W151)</f>
        <v>-0.43</v>
      </c>
      <c r="L151" s="52">
        <v>0</v>
      </c>
      <c r="M151" s="52">
        <v>376.2768</v>
      </c>
      <c r="N151" s="52">
        <v>0</v>
      </c>
      <c r="O151" s="52">
        <v>0</v>
      </c>
      <c r="P151" s="52">
        <v>45.1532</v>
      </c>
      <c r="Q151" s="54">
        <v>376.2768</v>
      </c>
      <c r="R151" s="52">
        <v>421.43</v>
      </c>
      <c r="S151" s="52">
        <v>0</v>
      </c>
      <c r="T151" s="52">
        <v>0</v>
      </c>
      <c r="U151" s="52">
        <v>0</v>
      </c>
      <c r="V151" s="52">
        <v>0</v>
      </c>
      <c r="W151" s="52">
        <v>-0.43</v>
      </c>
      <c r="X151" s="54">
        <v>421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46132.43881944445</v>
      </c>
      <c r="AH151" s="52">
        <v>36259</v>
      </c>
      <c r="AI151" s="52">
        <v>0</v>
      </c>
      <c r="AJ151" s="53">
        <f>AH151+AI151</f>
        <v>36259</v>
      </c>
      <c r="AK151" s="56">
        <v>0</v>
      </c>
    </row>
    <row r="152">
      <c r="A152" s="48">
        <v>46132.439259259256</v>
      </c>
      <c r="B152" s="49" t="s">
        <v>108</v>
      </c>
      <c r="C152" s="49" t="s">
        <v>106</v>
      </c>
      <c r="D152" s="49" t="s">
        <v>5</v>
      </c>
      <c r="E152" s="50">
        <v>96</v>
      </c>
      <c r="F152" s="49" t="s">
        <v>107</v>
      </c>
      <c r="G152" s="51">
        <v>166004635</v>
      </c>
      <c r="H152" s="52">
        <v>80.21</v>
      </c>
      <c r="I152" s="52">
        <f>L152+M152+N152</f>
        <v>71.6161</v>
      </c>
      <c r="J152" s="52">
        <f>O152+P152</f>
        <v>8.5939</v>
      </c>
      <c r="K152" s="53">
        <f>IF(H152=I152+J152,0,W152)</f>
        <v>0</v>
      </c>
      <c r="L152" s="52">
        <v>0</v>
      </c>
      <c r="M152" s="52">
        <v>71.6161</v>
      </c>
      <c r="N152" s="52">
        <v>0</v>
      </c>
      <c r="O152" s="52">
        <v>0</v>
      </c>
      <c r="P152" s="52">
        <v>8.5939</v>
      </c>
      <c r="Q152" s="54">
        <v>71.6161</v>
      </c>
      <c r="R152" s="52">
        <v>80.21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80.21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46132.439259259256</v>
      </c>
      <c r="AH152" s="52">
        <v>36259</v>
      </c>
      <c r="AI152" s="52">
        <v>0</v>
      </c>
      <c r="AJ152" s="53">
        <f>AH152+AI152</f>
        <v>36259</v>
      </c>
      <c r="AK152" s="56">
        <v>13.974</v>
      </c>
    </row>
    <row r="153">
      <c r="A153" s="48">
        <v>46132.43960648148</v>
      </c>
      <c r="B153" s="49" t="s">
        <v>108</v>
      </c>
      <c r="C153" s="49" t="s">
        <v>106</v>
      </c>
      <c r="D153" s="49" t="s">
        <v>5</v>
      </c>
      <c r="E153" s="50">
        <v>96</v>
      </c>
      <c r="F153" s="49" t="s">
        <v>107</v>
      </c>
      <c r="G153" s="51">
        <v>166004636</v>
      </c>
      <c r="H153" s="52">
        <v>43</v>
      </c>
      <c r="I153" s="52">
        <f>L153+M153+N153</f>
        <v>37.9732</v>
      </c>
      <c r="J153" s="52">
        <f>O153+P153</f>
        <v>4.5568</v>
      </c>
      <c r="K153" s="53">
        <f>IF(H153=I153+J153,0,W153)</f>
        <v>0.47</v>
      </c>
      <c r="L153" s="52">
        <v>0</v>
      </c>
      <c r="M153" s="52">
        <v>37.9732</v>
      </c>
      <c r="N153" s="52">
        <v>0</v>
      </c>
      <c r="O153" s="52">
        <v>0</v>
      </c>
      <c r="P153" s="52">
        <v>4.5568</v>
      </c>
      <c r="Q153" s="54">
        <v>37.9732</v>
      </c>
      <c r="R153" s="52">
        <v>42.53</v>
      </c>
      <c r="S153" s="52">
        <v>0</v>
      </c>
      <c r="T153" s="52">
        <v>0</v>
      </c>
      <c r="U153" s="52">
        <v>0</v>
      </c>
      <c r="V153" s="52">
        <v>0</v>
      </c>
      <c r="W153" s="52">
        <v>0.47</v>
      </c>
      <c r="X153" s="54">
        <v>103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46132.43960648148</v>
      </c>
      <c r="AH153" s="52">
        <v>36302</v>
      </c>
      <c r="AI153" s="52">
        <v>0</v>
      </c>
      <c r="AJ153" s="53">
        <f>AH153+AI153</f>
        <v>36302</v>
      </c>
      <c r="AK153" s="56">
        <v>7.1267</v>
      </c>
    </row>
    <row r="154">
      <c r="A154" s="48">
        <v>46132.44049768519</v>
      </c>
      <c r="B154" s="49" t="s">
        <v>108</v>
      </c>
      <c r="C154" s="49" t="s">
        <v>106</v>
      </c>
      <c r="D154" s="49" t="s">
        <v>5</v>
      </c>
      <c r="E154" s="50">
        <v>96</v>
      </c>
      <c r="F154" s="49" t="s">
        <v>107</v>
      </c>
      <c r="G154" s="51">
        <v>166004637</v>
      </c>
      <c r="H154" s="52">
        <v>42.8</v>
      </c>
      <c r="I154" s="52">
        <f>L154+M154+N154</f>
        <v>36.5606</v>
      </c>
      <c r="J154" s="52">
        <f>O154+P154</f>
        <v>6.2394</v>
      </c>
      <c r="K154" s="53">
        <f>IF(H154=I154+J154,0,W154)</f>
        <v>0</v>
      </c>
      <c r="L154" s="52">
        <v>20.5785</v>
      </c>
      <c r="M154" s="52">
        <v>15.9821</v>
      </c>
      <c r="N154" s="52">
        <v>0</v>
      </c>
      <c r="O154" s="52">
        <v>4.3215</v>
      </c>
      <c r="P154" s="52">
        <v>1.9179</v>
      </c>
      <c r="Q154" s="54">
        <v>36.5606</v>
      </c>
      <c r="R154" s="52">
        <v>42.8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42.8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46132.44049768519</v>
      </c>
      <c r="AH154" s="52">
        <v>36302</v>
      </c>
      <c r="AI154" s="52">
        <v>0</v>
      </c>
      <c r="AJ154" s="53">
        <f>AH154+AI154</f>
        <v>36302</v>
      </c>
      <c r="AK154" s="56">
        <v>0</v>
      </c>
    </row>
    <row r="155">
      <c r="A155" s="48">
        <v>46132.44150462963</v>
      </c>
      <c r="B155" s="49" t="s">
        <v>108</v>
      </c>
      <c r="C155" s="49" t="s">
        <v>106</v>
      </c>
      <c r="D155" s="49" t="s">
        <v>5</v>
      </c>
      <c r="E155" s="50">
        <v>96</v>
      </c>
      <c r="F155" s="49" t="s">
        <v>107</v>
      </c>
      <c r="G155" s="51">
        <v>166004638</v>
      </c>
      <c r="H155" s="52">
        <v>179</v>
      </c>
      <c r="I155" s="52">
        <f>L155+M155+N155</f>
        <v>157.97740000000002</v>
      </c>
      <c r="J155" s="52">
        <f>O155+P155</f>
        <v>21.3226</v>
      </c>
      <c r="K155" s="53">
        <f>IF(H155=I155+J155,0,W155)</f>
        <v>-0.3</v>
      </c>
      <c r="L155" s="52">
        <v>26.281</v>
      </c>
      <c r="M155" s="52">
        <v>131.6964</v>
      </c>
      <c r="N155" s="52">
        <v>0</v>
      </c>
      <c r="O155" s="52">
        <v>5.519</v>
      </c>
      <c r="P155" s="52">
        <v>15.8036</v>
      </c>
      <c r="Q155" s="54">
        <v>157.9774</v>
      </c>
      <c r="R155" s="52">
        <v>179.3</v>
      </c>
      <c r="S155" s="52">
        <v>0</v>
      </c>
      <c r="T155" s="52">
        <v>0</v>
      </c>
      <c r="U155" s="52">
        <v>0</v>
      </c>
      <c r="V155" s="52">
        <v>0</v>
      </c>
      <c r="W155" s="52">
        <v>-0.3</v>
      </c>
      <c r="X155" s="54">
        <v>200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46132.44150462963</v>
      </c>
      <c r="AH155" s="52">
        <v>36481</v>
      </c>
      <c r="AI155" s="52">
        <v>0</v>
      </c>
      <c r="AJ155" s="53">
        <f>AH155+AI155</f>
        <v>36481</v>
      </c>
      <c r="AK155" s="56">
        <v>0</v>
      </c>
    </row>
    <row r="156">
      <c r="A156" s="48">
        <v>46132.44228009259</v>
      </c>
      <c r="B156" s="49" t="s">
        <v>108</v>
      </c>
      <c r="C156" s="49" t="s">
        <v>106</v>
      </c>
      <c r="D156" s="49" t="s">
        <v>5</v>
      </c>
      <c r="E156" s="50">
        <v>96</v>
      </c>
      <c r="F156" s="49" t="s">
        <v>107</v>
      </c>
      <c r="G156" s="51">
        <v>166004639</v>
      </c>
      <c r="H156" s="52">
        <v>93.8</v>
      </c>
      <c r="I156" s="52">
        <f>L156+M156+N156</f>
        <v>77.5207</v>
      </c>
      <c r="J156" s="52">
        <f>O156+P156</f>
        <v>16.2793</v>
      </c>
      <c r="K156" s="53">
        <f>IF(H156=I156+J156,0,W156)</f>
        <v>0</v>
      </c>
      <c r="L156" s="52">
        <v>77.5207</v>
      </c>
      <c r="M156" s="52">
        <v>0</v>
      </c>
      <c r="N156" s="52">
        <v>0</v>
      </c>
      <c r="O156" s="52">
        <v>16.2793</v>
      </c>
      <c r="P156" s="52">
        <v>0</v>
      </c>
      <c r="Q156" s="54">
        <v>77.5207</v>
      </c>
      <c r="R156" s="52">
        <v>93.8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93.8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46132.44228009259</v>
      </c>
      <c r="AH156" s="52">
        <v>36481</v>
      </c>
      <c r="AI156" s="52">
        <v>0</v>
      </c>
      <c r="AJ156" s="53">
        <f>AH156+AI156</f>
        <v>36481</v>
      </c>
      <c r="AK156" s="56">
        <v>0</v>
      </c>
    </row>
    <row r="157">
      <c r="A157" s="48">
        <v>46132.44289351852</v>
      </c>
      <c r="B157" s="49" t="s">
        <v>108</v>
      </c>
      <c r="C157" s="49" t="s">
        <v>106</v>
      </c>
      <c r="D157" s="49" t="s">
        <v>5</v>
      </c>
      <c r="E157" s="50">
        <v>96</v>
      </c>
      <c r="F157" s="49" t="s">
        <v>107</v>
      </c>
      <c r="G157" s="51">
        <v>166004640</v>
      </c>
      <c r="H157" s="52">
        <v>134.5</v>
      </c>
      <c r="I157" s="52">
        <f>L157+M157+N157</f>
        <v>119.9634</v>
      </c>
      <c r="J157" s="52">
        <f>O157+P157</f>
        <v>14.5366</v>
      </c>
      <c r="K157" s="53">
        <f>IF(H157=I157+J157,0,W157)</f>
        <v>0</v>
      </c>
      <c r="L157" s="52">
        <v>1.5702</v>
      </c>
      <c r="M157" s="52">
        <v>118.3932</v>
      </c>
      <c r="N157" s="52">
        <v>0</v>
      </c>
      <c r="O157" s="52">
        <v>0.3298</v>
      </c>
      <c r="P157" s="52">
        <v>14.2068</v>
      </c>
      <c r="Q157" s="54">
        <v>119.9634</v>
      </c>
      <c r="R157" s="52">
        <v>134.5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0</v>
      </c>
      <c r="Y157" s="52">
        <v>0</v>
      </c>
      <c r="Z157" s="52">
        <v>134.5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46132.44289351852</v>
      </c>
      <c r="AH157" s="52">
        <v>36481</v>
      </c>
      <c r="AI157" s="52">
        <v>0</v>
      </c>
      <c r="AJ157" s="53">
        <f>AH157+AI157</f>
        <v>36481</v>
      </c>
      <c r="AK157" s="56">
        <v>0</v>
      </c>
    </row>
    <row r="158">
      <c r="A158" s="48">
        <v>46132.4434375</v>
      </c>
      <c r="B158" s="49" t="s">
        <v>108</v>
      </c>
      <c r="C158" s="49" t="s">
        <v>106</v>
      </c>
      <c r="D158" s="49" t="s">
        <v>5</v>
      </c>
      <c r="E158" s="50">
        <v>96</v>
      </c>
      <c r="F158" s="49" t="s">
        <v>107</v>
      </c>
      <c r="G158" s="51">
        <v>166004641</v>
      </c>
      <c r="H158" s="52">
        <v>275</v>
      </c>
      <c r="I158" s="52">
        <f>L158+M158+N158</f>
        <v>245.3122</v>
      </c>
      <c r="J158" s="52">
        <f>O158+P158</f>
        <v>29.4378</v>
      </c>
      <c r="K158" s="53">
        <f>IF(H158=I158+J158,0,W158)</f>
        <v>0.25</v>
      </c>
      <c r="L158" s="52">
        <v>0</v>
      </c>
      <c r="M158" s="52">
        <v>245.3122</v>
      </c>
      <c r="N158" s="52">
        <v>0</v>
      </c>
      <c r="O158" s="52">
        <v>0</v>
      </c>
      <c r="P158" s="52">
        <v>29.4378</v>
      </c>
      <c r="Q158" s="54">
        <v>245.3122</v>
      </c>
      <c r="R158" s="52">
        <v>274.75</v>
      </c>
      <c r="S158" s="52">
        <v>0</v>
      </c>
      <c r="T158" s="52">
        <v>0</v>
      </c>
      <c r="U158" s="52">
        <v>0</v>
      </c>
      <c r="V158" s="52">
        <v>0</v>
      </c>
      <c r="W158" s="52">
        <v>0.25</v>
      </c>
      <c r="X158" s="54">
        <v>275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46132.4434375</v>
      </c>
      <c r="AH158" s="52">
        <v>36756</v>
      </c>
      <c r="AI158" s="52">
        <v>0</v>
      </c>
      <c r="AJ158" s="53">
        <f>AH158+AI158</f>
        <v>36756</v>
      </c>
      <c r="AK158" s="56">
        <v>0</v>
      </c>
    </row>
    <row r="159">
      <c r="A159" s="48">
        <v>46132.444398148145</v>
      </c>
      <c r="B159" s="49" t="s">
        <v>108</v>
      </c>
      <c r="C159" s="49" t="s">
        <v>106</v>
      </c>
      <c r="D159" s="49" t="s">
        <v>5</v>
      </c>
      <c r="E159" s="50">
        <v>96</v>
      </c>
      <c r="F159" s="49" t="s">
        <v>107</v>
      </c>
      <c r="G159" s="51">
        <v>166004642</v>
      </c>
      <c r="H159" s="52">
        <v>255.01</v>
      </c>
      <c r="I159" s="52">
        <f>L159+M159+N159</f>
        <v>225.1705</v>
      </c>
      <c r="J159" s="52">
        <f>O159+P159</f>
        <v>29.8395</v>
      </c>
      <c r="K159" s="53">
        <f>IF(H159=I159+J159,0,W159)</f>
        <v>0</v>
      </c>
      <c r="L159" s="52">
        <v>31.3223</v>
      </c>
      <c r="M159" s="52">
        <v>193.8482</v>
      </c>
      <c r="N159" s="52">
        <v>0</v>
      </c>
      <c r="O159" s="52">
        <v>6.5777</v>
      </c>
      <c r="P159" s="52">
        <v>23.2618</v>
      </c>
      <c r="Q159" s="54">
        <v>225.1705</v>
      </c>
      <c r="R159" s="52">
        <v>255.01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255.01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46132.444398148145</v>
      </c>
      <c r="AH159" s="52">
        <v>36756</v>
      </c>
      <c r="AI159" s="52">
        <v>0</v>
      </c>
      <c r="AJ159" s="53">
        <f>AH159+AI159</f>
        <v>36756</v>
      </c>
      <c r="AK159" s="56">
        <v>0</v>
      </c>
    </row>
    <row r="160">
      <c r="A160" s="48">
        <v>46132.444768518515</v>
      </c>
      <c r="B160" s="49" t="s">
        <v>108</v>
      </c>
      <c r="C160" s="49" t="s">
        <v>106</v>
      </c>
      <c r="D160" s="49" t="s">
        <v>5</v>
      </c>
      <c r="E160" s="50">
        <v>96</v>
      </c>
      <c r="F160" s="49" t="s">
        <v>107</v>
      </c>
      <c r="G160" s="51">
        <v>166004643</v>
      </c>
      <c r="H160" s="52">
        <v>212.5</v>
      </c>
      <c r="I160" s="52">
        <f>L160+M160+N160</f>
        <v>180.1226</v>
      </c>
      <c r="J160" s="52">
        <f>O160+P160</f>
        <v>32.3774</v>
      </c>
      <c r="K160" s="53">
        <f>IF(H160=I160+J160,0,W160)</f>
        <v>0</v>
      </c>
      <c r="L160" s="52">
        <v>119.5868</v>
      </c>
      <c r="M160" s="52">
        <v>60.5358</v>
      </c>
      <c r="N160" s="52">
        <v>0</v>
      </c>
      <c r="O160" s="52">
        <v>25.1132</v>
      </c>
      <c r="P160" s="52">
        <v>7.2642</v>
      </c>
      <c r="Q160" s="54">
        <v>180.1226</v>
      </c>
      <c r="R160" s="52">
        <v>212.5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212.5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46132.444768518515</v>
      </c>
      <c r="AH160" s="52">
        <v>36756</v>
      </c>
      <c r="AI160" s="52">
        <v>0</v>
      </c>
      <c r="AJ160" s="53">
        <f>AH160+AI160</f>
        <v>36756</v>
      </c>
      <c r="AK160" s="56">
        <v>0</v>
      </c>
    </row>
    <row r="161">
      <c r="A161" s="48">
        <v>46132.445</v>
      </c>
      <c r="B161" s="49" t="s">
        <v>108</v>
      </c>
      <c r="C161" s="49" t="s">
        <v>106</v>
      </c>
      <c r="D161" s="49" t="s">
        <v>5</v>
      </c>
      <c r="E161" s="50">
        <v>96</v>
      </c>
      <c r="F161" s="49" t="s">
        <v>107</v>
      </c>
      <c r="G161" s="51">
        <v>166004644</v>
      </c>
      <c r="H161" s="52">
        <v>62</v>
      </c>
      <c r="I161" s="52">
        <f>L161+M161+N161</f>
        <v>55.1786</v>
      </c>
      <c r="J161" s="52">
        <f>O161+P161</f>
        <v>6.6214</v>
      </c>
      <c r="K161" s="53">
        <f>IF(H161=I161+J161,0,W161)</f>
        <v>0.2</v>
      </c>
      <c r="L161" s="52">
        <v>0</v>
      </c>
      <c r="M161" s="52">
        <v>55.1786</v>
      </c>
      <c r="N161" s="52">
        <v>0</v>
      </c>
      <c r="O161" s="52">
        <v>0</v>
      </c>
      <c r="P161" s="52">
        <v>6.6214</v>
      </c>
      <c r="Q161" s="54">
        <v>55.1786</v>
      </c>
      <c r="R161" s="52">
        <v>61.8</v>
      </c>
      <c r="S161" s="52">
        <v>0</v>
      </c>
      <c r="T161" s="52">
        <v>0</v>
      </c>
      <c r="U161" s="52">
        <v>0</v>
      </c>
      <c r="V161" s="52">
        <v>0</v>
      </c>
      <c r="W161" s="52">
        <v>0.2</v>
      </c>
      <c r="X161" s="54">
        <v>62</v>
      </c>
      <c r="Y161" s="52">
        <v>0</v>
      </c>
      <c r="Z161" s="52">
        <v>0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46132.445</v>
      </c>
      <c r="AH161" s="52">
        <v>36818</v>
      </c>
      <c r="AI161" s="52">
        <v>0</v>
      </c>
      <c r="AJ161" s="53">
        <f>AH161+AI161</f>
        <v>36818</v>
      </c>
      <c r="AK161" s="56">
        <v>0</v>
      </c>
    </row>
    <row r="162">
      <c r="A162" s="48">
        <v>46132.44567129629</v>
      </c>
      <c r="B162" s="49" t="s">
        <v>108</v>
      </c>
      <c r="C162" s="49" t="s">
        <v>106</v>
      </c>
      <c r="D162" s="49" t="s">
        <v>5</v>
      </c>
      <c r="E162" s="50">
        <v>96</v>
      </c>
      <c r="F162" s="49" t="s">
        <v>107</v>
      </c>
      <c r="G162" s="51">
        <v>166004645</v>
      </c>
      <c r="H162" s="52">
        <v>226</v>
      </c>
      <c r="I162" s="52">
        <f>L162+M162+N162</f>
        <v>191.09359999999998</v>
      </c>
      <c r="J162" s="52">
        <f>O162+P162</f>
        <v>34.9064</v>
      </c>
      <c r="K162" s="53">
        <f>IF(H162=I162+J162,0,W162)</f>
        <v>0</v>
      </c>
      <c r="L162" s="52">
        <v>133.0579</v>
      </c>
      <c r="M162" s="52">
        <v>58.0357</v>
      </c>
      <c r="N162" s="52">
        <v>0</v>
      </c>
      <c r="O162" s="52">
        <v>27.9421</v>
      </c>
      <c r="P162" s="52">
        <v>6.9643</v>
      </c>
      <c r="Q162" s="54">
        <v>191.0936</v>
      </c>
      <c r="R162" s="52">
        <v>226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>
        <v>0</v>
      </c>
      <c r="Y162" s="52">
        <v>0</v>
      </c>
      <c r="Z162" s="52">
        <v>226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46132.44567129629</v>
      </c>
      <c r="AH162" s="52">
        <v>36818</v>
      </c>
      <c r="AI162" s="52">
        <v>0</v>
      </c>
      <c r="AJ162" s="53">
        <f>AH162+AI162</f>
        <v>36818</v>
      </c>
      <c r="AK162" s="56">
        <v>0</v>
      </c>
    </row>
    <row r="163">
      <c r="A163" s="48">
        <v>46132.44579861111</v>
      </c>
      <c r="B163" s="49" t="s">
        <v>108</v>
      </c>
      <c r="C163" s="49" t="s">
        <v>100</v>
      </c>
      <c r="D163" s="49" t="s">
        <v>5</v>
      </c>
      <c r="E163" s="50">
        <v>96</v>
      </c>
      <c r="F163" s="49" t="s">
        <v>105</v>
      </c>
      <c r="G163" s="51">
        <v>161000340</v>
      </c>
      <c r="H163" s="52">
        <v>89.01</v>
      </c>
      <c r="I163" s="52">
        <f>L163+M163+N163</f>
        <v>79.46</v>
      </c>
      <c r="J163" s="52">
        <f>O163+P163</f>
        <v>9.55</v>
      </c>
      <c r="K163" s="53">
        <f>IF(H163=I163+J163,0,W163)</f>
        <v>0</v>
      </c>
      <c r="L163" s="52">
        <v>0</v>
      </c>
      <c r="M163" s="52">
        <v>79.46</v>
      </c>
      <c r="N163" s="52">
        <v>0</v>
      </c>
      <c r="O163" s="52">
        <v>0</v>
      </c>
      <c r="P163" s="52">
        <v>9.55</v>
      </c>
      <c r="Q163" s="54">
        <v>79.46</v>
      </c>
      <c r="R163" s="52">
        <v>89.01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>
        <v>0</v>
      </c>
      <c r="Y163" s="52">
        <v>0</v>
      </c>
      <c r="Z163" s="52">
        <v>89.01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46132.44579861111</v>
      </c>
      <c r="AH163" s="52">
        <v>0</v>
      </c>
      <c r="AI163" s="52">
        <v>0</v>
      </c>
      <c r="AJ163" s="53">
        <f>AH163+AI163</f>
        <v>0</v>
      </c>
      <c r="AK163" s="56">
        <v>0</v>
      </c>
    </row>
    <row r="164">
      <c r="A164" s="48">
        <v>46132.44590277778</v>
      </c>
      <c r="B164" s="49" t="s">
        <v>108</v>
      </c>
      <c r="C164" s="49" t="s">
        <v>106</v>
      </c>
      <c r="D164" s="49" t="s">
        <v>5</v>
      </c>
      <c r="E164" s="50">
        <v>96</v>
      </c>
      <c r="F164" s="49" t="s">
        <v>107</v>
      </c>
      <c r="G164" s="51">
        <v>166004646</v>
      </c>
      <c r="H164" s="52">
        <v>24</v>
      </c>
      <c r="I164" s="52">
        <f>L164+M164+N164</f>
        <v>21.4196</v>
      </c>
      <c r="J164" s="52">
        <f>O164+P164</f>
        <v>2.5704</v>
      </c>
      <c r="K164" s="53">
        <f>IF(H164=I164+J164,0,W164)</f>
        <v>0.01</v>
      </c>
      <c r="L164" s="52">
        <v>0</v>
      </c>
      <c r="M164" s="52">
        <v>21.4196</v>
      </c>
      <c r="N164" s="52">
        <v>0</v>
      </c>
      <c r="O164" s="52">
        <v>0</v>
      </c>
      <c r="P164" s="52">
        <v>2.5704</v>
      </c>
      <c r="Q164" s="54">
        <v>21.4196</v>
      </c>
      <c r="R164" s="52">
        <v>23.99</v>
      </c>
      <c r="S164" s="52">
        <v>0</v>
      </c>
      <c r="T164" s="52">
        <v>0</v>
      </c>
      <c r="U164" s="52">
        <v>0</v>
      </c>
      <c r="V164" s="52">
        <v>0</v>
      </c>
      <c r="W164" s="52">
        <v>0.01</v>
      </c>
      <c r="X164" s="54">
        <v>204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46132.44590277778</v>
      </c>
      <c r="AH164" s="52">
        <v>36842</v>
      </c>
      <c r="AI164" s="52">
        <v>0</v>
      </c>
      <c r="AJ164" s="53">
        <f>AH164+AI164</f>
        <v>36842</v>
      </c>
      <c r="AK164" s="56">
        <v>0</v>
      </c>
    </row>
    <row r="165">
      <c r="A165" s="48">
        <v>46132.44640046296</v>
      </c>
      <c r="B165" s="49" t="s">
        <v>108</v>
      </c>
      <c r="C165" s="49" t="s">
        <v>106</v>
      </c>
      <c r="D165" s="49" t="s">
        <v>5</v>
      </c>
      <c r="E165" s="50">
        <v>96</v>
      </c>
      <c r="F165" s="49" t="s">
        <v>107</v>
      </c>
      <c r="G165" s="51">
        <v>166004647</v>
      </c>
      <c r="H165" s="52">
        <v>174.56</v>
      </c>
      <c r="I165" s="52">
        <f>L165+M165+N165</f>
        <v>155.8572</v>
      </c>
      <c r="J165" s="52">
        <f>O165+P165</f>
        <v>18.7028</v>
      </c>
      <c r="K165" s="53">
        <f>IF(H165=I165+J165,0,W165)</f>
        <v>0</v>
      </c>
      <c r="L165" s="52">
        <v>0</v>
      </c>
      <c r="M165" s="52">
        <v>155.8572</v>
      </c>
      <c r="N165" s="52">
        <v>0</v>
      </c>
      <c r="O165" s="52">
        <v>0</v>
      </c>
      <c r="P165" s="52">
        <v>18.7028</v>
      </c>
      <c r="Q165" s="54">
        <v>155.8572</v>
      </c>
      <c r="R165" s="52">
        <v>174.56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X165" s="54">
        <v>0</v>
      </c>
      <c r="Y165" s="52">
        <v>0</v>
      </c>
      <c r="Z165" s="52">
        <v>174.56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46132.44640046296</v>
      </c>
      <c r="AH165" s="52">
        <v>36842</v>
      </c>
      <c r="AI165" s="52">
        <v>0</v>
      </c>
      <c r="AJ165" s="53">
        <f>AH165+AI165</f>
        <v>36842</v>
      </c>
      <c r="AK165" s="56">
        <v>0</v>
      </c>
    </row>
    <row r="166">
      <c r="A166" s="48">
        <v>46132.446701388886</v>
      </c>
      <c r="B166" s="49" t="s">
        <v>108</v>
      </c>
      <c r="C166" s="49" t="s">
        <v>106</v>
      </c>
      <c r="D166" s="49" t="s">
        <v>5</v>
      </c>
      <c r="E166" s="50">
        <v>96</v>
      </c>
      <c r="F166" s="49" t="s">
        <v>107</v>
      </c>
      <c r="G166" s="51">
        <v>166004648</v>
      </c>
      <c r="H166" s="52">
        <v>228</v>
      </c>
      <c r="I166" s="52">
        <f>L166+M166+N166</f>
        <v>203.8393</v>
      </c>
      <c r="J166" s="52">
        <f>O166+P166</f>
        <v>24.4607</v>
      </c>
      <c r="K166" s="53">
        <f>IF(H166=I166+J166,0,W166)</f>
        <v>-0.3</v>
      </c>
      <c r="L166" s="52">
        <v>0</v>
      </c>
      <c r="M166" s="52">
        <v>203.8393</v>
      </c>
      <c r="N166" s="52">
        <v>0</v>
      </c>
      <c r="O166" s="52">
        <v>0</v>
      </c>
      <c r="P166" s="52">
        <v>24.4607</v>
      </c>
      <c r="Q166" s="54">
        <v>203.8393</v>
      </c>
      <c r="R166" s="52">
        <v>228.3</v>
      </c>
      <c r="S166" s="52">
        <v>0</v>
      </c>
      <c r="T166" s="52">
        <v>0</v>
      </c>
      <c r="U166" s="52">
        <v>0</v>
      </c>
      <c r="V166" s="52">
        <v>0</v>
      </c>
      <c r="W166" s="52">
        <v>-0.3</v>
      </c>
      <c r="X166" s="54">
        <v>1000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46132.446701388886</v>
      </c>
      <c r="AH166" s="52">
        <v>37070</v>
      </c>
      <c r="AI166" s="52">
        <v>0</v>
      </c>
      <c r="AJ166" s="53">
        <f>AH166+AI166</f>
        <v>37070</v>
      </c>
      <c r="AK166" s="56">
        <v>0</v>
      </c>
    </row>
    <row r="167">
      <c r="A167" s="48">
        <v>46132.44709490741</v>
      </c>
      <c r="B167" s="49" t="s">
        <v>108</v>
      </c>
      <c r="C167" s="49" t="s">
        <v>100</v>
      </c>
      <c r="D167" s="49" t="s">
        <v>5</v>
      </c>
      <c r="E167" s="50">
        <v>96</v>
      </c>
      <c r="F167" s="49" t="s">
        <v>105</v>
      </c>
      <c r="G167" s="51">
        <v>161000341</v>
      </c>
      <c r="H167" s="52">
        <v>75.7</v>
      </c>
      <c r="I167" s="52">
        <f>L167+M167+N167</f>
        <v>65.86</v>
      </c>
      <c r="J167" s="52">
        <f>O167+P167</f>
        <v>9.84</v>
      </c>
      <c r="K167" s="53">
        <f>IF(H167=I167+J167,0,W167)</f>
        <v>0</v>
      </c>
      <c r="L167" s="52">
        <v>21.4</v>
      </c>
      <c r="M167" s="52">
        <v>44.46</v>
      </c>
      <c r="N167" s="52">
        <v>0</v>
      </c>
      <c r="O167" s="52">
        <v>4.5</v>
      </c>
      <c r="P167" s="52">
        <v>5.34</v>
      </c>
      <c r="Q167" s="54">
        <v>65.86</v>
      </c>
      <c r="R167" s="52">
        <v>75.7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75.7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46132.44709490741</v>
      </c>
      <c r="AH167" s="52">
        <v>0</v>
      </c>
      <c r="AI167" s="52">
        <v>0</v>
      </c>
      <c r="AJ167" s="53">
        <f>AH167+AI167</f>
        <v>0</v>
      </c>
      <c r="AK167" s="56">
        <v>0</v>
      </c>
    </row>
    <row r="168">
      <c r="A168" s="48">
        <v>46132.44783564815</v>
      </c>
      <c r="B168" s="49" t="s">
        <v>108</v>
      </c>
      <c r="C168" s="49" t="s">
        <v>100</v>
      </c>
      <c r="D168" s="49" t="s">
        <v>5</v>
      </c>
      <c r="E168" s="50">
        <v>96</v>
      </c>
      <c r="F168" s="49" t="s">
        <v>105</v>
      </c>
      <c r="G168" s="51">
        <v>161000342</v>
      </c>
      <c r="H168" s="52">
        <v>22.7</v>
      </c>
      <c r="I168" s="52">
        <f>L168+M168+N168</f>
        <v>20.25</v>
      </c>
      <c r="J168" s="52">
        <f>O168+P168</f>
        <v>2.45</v>
      </c>
      <c r="K168" s="53">
        <f>IF(H168=I168+J168,0,W168)</f>
        <v>0</v>
      </c>
      <c r="L168" s="52">
        <v>0</v>
      </c>
      <c r="M168" s="52">
        <v>20.25</v>
      </c>
      <c r="N168" s="52">
        <v>0</v>
      </c>
      <c r="O168" s="52">
        <v>0</v>
      </c>
      <c r="P168" s="52">
        <v>2.45</v>
      </c>
      <c r="Q168" s="54">
        <v>20.25</v>
      </c>
      <c r="R168" s="52">
        <v>22.7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22.7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46132.44783564815</v>
      </c>
      <c r="AH168" s="52">
        <v>0</v>
      </c>
      <c r="AI168" s="52">
        <v>0</v>
      </c>
      <c r="AJ168" s="53">
        <f>AH168+AI168</f>
        <v>0</v>
      </c>
      <c r="AK168" s="56">
        <v>0</v>
      </c>
    </row>
    <row r="169">
      <c r="A169" s="48">
        <v>46132.44849537037</v>
      </c>
      <c r="B169" s="49" t="s">
        <v>108</v>
      </c>
      <c r="C169" s="49" t="s">
        <v>106</v>
      </c>
      <c r="D169" s="49" t="s">
        <v>5</v>
      </c>
      <c r="E169" s="50">
        <v>96</v>
      </c>
      <c r="F169" s="49" t="s">
        <v>107</v>
      </c>
      <c r="G169" s="51">
        <v>166004649</v>
      </c>
      <c r="H169" s="52">
        <v>162</v>
      </c>
      <c r="I169" s="52">
        <f>L169+M169+N169</f>
        <v>133.8843</v>
      </c>
      <c r="J169" s="52">
        <f>O169+P169</f>
        <v>28.1157</v>
      </c>
      <c r="K169" s="53">
        <f>IF(H169=I169+J169,0,W169)</f>
        <v>0</v>
      </c>
      <c r="L169" s="52">
        <v>133.8843</v>
      </c>
      <c r="M169" s="52">
        <v>0</v>
      </c>
      <c r="N169" s="52">
        <v>0</v>
      </c>
      <c r="O169" s="52">
        <v>28.1157</v>
      </c>
      <c r="P169" s="52">
        <v>0</v>
      </c>
      <c r="Q169" s="54">
        <v>133.8843</v>
      </c>
      <c r="R169" s="52">
        <v>162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162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46132.44849537037</v>
      </c>
      <c r="AH169" s="52">
        <v>37232</v>
      </c>
      <c r="AI169" s="52">
        <v>0</v>
      </c>
      <c r="AJ169" s="53">
        <f>AH169+AI169</f>
        <v>37232</v>
      </c>
      <c r="AK169" s="56">
        <v>0</v>
      </c>
    </row>
    <row r="170">
      <c r="A170" s="48">
        <v>46132.44871527778</v>
      </c>
      <c r="B170" s="49" t="s">
        <v>108</v>
      </c>
      <c r="C170" s="49" t="s">
        <v>106</v>
      </c>
      <c r="D170" s="49" t="s">
        <v>5</v>
      </c>
      <c r="E170" s="50">
        <v>96</v>
      </c>
      <c r="F170" s="49" t="s">
        <v>107</v>
      </c>
      <c r="G170" s="51">
        <v>166004650</v>
      </c>
      <c r="H170" s="52">
        <v>42</v>
      </c>
      <c r="I170" s="52">
        <f>L170+M170+N170</f>
        <v>37.3214</v>
      </c>
      <c r="J170" s="52">
        <f>O170+P170</f>
        <v>4.4786</v>
      </c>
      <c r="K170" s="53">
        <f>IF(H170=I170+J170,0,W170)</f>
        <v>0.2</v>
      </c>
      <c r="L170" s="52">
        <v>0</v>
      </c>
      <c r="M170" s="52">
        <v>37.3214</v>
      </c>
      <c r="N170" s="52">
        <v>0</v>
      </c>
      <c r="O170" s="52">
        <v>0</v>
      </c>
      <c r="P170" s="52">
        <v>4.4786</v>
      </c>
      <c r="Q170" s="54">
        <v>37.3214</v>
      </c>
      <c r="R170" s="52">
        <v>41.8</v>
      </c>
      <c r="S170" s="52">
        <v>0</v>
      </c>
      <c r="T170" s="52">
        <v>0</v>
      </c>
      <c r="U170" s="52">
        <v>0</v>
      </c>
      <c r="V170" s="52">
        <v>0</v>
      </c>
      <c r="W170" s="52">
        <v>0.2</v>
      </c>
      <c r="X170" s="54">
        <v>50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46132.44871527778</v>
      </c>
      <c r="AH170" s="52">
        <v>37274</v>
      </c>
      <c r="AI170" s="52">
        <v>0</v>
      </c>
      <c r="AJ170" s="53">
        <f>AH170+AI170</f>
        <v>37274</v>
      </c>
      <c r="AK170" s="56">
        <v>0</v>
      </c>
    </row>
    <row r="171">
      <c r="A171" s="48">
        <v>46132.45081018518</v>
      </c>
      <c r="B171" s="49" t="s">
        <v>108</v>
      </c>
      <c r="C171" s="49" t="s">
        <v>106</v>
      </c>
      <c r="D171" s="49" t="s">
        <v>5</v>
      </c>
      <c r="E171" s="50">
        <v>96</v>
      </c>
      <c r="F171" s="49" t="s">
        <v>107</v>
      </c>
      <c r="G171" s="51">
        <v>166004651</v>
      </c>
      <c r="H171" s="52">
        <v>245.21</v>
      </c>
      <c r="I171" s="52">
        <f>L171+M171+N171</f>
        <v>218.9375</v>
      </c>
      <c r="J171" s="52">
        <f>O171+P171</f>
        <v>26.2725</v>
      </c>
      <c r="K171" s="53">
        <f>IF(H171=I171+J171,0,W171)</f>
        <v>0</v>
      </c>
      <c r="L171" s="52">
        <v>0</v>
      </c>
      <c r="M171" s="52">
        <v>218.9375</v>
      </c>
      <c r="N171" s="52">
        <v>0</v>
      </c>
      <c r="O171" s="52">
        <v>0</v>
      </c>
      <c r="P171" s="52">
        <v>26.2725</v>
      </c>
      <c r="Q171" s="54">
        <v>218.9375</v>
      </c>
      <c r="R171" s="52">
        <v>245.21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245.21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46132.45081018518</v>
      </c>
      <c r="AH171" s="52">
        <v>37274</v>
      </c>
      <c r="AI171" s="52">
        <v>0</v>
      </c>
      <c r="AJ171" s="53">
        <f>AH171+AI171</f>
        <v>37274</v>
      </c>
      <c r="AK171" s="56">
        <v>0</v>
      </c>
    </row>
    <row r="172">
      <c r="A172" s="48">
        <v>46132.451006944444</v>
      </c>
      <c r="B172" s="49" t="s">
        <v>108</v>
      </c>
      <c r="C172" s="49" t="s">
        <v>106</v>
      </c>
      <c r="D172" s="49" t="s">
        <v>5</v>
      </c>
      <c r="E172" s="50">
        <v>96</v>
      </c>
      <c r="F172" s="49" t="s">
        <v>107</v>
      </c>
      <c r="G172" s="51">
        <v>166004652</v>
      </c>
      <c r="H172" s="52">
        <v>48</v>
      </c>
      <c r="I172" s="52">
        <f>L172+M172+N172</f>
        <v>42.5894</v>
      </c>
      <c r="J172" s="52">
        <f>O172+P172</f>
        <v>5.1106</v>
      </c>
      <c r="K172" s="53">
        <f>IF(H172=I172+J172,0,W172)</f>
        <v>0.3</v>
      </c>
      <c r="L172" s="52">
        <v>0</v>
      </c>
      <c r="M172" s="52">
        <v>42.5894</v>
      </c>
      <c r="N172" s="52">
        <v>0</v>
      </c>
      <c r="O172" s="52">
        <v>0</v>
      </c>
      <c r="P172" s="52">
        <v>5.1106</v>
      </c>
      <c r="Q172" s="54">
        <v>42.5894</v>
      </c>
      <c r="R172" s="52">
        <v>47.7</v>
      </c>
      <c r="S172" s="52">
        <v>0</v>
      </c>
      <c r="T172" s="52">
        <v>0</v>
      </c>
      <c r="U172" s="52">
        <v>0</v>
      </c>
      <c r="V172" s="52">
        <v>0</v>
      </c>
      <c r="W172" s="52">
        <v>0.3</v>
      </c>
      <c r="X172" s="54">
        <v>200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46132.451006944444</v>
      </c>
      <c r="AH172" s="52">
        <v>37322</v>
      </c>
      <c r="AI172" s="52">
        <v>0</v>
      </c>
      <c r="AJ172" s="53">
        <f>AH172+AI172</f>
        <v>37322</v>
      </c>
      <c r="AK172" s="56">
        <v>0</v>
      </c>
    </row>
    <row r="173">
      <c r="A173" s="48">
        <v>46132.451203703706</v>
      </c>
      <c r="B173" s="49" t="s">
        <v>108</v>
      </c>
      <c r="C173" s="49" t="s">
        <v>100</v>
      </c>
      <c r="D173" s="49" t="s">
        <v>5</v>
      </c>
      <c r="E173" s="50">
        <v>96</v>
      </c>
      <c r="F173" s="49" t="s">
        <v>105</v>
      </c>
      <c r="G173" s="51">
        <v>161000343</v>
      </c>
      <c r="H173" s="52">
        <v>53.7</v>
      </c>
      <c r="I173" s="52">
        <f>L173+M173+N173</f>
        <v>47.94</v>
      </c>
      <c r="J173" s="52">
        <f>O173+P173</f>
        <v>5.76</v>
      </c>
      <c r="K173" s="53">
        <f>IF(H173=I173+J173,0,W173)</f>
        <v>0</v>
      </c>
      <c r="L173" s="52">
        <v>0</v>
      </c>
      <c r="M173" s="52">
        <v>47.94</v>
      </c>
      <c r="N173" s="52">
        <v>0</v>
      </c>
      <c r="O173" s="52">
        <v>0</v>
      </c>
      <c r="P173" s="52">
        <v>5.76</v>
      </c>
      <c r="Q173" s="54">
        <v>47.94</v>
      </c>
      <c r="R173" s="52">
        <v>53.7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53.7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46132.451203703706</v>
      </c>
      <c r="AH173" s="52">
        <v>0</v>
      </c>
      <c r="AI173" s="52">
        <v>0</v>
      </c>
      <c r="AJ173" s="53">
        <f>AH173+AI173</f>
        <v>0</v>
      </c>
      <c r="AK173" s="56">
        <v>0</v>
      </c>
    </row>
    <row r="174">
      <c r="A174" s="48">
        <v>46132.45144675926</v>
      </c>
      <c r="B174" s="49" t="s">
        <v>108</v>
      </c>
      <c r="C174" s="49" t="s">
        <v>106</v>
      </c>
      <c r="D174" s="49" t="s">
        <v>5</v>
      </c>
      <c r="E174" s="50">
        <v>96</v>
      </c>
      <c r="F174" s="49" t="s">
        <v>107</v>
      </c>
      <c r="G174" s="51">
        <v>166004653</v>
      </c>
      <c r="H174" s="52">
        <v>111</v>
      </c>
      <c r="I174" s="52">
        <f>L174+M174+N174</f>
        <v>95.52539999999999</v>
      </c>
      <c r="J174" s="52">
        <f>O174+P174</f>
        <v>15.1746</v>
      </c>
      <c r="K174" s="53">
        <f>IF(H174=I174+J174,0,W174)</f>
        <v>0.3</v>
      </c>
      <c r="L174" s="52">
        <v>41.2397</v>
      </c>
      <c r="M174" s="52">
        <v>54.2857</v>
      </c>
      <c r="N174" s="52">
        <v>0</v>
      </c>
      <c r="O174" s="52">
        <v>8.6603</v>
      </c>
      <c r="P174" s="52">
        <v>6.5143</v>
      </c>
      <c r="Q174" s="54">
        <v>95.5254</v>
      </c>
      <c r="R174" s="52">
        <v>110.7</v>
      </c>
      <c r="S174" s="52">
        <v>0</v>
      </c>
      <c r="T174" s="52">
        <v>0</v>
      </c>
      <c r="U174" s="52">
        <v>0</v>
      </c>
      <c r="V174" s="52">
        <v>0</v>
      </c>
      <c r="W174" s="52">
        <v>0.3</v>
      </c>
      <c r="X174" s="54">
        <v>121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46132.45144675926</v>
      </c>
      <c r="AH174" s="52">
        <v>37433</v>
      </c>
      <c r="AI174" s="52">
        <v>0</v>
      </c>
      <c r="AJ174" s="53">
        <f>AH174+AI174</f>
        <v>37433</v>
      </c>
      <c r="AK174" s="56">
        <v>0</v>
      </c>
    </row>
    <row r="175">
      <c r="A175" s="48">
        <v>46132.45199074074</v>
      </c>
      <c r="B175" s="49" t="s">
        <v>108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166004654</v>
      </c>
      <c r="H175" s="52">
        <v>105</v>
      </c>
      <c r="I175" s="52">
        <f>L175+M175+N175</f>
        <v>94.0356</v>
      </c>
      <c r="J175" s="52">
        <f>O175+P175</f>
        <v>11.2844</v>
      </c>
      <c r="K175" s="53">
        <f>IF(H175=I175+J175,0,W175)</f>
        <v>-0.32</v>
      </c>
      <c r="L175" s="52">
        <v>0</v>
      </c>
      <c r="M175" s="52">
        <v>94.0356</v>
      </c>
      <c r="N175" s="52">
        <v>0</v>
      </c>
      <c r="O175" s="52">
        <v>0</v>
      </c>
      <c r="P175" s="52">
        <v>11.2844</v>
      </c>
      <c r="Q175" s="54">
        <v>94.0356</v>
      </c>
      <c r="R175" s="52">
        <v>105.32</v>
      </c>
      <c r="S175" s="52">
        <v>0</v>
      </c>
      <c r="T175" s="52">
        <v>0</v>
      </c>
      <c r="U175" s="52">
        <v>0</v>
      </c>
      <c r="V175" s="52">
        <v>0</v>
      </c>
      <c r="W175" s="52">
        <v>-0.32</v>
      </c>
      <c r="X175" s="54">
        <v>105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46132.45199074074</v>
      </c>
      <c r="AH175" s="52">
        <v>37538</v>
      </c>
      <c r="AI175" s="52">
        <v>0</v>
      </c>
      <c r="AJ175" s="53">
        <f>AH175+AI175</f>
        <v>37538</v>
      </c>
      <c r="AK175" s="56">
        <v>23.8794</v>
      </c>
    </row>
    <row r="176">
      <c r="A176" s="48">
        <v>46132.45233796296</v>
      </c>
      <c r="B176" s="49" t="s">
        <v>108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166004655</v>
      </c>
      <c r="H176" s="52">
        <v>33.97</v>
      </c>
      <c r="I176" s="52">
        <f>L176+M176+N176</f>
        <v>30.3304</v>
      </c>
      <c r="J176" s="52">
        <f>O176+P176</f>
        <v>3.6396</v>
      </c>
      <c r="K176" s="53">
        <f>IF(H176=I176+J176,0,W176)</f>
        <v>0</v>
      </c>
      <c r="L176" s="52">
        <v>0</v>
      </c>
      <c r="M176" s="52">
        <v>30.3304</v>
      </c>
      <c r="N176" s="52">
        <v>0</v>
      </c>
      <c r="O176" s="52">
        <v>0</v>
      </c>
      <c r="P176" s="52">
        <v>3.6396</v>
      </c>
      <c r="Q176" s="54">
        <v>30.3304</v>
      </c>
      <c r="R176" s="52">
        <v>33.97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0</v>
      </c>
      <c r="Y176" s="52">
        <v>0</v>
      </c>
      <c r="Z176" s="52">
        <v>33.97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46132.45233796296</v>
      </c>
      <c r="AH176" s="52">
        <v>37538</v>
      </c>
      <c r="AI176" s="52">
        <v>0</v>
      </c>
      <c r="AJ176" s="53">
        <f>AH176+AI176</f>
        <v>37538</v>
      </c>
      <c r="AK176" s="56">
        <v>0</v>
      </c>
    </row>
    <row r="177">
      <c r="A177" s="48">
        <v>46132.452627314815</v>
      </c>
      <c r="B177" s="49" t="s">
        <v>108</v>
      </c>
      <c r="C177" s="49" t="s">
        <v>106</v>
      </c>
      <c r="D177" s="49" t="s">
        <v>5</v>
      </c>
      <c r="E177" s="50">
        <v>96</v>
      </c>
      <c r="F177" s="49" t="s">
        <v>107</v>
      </c>
      <c r="G177" s="51">
        <v>166004656</v>
      </c>
      <c r="H177" s="52">
        <v>38.8</v>
      </c>
      <c r="I177" s="52">
        <f>L177+M177+N177</f>
        <v>33.5869</v>
      </c>
      <c r="J177" s="52">
        <f>O177+P177</f>
        <v>5.2131</v>
      </c>
      <c r="K177" s="53">
        <f>IF(H177=I177+J177,0,W177)</f>
        <v>0</v>
      </c>
      <c r="L177" s="52">
        <v>13.1405</v>
      </c>
      <c r="M177" s="52">
        <v>20.4464</v>
      </c>
      <c r="N177" s="52">
        <v>0</v>
      </c>
      <c r="O177" s="52">
        <v>2.7595</v>
      </c>
      <c r="P177" s="52">
        <v>2.4536</v>
      </c>
      <c r="Q177" s="54">
        <v>33.5869</v>
      </c>
      <c r="R177" s="52">
        <v>38.8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38.8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46132.452627314815</v>
      </c>
      <c r="AH177" s="52">
        <v>37538</v>
      </c>
      <c r="AI177" s="52">
        <v>0</v>
      </c>
      <c r="AJ177" s="53">
        <f>AH177+AI177</f>
        <v>37538</v>
      </c>
      <c r="AK177" s="56">
        <v>0</v>
      </c>
    </row>
    <row r="178">
      <c r="A178" s="48">
        <v>46132.45386574074</v>
      </c>
      <c r="B178" s="49" t="s">
        <v>108</v>
      </c>
      <c r="C178" s="49" t="s">
        <v>100</v>
      </c>
      <c r="D178" s="49" t="s">
        <v>5</v>
      </c>
      <c r="E178" s="50">
        <v>96</v>
      </c>
      <c r="F178" s="49" t="s">
        <v>105</v>
      </c>
      <c r="G178" s="51">
        <v>161000344</v>
      </c>
      <c r="H178" s="52">
        <v>47.6</v>
      </c>
      <c r="I178" s="52">
        <f>L178+M178+N178</f>
        <v>42.48</v>
      </c>
      <c r="J178" s="52">
        <f>O178+P178</f>
        <v>5.12</v>
      </c>
      <c r="K178" s="53">
        <f>IF(H178=I178+J178,0,W178)</f>
        <v>0</v>
      </c>
      <c r="L178" s="52">
        <v>0</v>
      </c>
      <c r="M178" s="52">
        <v>42.48</v>
      </c>
      <c r="N178" s="52">
        <v>0</v>
      </c>
      <c r="O178" s="52">
        <v>0</v>
      </c>
      <c r="P178" s="52">
        <v>5.12</v>
      </c>
      <c r="Q178" s="54">
        <v>42.48</v>
      </c>
      <c r="R178" s="52">
        <v>47.6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47.6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46132.45386574074</v>
      </c>
      <c r="AH178" s="52">
        <v>0</v>
      </c>
      <c r="AI178" s="52">
        <v>0</v>
      </c>
      <c r="AJ178" s="53">
        <f>AH178+AI178</f>
        <v>0</v>
      </c>
      <c r="AK178" s="56">
        <v>0</v>
      </c>
    </row>
    <row r="179">
      <c r="A179" s="48">
        <v>46132.45646990741</v>
      </c>
      <c r="B179" s="49" t="s">
        <v>108</v>
      </c>
      <c r="C179" s="49" t="s">
        <v>106</v>
      </c>
      <c r="D179" s="49" t="s">
        <v>5</v>
      </c>
      <c r="E179" s="50">
        <v>96</v>
      </c>
      <c r="F179" s="49" t="s">
        <v>107</v>
      </c>
      <c r="G179" s="51">
        <v>166004657</v>
      </c>
      <c r="H179" s="52">
        <v>232.3</v>
      </c>
      <c r="I179" s="52">
        <f>L179+M179+N179</f>
        <v>206.5274</v>
      </c>
      <c r="J179" s="52">
        <f>O179+P179</f>
        <v>25.7726</v>
      </c>
      <c r="K179" s="53">
        <f>IF(H179=I179+J179,0,W179)</f>
        <v>0</v>
      </c>
      <c r="L179" s="52">
        <v>10.9917</v>
      </c>
      <c r="M179" s="52">
        <v>195.5357</v>
      </c>
      <c r="N179" s="52">
        <v>0</v>
      </c>
      <c r="O179" s="52">
        <v>2.3083</v>
      </c>
      <c r="P179" s="52">
        <v>23.4643</v>
      </c>
      <c r="Q179" s="54">
        <v>206.5274</v>
      </c>
      <c r="R179" s="52">
        <v>232.3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232.3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46132.45646990741</v>
      </c>
      <c r="AH179" s="52">
        <v>37538</v>
      </c>
      <c r="AI179" s="52">
        <v>0</v>
      </c>
      <c r="AJ179" s="53">
        <f>AH179+AI179</f>
        <v>37538</v>
      </c>
      <c r="AK179" s="56">
        <v>0</v>
      </c>
    </row>
    <row r="180">
      <c r="A180" s="48">
        <v>46132.45684027778</v>
      </c>
      <c r="B180" s="49" t="s">
        <v>108</v>
      </c>
      <c r="C180" s="49" t="s">
        <v>106</v>
      </c>
      <c r="D180" s="49" t="s">
        <v>5</v>
      </c>
      <c r="E180" s="50">
        <v>96</v>
      </c>
      <c r="F180" s="49" t="s">
        <v>107</v>
      </c>
      <c r="G180" s="51">
        <v>166004658</v>
      </c>
      <c r="H180" s="52">
        <v>63.6</v>
      </c>
      <c r="I180" s="52">
        <f>L180+M180+N180</f>
        <v>56.7857</v>
      </c>
      <c r="J180" s="52">
        <f>O180+P180</f>
        <v>6.8143</v>
      </c>
      <c r="K180" s="53">
        <f>IF(H180=I180+J180,0,W180)</f>
        <v>0</v>
      </c>
      <c r="L180" s="52">
        <v>0</v>
      </c>
      <c r="M180" s="52">
        <v>56.7857</v>
      </c>
      <c r="N180" s="52">
        <v>0</v>
      </c>
      <c r="O180" s="52">
        <v>0</v>
      </c>
      <c r="P180" s="52">
        <v>6.8143</v>
      </c>
      <c r="Q180" s="54">
        <v>56.7857</v>
      </c>
      <c r="R180" s="52">
        <v>63.6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63.6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46132.45684027778</v>
      </c>
      <c r="AH180" s="52">
        <v>37538</v>
      </c>
      <c r="AI180" s="52">
        <v>0</v>
      </c>
      <c r="AJ180" s="53">
        <f>AH180+AI180</f>
        <v>37538</v>
      </c>
      <c r="AK180" s="56">
        <v>0</v>
      </c>
    </row>
    <row r="181">
      <c r="A181" s="48">
        <v>46132.45768518518</v>
      </c>
      <c r="B181" s="49" t="s">
        <v>108</v>
      </c>
      <c r="C181" s="49" t="s">
        <v>106</v>
      </c>
      <c r="D181" s="49" t="s">
        <v>5</v>
      </c>
      <c r="E181" s="50">
        <v>96</v>
      </c>
      <c r="F181" s="49" t="s">
        <v>107</v>
      </c>
      <c r="G181" s="51">
        <v>166004659</v>
      </c>
      <c r="H181" s="52">
        <v>437.85</v>
      </c>
      <c r="I181" s="52">
        <f>L181+M181+N181</f>
        <v>390.9375</v>
      </c>
      <c r="J181" s="52">
        <f>O181+P181</f>
        <v>46.9125</v>
      </c>
      <c r="K181" s="53">
        <f>IF(H181=I181+J181,0,W181)</f>
        <v>0</v>
      </c>
      <c r="L181" s="52">
        <v>0</v>
      </c>
      <c r="M181" s="52">
        <v>390.9375</v>
      </c>
      <c r="N181" s="52">
        <v>0</v>
      </c>
      <c r="O181" s="52">
        <v>0</v>
      </c>
      <c r="P181" s="52">
        <v>46.9125</v>
      </c>
      <c r="Q181" s="54">
        <v>390.9375</v>
      </c>
      <c r="R181" s="52">
        <v>437.85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437.85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46132.45768518518</v>
      </c>
      <c r="AH181" s="52">
        <v>37538</v>
      </c>
      <c r="AI181" s="52">
        <v>0</v>
      </c>
      <c r="AJ181" s="53">
        <f>AH181+AI181</f>
        <v>37538</v>
      </c>
      <c r="AK181" s="56">
        <v>0</v>
      </c>
    </row>
    <row r="182">
      <c r="A182" s="48">
        <v>46132.45835648148</v>
      </c>
      <c r="B182" s="49" t="s">
        <v>108</v>
      </c>
      <c r="C182" s="49" t="s">
        <v>106</v>
      </c>
      <c r="D182" s="49" t="s">
        <v>5</v>
      </c>
      <c r="E182" s="50">
        <v>96</v>
      </c>
      <c r="F182" s="49" t="s">
        <v>107</v>
      </c>
      <c r="G182" s="51">
        <v>166004660</v>
      </c>
      <c r="H182" s="52">
        <v>209</v>
      </c>
      <c r="I182" s="52">
        <f>L182+M182+N182</f>
        <v>186.3392</v>
      </c>
      <c r="J182" s="52">
        <f>O182+P182</f>
        <v>22.3608</v>
      </c>
      <c r="K182" s="53">
        <f>IF(H182=I182+J182,0,W182)</f>
        <v>0.3</v>
      </c>
      <c r="L182" s="52">
        <v>0</v>
      </c>
      <c r="M182" s="52">
        <v>186.3392</v>
      </c>
      <c r="N182" s="52">
        <v>0</v>
      </c>
      <c r="O182" s="52">
        <v>0</v>
      </c>
      <c r="P182" s="52">
        <v>22.3608</v>
      </c>
      <c r="Q182" s="54">
        <v>186.3392</v>
      </c>
      <c r="R182" s="52">
        <v>208.7</v>
      </c>
      <c r="S182" s="52">
        <v>0</v>
      </c>
      <c r="T182" s="52">
        <v>0</v>
      </c>
      <c r="U182" s="52">
        <v>0</v>
      </c>
      <c r="V182" s="52">
        <v>0</v>
      </c>
      <c r="W182" s="52">
        <v>0.3</v>
      </c>
      <c r="X182" s="54">
        <v>209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46132.45835648148</v>
      </c>
      <c r="AH182" s="52">
        <v>37747</v>
      </c>
      <c r="AI182" s="52">
        <v>0</v>
      </c>
      <c r="AJ182" s="53">
        <f>AH182+AI182</f>
        <v>37747</v>
      </c>
      <c r="AK182" s="56">
        <v>0</v>
      </c>
    </row>
    <row r="183">
      <c r="A183" s="48">
        <v>46132.459131944444</v>
      </c>
      <c r="B183" s="49" t="s">
        <v>108</v>
      </c>
      <c r="C183" s="49" t="s">
        <v>106</v>
      </c>
      <c r="D183" s="49" t="s">
        <v>5</v>
      </c>
      <c r="E183" s="50">
        <v>96</v>
      </c>
      <c r="F183" s="49" t="s">
        <v>107</v>
      </c>
      <c r="G183" s="51">
        <v>166004661</v>
      </c>
      <c r="H183" s="52">
        <v>248.06</v>
      </c>
      <c r="I183" s="52">
        <f>L183+M183+N183</f>
        <v>217.70790000000002</v>
      </c>
      <c r="J183" s="52">
        <f>O183+P183</f>
        <v>30.3521</v>
      </c>
      <c r="K183" s="53">
        <f>IF(H183=I183+J183,0,W183)</f>
        <v>0</v>
      </c>
      <c r="L183" s="52">
        <v>46.9669</v>
      </c>
      <c r="M183" s="52">
        <v>170.741</v>
      </c>
      <c r="N183" s="52">
        <v>0</v>
      </c>
      <c r="O183" s="52">
        <v>9.8631</v>
      </c>
      <c r="P183" s="52">
        <v>20.489</v>
      </c>
      <c r="Q183" s="54">
        <v>217.7079</v>
      </c>
      <c r="R183" s="52">
        <v>248.06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248.06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46132.459131944444</v>
      </c>
      <c r="AH183" s="52">
        <v>37747</v>
      </c>
      <c r="AI183" s="52">
        <v>0</v>
      </c>
      <c r="AJ183" s="53">
        <f>AH183+AI183</f>
        <v>37747</v>
      </c>
      <c r="AK183" s="56">
        <v>20.94</v>
      </c>
    </row>
    <row r="184">
      <c r="A184" s="48">
        <v>46132.45931712963</v>
      </c>
      <c r="B184" s="49" t="s">
        <v>108</v>
      </c>
      <c r="C184" s="49" t="s">
        <v>106</v>
      </c>
      <c r="D184" s="49" t="s">
        <v>5</v>
      </c>
      <c r="E184" s="50">
        <v>96</v>
      </c>
      <c r="F184" s="49" t="s">
        <v>107</v>
      </c>
      <c r="G184" s="51">
        <v>166004662</v>
      </c>
      <c r="H184" s="52">
        <v>149</v>
      </c>
      <c r="I184" s="52">
        <f>L184+M184+N184</f>
        <v>123.1405</v>
      </c>
      <c r="J184" s="52">
        <f>O184+P184</f>
        <v>25.8595</v>
      </c>
      <c r="K184" s="53">
        <f>IF(H184=I184+J184,0,W184)</f>
        <v>0</v>
      </c>
      <c r="L184" s="52">
        <v>123.1405</v>
      </c>
      <c r="M184" s="52">
        <v>0</v>
      </c>
      <c r="N184" s="52">
        <v>0</v>
      </c>
      <c r="O184" s="52">
        <v>25.8595</v>
      </c>
      <c r="P184" s="52">
        <v>0</v>
      </c>
      <c r="Q184" s="54">
        <v>123.1405</v>
      </c>
      <c r="R184" s="52">
        <v>149</v>
      </c>
      <c r="S184" s="52">
        <v>0</v>
      </c>
      <c r="T184" s="52">
        <v>0</v>
      </c>
      <c r="U184" s="52">
        <v>0</v>
      </c>
      <c r="V184" s="52">
        <v>0</v>
      </c>
      <c r="W184" s="52">
        <v>0</v>
      </c>
      <c r="X184" s="54">
        <v>200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46132.45931712963</v>
      </c>
      <c r="AH184" s="52">
        <v>37896</v>
      </c>
      <c r="AI184" s="52">
        <v>0</v>
      </c>
      <c r="AJ184" s="53">
        <f>AH184+AI184</f>
        <v>37896</v>
      </c>
      <c r="AK184" s="56">
        <v>0</v>
      </c>
    </row>
    <row r="185">
      <c r="A185" s="48">
        <v>46132.46046296296</v>
      </c>
      <c r="B185" s="49" t="s">
        <v>108</v>
      </c>
      <c r="C185" s="49" t="s">
        <v>100</v>
      </c>
      <c r="D185" s="49" t="s">
        <v>5</v>
      </c>
      <c r="E185" s="50">
        <v>96</v>
      </c>
      <c r="F185" s="49" t="s">
        <v>105</v>
      </c>
      <c r="G185" s="51">
        <v>161000345</v>
      </c>
      <c r="H185" s="52">
        <v>110.7</v>
      </c>
      <c r="I185" s="52">
        <f>L185+M185+N185</f>
        <v>97.16999999999999</v>
      </c>
      <c r="J185" s="52">
        <f>O185+P185</f>
        <v>13.53</v>
      </c>
      <c r="K185" s="53">
        <f>IF(H185=I185+J185,0,W185)</f>
        <v>0</v>
      </c>
      <c r="L185" s="52">
        <v>20.57</v>
      </c>
      <c r="M185" s="52">
        <v>76.6</v>
      </c>
      <c r="N185" s="52">
        <v>0</v>
      </c>
      <c r="O185" s="52">
        <v>4.33</v>
      </c>
      <c r="P185" s="52">
        <v>9.2</v>
      </c>
      <c r="Q185" s="54">
        <v>97.17</v>
      </c>
      <c r="R185" s="52">
        <v>110.7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0</v>
      </c>
      <c r="Y185" s="52">
        <v>0</v>
      </c>
      <c r="Z185" s="52">
        <v>110.7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46132.46046296296</v>
      </c>
      <c r="AH185" s="52">
        <v>0</v>
      </c>
      <c r="AI185" s="52">
        <v>0</v>
      </c>
      <c r="AJ185" s="53">
        <f>AH185+AI185</f>
        <v>0</v>
      </c>
      <c r="AK185" s="56">
        <v>0</v>
      </c>
    </row>
    <row r="186">
      <c r="A186" s="48">
        <v>46132.46368055556</v>
      </c>
      <c r="B186" s="49" t="s">
        <v>108</v>
      </c>
      <c r="C186" s="49" t="s">
        <v>106</v>
      </c>
      <c r="D186" s="49" t="s">
        <v>5</v>
      </c>
      <c r="E186" s="50">
        <v>96</v>
      </c>
      <c r="F186" s="49" t="s">
        <v>107</v>
      </c>
      <c r="G186" s="51">
        <v>166004663</v>
      </c>
      <c r="H186" s="52">
        <v>12</v>
      </c>
      <c r="I186" s="52">
        <f>L186+M186+N186</f>
        <v>10.3571</v>
      </c>
      <c r="J186" s="52">
        <f>O186+P186</f>
        <v>1.2429</v>
      </c>
      <c r="K186" s="53">
        <f>IF(H186=I186+J186,0,W186)</f>
        <v>0.4</v>
      </c>
      <c r="L186" s="52">
        <v>0</v>
      </c>
      <c r="M186" s="52">
        <v>10.3571</v>
      </c>
      <c r="N186" s="52">
        <v>0</v>
      </c>
      <c r="O186" s="52">
        <v>0</v>
      </c>
      <c r="P186" s="52">
        <v>1.2429</v>
      </c>
      <c r="Q186" s="54">
        <v>10.3571</v>
      </c>
      <c r="R186" s="52">
        <v>11.6</v>
      </c>
      <c r="S186" s="52">
        <v>0</v>
      </c>
      <c r="T186" s="52">
        <v>0</v>
      </c>
      <c r="U186" s="52">
        <v>0</v>
      </c>
      <c r="V186" s="52">
        <v>0</v>
      </c>
      <c r="W186" s="52">
        <v>0.4</v>
      </c>
      <c r="X186" s="54">
        <v>100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46132.46368055556</v>
      </c>
      <c r="AH186" s="52">
        <v>37908</v>
      </c>
      <c r="AI186" s="52">
        <v>0</v>
      </c>
      <c r="AJ186" s="53">
        <f>AH186+AI186</f>
        <v>37908</v>
      </c>
      <c r="AK186" s="56">
        <v>0</v>
      </c>
    </row>
    <row r="187">
      <c r="A187" s="48">
        <v>46132.46449074074</v>
      </c>
      <c r="B187" s="49" t="s">
        <v>108</v>
      </c>
      <c r="C187" s="49" t="s">
        <v>106</v>
      </c>
      <c r="D187" s="49" t="s">
        <v>5</v>
      </c>
      <c r="E187" s="50">
        <v>96</v>
      </c>
      <c r="F187" s="49" t="s">
        <v>107</v>
      </c>
      <c r="G187" s="51">
        <v>166004664</v>
      </c>
      <c r="H187" s="52">
        <v>222</v>
      </c>
      <c r="I187" s="52">
        <f>L187+M187+N187</f>
        <v>195.484</v>
      </c>
      <c r="J187" s="52">
        <f>O187+P187</f>
        <v>27.006</v>
      </c>
      <c r="K187" s="53">
        <f>IF(H187=I187+J187,0,W187)</f>
        <v>-0.49</v>
      </c>
      <c r="L187" s="52">
        <v>39.4215</v>
      </c>
      <c r="M187" s="52">
        <v>156.0625</v>
      </c>
      <c r="N187" s="52">
        <v>0</v>
      </c>
      <c r="O187" s="52">
        <v>8.2785</v>
      </c>
      <c r="P187" s="52">
        <v>18.7275</v>
      </c>
      <c r="Q187" s="54">
        <v>195.484</v>
      </c>
      <c r="R187" s="52">
        <v>222.49</v>
      </c>
      <c r="S187" s="52">
        <v>0</v>
      </c>
      <c r="T187" s="52">
        <v>0</v>
      </c>
      <c r="U187" s="52">
        <v>0</v>
      </c>
      <c r="V187" s="52">
        <v>0</v>
      </c>
      <c r="W187" s="52">
        <v>-0.49</v>
      </c>
      <c r="X187" s="54">
        <v>502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46132.46449074074</v>
      </c>
      <c r="AH187" s="52">
        <v>38130</v>
      </c>
      <c r="AI187" s="52">
        <v>0</v>
      </c>
      <c r="AJ187" s="53">
        <f>AH187+AI187</f>
        <v>38130</v>
      </c>
      <c r="AK187" s="56">
        <v>0</v>
      </c>
    </row>
    <row r="188">
      <c r="A188" s="48">
        <v>46132.46530092593</v>
      </c>
      <c r="B188" s="49" t="s">
        <v>102</v>
      </c>
      <c r="C188" s="49" t="s">
        <v>103</v>
      </c>
      <c r="D188" s="49" t="s">
        <v>104</v>
      </c>
      <c r="E188" s="50">
        <v>-1</v>
      </c>
      <c r="F188" s="49" t="s">
        <v>104</v>
      </c>
      <c r="G188" s="51"/>
      <c r="H188" s="52">
        <v>0</v>
      </c>
      <c r="I188" s="52">
        <f>L188+M188+N188</f>
        <v>0</v>
      </c>
      <c r="J188" s="52">
        <f>O188+P188</f>
        <v>0</v>
      </c>
      <c r="K188" s="53">
        <f>IF(H188=I188+J188,0,W188)</f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  <c r="Q188" s="54">
        <v>0</v>
      </c>
      <c r="R188" s="52">
        <v>0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46132.46530092593</v>
      </c>
      <c r="AH188" s="52">
        <v>23360</v>
      </c>
      <c r="AI188" s="52">
        <v>0</v>
      </c>
      <c r="AJ188" s="53">
        <f>AH188+AI188</f>
        <v>23360</v>
      </c>
      <c r="AK188" s="56"/>
    </row>
    <row r="189">
      <c r="A189" s="48">
        <v>46132.4653125</v>
      </c>
      <c r="B189" s="49" t="s">
        <v>99</v>
      </c>
      <c r="C189" s="49" t="s">
        <v>100</v>
      </c>
      <c r="D189" s="49" t="s">
        <v>5</v>
      </c>
      <c r="E189" s="50">
        <v>96</v>
      </c>
      <c r="F189" s="49" t="s">
        <v>109</v>
      </c>
      <c r="G189" s="51"/>
      <c r="H189" s="52">
        <v>0</v>
      </c>
      <c r="I189" s="52">
        <f>L189+M189+N189</f>
        <v>0</v>
      </c>
      <c r="J189" s="52">
        <f>O189+P189</f>
        <v>0</v>
      </c>
      <c r="K189" s="53">
        <f>IF(H189=I189+J189,0,W189)</f>
        <v>0</v>
      </c>
      <c r="L189" s="52">
        <v>0</v>
      </c>
      <c r="M189" s="52">
        <v>0</v>
      </c>
      <c r="N189" s="52">
        <v>0</v>
      </c>
      <c r="O189" s="52">
        <v>0</v>
      </c>
      <c r="P189" s="52">
        <v>0</v>
      </c>
      <c r="Q189" s="54">
        <v>0</v>
      </c>
      <c r="R189" s="52">
        <v>0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/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46132.4653125</v>
      </c>
      <c r="AH189" s="52">
        <v>23360</v>
      </c>
      <c r="AI189" s="52">
        <v>0</v>
      </c>
      <c r="AJ189" s="53">
        <f>AH189+AI189</f>
        <v>23360</v>
      </c>
      <c r="AK189" s="56"/>
    </row>
    <row r="190">
      <c r="A190" s="48">
        <v>46132.46587962963</v>
      </c>
      <c r="B190" s="49" t="s">
        <v>110</v>
      </c>
      <c r="C190" s="49" t="s">
        <v>100</v>
      </c>
      <c r="D190" s="49" t="s">
        <v>5</v>
      </c>
      <c r="E190" s="50">
        <v>96</v>
      </c>
      <c r="F190" s="49" t="s">
        <v>109</v>
      </c>
      <c r="G190" s="51"/>
      <c r="H190" s="52">
        <v>0</v>
      </c>
      <c r="I190" s="52">
        <f>L190+M190+N190</f>
        <v>0</v>
      </c>
      <c r="J190" s="52">
        <f>O190+P190</f>
        <v>0</v>
      </c>
      <c r="K190" s="53">
        <f>IF(H190=I190+J190,0,W190)</f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  <c r="Q190" s="54">
        <v>0</v>
      </c>
      <c r="R190" s="52">
        <v>0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/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46132.46587962963</v>
      </c>
      <c r="AH190" s="52">
        <v>23360</v>
      </c>
      <c r="AI190" s="52">
        <v>0</v>
      </c>
      <c r="AJ190" s="53">
        <f>AH190+AI190</f>
        <v>23360</v>
      </c>
      <c r="AK190" s="56"/>
    </row>
    <row r="191">
      <c r="A191" s="48">
        <v>46132.46616898148</v>
      </c>
      <c r="B191" s="49" t="s">
        <v>99</v>
      </c>
      <c r="C191" s="49" t="s">
        <v>100</v>
      </c>
      <c r="D191" s="49" t="s">
        <v>5</v>
      </c>
      <c r="E191" s="50">
        <v>96</v>
      </c>
      <c r="F191" s="49" t="s">
        <v>107</v>
      </c>
      <c r="G191" s="51"/>
      <c r="H191" s="52">
        <v>0</v>
      </c>
      <c r="I191" s="52">
        <f>L191+M191+N191</f>
        <v>0</v>
      </c>
      <c r="J191" s="52">
        <f>O191+P191</f>
        <v>0</v>
      </c>
      <c r="K191" s="53">
        <f>IF(H191=I191+J191,0,W191)</f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  <c r="Q191" s="54">
        <v>0</v>
      </c>
      <c r="R191" s="52">
        <v>0</v>
      </c>
      <c r="S191" s="52">
        <v>0</v>
      </c>
      <c r="T191" s="52">
        <v>0</v>
      </c>
      <c r="U191" s="52">
        <v>0</v>
      </c>
      <c r="V191" s="52">
        <v>0</v>
      </c>
      <c r="W191" s="52">
        <v>0</v>
      </c>
      <c r="X191" s="54"/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46132.46616898148</v>
      </c>
      <c r="AH191" s="52">
        <v>38130</v>
      </c>
      <c r="AI191" s="52">
        <v>0</v>
      </c>
      <c r="AJ191" s="53">
        <f>AH191+AI191</f>
        <v>38130</v>
      </c>
      <c r="AK191" s="56"/>
    </row>
    <row r="192">
      <c r="A192" s="48">
        <v>46132.46637731481</v>
      </c>
      <c r="B192" s="49" t="s">
        <v>110</v>
      </c>
      <c r="C192" s="49" t="s">
        <v>100</v>
      </c>
      <c r="D192" s="49" t="s">
        <v>5</v>
      </c>
      <c r="E192" s="50">
        <v>96</v>
      </c>
      <c r="F192" s="49" t="s">
        <v>107</v>
      </c>
      <c r="G192" s="51"/>
      <c r="H192" s="52">
        <v>0</v>
      </c>
      <c r="I192" s="52">
        <f>L192+M192+N192</f>
        <v>0</v>
      </c>
      <c r="J192" s="52">
        <f>O192+P192</f>
        <v>0</v>
      </c>
      <c r="K192" s="53">
        <f>IF(H192=I192+J192,0,W192)</f>
        <v>0</v>
      </c>
      <c r="L192" s="52">
        <v>0</v>
      </c>
      <c r="M192" s="52">
        <v>0</v>
      </c>
      <c r="N192" s="52">
        <v>0</v>
      </c>
      <c r="O192" s="52">
        <v>0</v>
      </c>
      <c r="P192" s="52">
        <v>0</v>
      </c>
      <c r="Q192" s="54">
        <v>0</v>
      </c>
      <c r="R192" s="52">
        <v>0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/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46132.46637731481</v>
      </c>
      <c r="AH192" s="52">
        <v>38130</v>
      </c>
      <c r="AI192" s="52">
        <v>0</v>
      </c>
      <c r="AJ192" s="53">
        <f>AH192+AI192</f>
        <v>38130</v>
      </c>
      <c r="AK192" s="56"/>
    </row>
    <row r="193">
      <c r="A193" s="48">
        <v>46132.466469907406</v>
      </c>
      <c r="B193" s="49" t="s">
        <v>99</v>
      </c>
      <c r="C193" s="49" t="s">
        <v>106</v>
      </c>
      <c r="D193" s="49" t="s">
        <v>5</v>
      </c>
      <c r="E193" s="50">
        <v>96</v>
      </c>
      <c r="F193" s="49" t="s">
        <v>107</v>
      </c>
      <c r="G193" s="51"/>
      <c r="H193" s="52">
        <v>0</v>
      </c>
      <c r="I193" s="52">
        <f>L193+M193+N193</f>
        <v>0</v>
      </c>
      <c r="J193" s="52">
        <f>O193+P193</f>
        <v>0</v>
      </c>
      <c r="K193" s="53">
        <f>IF(H193=I193+J193,0,W193)</f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  <c r="Q193" s="54">
        <v>0</v>
      </c>
      <c r="R193" s="52">
        <v>0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/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46132.466469907406</v>
      </c>
      <c r="AH193" s="52">
        <v>38130</v>
      </c>
      <c r="AI193" s="52">
        <v>0</v>
      </c>
      <c r="AJ193" s="53">
        <f>AH193+AI193</f>
        <v>38130</v>
      </c>
      <c r="AK193" s="56"/>
    </row>
    <row r="194">
      <c r="A194" s="48">
        <v>46132.466898148145</v>
      </c>
      <c r="B194" s="49" t="s">
        <v>108</v>
      </c>
      <c r="C194" s="49" t="s">
        <v>106</v>
      </c>
      <c r="D194" s="49" t="s">
        <v>5</v>
      </c>
      <c r="E194" s="50">
        <v>96</v>
      </c>
      <c r="F194" s="49" t="s">
        <v>107</v>
      </c>
      <c r="G194" s="51">
        <v>166004665</v>
      </c>
      <c r="H194" s="52">
        <v>51</v>
      </c>
      <c r="I194" s="52">
        <f>L194+M194+N194</f>
        <v>45.3392</v>
      </c>
      <c r="J194" s="52">
        <f>O194+P194</f>
        <v>5.4408</v>
      </c>
      <c r="K194" s="53">
        <f>IF(H194=I194+J194,0,W194)</f>
        <v>0.22</v>
      </c>
      <c r="L194" s="52">
        <v>0</v>
      </c>
      <c r="M194" s="52">
        <v>45.3392</v>
      </c>
      <c r="N194" s="52">
        <v>0</v>
      </c>
      <c r="O194" s="52">
        <v>0</v>
      </c>
      <c r="P194" s="52">
        <v>5.4408</v>
      </c>
      <c r="Q194" s="54">
        <v>45.3392</v>
      </c>
      <c r="R194" s="52">
        <v>50.78</v>
      </c>
      <c r="S194" s="52">
        <v>0</v>
      </c>
      <c r="T194" s="52">
        <v>0</v>
      </c>
      <c r="U194" s="52">
        <v>0</v>
      </c>
      <c r="V194" s="52">
        <v>0</v>
      </c>
      <c r="W194" s="52">
        <v>0.22</v>
      </c>
      <c r="X194" s="54">
        <v>51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46132.466898148145</v>
      </c>
      <c r="AH194" s="52">
        <v>38181</v>
      </c>
      <c r="AI194" s="52">
        <v>0</v>
      </c>
      <c r="AJ194" s="53">
        <f>AH194+AI194</f>
        <v>38181</v>
      </c>
      <c r="AK194" s="56">
        <v>0</v>
      </c>
    </row>
    <row r="195">
      <c r="A195" s="48">
        <v>46132.46759259259</v>
      </c>
      <c r="B195" s="49" t="s">
        <v>108</v>
      </c>
      <c r="C195" s="49" t="s">
        <v>106</v>
      </c>
      <c r="D195" s="49" t="s">
        <v>5</v>
      </c>
      <c r="E195" s="50">
        <v>96</v>
      </c>
      <c r="F195" s="49" t="s">
        <v>107</v>
      </c>
      <c r="G195" s="51">
        <v>166004666</v>
      </c>
      <c r="H195" s="52">
        <v>50</v>
      </c>
      <c r="I195" s="52">
        <f>L195+M195+N195</f>
        <v>41.2397</v>
      </c>
      <c r="J195" s="52">
        <f>O195+P195</f>
        <v>8.6603</v>
      </c>
      <c r="K195" s="53">
        <f>IF(H195=I195+J195,0,W195)</f>
        <v>0.1</v>
      </c>
      <c r="L195" s="52">
        <v>41.2397</v>
      </c>
      <c r="M195" s="52">
        <v>0</v>
      </c>
      <c r="N195" s="52">
        <v>0</v>
      </c>
      <c r="O195" s="52">
        <v>8.6603</v>
      </c>
      <c r="P195" s="52">
        <v>0</v>
      </c>
      <c r="Q195" s="54">
        <v>41.2397</v>
      </c>
      <c r="R195" s="52">
        <v>49.9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50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46132.46759259259</v>
      </c>
      <c r="AH195" s="52">
        <v>38231</v>
      </c>
      <c r="AI195" s="52">
        <v>0</v>
      </c>
      <c r="AJ195" s="53">
        <f>AH195+AI195</f>
        <v>38231</v>
      </c>
      <c r="AK195" s="56">
        <v>0</v>
      </c>
    </row>
    <row r="196">
      <c r="A196" s="48">
        <v>46132.4687037037</v>
      </c>
      <c r="B196" s="49" t="s">
        <v>108</v>
      </c>
      <c r="C196" s="49" t="s">
        <v>106</v>
      </c>
      <c r="D196" s="49" t="s">
        <v>5</v>
      </c>
      <c r="E196" s="50">
        <v>96</v>
      </c>
      <c r="F196" s="49" t="s">
        <v>107</v>
      </c>
      <c r="G196" s="51">
        <v>166004667</v>
      </c>
      <c r="H196" s="52">
        <v>653</v>
      </c>
      <c r="I196" s="52">
        <f>L196+M196+N196</f>
        <v>561.4099</v>
      </c>
      <c r="J196" s="52">
        <f>O196+P196</f>
        <v>91.8401</v>
      </c>
      <c r="K196" s="53">
        <f>IF(H196=I196+J196,0,W196)</f>
        <v>-0.25</v>
      </c>
      <c r="L196" s="52">
        <v>271.9008</v>
      </c>
      <c r="M196" s="52">
        <v>289.5091</v>
      </c>
      <c r="N196" s="52">
        <v>0</v>
      </c>
      <c r="O196" s="52">
        <v>57.0992</v>
      </c>
      <c r="P196" s="52">
        <v>34.7409</v>
      </c>
      <c r="Q196" s="54">
        <v>561.4099</v>
      </c>
      <c r="R196" s="52">
        <v>653.25</v>
      </c>
      <c r="S196" s="52">
        <v>0</v>
      </c>
      <c r="T196" s="52">
        <v>0</v>
      </c>
      <c r="U196" s="52">
        <v>0</v>
      </c>
      <c r="V196" s="52">
        <v>0</v>
      </c>
      <c r="W196" s="52">
        <v>-0.25</v>
      </c>
      <c r="X196" s="54">
        <v>1000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46132.4687037037</v>
      </c>
      <c r="AH196" s="52">
        <v>38884</v>
      </c>
      <c r="AI196" s="52">
        <v>0</v>
      </c>
      <c r="AJ196" s="53">
        <f>AH196+AI196</f>
        <v>38884</v>
      </c>
      <c r="AK196" s="56">
        <v>10.4805</v>
      </c>
    </row>
    <row r="197">
      <c r="A197" s="48">
        <v>46132.4690625</v>
      </c>
      <c r="B197" s="49" t="s">
        <v>108</v>
      </c>
      <c r="C197" s="49" t="s">
        <v>106</v>
      </c>
      <c r="D197" s="49" t="s">
        <v>5</v>
      </c>
      <c r="E197" s="50">
        <v>96</v>
      </c>
      <c r="F197" s="49" t="s">
        <v>107</v>
      </c>
      <c r="G197" s="51">
        <v>166004668</v>
      </c>
      <c r="H197" s="52">
        <v>15</v>
      </c>
      <c r="I197" s="52">
        <f>L197+M197+N197</f>
        <v>12.314</v>
      </c>
      <c r="J197" s="52">
        <f>O197+P197</f>
        <v>2.586</v>
      </c>
      <c r="K197" s="53">
        <f>IF(H197=I197+J197,0,W197)</f>
        <v>0.1</v>
      </c>
      <c r="L197" s="52">
        <v>12.314</v>
      </c>
      <c r="M197" s="52">
        <v>0</v>
      </c>
      <c r="N197" s="52">
        <v>0</v>
      </c>
      <c r="O197" s="52">
        <v>2.586</v>
      </c>
      <c r="P197" s="52">
        <v>0</v>
      </c>
      <c r="Q197" s="54">
        <v>12.314</v>
      </c>
      <c r="R197" s="52">
        <v>14.9</v>
      </c>
      <c r="S197" s="52">
        <v>0</v>
      </c>
      <c r="T197" s="52">
        <v>0</v>
      </c>
      <c r="U197" s="52">
        <v>0</v>
      </c>
      <c r="V197" s="52">
        <v>0</v>
      </c>
      <c r="W197" s="52">
        <v>0.1</v>
      </c>
      <c r="X197" s="54">
        <v>20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46132.4690625</v>
      </c>
      <c r="AH197" s="52">
        <v>38899</v>
      </c>
      <c r="AI197" s="52">
        <v>0</v>
      </c>
      <c r="AJ197" s="53">
        <f>AH197+AI197</f>
        <v>38899</v>
      </c>
      <c r="AK197" s="56">
        <v>0</v>
      </c>
    </row>
    <row r="198">
      <c r="A198" s="48">
        <v>46132.46952546296</v>
      </c>
      <c r="B198" s="49" t="s">
        <v>108</v>
      </c>
      <c r="C198" s="49" t="s">
        <v>106</v>
      </c>
      <c r="D198" s="49" t="s">
        <v>5</v>
      </c>
      <c r="E198" s="50">
        <v>96</v>
      </c>
      <c r="F198" s="49" t="s">
        <v>107</v>
      </c>
      <c r="G198" s="51">
        <v>166004669</v>
      </c>
      <c r="H198" s="52">
        <v>148.6</v>
      </c>
      <c r="I198" s="52">
        <f>L198+M198+N198</f>
        <v>131.0249</v>
      </c>
      <c r="J198" s="52">
        <f>O198+P198</f>
        <v>17.5751</v>
      </c>
      <c r="K198" s="53">
        <f>IF(H198=I198+J198,0,W198)</f>
        <v>0</v>
      </c>
      <c r="L198" s="52">
        <v>20.5785</v>
      </c>
      <c r="M198" s="52">
        <v>110.4464</v>
      </c>
      <c r="N198" s="52">
        <v>0</v>
      </c>
      <c r="O198" s="52">
        <v>4.3215</v>
      </c>
      <c r="P198" s="52">
        <v>13.2536</v>
      </c>
      <c r="Q198" s="54">
        <v>131.0249</v>
      </c>
      <c r="R198" s="52">
        <v>148.6</v>
      </c>
      <c r="S198" s="52">
        <v>0</v>
      </c>
      <c r="T198" s="52">
        <v>0</v>
      </c>
      <c r="U198" s="52">
        <v>0</v>
      </c>
      <c r="V198" s="52">
        <v>0</v>
      </c>
      <c r="W198" s="52">
        <v>0</v>
      </c>
      <c r="X198" s="54">
        <v>0</v>
      </c>
      <c r="Y198" s="52">
        <v>0</v>
      </c>
      <c r="Z198" s="52">
        <v>148.6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46132.46952546296</v>
      </c>
      <c r="AH198" s="52">
        <v>38899</v>
      </c>
      <c r="AI198" s="52">
        <v>0</v>
      </c>
      <c r="AJ198" s="53">
        <f>AH198+AI198</f>
        <v>38899</v>
      </c>
      <c r="AK198" s="56">
        <v>0</v>
      </c>
    </row>
    <row r="199">
      <c r="A199" s="48">
        <v>46132.4699537037</v>
      </c>
      <c r="B199" s="49" t="s">
        <v>108</v>
      </c>
      <c r="C199" s="49" t="s">
        <v>106</v>
      </c>
      <c r="D199" s="49" t="s">
        <v>5</v>
      </c>
      <c r="E199" s="50">
        <v>96</v>
      </c>
      <c r="F199" s="49" t="s">
        <v>107</v>
      </c>
      <c r="G199" s="51">
        <v>166004670</v>
      </c>
      <c r="H199" s="52">
        <v>481</v>
      </c>
      <c r="I199" s="52">
        <f>L199+M199+N199</f>
        <v>415.4146</v>
      </c>
      <c r="J199" s="52">
        <f>O199+P199</f>
        <v>65.6854</v>
      </c>
      <c r="K199" s="53">
        <f>IF(H199=I199+J199,0,W199)</f>
        <v>-0.1</v>
      </c>
      <c r="L199" s="52">
        <v>175.9504</v>
      </c>
      <c r="M199" s="52">
        <v>239.4642</v>
      </c>
      <c r="N199" s="52">
        <v>0</v>
      </c>
      <c r="O199" s="52">
        <v>36.9496</v>
      </c>
      <c r="P199" s="52">
        <v>28.7358</v>
      </c>
      <c r="Q199" s="54">
        <v>415.4146</v>
      </c>
      <c r="R199" s="52">
        <v>481.1</v>
      </c>
      <c r="S199" s="52">
        <v>0</v>
      </c>
      <c r="T199" s="52">
        <v>0</v>
      </c>
      <c r="U199" s="52">
        <v>0</v>
      </c>
      <c r="V199" s="52">
        <v>0</v>
      </c>
      <c r="W199" s="52">
        <v>-0.1</v>
      </c>
      <c r="X199" s="54">
        <v>2000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46132.4699537037</v>
      </c>
      <c r="AH199" s="52">
        <v>39380</v>
      </c>
      <c r="AI199" s="52">
        <v>0</v>
      </c>
      <c r="AJ199" s="53">
        <f>AH199+AI199</f>
        <v>39380</v>
      </c>
      <c r="AK199" s="56">
        <v>0</v>
      </c>
    </row>
    <row r="200">
      <c r="A200" s="48">
        <v>46132.470509259256</v>
      </c>
      <c r="B200" s="49" t="s">
        <v>108</v>
      </c>
      <c r="C200" s="49" t="s">
        <v>106</v>
      </c>
      <c r="D200" s="49" t="s">
        <v>5</v>
      </c>
      <c r="E200" s="50">
        <v>96</v>
      </c>
      <c r="F200" s="49" t="s">
        <v>107</v>
      </c>
      <c r="G200" s="51">
        <v>166004671</v>
      </c>
      <c r="H200" s="52">
        <v>94</v>
      </c>
      <c r="I200" s="52">
        <f>L200+M200+N200</f>
        <v>83.5714</v>
      </c>
      <c r="J200" s="52">
        <f>O200+P200</f>
        <v>10.0286</v>
      </c>
      <c r="K200" s="53">
        <f>IF(H200=I200+J200,0,W200)</f>
        <v>0.4</v>
      </c>
      <c r="L200" s="52">
        <v>0</v>
      </c>
      <c r="M200" s="52">
        <v>83.5714</v>
      </c>
      <c r="N200" s="52">
        <v>0</v>
      </c>
      <c r="O200" s="52">
        <v>0</v>
      </c>
      <c r="P200" s="52">
        <v>10.0286</v>
      </c>
      <c r="Q200" s="54">
        <v>83.5714</v>
      </c>
      <c r="R200" s="52">
        <v>93.6</v>
      </c>
      <c r="S200" s="52">
        <v>0</v>
      </c>
      <c r="T200" s="52">
        <v>0</v>
      </c>
      <c r="U200" s="52">
        <v>0</v>
      </c>
      <c r="V200" s="52">
        <v>0</v>
      </c>
      <c r="W200" s="52">
        <v>0.4</v>
      </c>
      <c r="X200" s="54">
        <v>94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46132.470509259256</v>
      </c>
      <c r="AH200" s="52">
        <v>39474</v>
      </c>
      <c r="AI200" s="52">
        <v>0</v>
      </c>
      <c r="AJ200" s="53">
        <f>AH200+AI200</f>
        <v>39474</v>
      </c>
      <c r="AK200" s="56">
        <v>0</v>
      </c>
    </row>
    <row r="201">
      <c r="A201" s="48">
        <v>46132.47078703704</v>
      </c>
      <c r="B201" s="49" t="s">
        <v>108</v>
      </c>
      <c r="C201" s="49" t="s">
        <v>106</v>
      </c>
      <c r="D201" s="49" t="s">
        <v>5</v>
      </c>
      <c r="E201" s="50">
        <v>96</v>
      </c>
      <c r="F201" s="49" t="s">
        <v>107</v>
      </c>
      <c r="G201" s="51">
        <v>166004672</v>
      </c>
      <c r="H201" s="52">
        <v>123</v>
      </c>
      <c r="I201" s="52">
        <f>L201+M201+N201</f>
        <v>109.5536</v>
      </c>
      <c r="J201" s="52">
        <f>O201+P201</f>
        <v>13.1464</v>
      </c>
      <c r="K201" s="53">
        <f>IF(H201=I201+J201,0,W201)</f>
        <v>0.3</v>
      </c>
      <c r="L201" s="52">
        <v>0</v>
      </c>
      <c r="M201" s="52">
        <v>109.5536</v>
      </c>
      <c r="N201" s="52">
        <v>0</v>
      </c>
      <c r="O201" s="52">
        <v>0</v>
      </c>
      <c r="P201" s="52">
        <v>13.1464</v>
      </c>
      <c r="Q201" s="54">
        <v>109.5536</v>
      </c>
      <c r="R201" s="52">
        <v>122.7</v>
      </c>
      <c r="S201" s="52">
        <v>0</v>
      </c>
      <c r="T201" s="52">
        <v>0</v>
      </c>
      <c r="U201" s="52">
        <v>0</v>
      </c>
      <c r="V201" s="52">
        <v>0</v>
      </c>
      <c r="W201" s="52">
        <v>0.3</v>
      </c>
      <c r="X201" s="54">
        <v>200</v>
      </c>
      <c r="Y201" s="52">
        <v>0</v>
      </c>
      <c r="Z201" s="52">
        <v>0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46132.47078703704</v>
      </c>
      <c r="AH201" s="52">
        <v>39597</v>
      </c>
      <c r="AI201" s="52">
        <v>0</v>
      </c>
      <c r="AJ201" s="53">
        <f>AH201+AI201</f>
        <v>39597</v>
      </c>
      <c r="AK201" s="56">
        <v>0</v>
      </c>
    </row>
    <row r="202">
      <c r="A202" s="48">
        <v>46132.47130787037</v>
      </c>
      <c r="B202" s="49" t="s">
        <v>108</v>
      </c>
      <c r="C202" s="49" t="s">
        <v>106</v>
      </c>
      <c r="D202" s="49" t="s">
        <v>5</v>
      </c>
      <c r="E202" s="50">
        <v>96</v>
      </c>
      <c r="F202" s="49" t="s">
        <v>107</v>
      </c>
      <c r="G202" s="51">
        <v>166004673</v>
      </c>
      <c r="H202" s="52">
        <v>30</v>
      </c>
      <c r="I202" s="52">
        <f>L202+M202+N202</f>
        <v>26.9274</v>
      </c>
      <c r="J202" s="52">
        <f>O202+P202</f>
        <v>3.3726000000000003</v>
      </c>
      <c r="K202" s="53">
        <f>IF(H202=I202+J202,0,W202)</f>
        <v>-0.3</v>
      </c>
      <c r="L202" s="52">
        <v>1.5702</v>
      </c>
      <c r="M202" s="52">
        <v>25.3572</v>
      </c>
      <c r="N202" s="52">
        <v>0</v>
      </c>
      <c r="O202" s="52">
        <v>0.3298</v>
      </c>
      <c r="P202" s="52">
        <v>3.0428</v>
      </c>
      <c r="Q202" s="54">
        <v>26.9274</v>
      </c>
      <c r="R202" s="52">
        <v>30.3</v>
      </c>
      <c r="S202" s="52">
        <v>0</v>
      </c>
      <c r="T202" s="52">
        <v>0</v>
      </c>
      <c r="U202" s="52">
        <v>0</v>
      </c>
      <c r="V202" s="52">
        <v>0</v>
      </c>
      <c r="W202" s="52">
        <v>-0.3</v>
      </c>
      <c r="X202" s="54">
        <v>30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46132.47130787037</v>
      </c>
      <c r="AH202" s="52">
        <v>39627</v>
      </c>
      <c r="AI202" s="52">
        <v>0</v>
      </c>
      <c r="AJ202" s="53">
        <f>AH202+AI202</f>
        <v>39627</v>
      </c>
      <c r="AK202" s="56">
        <v>0</v>
      </c>
    </row>
    <row r="203">
      <c r="A203" s="48">
        <v>46132.471666666665</v>
      </c>
      <c r="B203" s="49" t="s">
        <v>108</v>
      </c>
      <c r="C203" s="49" t="s">
        <v>106</v>
      </c>
      <c r="D203" s="49" t="s">
        <v>5</v>
      </c>
      <c r="E203" s="50">
        <v>96</v>
      </c>
      <c r="F203" s="49" t="s">
        <v>107</v>
      </c>
      <c r="G203" s="51">
        <v>166004674</v>
      </c>
      <c r="H203" s="52">
        <v>5.77</v>
      </c>
      <c r="I203" s="52">
        <f>L203+M203+N203</f>
        <v>5.1518</v>
      </c>
      <c r="J203" s="52">
        <f>O203+P203</f>
        <v>0.6182</v>
      </c>
      <c r="K203" s="53">
        <f>IF(H203=I203+J203,0,W203)</f>
        <v>0</v>
      </c>
      <c r="L203" s="52">
        <v>0</v>
      </c>
      <c r="M203" s="52">
        <v>5.1518</v>
      </c>
      <c r="N203" s="52">
        <v>0</v>
      </c>
      <c r="O203" s="52">
        <v>0</v>
      </c>
      <c r="P203" s="52">
        <v>0.6182</v>
      </c>
      <c r="Q203" s="54">
        <v>5.1518</v>
      </c>
      <c r="R203" s="52">
        <v>5.77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5.77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46132.471666666665</v>
      </c>
      <c r="AH203" s="52">
        <v>39627</v>
      </c>
      <c r="AI203" s="52">
        <v>0</v>
      </c>
      <c r="AJ203" s="53">
        <f>AH203+AI203</f>
        <v>39627</v>
      </c>
      <c r="AK203" s="56">
        <v>0</v>
      </c>
    </row>
    <row r="204">
      <c r="A204" s="48">
        <v>46132.472037037034</v>
      </c>
      <c r="B204" s="49" t="s">
        <v>108</v>
      </c>
      <c r="C204" s="49" t="s">
        <v>106</v>
      </c>
      <c r="D204" s="49" t="s">
        <v>5</v>
      </c>
      <c r="E204" s="50">
        <v>96</v>
      </c>
      <c r="F204" s="49" t="s">
        <v>107</v>
      </c>
      <c r="G204" s="51">
        <v>166004675</v>
      </c>
      <c r="H204" s="52">
        <v>15.9</v>
      </c>
      <c r="I204" s="52">
        <f>L204+M204+N204</f>
        <v>14.1964</v>
      </c>
      <c r="J204" s="52">
        <f>O204+P204</f>
        <v>1.7036</v>
      </c>
      <c r="K204" s="53">
        <f>IF(H204=I204+J204,0,W204)</f>
        <v>0</v>
      </c>
      <c r="L204" s="52">
        <v>0</v>
      </c>
      <c r="M204" s="52">
        <v>14.1964</v>
      </c>
      <c r="N204" s="52">
        <v>0</v>
      </c>
      <c r="O204" s="52">
        <v>0</v>
      </c>
      <c r="P204" s="52">
        <v>1.7036</v>
      </c>
      <c r="Q204" s="54">
        <v>14.1964</v>
      </c>
      <c r="R204" s="52">
        <v>15.9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15.9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46132.472037037034</v>
      </c>
      <c r="AH204" s="52">
        <v>39627</v>
      </c>
      <c r="AI204" s="52">
        <v>0</v>
      </c>
      <c r="AJ204" s="53">
        <f>AH204+AI204</f>
        <v>39627</v>
      </c>
      <c r="AK204" s="56">
        <v>0</v>
      </c>
    </row>
    <row r="205">
      <c r="A205" s="48">
        <v>46132.47388888889</v>
      </c>
      <c r="B205" s="49" t="s">
        <v>108</v>
      </c>
      <c r="C205" s="49" t="s">
        <v>106</v>
      </c>
      <c r="D205" s="49" t="s">
        <v>5</v>
      </c>
      <c r="E205" s="50">
        <v>96</v>
      </c>
      <c r="F205" s="49" t="s">
        <v>107</v>
      </c>
      <c r="G205" s="51">
        <v>166004676</v>
      </c>
      <c r="H205" s="52">
        <v>137</v>
      </c>
      <c r="I205" s="52">
        <f>L205+M205+N205</f>
        <v>117.6446</v>
      </c>
      <c r="J205" s="52">
        <f>O205+P205</f>
        <v>19.7554</v>
      </c>
      <c r="K205" s="53">
        <f>IF(H205=I205+J205,0,W205)</f>
        <v>-0.4</v>
      </c>
      <c r="L205" s="52">
        <v>62.6446</v>
      </c>
      <c r="M205" s="52">
        <v>55</v>
      </c>
      <c r="N205" s="52">
        <v>0</v>
      </c>
      <c r="O205" s="52">
        <v>13.1554</v>
      </c>
      <c r="P205" s="52">
        <v>6.6</v>
      </c>
      <c r="Q205" s="54">
        <v>117.6446</v>
      </c>
      <c r="R205" s="52">
        <v>137.4</v>
      </c>
      <c r="S205" s="52">
        <v>0</v>
      </c>
      <c r="T205" s="52">
        <v>0</v>
      </c>
      <c r="U205" s="52">
        <v>0</v>
      </c>
      <c r="V205" s="52">
        <v>0</v>
      </c>
      <c r="W205" s="52">
        <v>-0.4</v>
      </c>
      <c r="X205" s="54">
        <v>237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46132.47388888889</v>
      </c>
      <c r="AH205" s="52">
        <v>39764</v>
      </c>
      <c r="AI205" s="52">
        <v>0</v>
      </c>
      <c r="AJ205" s="53">
        <f>AH205+AI205</f>
        <v>39764</v>
      </c>
      <c r="AK205" s="56">
        <v>0</v>
      </c>
    </row>
    <row r="206">
      <c r="A206" s="48">
        <v>46132.47467592593</v>
      </c>
      <c r="B206" s="49" t="s">
        <v>108</v>
      </c>
      <c r="C206" s="49" t="s">
        <v>106</v>
      </c>
      <c r="D206" s="49" t="s">
        <v>5</v>
      </c>
      <c r="E206" s="50">
        <v>96</v>
      </c>
      <c r="F206" s="49" t="s">
        <v>107</v>
      </c>
      <c r="G206" s="51">
        <v>166004677</v>
      </c>
      <c r="H206" s="52">
        <v>105.16</v>
      </c>
      <c r="I206" s="52">
        <f>L206+M206+N206</f>
        <v>92.57130000000001</v>
      </c>
      <c r="J206" s="52">
        <f>O206+P206</f>
        <v>12.5887</v>
      </c>
      <c r="K206" s="53">
        <f>IF(H206=I206+J206,0,W206)</f>
        <v>0</v>
      </c>
      <c r="L206" s="52">
        <v>16.4463</v>
      </c>
      <c r="M206" s="52">
        <v>76.125</v>
      </c>
      <c r="N206" s="52">
        <v>0</v>
      </c>
      <c r="O206" s="52">
        <v>3.4537</v>
      </c>
      <c r="P206" s="52">
        <v>9.135</v>
      </c>
      <c r="Q206" s="54">
        <v>92.5713</v>
      </c>
      <c r="R206" s="52">
        <v>105.16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105.16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46132.47467592593</v>
      </c>
      <c r="AH206" s="52">
        <v>39764</v>
      </c>
      <c r="AI206" s="52">
        <v>0</v>
      </c>
      <c r="AJ206" s="53">
        <f>AH206+AI206</f>
        <v>39764</v>
      </c>
      <c r="AK206" s="56">
        <v>13.11</v>
      </c>
    </row>
    <row r="207">
      <c r="A207" s="48">
        <v>46132.4750462963</v>
      </c>
      <c r="B207" s="49" t="s">
        <v>108</v>
      </c>
      <c r="C207" s="49" t="s">
        <v>106</v>
      </c>
      <c r="D207" s="49" t="s">
        <v>5</v>
      </c>
      <c r="E207" s="50">
        <v>96</v>
      </c>
      <c r="F207" s="49" t="s">
        <v>107</v>
      </c>
      <c r="G207" s="51">
        <v>166004678</v>
      </c>
      <c r="H207" s="52">
        <v>30</v>
      </c>
      <c r="I207" s="52">
        <f>L207+M207+N207</f>
        <v>26.5267</v>
      </c>
      <c r="J207" s="52">
        <f>O207+P207</f>
        <v>3.1833</v>
      </c>
      <c r="K207" s="53">
        <f>IF(H207=I207+J207,0,W207)</f>
        <v>0.29</v>
      </c>
      <c r="L207" s="52">
        <v>0</v>
      </c>
      <c r="M207" s="52">
        <v>26.5267</v>
      </c>
      <c r="N207" s="52">
        <v>0</v>
      </c>
      <c r="O207" s="52">
        <v>0</v>
      </c>
      <c r="P207" s="52">
        <v>3.1833</v>
      </c>
      <c r="Q207" s="54">
        <v>26.5267</v>
      </c>
      <c r="R207" s="52">
        <v>29.71</v>
      </c>
      <c r="S207" s="52">
        <v>0</v>
      </c>
      <c r="T207" s="52">
        <v>0</v>
      </c>
      <c r="U207" s="52">
        <v>0</v>
      </c>
      <c r="V207" s="52">
        <v>0</v>
      </c>
      <c r="W207" s="52">
        <v>0.29</v>
      </c>
      <c r="X207" s="54">
        <v>1000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46132.4750462963</v>
      </c>
      <c r="AH207" s="52">
        <v>39794</v>
      </c>
      <c r="AI207" s="52">
        <v>0</v>
      </c>
      <c r="AJ207" s="53">
        <f>AH207+AI207</f>
        <v>39794</v>
      </c>
      <c r="AK207" s="56">
        <v>0</v>
      </c>
    </row>
    <row r="208">
      <c r="A208" s="48">
        <v>46132.47530092593</v>
      </c>
      <c r="B208" s="49" t="s">
        <v>108</v>
      </c>
      <c r="C208" s="49" t="s">
        <v>106</v>
      </c>
      <c r="D208" s="49" t="s">
        <v>5</v>
      </c>
      <c r="E208" s="50">
        <v>96</v>
      </c>
      <c r="F208" s="49" t="s">
        <v>107</v>
      </c>
      <c r="G208" s="51">
        <v>166004679</v>
      </c>
      <c r="H208" s="52">
        <v>12</v>
      </c>
      <c r="I208" s="52">
        <f>L208+M208+N208</f>
        <v>10.5358</v>
      </c>
      <c r="J208" s="52">
        <f>O208+P208</f>
        <v>1.2642</v>
      </c>
      <c r="K208" s="53">
        <f>IF(H208=I208+J208,0,W208)</f>
        <v>0.2</v>
      </c>
      <c r="L208" s="52">
        <v>0</v>
      </c>
      <c r="M208" s="52">
        <v>10.5358</v>
      </c>
      <c r="N208" s="52">
        <v>0</v>
      </c>
      <c r="O208" s="52">
        <v>0</v>
      </c>
      <c r="P208" s="52">
        <v>1.2642</v>
      </c>
      <c r="Q208" s="54">
        <v>10.5358</v>
      </c>
      <c r="R208" s="52">
        <v>11.8</v>
      </c>
      <c r="S208" s="52">
        <v>0</v>
      </c>
      <c r="T208" s="52">
        <v>0</v>
      </c>
      <c r="U208" s="52">
        <v>0</v>
      </c>
      <c r="V208" s="52">
        <v>0</v>
      </c>
      <c r="W208" s="52">
        <v>0.2</v>
      </c>
      <c r="X208" s="54">
        <v>50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46132.47530092593</v>
      </c>
      <c r="AH208" s="52">
        <v>39806</v>
      </c>
      <c r="AI208" s="52">
        <v>0</v>
      </c>
      <c r="AJ208" s="53">
        <f>AH208+AI208</f>
        <v>39806</v>
      </c>
      <c r="AK208" s="56">
        <v>0</v>
      </c>
    </row>
    <row r="209">
      <c r="A209" s="48">
        <v>46132.475798611114</v>
      </c>
      <c r="B209" s="49" t="s">
        <v>108</v>
      </c>
      <c r="C209" s="49" t="s">
        <v>106</v>
      </c>
      <c r="D209" s="49" t="s">
        <v>5</v>
      </c>
      <c r="E209" s="50">
        <v>96</v>
      </c>
      <c r="F209" s="49" t="s">
        <v>107</v>
      </c>
      <c r="G209" s="51">
        <v>166004680</v>
      </c>
      <c r="H209" s="52">
        <v>146</v>
      </c>
      <c r="I209" s="52">
        <f>L209+M209+N209</f>
        <v>130.2053</v>
      </c>
      <c r="J209" s="52">
        <f>O209+P209</f>
        <v>15.6247</v>
      </c>
      <c r="K209" s="53">
        <f>IF(H209=I209+J209,0,W209)</f>
        <v>0.17</v>
      </c>
      <c r="L209" s="52">
        <v>0</v>
      </c>
      <c r="M209" s="52">
        <v>130.2053</v>
      </c>
      <c r="N209" s="52">
        <v>0</v>
      </c>
      <c r="O209" s="52">
        <v>0</v>
      </c>
      <c r="P209" s="52">
        <v>15.6247</v>
      </c>
      <c r="Q209" s="54">
        <v>130.2053</v>
      </c>
      <c r="R209" s="52">
        <v>145.83</v>
      </c>
      <c r="S209" s="52">
        <v>0</v>
      </c>
      <c r="T209" s="52">
        <v>0</v>
      </c>
      <c r="U209" s="52">
        <v>0</v>
      </c>
      <c r="V209" s="52">
        <v>0</v>
      </c>
      <c r="W209" s="52">
        <v>0.17</v>
      </c>
      <c r="X209" s="54">
        <v>200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46132.475798611114</v>
      </c>
      <c r="AH209" s="52">
        <v>39952</v>
      </c>
      <c r="AI209" s="52">
        <v>0</v>
      </c>
      <c r="AJ209" s="53">
        <f>AH209+AI209</f>
        <v>39952</v>
      </c>
      <c r="AK209" s="56">
        <v>7.7711</v>
      </c>
    </row>
    <row r="210">
      <c r="A210" s="48">
        <v>46132.47657407408</v>
      </c>
      <c r="B210" s="49" t="s">
        <v>108</v>
      </c>
      <c r="C210" s="49" t="s">
        <v>106</v>
      </c>
      <c r="D210" s="49" t="s">
        <v>5</v>
      </c>
      <c r="E210" s="50">
        <v>96</v>
      </c>
      <c r="F210" s="49" t="s">
        <v>107</v>
      </c>
      <c r="G210" s="51">
        <v>166004681</v>
      </c>
      <c r="H210" s="52">
        <v>63.6</v>
      </c>
      <c r="I210" s="52">
        <f>L210+M210+N210</f>
        <v>56.7857</v>
      </c>
      <c r="J210" s="52">
        <f>O210+P210</f>
        <v>6.8143</v>
      </c>
      <c r="K210" s="53">
        <f>IF(H210=I210+J210,0,W210)</f>
        <v>0</v>
      </c>
      <c r="L210" s="52">
        <v>0</v>
      </c>
      <c r="M210" s="52">
        <v>56.7857</v>
      </c>
      <c r="N210" s="52">
        <v>0</v>
      </c>
      <c r="O210" s="52">
        <v>0</v>
      </c>
      <c r="P210" s="52">
        <v>6.8143</v>
      </c>
      <c r="Q210" s="54">
        <v>56.7857</v>
      </c>
      <c r="R210" s="52">
        <v>63.6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63.6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46132.47657407408</v>
      </c>
      <c r="AH210" s="52">
        <v>39952</v>
      </c>
      <c r="AI210" s="52">
        <v>0</v>
      </c>
      <c r="AJ210" s="53">
        <f>AH210+AI210</f>
        <v>39952</v>
      </c>
      <c r="AK210" s="56">
        <v>0</v>
      </c>
    </row>
    <row r="211">
      <c r="A211" s="48">
        <v>46132.47824074074</v>
      </c>
      <c r="B211" s="49" t="s">
        <v>108</v>
      </c>
      <c r="C211" s="49" t="s">
        <v>106</v>
      </c>
      <c r="D211" s="49" t="s">
        <v>5</v>
      </c>
      <c r="E211" s="50">
        <v>96</v>
      </c>
      <c r="F211" s="49" t="s">
        <v>107</v>
      </c>
      <c r="G211" s="51">
        <v>166004682</v>
      </c>
      <c r="H211" s="52">
        <v>322</v>
      </c>
      <c r="I211" s="52">
        <f>L211+M211+N211</f>
        <v>266.1158</v>
      </c>
      <c r="J211" s="52">
        <f>O211+P211</f>
        <v>55.8842</v>
      </c>
      <c r="K211" s="53">
        <f>IF(H211=I211+J211,0,W211)</f>
        <v>0</v>
      </c>
      <c r="L211" s="52">
        <v>266.1158</v>
      </c>
      <c r="M211" s="52">
        <v>0</v>
      </c>
      <c r="N211" s="52">
        <v>0</v>
      </c>
      <c r="O211" s="52">
        <v>55.8842</v>
      </c>
      <c r="P211" s="52">
        <v>0</v>
      </c>
      <c r="Q211" s="54">
        <v>266.1158</v>
      </c>
      <c r="R211" s="52">
        <v>322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322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46132.47824074074</v>
      </c>
      <c r="AH211" s="52">
        <v>39952</v>
      </c>
      <c r="AI211" s="52">
        <v>0</v>
      </c>
      <c r="AJ211" s="53">
        <f>AH211+AI211</f>
        <v>39952</v>
      </c>
      <c r="AK211" s="56">
        <v>0</v>
      </c>
    </row>
    <row r="212">
      <c r="A212" s="48">
        <v>46132.478784722225</v>
      </c>
      <c r="B212" s="49" t="s">
        <v>108</v>
      </c>
      <c r="C212" s="49" t="s">
        <v>106</v>
      </c>
      <c r="D212" s="49" t="s">
        <v>5</v>
      </c>
      <c r="E212" s="50">
        <v>96</v>
      </c>
      <c r="F212" s="49" t="s">
        <v>107</v>
      </c>
      <c r="G212" s="51">
        <v>166004683</v>
      </c>
      <c r="H212" s="52">
        <v>20</v>
      </c>
      <c r="I212" s="52">
        <f>L212+M212+N212</f>
        <v>17.7143</v>
      </c>
      <c r="J212" s="52">
        <f>O212+P212</f>
        <v>2.4857</v>
      </c>
      <c r="K212" s="53">
        <f>IF(H212=I212+J212,0,W212)</f>
        <v>-0.2</v>
      </c>
      <c r="L212" s="52">
        <v>0</v>
      </c>
      <c r="M212" s="52">
        <v>20.7143</v>
      </c>
      <c r="N212" s="52">
        <v>-3</v>
      </c>
      <c r="O212" s="52">
        <v>0</v>
      </c>
      <c r="P212" s="52">
        <v>2.4857</v>
      </c>
      <c r="Q212" s="54">
        <v>20.7143</v>
      </c>
      <c r="R212" s="52">
        <v>23.2</v>
      </c>
      <c r="S212" s="52">
        <v>0</v>
      </c>
      <c r="T212" s="52">
        <v>0</v>
      </c>
      <c r="U212" s="52">
        <v>0</v>
      </c>
      <c r="V212" s="52">
        <v>-3</v>
      </c>
      <c r="W212" s="52">
        <v>-0.2</v>
      </c>
      <c r="X212" s="54">
        <v>20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46132.478784722225</v>
      </c>
      <c r="AH212" s="52">
        <v>39972</v>
      </c>
      <c r="AI212" s="52">
        <v>0</v>
      </c>
      <c r="AJ212" s="53">
        <f>AH212+AI212</f>
        <v>39972</v>
      </c>
      <c r="AK212" s="56">
        <v>0</v>
      </c>
    </row>
    <row r="213">
      <c r="A213" s="48">
        <v>46132.480775462966</v>
      </c>
      <c r="B213" s="49" t="s">
        <v>108</v>
      </c>
      <c r="C213" s="49" t="s">
        <v>106</v>
      </c>
      <c r="D213" s="49" t="s">
        <v>5</v>
      </c>
      <c r="E213" s="50">
        <v>96</v>
      </c>
      <c r="F213" s="49" t="s">
        <v>107</v>
      </c>
      <c r="G213" s="51">
        <v>166004684</v>
      </c>
      <c r="H213" s="52">
        <v>261.91</v>
      </c>
      <c r="I213" s="52">
        <f>L213+M213+N213</f>
        <v>221.0443</v>
      </c>
      <c r="J213" s="52">
        <f>O213+P213</f>
        <v>40.865700000000004</v>
      </c>
      <c r="K213" s="53">
        <f>IF(H213=I213+J213,0,W213)</f>
        <v>0</v>
      </c>
      <c r="L213" s="52">
        <v>159.3389</v>
      </c>
      <c r="M213" s="52">
        <v>61.7054</v>
      </c>
      <c r="N213" s="52">
        <v>0</v>
      </c>
      <c r="O213" s="52">
        <v>33.4611</v>
      </c>
      <c r="P213" s="52">
        <v>7.4046</v>
      </c>
      <c r="Q213" s="54">
        <v>221.0443</v>
      </c>
      <c r="R213" s="52">
        <v>261.91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261.91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46132.480775462966</v>
      </c>
      <c r="AH213" s="52">
        <v>39972</v>
      </c>
      <c r="AI213" s="52">
        <v>0</v>
      </c>
      <c r="AJ213" s="53">
        <f>AH213+AI213</f>
        <v>39972</v>
      </c>
      <c r="AK213" s="56">
        <v>0</v>
      </c>
    </row>
    <row r="214">
      <c r="A214" s="48">
        <v>46132.48090277778</v>
      </c>
      <c r="B214" s="49" t="s">
        <v>108</v>
      </c>
      <c r="C214" s="49" t="s">
        <v>100</v>
      </c>
      <c r="D214" s="49" t="s">
        <v>5</v>
      </c>
      <c r="E214" s="50">
        <v>96</v>
      </c>
      <c r="F214" s="49" t="s">
        <v>105</v>
      </c>
      <c r="G214" s="51">
        <v>161000346</v>
      </c>
      <c r="H214" s="52">
        <v>8.4</v>
      </c>
      <c r="I214" s="52">
        <f>L214+M214+N214</f>
        <v>7.5</v>
      </c>
      <c r="J214" s="52">
        <f>O214+P214</f>
        <v>0.9</v>
      </c>
      <c r="K214" s="53">
        <f>IF(H214=I214+J214,0,W214)</f>
        <v>0</v>
      </c>
      <c r="L214" s="52">
        <v>0</v>
      </c>
      <c r="M214" s="52">
        <v>7.5</v>
      </c>
      <c r="N214" s="52">
        <v>0</v>
      </c>
      <c r="O214" s="52">
        <v>0</v>
      </c>
      <c r="P214" s="52">
        <v>0.9</v>
      </c>
      <c r="Q214" s="54">
        <v>7.5</v>
      </c>
      <c r="R214" s="52">
        <v>8.4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8.4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46132.48090277778</v>
      </c>
      <c r="AH214" s="52">
        <v>0</v>
      </c>
      <c r="AI214" s="52">
        <v>0</v>
      </c>
      <c r="AJ214" s="53">
        <f>AH214+AI214</f>
        <v>0</v>
      </c>
      <c r="AK214" s="56">
        <v>0</v>
      </c>
    </row>
    <row r="215">
      <c r="A215" s="48">
        <v>46132.48173611111</v>
      </c>
      <c r="B215" s="49" t="s">
        <v>108</v>
      </c>
      <c r="C215" s="49" t="s">
        <v>106</v>
      </c>
      <c r="D215" s="49" t="s">
        <v>5</v>
      </c>
      <c r="E215" s="50">
        <v>96</v>
      </c>
      <c r="F215" s="49" t="s">
        <v>107</v>
      </c>
      <c r="G215" s="51">
        <v>166004685</v>
      </c>
      <c r="H215" s="52">
        <v>116</v>
      </c>
      <c r="I215" s="52">
        <f>L215+M215+N215</f>
        <v>100.2619</v>
      </c>
      <c r="J215" s="52">
        <f>O215+P215</f>
        <v>15.4381</v>
      </c>
      <c r="K215" s="53">
        <f>IF(H215=I215+J215,0,W215)</f>
        <v>0.3</v>
      </c>
      <c r="L215" s="52">
        <v>37.8512</v>
      </c>
      <c r="M215" s="52">
        <v>62.4107</v>
      </c>
      <c r="N215" s="52">
        <v>0</v>
      </c>
      <c r="O215" s="52">
        <v>7.9488</v>
      </c>
      <c r="P215" s="52">
        <v>7.4893</v>
      </c>
      <c r="Q215" s="54">
        <v>100.2619</v>
      </c>
      <c r="R215" s="52">
        <v>115.7</v>
      </c>
      <c r="S215" s="52">
        <v>0</v>
      </c>
      <c r="T215" s="52">
        <v>0</v>
      </c>
      <c r="U215" s="52">
        <v>0</v>
      </c>
      <c r="V215" s="52">
        <v>0</v>
      </c>
      <c r="W215" s="52">
        <v>0.3</v>
      </c>
      <c r="X215" s="54">
        <v>116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46132.48173611111</v>
      </c>
      <c r="AH215" s="52">
        <v>40088</v>
      </c>
      <c r="AI215" s="52">
        <v>0</v>
      </c>
      <c r="AJ215" s="53">
        <f>AH215+AI215</f>
        <v>40088</v>
      </c>
      <c r="AK215" s="56">
        <v>0</v>
      </c>
    </row>
    <row r="216">
      <c r="A216" s="48">
        <v>46132.483136574076</v>
      </c>
      <c r="B216" s="49" t="s">
        <v>108</v>
      </c>
      <c r="C216" s="49" t="s">
        <v>106</v>
      </c>
      <c r="D216" s="49" t="s">
        <v>5</v>
      </c>
      <c r="E216" s="50">
        <v>96</v>
      </c>
      <c r="F216" s="49" t="s">
        <v>107</v>
      </c>
      <c r="G216" s="51">
        <v>166004686</v>
      </c>
      <c r="H216" s="52">
        <v>63</v>
      </c>
      <c r="I216" s="52">
        <f>L216+M216+N216</f>
        <v>52.8078</v>
      </c>
      <c r="J216" s="52">
        <f>O216+P216</f>
        <v>9.892199999999999</v>
      </c>
      <c r="K216" s="53">
        <f>IF(H216=I216+J216,0,W216)</f>
        <v>0.3</v>
      </c>
      <c r="L216" s="52">
        <v>39.5042</v>
      </c>
      <c r="M216" s="52">
        <v>13.3036</v>
      </c>
      <c r="N216" s="52">
        <v>0</v>
      </c>
      <c r="O216" s="52">
        <v>8.2958</v>
      </c>
      <c r="P216" s="52">
        <v>1.5964</v>
      </c>
      <c r="Q216" s="54">
        <v>52.8078</v>
      </c>
      <c r="R216" s="52">
        <v>62.7</v>
      </c>
      <c r="S216" s="52">
        <v>0</v>
      </c>
      <c r="T216" s="52">
        <v>0</v>
      </c>
      <c r="U216" s="52">
        <v>0</v>
      </c>
      <c r="V216" s="52">
        <v>0</v>
      </c>
      <c r="W216" s="52">
        <v>0.3</v>
      </c>
      <c r="X216" s="54">
        <v>200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46132.483136574076</v>
      </c>
      <c r="AH216" s="52">
        <v>40151</v>
      </c>
      <c r="AI216" s="52">
        <v>0</v>
      </c>
      <c r="AJ216" s="53">
        <f>AH216+AI216</f>
        <v>40151</v>
      </c>
      <c r="AK216" s="56">
        <v>0</v>
      </c>
    </row>
    <row r="217">
      <c r="A217" s="48">
        <v>46132.48370370371</v>
      </c>
      <c r="B217" s="49" t="s">
        <v>108</v>
      </c>
      <c r="C217" s="49" t="s">
        <v>106</v>
      </c>
      <c r="D217" s="49" t="s">
        <v>5</v>
      </c>
      <c r="E217" s="50">
        <v>96</v>
      </c>
      <c r="F217" s="49" t="s">
        <v>107</v>
      </c>
      <c r="G217" s="51">
        <v>166004687</v>
      </c>
      <c r="H217" s="52">
        <v>173</v>
      </c>
      <c r="I217" s="52">
        <f>L217+M217+N217</f>
        <v>142.9752</v>
      </c>
      <c r="J217" s="52">
        <f>O217+P217</f>
        <v>30.0248</v>
      </c>
      <c r="K217" s="53">
        <f>IF(H217=I217+J217,0,W217)</f>
        <v>0</v>
      </c>
      <c r="L217" s="52">
        <v>142.9752</v>
      </c>
      <c r="M217" s="52">
        <v>0</v>
      </c>
      <c r="N217" s="52">
        <v>0</v>
      </c>
      <c r="O217" s="52">
        <v>30.0248</v>
      </c>
      <c r="P217" s="52">
        <v>0</v>
      </c>
      <c r="Q217" s="54">
        <v>142.9752</v>
      </c>
      <c r="R217" s="52">
        <v>173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173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46132.48370370371</v>
      </c>
      <c r="AH217" s="52">
        <v>40151</v>
      </c>
      <c r="AI217" s="52">
        <v>0</v>
      </c>
      <c r="AJ217" s="53">
        <f>AH217+AI217</f>
        <v>40151</v>
      </c>
      <c r="AK217" s="56">
        <v>0</v>
      </c>
    </row>
    <row r="218">
      <c r="A218" s="48">
        <v>46132.4843287037</v>
      </c>
      <c r="B218" s="49" t="s">
        <v>108</v>
      </c>
      <c r="C218" s="49" t="s">
        <v>106</v>
      </c>
      <c r="D218" s="49" t="s">
        <v>5</v>
      </c>
      <c r="E218" s="50">
        <v>96</v>
      </c>
      <c r="F218" s="49" t="s">
        <v>107</v>
      </c>
      <c r="G218" s="51">
        <v>166004688</v>
      </c>
      <c r="H218" s="52">
        <v>51</v>
      </c>
      <c r="I218" s="52">
        <f>L218+M218+N218</f>
        <v>45.1608</v>
      </c>
      <c r="J218" s="52">
        <f>O218+P218</f>
        <v>5.4192</v>
      </c>
      <c r="K218" s="53">
        <f>IF(H218=I218+J218,0,W218)</f>
        <v>0.42</v>
      </c>
      <c r="L218" s="52">
        <v>0</v>
      </c>
      <c r="M218" s="52">
        <v>45.1608</v>
      </c>
      <c r="N218" s="52">
        <v>0</v>
      </c>
      <c r="O218" s="52">
        <v>0</v>
      </c>
      <c r="P218" s="52">
        <v>5.4192</v>
      </c>
      <c r="Q218" s="54">
        <v>45.1608</v>
      </c>
      <c r="R218" s="52">
        <v>50.58</v>
      </c>
      <c r="S218" s="52">
        <v>0</v>
      </c>
      <c r="T218" s="52">
        <v>0</v>
      </c>
      <c r="U218" s="52">
        <v>0</v>
      </c>
      <c r="V218" s="52">
        <v>0</v>
      </c>
      <c r="W218" s="52">
        <v>0.42</v>
      </c>
      <c r="X218" s="54">
        <v>102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46132.4843287037</v>
      </c>
      <c r="AH218" s="52">
        <v>40202</v>
      </c>
      <c r="AI218" s="52">
        <v>0</v>
      </c>
      <c r="AJ218" s="53">
        <f>AH218+AI218</f>
        <v>40202</v>
      </c>
      <c r="AK218" s="56">
        <v>10.6202</v>
      </c>
    </row>
    <row r="219">
      <c r="A219" s="48">
        <v>46132.485081018516</v>
      </c>
      <c r="B219" s="49" t="s">
        <v>108</v>
      </c>
      <c r="C219" s="49" t="s">
        <v>106</v>
      </c>
      <c r="D219" s="49" t="s">
        <v>5</v>
      </c>
      <c r="E219" s="50">
        <v>96</v>
      </c>
      <c r="F219" s="49" t="s">
        <v>107</v>
      </c>
      <c r="G219" s="51">
        <v>166004689</v>
      </c>
      <c r="H219" s="52">
        <v>160.07</v>
      </c>
      <c r="I219" s="52">
        <f>L219+M219+N219</f>
        <v>142.9197</v>
      </c>
      <c r="J219" s="52">
        <f>O219+P219</f>
        <v>17.1503</v>
      </c>
      <c r="K219" s="53">
        <f>IF(H219=I219+J219,0,W219)</f>
        <v>0</v>
      </c>
      <c r="L219" s="52">
        <v>0</v>
      </c>
      <c r="M219" s="52">
        <v>142.9197</v>
      </c>
      <c r="N219" s="52">
        <v>0</v>
      </c>
      <c r="O219" s="52">
        <v>0</v>
      </c>
      <c r="P219" s="52">
        <v>17.1503</v>
      </c>
      <c r="Q219" s="54">
        <v>142.9197</v>
      </c>
      <c r="R219" s="52">
        <v>160.07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160.07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46132.485081018516</v>
      </c>
      <c r="AH219" s="52">
        <v>40202</v>
      </c>
      <c r="AI219" s="52">
        <v>0</v>
      </c>
      <c r="AJ219" s="53">
        <f>AH219+AI219</f>
        <v>40202</v>
      </c>
      <c r="AK219" s="56">
        <v>0</v>
      </c>
    </row>
    <row r="220">
      <c r="A220" s="48">
        <v>46132.485914351855</v>
      </c>
      <c r="B220" s="49" t="s">
        <v>108</v>
      </c>
      <c r="C220" s="49" t="s">
        <v>106</v>
      </c>
      <c r="D220" s="49" t="s">
        <v>5</v>
      </c>
      <c r="E220" s="50">
        <v>96</v>
      </c>
      <c r="F220" s="49" t="s">
        <v>107</v>
      </c>
      <c r="G220" s="51">
        <v>166004690</v>
      </c>
      <c r="H220" s="52">
        <v>39.9</v>
      </c>
      <c r="I220" s="52">
        <f>L220+M220+N220</f>
        <v>35.625</v>
      </c>
      <c r="J220" s="52">
        <f>O220+P220</f>
        <v>4.275</v>
      </c>
      <c r="K220" s="53">
        <f>IF(H220=I220+J220,0,W220)</f>
        <v>0</v>
      </c>
      <c r="L220" s="52">
        <v>0</v>
      </c>
      <c r="M220" s="52">
        <v>35.625</v>
      </c>
      <c r="N220" s="52">
        <v>0</v>
      </c>
      <c r="O220" s="52">
        <v>0</v>
      </c>
      <c r="P220" s="52">
        <v>4.275</v>
      </c>
      <c r="Q220" s="54">
        <v>35.625</v>
      </c>
      <c r="R220" s="52">
        <v>39.9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39.9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46132.485914351855</v>
      </c>
      <c r="AH220" s="52">
        <v>40202</v>
      </c>
      <c r="AI220" s="52">
        <v>0</v>
      </c>
      <c r="AJ220" s="53">
        <f>AH220+AI220</f>
        <v>40202</v>
      </c>
      <c r="AK220" s="56">
        <v>0</v>
      </c>
    </row>
    <row r="221">
      <c r="A221" s="48">
        <v>46132.48641203704</v>
      </c>
      <c r="B221" s="49" t="s">
        <v>108</v>
      </c>
      <c r="C221" s="49" t="s">
        <v>106</v>
      </c>
      <c r="D221" s="49" t="s">
        <v>5</v>
      </c>
      <c r="E221" s="50">
        <v>96</v>
      </c>
      <c r="F221" s="49" t="s">
        <v>107</v>
      </c>
      <c r="G221" s="51">
        <v>166004691</v>
      </c>
      <c r="H221" s="52">
        <v>194</v>
      </c>
      <c r="I221" s="52">
        <f>L221+M221+N221</f>
        <v>173.5715</v>
      </c>
      <c r="J221" s="52">
        <f>O221+P221</f>
        <v>20.8285</v>
      </c>
      <c r="K221" s="53">
        <f>IF(H221=I221+J221,0,W221)</f>
        <v>-0.4</v>
      </c>
      <c r="L221" s="52">
        <v>0</v>
      </c>
      <c r="M221" s="52">
        <v>173.5715</v>
      </c>
      <c r="N221" s="52">
        <v>0</v>
      </c>
      <c r="O221" s="52">
        <v>0</v>
      </c>
      <c r="P221" s="52">
        <v>20.8285</v>
      </c>
      <c r="Q221" s="54">
        <v>173.5715</v>
      </c>
      <c r="R221" s="52">
        <v>194.4</v>
      </c>
      <c r="S221" s="52">
        <v>0</v>
      </c>
      <c r="T221" s="52">
        <v>0</v>
      </c>
      <c r="U221" s="52">
        <v>0</v>
      </c>
      <c r="V221" s="52">
        <v>0</v>
      </c>
      <c r="W221" s="52">
        <v>-0.4</v>
      </c>
      <c r="X221" s="54">
        <v>200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46132.48641203704</v>
      </c>
      <c r="AH221" s="52">
        <v>40396</v>
      </c>
      <c r="AI221" s="52">
        <v>0</v>
      </c>
      <c r="AJ221" s="53">
        <f>AH221+AI221</f>
        <v>40396</v>
      </c>
      <c r="AK221" s="56">
        <v>0</v>
      </c>
    </row>
    <row r="222">
      <c r="A222" s="48">
        <v>46132.489166666666</v>
      </c>
      <c r="B222" s="49" t="s">
        <v>108</v>
      </c>
      <c r="C222" s="49" t="s">
        <v>106</v>
      </c>
      <c r="D222" s="49" t="s">
        <v>5</v>
      </c>
      <c r="E222" s="50">
        <v>96</v>
      </c>
      <c r="F222" s="49" t="s">
        <v>107</v>
      </c>
      <c r="G222" s="51">
        <v>166004692</v>
      </c>
      <c r="H222" s="52">
        <v>19.9</v>
      </c>
      <c r="I222" s="52">
        <f>L222+M222+N222</f>
        <v>16.4463</v>
      </c>
      <c r="J222" s="52">
        <f>O222+P222</f>
        <v>3.4537</v>
      </c>
      <c r="K222" s="53">
        <f>IF(H222=I222+J222,0,W222)</f>
        <v>0</v>
      </c>
      <c r="L222" s="52">
        <v>16.4463</v>
      </c>
      <c r="M222" s="52">
        <v>0</v>
      </c>
      <c r="N222" s="52">
        <v>0</v>
      </c>
      <c r="O222" s="52">
        <v>3.4537</v>
      </c>
      <c r="P222" s="52">
        <v>0</v>
      </c>
      <c r="Q222" s="54">
        <v>16.4463</v>
      </c>
      <c r="R222" s="52">
        <v>19.9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19.9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46132.489166666666</v>
      </c>
      <c r="AH222" s="52">
        <v>40396</v>
      </c>
      <c r="AI222" s="52">
        <v>0</v>
      </c>
      <c r="AJ222" s="53">
        <f>AH222+AI222</f>
        <v>40396</v>
      </c>
      <c r="AK222" s="56">
        <v>0</v>
      </c>
    </row>
    <row r="223">
      <c r="A223" s="48">
        <v>46132.48987268518</v>
      </c>
      <c r="B223" s="49" t="s">
        <v>108</v>
      </c>
      <c r="C223" s="49" t="s">
        <v>106</v>
      </c>
      <c r="D223" s="49" t="s">
        <v>5</v>
      </c>
      <c r="E223" s="50">
        <v>96</v>
      </c>
      <c r="F223" s="49" t="s">
        <v>107</v>
      </c>
      <c r="G223" s="51">
        <v>166004693</v>
      </c>
      <c r="H223" s="52">
        <v>149.3</v>
      </c>
      <c r="I223" s="52">
        <f>L223+M223+N223</f>
        <v>131.982</v>
      </c>
      <c r="J223" s="52">
        <f>O223+P223</f>
        <v>17.318</v>
      </c>
      <c r="K223" s="53">
        <f>IF(H223=I223+J223,0,W223)</f>
        <v>0</v>
      </c>
      <c r="L223" s="52">
        <v>16.4463</v>
      </c>
      <c r="M223" s="52">
        <v>115.5357</v>
      </c>
      <c r="N223" s="52">
        <v>0</v>
      </c>
      <c r="O223" s="52">
        <v>3.4537</v>
      </c>
      <c r="P223" s="52">
        <v>13.8643</v>
      </c>
      <c r="Q223" s="54">
        <v>131.982</v>
      </c>
      <c r="R223" s="52">
        <v>149.3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149.3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46132.48987268518</v>
      </c>
      <c r="AH223" s="52">
        <v>40396</v>
      </c>
      <c r="AI223" s="52">
        <v>0</v>
      </c>
      <c r="AJ223" s="53">
        <f>AH223+AI223</f>
        <v>40396</v>
      </c>
      <c r="AK223" s="56">
        <v>0</v>
      </c>
    </row>
    <row r="224">
      <c r="A224" s="48">
        <v>46132.49054398148</v>
      </c>
      <c r="B224" s="49" t="s">
        <v>108</v>
      </c>
      <c r="C224" s="49" t="s">
        <v>106</v>
      </c>
      <c r="D224" s="49" t="s">
        <v>5</v>
      </c>
      <c r="E224" s="50">
        <v>96</v>
      </c>
      <c r="F224" s="49" t="s">
        <v>107</v>
      </c>
      <c r="G224" s="51">
        <v>166004694</v>
      </c>
      <c r="H224" s="52">
        <v>81</v>
      </c>
      <c r="I224" s="52">
        <f>L224+M224+N224</f>
        <v>72.4631</v>
      </c>
      <c r="J224" s="52">
        <f>O224+P224</f>
        <v>8.8369</v>
      </c>
      <c r="K224" s="53">
        <f>IF(H224=I224+J224,0,W224)</f>
        <v>-0.3</v>
      </c>
      <c r="L224" s="52">
        <v>1.5702</v>
      </c>
      <c r="M224" s="52">
        <v>70.8929</v>
      </c>
      <c r="N224" s="52">
        <v>0</v>
      </c>
      <c r="O224" s="52">
        <v>0.3298</v>
      </c>
      <c r="P224" s="52">
        <v>8.5071</v>
      </c>
      <c r="Q224" s="54">
        <v>72.4631</v>
      </c>
      <c r="R224" s="52">
        <v>81.3</v>
      </c>
      <c r="S224" s="52">
        <v>0</v>
      </c>
      <c r="T224" s="52">
        <v>0</v>
      </c>
      <c r="U224" s="52">
        <v>0</v>
      </c>
      <c r="V224" s="52">
        <v>0</v>
      </c>
      <c r="W224" s="52">
        <v>-0.3</v>
      </c>
      <c r="X224" s="54">
        <v>100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46132.49054398148</v>
      </c>
      <c r="AH224" s="52">
        <v>40477</v>
      </c>
      <c r="AI224" s="52">
        <v>0</v>
      </c>
      <c r="AJ224" s="53">
        <f>AH224+AI224</f>
        <v>40477</v>
      </c>
      <c r="AK224" s="56">
        <v>0</v>
      </c>
    </row>
    <row r="225">
      <c r="A225" s="48">
        <v>46132.49288194445</v>
      </c>
      <c r="B225" s="49" t="s">
        <v>108</v>
      </c>
      <c r="C225" s="49" t="s">
        <v>106</v>
      </c>
      <c r="D225" s="49" t="s">
        <v>5</v>
      </c>
      <c r="E225" s="50">
        <v>96</v>
      </c>
      <c r="F225" s="49" t="s">
        <v>107</v>
      </c>
      <c r="G225" s="51">
        <v>166004695</v>
      </c>
      <c r="H225" s="52">
        <v>91.36</v>
      </c>
      <c r="I225" s="52">
        <f>L225+M225+N225</f>
        <v>81.5714</v>
      </c>
      <c r="J225" s="52">
        <f>O225+P225</f>
        <v>9.7886</v>
      </c>
      <c r="K225" s="53">
        <f>IF(H225=I225+J225,0,W225)</f>
        <v>0</v>
      </c>
      <c r="L225" s="52">
        <v>0</v>
      </c>
      <c r="M225" s="52">
        <v>81.5714</v>
      </c>
      <c r="N225" s="52">
        <v>0</v>
      </c>
      <c r="O225" s="52">
        <v>0</v>
      </c>
      <c r="P225" s="52">
        <v>9.7886</v>
      </c>
      <c r="Q225" s="54">
        <v>81.5714</v>
      </c>
      <c r="R225" s="52">
        <v>91.36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91.36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46132.49288194445</v>
      </c>
      <c r="AH225" s="52">
        <v>40477</v>
      </c>
      <c r="AI225" s="52">
        <v>0</v>
      </c>
      <c r="AJ225" s="53">
        <f>AH225+AI225</f>
        <v>40477</v>
      </c>
      <c r="AK225" s="56">
        <v>8.1049</v>
      </c>
    </row>
    <row r="226">
      <c r="A226" s="48">
        <v>46132.493055555555</v>
      </c>
      <c r="B226" s="49" t="s">
        <v>108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166004696</v>
      </c>
      <c r="H226" s="52">
        <v>20</v>
      </c>
      <c r="I226" s="52">
        <f>L226+M226+N226</f>
        <v>17.7679</v>
      </c>
      <c r="J226" s="52">
        <f>O226+P226</f>
        <v>2.1321</v>
      </c>
      <c r="K226" s="53">
        <f>IF(H226=I226+J226,0,W226)</f>
        <v>0.1</v>
      </c>
      <c r="L226" s="52">
        <v>0</v>
      </c>
      <c r="M226" s="52">
        <v>17.7679</v>
      </c>
      <c r="N226" s="52">
        <v>0</v>
      </c>
      <c r="O226" s="52">
        <v>0</v>
      </c>
      <c r="P226" s="52">
        <v>2.1321</v>
      </c>
      <c r="Q226" s="54">
        <v>17.7679</v>
      </c>
      <c r="R226" s="52">
        <v>19.9</v>
      </c>
      <c r="S226" s="52">
        <v>0</v>
      </c>
      <c r="T226" s="52">
        <v>0</v>
      </c>
      <c r="U226" s="52">
        <v>0</v>
      </c>
      <c r="V226" s="52">
        <v>0</v>
      </c>
      <c r="W226" s="52">
        <v>0.1</v>
      </c>
      <c r="X226" s="54">
        <v>20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46132.493055555555</v>
      </c>
      <c r="AH226" s="52">
        <v>40497</v>
      </c>
      <c r="AI226" s="52">
        <v>0</v>
      </c>
      <c r="AJ226" s="53">
        <f>AH226+AI226</f>
        <v>40497</v>
      </c>
      <c r="AK226" s="56">
        <v>0</v>
      </c>
    </row>
    <row r="227">
      <c r="A227" s="48">
        <v>46132.49363425926</v>
      </c>
      <c r="B227" s="49" t="s">
        <v>108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166004697</v>
      </c>
      <c r="H227" s="52">
        <v>380.1</v>
      </c>
      <c r="I227" s="52">
        <f>L227+M227+N227</f>
        <v>329.9848</v>
      </c>
      <c r="J227" s="52">
        <f>O227+P227</f>
        <v>50.1152</v>
      </c>
      <c r="K227" s="53">
        <f>IF(H227=I227+J227,0,W227)</f>
        <v>0</v>
      </c>
      <c r="L227" s="52">
        <v>116.8596</v>
      </c>
      <c r="M227" s="52">
        <v>213.1252</v>
      </c>
      <c r="N227" s="52">
        <v>0</v>
      </c>
      <c r="O227" s="52">
        <v>24.5404</v>
      </c>
      <c r="P227" s="52">
        <v>25.5748</v>
      </c>
      <c r="Q227" s="54">
        <v>329.9848</v>
      </c>
      <c r="R227" s="52">
        <v>380.1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380.1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46132.49363425926</v>
      </c>
      <c r="AH227" s="52">
        <v>40497</v>
      </c>
      <c r="AI227" s="52">
        <v>0</v>
      </c>
      <c r="AJ227" s="53">
        <f>AH227+AI227</f>
        <v>40497</v>
      </c>
      <c r="AK227" s="56">
        <v>0</v>
      </c>
    </row>
    <row r="228">
      <c r="A228" s="48">
        <v>46132.49606481481</v>
      </c>
      <c r="B228" s="49" t="s">
        <v>108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166004698</v>
      </c>
      <c r="H228" s="52">
        <v>1031.18</v>
      </c>
      <c r="I228" s="52">
        <f>L228+M228+N228</f>
        <v>883.7056</v>
      </c>
      <c r="J228" s="52">
        <f>O228+P228</f>
        <v>147.4744</v>
      </c>
      <c r="K228" s="53">
        <f>IF(H228=I228+J228,0,W228)</f>
        <v>0</v>
      </c>
      <c r="L228" s="52">
        <v>460.3306</v>
      </c>
      <c r="M228" s="52">
        <v>423.375</v>
      </c>
      <c r="N228" s="52">
        <v>0</v>
      </c>
      <c r="O228" s="52">
        <v>96.6694</v>
      </c>
      <c r="P228" s="52">
        <v>50.805</v>
      </c>
      <c r="Q228" s="54">
        <v>883.7056</v>
      </c>
      <c r="R228" s="52">
        <v>1031.18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1031.18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46132.49606481481</v>
      </c>
      <c r="AH228" s="52">
        <v>40497</v>
      </c>
      <c r="AI228" s="52">
        <v>0</v>
      </c>
      <c r="AJ228" s="53">
        <f>AH228+AI228</f>
        <v>40497</v>
      </c>
      <c r="AK228" s="56">
        <v>8.97</v>
      </c>
    </row>
    <row r="229">
      <c r="A229" s="48">
        <v>46132.49700231481</v>
      </c>
      <c r="B229" s="49" t="s">
        <v>108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166004699</v>
      </c>
      <c r="H229" s="52">
        <v>133</v>
      </c>
      <c r="I229" s="52">
        <f>L229+M229+N229</f>
        <v>119.0179</v>
      </c>
      <c r="J229" s="52">
        <f>O229+P229</f>
        <v>14.2821</v>
      </c>
      <c r="K229" s="53">
        <f>IF(H229=I229+J229,0,W229)</f>
        <v>-0.3</v>
      </c>
      <c r="L229" s="52">
        <v>0</v>
      </c>
      <c r="M229" s="52">
        <v>119.0179</v>
      </c>
      <c r="N229" s="52">
        <v>0</v>
      </c>
      <c r="O229" s="52">
        <v>0</v>
      </c>
      <c r="P229" s="52">
        <v>14.2821</v>
      </c>
      <c r="Q229" s="54">
        <v>119.0179</v>
      </c>
      <c r="R229" s="52">
        <v>133.3</v>
      </c>
      <c r="S229" s="52">
        <v>0</v>
      </c>
      <c r="T229" s="52">
        <v>0</v>
      </c>
      <c r="U229" s="52">
        <v>0</v>
      </c>
      <c r="V229" s="52">
        <v>0</v>
      </c>
      <c r="W229" s="52">
        <v>-0.3</v>
      </c>
      <c r="X229" s="54">
        <v>150</v>
      </c>
      <c r="Y229" s="52">
        <v>0</v>
      </c>
      <c r="Z229" s="52">
        <v>0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46132.49700231481</v>
      </c>
      <c r="AH229" s="52">
        <v>40630</v>
      </c>
      <c r="AI229" s="52">
        <v>0</v>
      </c>
      <c r="AJ229" s="53">
        <f>AH229+AI229</f>
        <v>40630</v>
      </c>
      <c r="AK229" s="56">
        <v>0</v>
      </c>
    </row>
    <row r="230">
      <c r="A230" s="48">
        <v>46132.497511574074</v>
      </c>
      <c r="B230" s="49" t="s">
        <v>108</v>
      </c>
      <c r="C230" s="49" t="s">
        <v>106</v>
      </c>
      <c r="D230" s="49" t="s">
        <v>5</v>
      </c>
      <c r="E230" s="50">
        <v>96</v>
      </c>
      <c r="F230" s="49" t="s">
        <v>107</v>
      </c>
      <c r="G230" s="51">
        <v>166004700</v>
      </c>
      <c r="H230" s="52">
        <v>547</v>
      </c>
      <c r="I230" s="52">
        <f>L230+M230+N230</f>
        <v>476.52880000000005</v>
      </c>
      <c r="J230" s="52">
        <f>O230+P230</f>
        <v>70.0512</v>
      </c>
      <c r="K230" s="53">
        <f>IF(H230=I230+J230,0,W230)</f>
        <v>0.42</v>
      </c>
      <c r="L230" s="52">
        <v>142.9752</v>
      </c>
      <c r="M230" s="52">
        <v>333.5536</v>
      </c>
      <c r="N230" s="52">
        <v>0</v>
      </c>
      <c r="O230" s="52">
        <v>30.0248</v>
      </c>
      <c r="P230" s="52">
        <v>40.0264</v>
      </c>
      <c r="Q230" s="54">
        <v>476.5288</v>
      </c>
      <c r="R230" s="52">
        <v>546.58</v>
      </c>
      <c r="S230" s="52">
        <v>0</v>
      </c>
      <c r="T230" s="52">
        <v>0</v>
      </c>
      <c r="U230" s="52">
        <v>0</v>
      </c>
      <c r="V230" s="52">
        <v>0</v>
      </c>
      <c r="W230" s="52">
        <v>0.42</v>
      </c>
      <c r="X230" s="54">
        <v>1000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46132.497511574074</v>
      </c>
      <c r="AH230" s="52">
        <v>41177</v>
      </c>
      <c r="AI230" s="52">
        <v>0</v>
      </c>
      <c r="AJ230" s="53">
        <f>AH230+AI230</f>
        <v>41177</v>
      </c>
      <c r="AK230" s="56">
        <v>0</v>
      </c>
    </row>
    <row r="231">
      <c r="A231" s="48">
        <v>46132.49790509259</v>
      </c>
      <c r="B231" s="49" t="s">
        <v>108</v>
      </c>
      <c r="C231" s="49" t="s">
        <v>106</v>
      </c>
      <c r="D231" s="49" t="s">
        <v>5</v>
      </c>
      <c r="E231" s="50">
        <v>96</v>
      </c>
      <c r="F231" s="49" t="s">
        <v>107</v>
      </c>
      <c r="G231" s="51">
        <v>166004701</v>
      </c>
      <c r="H231" s="52">
        <v>19.9</v>
      </c>
      <c r="I231" s="52">
        <f>L231+M231+N231</f>
        <v>17.7679</v>
      </c>
      <c r="J231" s="52">
        <f>O231+P231</f>
        <v>2.1321</v>
      </c>
      <c r="K231" s="53">
        <f>IF(H231=I231+J231,0,W231)</f>
        <v>0</v>
      </c>
      <c r="L231" s="52">
        <v>0</v>
      </c>
      <c r="M231" s="52">
        <v>17.7679</v>
      </c>
      <c r="N231" s="52">
        <v>0</v>
      </c>
      <c r="O231" s="52">
        <v>0</v>
      </c>
      <c r="P231" s="52">
        <v>2.1321</v>
      </c>
      <c r="Q231" s="54">
        <v>17.7679</v>
      </c>
      <c r="R231" s="52">
        <v>19.9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0</v>
      </c>
      <c r="Y231" s="52">
        <v>0</v>
      </c>
      <c r="Z231" s="52">
        <v>19.9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46132.49790509259</v>
      </c>
      <c r="AH231" s="52">
        <v>41177</v>
      </c>
      <c r="AI231" s="52">
        <v>0</v>
      </c>
      <c r="AJ231" s="53">
        <f>AH231+AI231</f>
        <v>41177</v>
      </c>
      <c r="AK231" s="56">
        <v>0</v>
      </c>
    </row>
    <row r="232">
      <c r="A232" s="48">
        <v>46132.49831018518</v>
      </c>
      <c r="B232" s="49" t="s">
        <v>99</v>
      </c>
      <c r="C232" s="49" t="s">
        <v>111</v>
      </c>
      <c r="D232" s="49" t="s">
        <v>5</v>
      </c>
      <c r="E232" s="50">
        <v>96</v>
      </c>
      <c r="F232" s="49" t="s">
        <v>109</v>
      </c>
      <c r="G232" s="51"/>
      <c r="H232" s="52">
        <v>0</v>
      </c>
      <c r="I232" s="52">
        <f>L232+M232+N232</f>
        <v>0</v>
      </c>
      <c r="J232" s="52">
        <f>O232+P232</f>
        <v>0</v>
      </c>
      <c r="K232" s="53">
        <f>IF(H232=I232+J232,0,W232)</f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  <c r="Q232" s="54">
        <v>0</v>
      </c>
      <c r="R232" s="52">
        <v>0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/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46132.49831018518</v>
      </c>
      <c r="AH232" s="52">
        <v>23360</v>
      </c>
      <c r="AI232" s="52">
        <v>0</v>
      </c>
      <c r="AJ232" s="53">
        <f>AH232+AI232</f>
        <v>23360</v>
      </c>
      <c r="AK232" s="56"/>
    </row>
    <row r="233">
      <c r="A233" s="48">
        <v>46132.49869212963</v>
      </c>
      <c r="B233" s="49" t="s">
        <v>108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166004702</v>
      </c>
      <c r="H233" s="52">
        <v>639.82</v>
      </c>
      <c r="I233" s="52">
        <f>L233+M233+N233</f>
        <v>571.0155</v>
      </c>
      <c r="J233" s="52">
        <f>O233+P233</f>
        <v>68.8045</v>
      </c>
      <c r="K233" s="53">
        <f>IF(H233=I233+J233,0,W233)</f>
        <v>0</v>
      </c>
      <c r="L233" s="52">
        <v>3.1404</v>
      </c>
      <c r="M233" s="52">
        <v>567.8751</v>
      </c>
      <c r="N233" s="52">
        <v>0</v>
      </c>
      <c r="O233" s="52">
        <v>0.6596</v>
      </c>
      <c r="P233" s="52">
        <v>68.1449</v>
      </c>
      <c r="Q233" s="54">
        <v>571.0155</v>
      </c>
      <c r="R233" s="52">
        <v>639.82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639.82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46132.49869212963</v>
      </c>
      <c r="AH233" s="52">
        <v>41177</v>
      </c>
      <c r="AI233" s="52">
        <v>0</v>
      </c>
      <c r="AJ233" s="53">
        <f>AH233+AI233</f>
        <v>41177</v>
      </c>
      <c r="AK233" s="56">
        <v>142.08</v>
      </c>
    </row>
    <row r="234">
      <c r="A234" s="48">
        <v>46132.49899305555</v>
      </c>
      <c r="B234" s="49" t="s">
        <v>108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166004703</v>
      </c>
      <c r="H234" s="52">
        <v>91</v>
      </c>
      <c r="I234" s="52">
        <f>L234+M234+N234</f>
        <v>80.8036</v>
      </c>
      <c r="J234" s="52">
        <f>O234+P234</f>
        <v>9.6964</v>
      </c>
      <c r="K234" s="53">
        <f>IF(H234=I234+J234,0,W234)</f>
        <v>0.5</v>
      </c>
      <c r="L234" s="52">
        <v>0</v>
      </c>
      <c r="M234" s="52">
        <v>80.8036</v>
      </c>
      <c r="N234" s="52">
        <v>0</v>
      </c>
      <c r="O234" s="52">
        <v>0</v>
      </c>
      <c r="P234" s="52">
        <v>9.6964</v>
      </c>
      <c r="Q234" s="54">
        <v>80.8036</v>
      </c>
      <c r="R234" s="52">
        <v>90.5</v>
      </c>
      <c r="S234" s="52">
        <v>0</v>
      </c>
      <c r="T234" s="52">
        <v>0</v>
      </c>
      <c r="U234" s="52">
        <v>0</v>
      </c>
      <c r="V234" s="52">
        <v>0</v>
      </c>
      <c r="W234" s="52">
        <v>0.5</v>
      </c>
      <c r="X234" s="54">
        <v>91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46132.49899305555</v>
      </c>
      <c r="AH234" s="52">
        <v>41268</v>
      </c>
      <c r="AI234" s="52">
        <v>0</v>
      </c>
      <c r="AJ234" s="53">
        <f>AH234+AI234</f>
        <v>41268</v>
      </c>
      <c r="AK234" s="56">
        <v>0</v>
      </c>
    </row>
    <row r="235">
      <c r="A235" s="48">
        <v>46132.499131944445</v>
      </c>
      <c r="B235" s="49" t="s">
        <v>108</v>
      </c>
      <c r="C235" s="49" t="s">
        <v>111</v>
      </c>
      <c r="D235" s="49" t="s">
        <v>5</v>
      </c>
      <c r="E235" s="50">
        <v>96</v>
      </c>
      <c r="F235" s="49" t="s">
        <v>109</v>
      </c>
      <c r="G235" s="51">
        <v>169002596</v>
      </c>
      <c r="H235" s="52">
        <v>227.1</v>
      </c>
      <c r="I235" s="52">
        <f>L235+M235+N235</f>
        <v>200.9151</v>
      </c>
      <c r="J235" s="52">
        <f>O235+P235</f>
        <v>26.1849</v>
      </c>
      <c r="K235" s="53">
        <f>IF(H235=I235+J235,0,W235)</f>
        <v>0</v>
      </c>
      <c r="L235" s="52">
        <v>23.0579</v>
      </c>
      <c r="M235" s="52">
        <v>177.8572</v>
      </c>
      <c r="N235" s="52">
        <v>0</v>
      </c>
      <c r="O235" s="52">
        <v>4.8421</v>
      </c>
      <c r="P235" s="52">
        <v>21.3428</v>
      </c>
      <c r="Q235" s="54">
        <v>200.9151</v>
      </c>
      <c r="R235" s="52">
        <v>227.1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227.1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46132.499131944445</v>
      </c>
      <c r="AH235" s="52">
        <v>23360</v>
      </c>
      <c r="AI235" s="52">
        <v>0</v>
      </c>
      <c r="AJ235" s="53">
        <f>AH235+AI235</f>
        <v>23360</v>
      </c>
      <c r="AK235" s="56">
        <v>0</v>
      </c>
    </row>
    <row r="236">
      <c r="A236" s="48">
        <v>46132.49943287037</v>
      </c>
      <c r="B236" s="49" t="s">
        <v>108</v>
      </c>
      <c r="C236" s="49" t="s">
        <v>111</v>
      </c>
      <c r="D236" s="49" t="s">
        <v>5</v>
      </c>
      <c r="E236" s="50">
        <v>96</v>
      </c>
      <c r="F236" s="49" t="s">
        <v>109</v>
      </c>
      <c r="G236" s="51">
        <v>169002597</v>
      </c>
      <c r="H236" s="52">
        <v>42.9</v>
      </c>
      <c r="I236" s="52">
        <f>L236+M236+N236</f>
        <v>38.3036</v>
      </c>
      <c r="J236" s="52">
        <f>O236+P236</f>
        <v>4.5964</v>
      </c>
      <c r="K236" s="53">
        <f>IF(H236=I236+J236,0,W236)</f>
        <v>0</v>
      </c>
      <c r="L236" s="52">
        <v>0</v>
      </c>
      <c r="M236" s="52">
        <v>38.3036</v>
      </c>
      <c r="N236" s="52">
        <v>0</v>
      </c>
      <c r="O236" s="52">
        <v>0</v>
      </c>
      <c r="P236" s="52">
        <v>4.5964</v>
      </c>
      <c r="Q236" s="54">
        <v>38.3036</v>
      </c>
      <c r="R236" s="52">
        <v>42.9</v>
      </c>
      <c r="S236" s="52">
        <v>0</v>
      </c>
      <c r="T236" s="52">
        <v>0</v>
      </c>
      <c r="U236" s="52">
        <v>0</v>
      </c>
      <c r="V236" s="52">
        <v>0</v>
      </c>
      <c r="W236" s="52">
        <v>0</v>
      </c>
      <c r="X236" s="54">
        <v>0</v>
      </c>
      <c r="Y236" s="52">
        <v>0</v>
      </c>
      <c r="Z236" s="52">
        <v>42.9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46132.49943287037</v>
      </c>
      <c r="AH236" s="52">
        <v>23360</v>
      </c>
      <c r="AI236" s="52">
        <v>0</v>
      </c>
      <c r="AJ236" s="53">
        <f>AH236+AI236</f>
        <v>23360</v>
      </c>
      <c r="AK236" s="56">
        <v>0</v>
      </c>
    </row>
    <row r="237">
      <c r="A237" s="48">
        <v>46132.49962962963</v>
      </c>
      <c r="B237" s="49" t="s">
        <v>108</v>
      </c>
      <c r="C237" s="49" t="s">
        <v>100</v>
      </c>
      <c r="D237" s="49" t="s">
        <v>5</v>
      </c>
      <c r="E237" s="50">
        <v>96</v>
      </c>
      <c r="F237" s="49" t="s">
        <v>105</v>
      </c>
      <c r="G237" s="51">
        <v>161000347</v>
      </c>
      <c r="H237" s="52">
        <v>67.8</v>
      </c>
      <c r="I237" s="52">
        <f>L237+M237+N237</f>
        <v>60.53</v>
      </c>
      <c r="J237" s="52">
        <f>O237+P237</f>
        <v>7.27</v>
      </c>
      <c r="K237" s="53">
        <f>IF(H237=I237+J237,0,W237)</f>
        <v>0</v>
      </c>
      <c r="L237" s="52">
        <v>0</v>
      </c>
      <c r="M237" s="52">
        <v>60.53</v>
      </c>
      <c r="N237" s="52">
        <v>0</v>
      </c>
      <c r="O237" s="52">
        <v>0</v>
      </c>
      <c r="P237" s="52">
        <v>7.27</v>
      </c>
      <c r="Q237" s="54">
        <v>60.53</v>
      </c>
      <c r="R237" s="52">
        <v>67.8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67.8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46132.49962962963</v>
      </c>
      <c r="AH237" s="52">
        <v>0</v>
      </c>
      <c r="AI237" s="52">
        <v>0</v>
      </c>
      <c r="AJ237" s="53">
        <f>AH237+AI237</f>
        <v>0</v>
      </c>
      <c r="AK237" s="56">
        <v>0</v>
      </c>
    </row>
    <row r="238">
      <c r="A238" s="48">
        <v>46132.49978009259</v>
      </c>
      <c r="B238" s="49" t="s">
        <v>108</v>
      </c>
      <c r="C238" s="49" t="s">
        <v>111</v>
      </c>
      <c r="D238" s="49" t="s">
        <v>5</v>
      </c>
      <c r="E238" s="50">
        <v>96</v>
      </c>
      <c r="F238" s="49" t="s">
        <v>109</v>
      </c>
      <c r="G238" s="51">
        <v>169002598</v>
      </c>
      <c r="H238" s="52">
        <v>250</v>
      </c>
      <c r="I238" s="52">
        <f>L238+M238+N238</f>
        <v>223.5714</v>
      </c>
      <c r="J238" s="52">
        <f>O238+P238</f>
        <v>26.8286</v>
      </c>
      <c r="K238" s="53">
        <f>IF(H238=I238+J238,0,W238)</f>
        <v>-0.4</v>
      </c>
      <c r="L238" s="52">
        <v>0</v>
      </c>
      <c r="M238" s="52">
        <v>223.5714</v>
      </c>
      <c r="N238" s="52">
        <v>0</v>
      </c>
      <c r="O238" s="52">
        <v>0</v>
      </c>
      <c r="P238" s="52">
        <v>26.8286</v>
      </c>
      <c r="Q238" s="54">
        <v>223.5714</v>
      </c>
      <c r="R238" s="52">
        <v>250.4</v>
      </c>
      <c r="S238" s="52">
        <v>0</v>
      </c>
      <c r="T238" s="52">
        <v>0</v>
      </c>
      <c r="U238" s="52">
        <v>0</v>
      </c>
      <c r="V238" s="52">
        <v>0</v>
      </c>
      <c r="W238" s="52">
        <v>-0.4</v>
      </c>
      <c r="X238" s="54">
        <v>500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46132.49978009259</v>
      </c>
      <c r="AH238" s="52">
        <v>23610</v>
      </c>
      <c r="AI238" s="52">
        <v>0</v>
      </c>
      <c r="AJ238" s="53">
        <f>AH238+AI238</f>
        <v>23610</v>
      </c>
      <c r="AK238" s="56">
        <v>0</v>
      </c>
    </row>
    <row r="239">
      <c r="A239" s="48">
        <v>46132.50009259259</v>
      </c>
      <c r="B239" s="49" t="s">
        <v>108</v>
      </c>
      <c r="C239" s="49" t="s">
        <v>106</v>
      </c>
      <c r="D239" s="49" t="s">
        <v>5</v>
      </c>
      <c r="E239" s="50">
        <v>96</v>
      </c>
      <c r="F239" s="49" t="s">
        <v>107</v>
      </c>
      <c r="G239" s="51">
        <v>166004704</v>
      </c>
      <c r="H239" s="52">
        <v>101.83</v>
      </c>
      <c r="I239" s="52">
        <f>L239+M239+N239</f>
        <v>90.9197</v>
      </c>
      <c r="J239" s="52">
        <f>O239+P239</f>
        <v>10.9103</v>
      </c>
      <c r="K239" s="53">
        <f>IF(H239=I239+J239,0,W239)</f>
        <v>0</v>
      </c>
      <c r="L239" s="52">
        <v>0</v>
      </c>
      <c r="M239" s="52">
        <v>90.9197</v>
      </c>
      <c r="N239" s="52">
        <v>0</v>
      </c>
      <c r="O239" s="52">
        <v>0</v>
      </c>
      <c r="P239" s="52">
        <v>10.9103</v>
      </c>
      <c r="Q239" s="54">
        <v>90.9197</v>
      </c>
      <c r="R239" s="52">
        <v>101.83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101.83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46132.50009259259</v>
      </c>
      <c r="AH239" s="52">
        <v>41268</v>
      </c>
      <c r="AI239" s="52">
        <v>0</v>
      </c>
      <c r="AJ239" s="53">
        <f>AH239+AI239</f>
        <v>41268</v>
      </c>
      <c r="AK239" s="56">
        <v>0</v>
      </c>
    </row>
    <row r="240">
      <c r="A240" s="48">
        <v>46132.50059027778</v>
      </c>
      <c r="B240" s="49" t="s">
        <v>108</v>
      </c>
      <c r="C240" s="49" t="s">
        <v>111</v>
      </c>
      <c r="D240" s="49" t="s">
        <v>5</v>
      </c>
      <c r="E240" s="50">
        <v>96</v>
      </c>
      <c r="F240" s="49" t="s">
        <v>109</v>
      </c>
      <c r="G240" s="51">
        <v>169002599</v>
      </c>
      <c r="H240" s="52">
        <v>158.4</v>
      </c>
      <c r="I240" s="52">
        <f>L240+M240+N240</f>
        <v>141.4286</v>
      </c>
      <c r="J240" s="52">
        <f>O240+P240</f>
        <v>16.9714</v>
      </c>
      <c r="K240" s="53">
        <f>IF(H240=I240+J240,0,W240)</f>
        <v>0</v>
      </c>
      <c r="L240" s="52">
        <v>0</v>
      </c>
      <c r="M240" s="52">
        <v>141.4286</v>
      </c>
      <c r="N240" s="52">
        <v>0</v>
      </c>
      <c r="O240" s="52">
        <v>0</v>
      </c>
      <c r="P240" s="52">
        <v>16.9714</v>
      </c>
      <c r="Q240" s="54">
        <v>141.4286</v>
      </c>
      <c r="R240" s="52">
        <v>158.4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158.4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46132.50059027778</v>
      </c>
      <c r="AH240" s="52">
        <v>23610</v>
      </c>
      <c r="AI240" s="52">
        <v>0</v>
      </c>
      <c r="AJ240" s="53">
        <f>AH240+AI240</f>
        <v>23610</v>
      </c>
      <c r="AK240" s="56">
        <v>0</v>
      </c>
    </row>
    <row r="241">
      <c r="A241" s="48">
        <v>46132.50109953704</v>
      </c>
      <c r="B241" s="49" t="s">
        <v>108</v>
      </c>
      <c r="C241" s="49" t="s">
        <v>106</v>
      </c>
      <c r="D241" s="49" t="s">
        <v>5</v>
      </c>
      <c r="E241" s="50">
        <v>96</v>
      </c>
      <c r="F241" s="49" t="s">
        <v>107</v>
      </c>
      <c r="G241" s="51">
        <v>166004705</v>
      </c>
      <c r="H241" s="52">
        <v>108.71</v>
      </c>
      <c r="I241" s="52">
        <f>L241+M241+N241</f>
        <v>97.0625</v>
      </c>
      <c r="J241" s="52">
        <f>O241+P241</f>
        <v>11.6475</v>
      </c>
      <c r="K241" s="53">
        <f>IF(H241=I241+J241,0,W241)</f>
        <v>0</v>
      </c>
      <c r="L241" s="52">
        <v>0</v>
      </c>
      <c r="M241" s="52">
        <v>97.0625</v>
      </c>
      <c r="N241" s="52">
        <v>0</v>
      </c>
      <c r="O241" s="52">
        <v>0</v>
      </c>
      <c r="P241" s="52">
        <v>11.6475</v>
      </c>
      <c r="Q241" s="54">
        <v>97.0625</v>
      </c>
      <c r="R241" s="52">
        <v>108.71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0</v>
      </c>
      <c r="Y241" s="52">
        <v>0</v>
      </c>
      <c r="Z241" s="52">
        <v>108.71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46132.50109953704</v>
      </c>
      <c r="AH241" s="52">
        <v>41268</v>
      </c>
      <c r="AI241" s="52">
        <v>0</v>
      </c>
      <c r="AJ241" s="53">
        <f>AH241+AI241</f>
        <v>41268</v>
      </c>
      <c r="AK241" s="56">
        <v>0</v>
      </c>
    </row>
    <row r="242">
      <c r="A242" s="48">
        <v>46132.50244212963</v>
      </c>
      <c r="B242" s="49" t="s">
        <v>108</v>
      </c>
      <c r="C242" s="49" t="s">
        <v>100</v>
      </c>
      <c r="D242" s="49" t="s">
        <v>5</v>
      </c>
      <c r="E242" s="50">
        <v>96</v>
      </c>
      <c r="F242" s="49" t="s">
        <v>105</v>
      </c>
      <c r="G242" s="51">
        <v>161000348</v>
      </c>
      <c r="H242" s="52">
        <v>43.8</v>
      </c>
      <c r="I242" s="52">
        <f>L242+M242+N242</f>
        <v>36.18</v>
      </c>
      <c r="J242" s="52">
        <f>O242+P242</f>
        <v>7.62</v>
      </c>
      <c r="K242" s="53">
        <f>IF(H242=I242+J242,0,W242)</f>
        <v>0</v>
      </c>
      <c r="L242" s="52">
        <v>36.18</v>
      </c>
      <c r="M242" s="52">
        <v>0</v>
      </c>
      <c r="N242" s="52">
        <v>0</v>
      </c>
      <c r="O242" s="52">
        <v>7.62</v>
      </c>
      <c r="P242" s="52">
        <v>0</v>
      </c>
      <c r="Q242" s="54">
        <v>36.18</v>
      </c>
      <c r="R242" s="52">
        <v>43.8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>
        <v>0</v>
      </c>
      <c r="Y242" s="52">
        <v>0</v>
      </c>
      <c r="Z242" s="52">
        <v>43.8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46132.50244212963</v>
      </c>
      <c r="AH242" s="52">
        <v>0</v>
      </c>
      <c r="AI242" s="52">
        <v>0</v>
      </c>
      <c r="AJ242" s="53">
        <f>AH242+AI242</f>
        <v>0</v>
      </c>
      <c r="AK242" s="56">
        <v>0</v>
      </c>
    </row>
    <row r="243">
      <c r="A243" s="48">
        <v>46132.50277777778</v>
      </c>
      <c r="B243" s="49" t="s">
        <v>108</v>
      </c>
      <c r="C243" s="49" t="s">
        <v>106</v>
      </c>
      <c r="D243" s="49" t="s">
        <v>5</v>
      </c>
      <c r="E243" s="50">
        <v>96</v>
      </c>
      <c r="F243" s="49" t="s">
        <v>107</v>
      </c>
      <c r="G243" s="51">
        <v>166004706</v>
      </c>
      <c r="H243" s="52">
        <v>34.8</v>
      </c>
      <c r="I243" s="52">
        <f>L243+M243+N243</f>
        <v>29.7499</v>
      </c>
      <c r="J243" s="52">
        <f>O243+P243</f>
        <v>5.0501000000000005</v>
      </c>
      <c r="K243" s="53">
        <f>IF(H243=I243+J243,0,W243)</f>
        <v>0</v>
      </c>
      <c r="L243" s="52">
        <v>16.4463</v>
      </c>
      <c r="M243" s="52">
        <v>13.3036</v>
      </c>
      <c r="N243" s="52">
        <v>0</v>
      </c>
      <c r="O243" s="52">
        <v>3.4537</v>
      </c>
      <c r="P243" s="52">
        <v>1.5964</v>
      </c>
      <c r="Q243" s="54">
        <v>29.7499</v>
      </c>
      <c r="R243" s="52">
        <v>34.8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34.8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46132.50277777778</v>
      </c>
      <c r="AH243" s="52">
        <v>41268</v>
      </c>
      <c r="AI243" s="52">
        <v>0</v>
      </c>
      <c r="AJ243" s="53">
        <f>AH243+AI243</f>
        <v>41268</v>
      </c>
      <c r="AK243" s="56">
        <v>0</v>
      </c>
    </row>
    <row r="244">
      <c r="A244" s="48">
        <v>46132.503217592595</v>
      </c>
      <c r="B244" s="49" t="s">
        <v>108</v>
      </c>
      <c r="C244" s="49" t="s">
        <v>106</v>
      </c>
      <c r="D244" s="49" t="s">
        <v>5</v>
      </c>
      <c r="E244" s="50">
        <v>96</v>
      </c>
      <c r="F244" s="49" t="s">
        <v>107</v>
      </c>
      <c r="G244" s="51">
        <v>166004707</v>
      </c>
      <c r="H244" s="52">
        <v>17</v>
      </c>
      <c r="I244" s="52">
        <f>L244+M244+N244</f>
        <v>15.0893</v>
      </c>
      <c r="J244" s="52">
        <f>O244+P244</f>
        <v>1.8107</v>
      </c>
      <c r="K244" s="53">
        <f>IF(H244=I244+J244,0,W244)</f>
        <v>0.1</v>
      </c>
      <c r="L244" s="52">
        <v>0</v>
      </c>
      <c r="M244" s="52">
        <v>15.0893</v>
      </c>
      <c r="N244" s="52">
        <v>0</v>
      </c>
      <c r="O244" s="52">
        <v>0</v>
      </c>
      <c r="P244" s="52">
        <v>1.8107</v>
      </c>
      <c r="Q244" s="54">
        <v>15.0893</v>
      </c>
      <c r="R244" s="52">
        <v>16.9</v>
      </c>
      <c r="S244" s="52">
        <v>0</v>
      </c>
      <c r="T244" s="52">
        <v>0</v>
      </c>
      <c r="U244" s="52">
        <v>0</v>
      </c>
      <c r="V244" s="52">
        <v>0</v>
      </c>
      <c r="W244" s="52">
        <v>0.1</v>
      </c>
      <c r="X244" s="54">
        <v>17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46132.503217592595</v>
      </c>
      <c r="AH244" s="52">
        <v>41285</v>
      </c>
      <c r="AI244" s="52">
        <v>0</v>
      </c>
      <c r="AJ244" s="53">
        <f>AH244+AI244</f>
        <v>41285</v>
      </c>
      <c r="AK244" s="56">
        <v>0</v>
      </c>
    </row>
    <row r="245">
      <c r="A245" s="48">
        <v>46132.50472222222</v>
      </c>
      <c r="B245" s="49" t="s">
        <v>108</v>
      </c>
      <c r="C245" s="49" t="s">
        <v>106</v>
      </c>
      <c r="D245" s="49" t="s">
        <v>5</v>
      </c>
      <c r="E245" s="50">
        <v>96</v>
      </c>
      <c r="F245" s="49" t="s">
        <v>107</v>
      </c>
      <c r="G245" s="51">
        <v>166004708</v>
      </c>
      <c r="H245" s="52">
        <v>26.9</v>
      </c>
      <c r="I245" s="52">
        <f>L245+M245+N245</f>
        <v>22.2314</v>
      </c>
      <c r="J245" s="52">
        <f>O245+P245</f>
        <v>4.6686</v>
      </c>
      <c r="K245" s="53">
        <f>IF(H245=I245+J245,0,W245)</f>
        <v>0</v>
      </c>
      <c r="L245" s="52">
        <v>22.2314</v>
      </c>
      <c r="M245" s="52">
        <v>0</v>
      </c>
      <c r="N245" s="52">
        <v>0</v>
      </c>
      <c r="O245" s="52">
        <v>4.6686</v>
      </c>
      <c r="P245" s="52">
        <v>0</v>
      </c>
      <c r="Q245" s="54">
        <v>22.2314</v>
      </c>
      <c r="R245" s="52">
        <v>26.9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0</v>
      </c>
      <c r="Y245" s="52">
        <v>0</v>
      </c>
      <c r="Z245" s="52">
        <v>26.9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46132.50472222222</v>
      </c>
      <c r="AH245" s="52">
        <v>41285</v>
      </c>
      <c r="AI245" s="52">
        <v>0</v>
      </c>
      <c r="AJ245" s="53">
        <f>AH245+AI245</f>
        <v>41285</v>
      </c>
      <c r="AK245" s="56">
        <v>0</v>
      </c>
    </row>
    <row r="246">
      <c r="A246" s="48">
        <v>46132.50482638889</v>
      </c>
      <c r="B246" s="49" t="s">
        <v>108</v>
      </c>
      <c r="C246" s="49" t="s">
        <v>106</v>
      </c>
      <c r="D246" s="49" t="s">
        <v>5</v>
      </c>
      <c r="E246" s="50">
        <v>96</v>
      </c>
      <c r="F246" s="49" t="s">
        <v>107</v>
      </c>
      <c r="G246" s="51">
        <v>166004709</v>
      </c>
      <c r="H246" s="52">
        <v>5</v>
      </c>
      <c r="I246" s="52">
        <f>L246+M246+N246</f>
        <v>4.0179</v>
      </c>
      <c r="J246" s="52">
        <f>O246+P246</f>
        <v>0.4821</v>
      </c>
      <c r="K246" s="53">
        <f>IF(H246=I246+J246,0,W246)</f>
        <v>0.5</v>
      </c>
      <c r="L246" s="52">
        <v>0</v>
      </c>
      <c r="M246" s="52">
        <v>4.0179</v>
      </c>
      <c r="N246" s="52">
        <v>0</v>
      </c>
      <c r="O246" s="52">
        <v>0</v>
      </c>
      <c r="P246" s="52">
        <v>0.4821</v>
      </c>
      <c r="Q246" s="54">
        <v>4.0179</v>
      </c>
      <c r="R246" s="52">
        <v>4.5</v>
      </c>
      <c r="S246" s="52">
        <v>0</v>
      </c>
      <c r="T246" s="52">
        <v>0</v>
      </c>
      <c r="U246" s="52">
        <v>0</v>
      </c>
      <c r="V246" s="52">
        <v>0</v>
      </c>
      <c r="W246" s="52">
        <v>0.5</v>
      </c>
      <c r="X246" s="54">
        <v>5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46132.50482638889</v>
      </c>
      <c r="AH246" s="52">
        <v>41290</v>
      </c>
      <c r="AI246" s="52">
        <v>0</v>
      </c>
      <c r="AJ246" s="53">
        <f>AH246+AI246</f>
        <v>41290</v>
      </c>
      <c r="AK246" s="56">
        <v>0</v>
      </c>
    </row>
    <row r="247">
      <c r="A247" s="48">
        <v>46132.50633101852</v>
      </c>
      <c r="B247" s="49" t="s">
        <v>108</v>
      </c>
      <c r="C247" s="49" t="s">
        <v>106</v>
      </c>
      <c r="D247" s="49" t="s">
        <v>5</v>
      </c>
      <c r="E247" s="50">
        <v>96</v>
      </c>
      <c r="F247" s="49" t="s">
        <v>107</v>
      </c>
      <c r="G247" s="51">
        <v>166004710</v>
      </c>
      <c r="H247" s="52">
        <v>341.82</v>
      </c>
      <c r="I247" s="52">
        <f>L247+M247+N247</f>
        <v>305.0704</v>
      </c>
      <c r="J247" s="52">
        <f>O247+P247</f>
        <v>36.7496</v>
      </c>
      <c r="K247" s="53">
        <f>IF(H247=I247+J247,0,W247)</f>
        <v>0</v>
      </c>
      <c r="L247" s="52">
        <v>1.5702</v>
      </c>
      <c r="M247" s="52">
        <v>303.5002</v>
      </c>
      <c r="N247" s="52">
        <v>0</v>
      </c>
      <c r="O247" s="52">
        <v>0.3298</v>
      </c>
      <c r="P247" s="52">
        <v>36.4198</v>
      </c>
      <c r="Q247" s="54">
        <v>305.0704</v>
      </c>
      <c r="R247" s="52">
        <v>341.82</v>
      </c>
      <c r="S247" s="52">
        <v>0</v>
      </c>
      <c r="T247" s="52">
        <v>0</v>
      </c>
      <c r="U247" s="52">
        <v>0</v>
      </c>
      <c r="V247" s="52">
        <v>0</v>
      </c>
      <c r="W247" s="52">
        <v>0</v>
      </c>
      <c r="X247" s="54">
        <v>0</v>
      </c>
      <c r="Y247" s="52">
        <v>0</v>
      </c>
      <c r="Z247" s="52">
        <v>341.82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46132.50633101852</v>
      </c>
      <c r="AH247" s="52">
        <v>41290</v>
      </c>
      <c r="AI247" s="52">
        <v>0</v>
      </c>
      <c r="AJ247" s="53">
        <f>AH247+AI247</f>
        <v>41290</v>
      </c>
      <c r="AK247" s="56">
        <v>0</v>
      </c>
    </row>
    <row r="248">
      <c r="A248" s="48">
        <v>46132.506875</v>
      </c>
      <c r="B248" s="49" t="s">
        <v>108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166004711</v>
      </c>
      <c r="H248" s="52">
        <v>256.6</v>
      </c>
      <c r="I248" s="52">
        <f>L248+M248+N248</f>
        <v>218.5478</v>
      </c>
      <c r="J248" s="52">
        <f>O248+P248</f>
        <v>38.0522</v>
      </c>
      <c r="K248" s="53">
        <f>IF(H248=I248+J248,0,W248)</f>
        <v>0</v>
      </c>
      <c r="L248" s="52">
        <v>131.405</v>
      </c>
      <c r="M248" s="52">
        <v>87.1428</v>
      </c>
      <c r="N248" s="52">
        <v>0</v>
      </c>
      <c r="O248" s="52">
        <v>27.595</v>
      </c>
      <c r="P248" s="52">
        <v>10.4572</v>
      </c>
      <c r="Q248" s="54">
        <v>218.5478</v>
      </c>
      <c r="R248" s="52">
        <v>256.6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256.6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46132.506875</v>
      </c>
      <c r="AH248" s="52">
        <v>41290</v>
      </c>
      <c r="AI248" s="52">
        <v>0</v>
      </c>
      <c r="AJ248" s="53">
        <f>AH248+AI248</f>
        <v>41290</v>
      </c>
      <c r="AK248" s="56">
        <v>0</v>
      </c>
    </row>
    <row r="249">
      <c r="A249" s="48">
        <v>46132.51002314815</v>
      </c>
      <c r="B249" s="49" t="s">
        <v>108</v>
      </c>
      <c r="C249" s="49" t="s">
        <v>111</v>
      </c>
      <c r="D249" s="49" t="s">
        <v>5</v>
      </c>
      <c r="E249" s="50">
        <v>96</v>
      </c>
      <c r="F249" s="49" t="s">
        <v>109</v>
      </c>
      <c r="G249" s="51">
        <v>169002600</v>
      </c>
      <c r="H249" s="52">
        <v>40</v>
      </c>
      <c r="I249" s="52">
        <f>L249+M249+N249</f>
        <v>35.5358</v>
      </c>
      <c r="J249" s="52">
        <f>O249+P249</f>
        <v>4.2642</v>
      </c>
      <c r="K249" s="53">
        <f>IF(H249=I249+J249,0,W249)</f>
        <v>0.2</v>
      </c>
      <c r="L249" s="52">
        <v>0</v>
      </c>
      <c r="M249" s="52">
        <v>35.5358</v>
      </c>
      <c r="N249" s="52">
        <v>0</v>
      </c>
      <c r="O249" s="52">
        <v>0</v>
      </c>
      <c r="P249" s="52">
        <v>4.2642</v>
      </c>
      <c r="Q249" s="54">
        <v>35.5358</v>
      </c>
      <c r="R249" s="52">
        <v>39.8</v>
      </c>
      <c r="S249" s="52">
        <v>0</v>
      </c>
      <c r="T249" s="52">
        <v>0</v>
      </c>
      <c r="U249" s="52">
        <v>0</v>
      </c>
      <c r="V249" s="52">
        <v>0</v>
      </c>
      <c r="W249" s="52">
        <v>0.2</v>
      </c>
      <c r="X249" s="54">
        <v>40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46132.51002314815</v>
      </c>
      <c r="AH249" s="52">
        <v>23650</v>
      </c>
      <c r="AI249" s="52">
        <v>0</v>
      </c>
      <c r="AJ249" s="53">
        <f>AH249+AI249</f>
        <v>23650</v>
      </c>
      <c r="AK249" s="56">
        <v>0</v>
      </c>
    </row>
    <row r="250">
      <c r="A250" s="48">
        <v>46132.51033564815</v>
      </c>
      <c r="B250" s="49" t="s">
        <v>108</v>
      </c>
      <c r="C250" s="49" t="s">
        <v>111</v>
      </c>
      <c r="D250" s="49" t="s">
        <v>5</v>
      </c>
      <c r="E250" s="50">
        <v>96</v>
      </c>
      <c r="F250" s="49" t="s">
        <v>109</v>
      </c>
      <c r="G250" s="51">
        <v>169002601</v>
      </c>
      <c r="H250" s="52">
        <v>25</v>
      </c>
      <c r="I250" s="52">
        <f>L250+M250+N250</f>
        <v>22.2321</v>
      </c>
      <c r="J250" s="52">
        <f>O250+P250</f>
        <v>2.6679</v>
      </c>
      <c r="K250" s="53">
        <f>IF(H250=I250+J250,0,W250)</f>
        <v>0.1</v>
      </c>
      <c r="L250" s="52">
        <v>0</v>
      </c>
      <c r="M250" s="52">
        <v>22.2321</v>
      </c>
      <c r="N250" s="52">
        <v>0</v>
      </c>
      <c r="O250" s="52">
        <v>0</v>
      </c>
      <c r="P250" s="52">
        <v>2.6679</v>
      </c>
      <c r="Q250" s="54">
        <v>22.2321</v>
      </c>
      <c r="R250" s="52">
        <v>24.9</v>
      </c>
      <c r="S250" s="52">
        <v>0</v>
      </c>
      <c r="T250" s="52">
        <v>0</v>
      </c>
      <c r="U250" s="52">
        <v>0</v>
      </c>
      <c r="V250" s="52">
        <v>0</v>
      </c>
      <c r="W250" s="52">
        <v>0.1</v>
      </c>
      <c r="X250" s="54">
        <v>25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46132.51033564815</v>
      </c>
      <c r="AH250" s="52">
        <v>23675</v>
      </c>
      <c r="AI250" s="52">
        <v>0</v>
      </c>
      <c r="AJ250" s="53">
        <f>AH250+AI250</f>
        <v>23675</v>
      </c>
      <c r="AK250" s="56">
        <v>0</v>
      </c>
    </row>
    <row r="251">
      <c r="A251" s="48">
        <v>46132.5108912037</v>
      </c>
      <c r="B251" s="49" t="s">
        <v>108</v>
      </c>
      <c r="C251" s="49" t="s">
        <v>111</v>
      </c>
      <c r="D251" s="49" t="s">
        <v>5</v>
      </c>
      <c r="E251" s="50">
        <v>96</v>
      </c>
      <c r="F251" s="49" t="s">
        <v>109</v>
      </c>
      <c r="G251" s="51">
        <v>169002602</v>
      </c>
      <c r="H251" s="52">
        <v>30</v>
      </c>
      <c r="I251" s="52">
        <f>L251+M251+N251</f>
        <v>24.7107</v>
      </c>
      <c r="J251" s="52">
        <f>O251+P251</f>
        <v>5.1893</v>
      </c>
      <c r="K251" s="53">
        <f>IF(H251=I251+J251,0,W251)</f>
        <v>0.1</v>
      </c>
      <c r="L251" s="52">
        <v>24.7107</v>
      </c>
      <c r="M251" s="52">
        <v>0</v>
      </c>
      <c r="N251" s="52">
        <v>0</v>
      </c>
      <c r="O251" s="52">
        <v>5.1893</v>
      </c>
      <c r="P251" s="52">
        <v>0</v>
      </c>
      <c r="Q251" s="54">
        <v>24.7107</v>
      </c>
      <c r="R251" s="52">
        <v>29.9</v>
      </c>
      <c r="S251" s="52">
        <v>0</v>
      </c>
      <c r="T251" s="52">
        <v>0</v>
      </c>
      <c r="U251" s="52">
        <v>0</v>
      </c>
      <c r="V251" s="52">
        <v>0</v>
      </c>
      <c r="W251" s="52">
        <v>0.1</v>
      </c>
      <c r="X251" s="54">
        <v>30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46132.5108912037</v>
      </c>
      <c r="AH251" s="52">
        <v>23705</v>
      </c>
      <c r="AI251" s="52">
        <v>0</v>
      </c>
      <c r="AJ251" s="53">
        <f>AH251+AI251</f>
        <v>23705</v>
      </c>
      <c r="AK251" s="56">
        <v>0</v>
      </c>
    </row>
    <row r="252">
      <c r="A252" s="48">
        <v>46132.51136574074</v>
      </c>
      <c r="B252" s="49" t="s">
        <v>108</v>
      </c>
      <c r="C252" s="49" t="s">
        <v>111</v>
      </c>
      <c r="D252" s="49" t="s">
        <v>5</v>
      </c>
      <c r="E252" s="50">
        <v>96</v>
      </c>
      <c r="F252" s="49" t="s">
        <v>109</v>
      </c>
      <c r="G252" s="51">
        <v>169002603</v>
      </c>
      <c r="H252" s="52">
        <v>207</v>
      </c>
      <c r="I252" s="52">
        <f>L252+M252+N252</f>
        <v>171.3223</v>
      </c>
      <c r="J252" s="52">
        <f>O252+P252</f>
        <v>35.9777</v>
      </c>
      <c r="K252" s="53">
        <f>IF(H252=I252+J252,0,W252)</f>
        <v>-0.3</v>
      </c>
      <c r="L252" s="52">
        <v>171.3223</v>
      </c>
      <c r="M252" s="52">
        <v>0</v>
      </c>
      <c r="N252" s="52">
        <v>0</v>
      </c>
      <c r="O252" s="52">
        <v>35.9777</v>
      </c>
      <c r="P252" s="52">
        <v>0</v>
      </c>
      <c r="Q252" s="54">
        <v>171.3223</v>
      </c>
      <c r="R252" s="52">
        <v>207.3</v>
      </c>
      <c r="S252" s="52">
        <v>0</v>
      </c>
      <c r="T252" s="52">
        <v>0</v>
      </c>
      <c r="U252" s="52">
        <v>0</v>
      </c>
      <c r="V252" s="52">
        <v>0</v>
      </c>
      <c r="W252" s="52">
        <v>-0.3</v>
      </c>
      <c r="X252" s="54">
        <v>207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46132.51136574074</v>
      </c>
      <c r="AH252" s="52">
        <v>23912</v>
      </c>
      <c r="AI252" s="52">
        <v>0</v>
      </c>
      <c r="AJ252" s="53">
        <f>AH252+AI252</f>
        <v>23912</v>
      </c>
      <c r="AK252" s="56">
        <v>0</v>
      </c>
    </row>
    <row r="253">
      <c r="A253" s="48">
        <v>46132.51237268518</v>
      </c>
      <c r="B253" s="49" t="s">
        <v>108</v>
      </c>
      <c r="C253" s="49" t="s">
        <v>100</v>
      </c>
      <c r="D253" s="49" t="s">
        <v>5</v>
      </c>
      <c r="E253" s="50">
        <v>96</v>
      </c>
      <c r="F253" s="49" t="s">
        <v>105</v>
      </c>
      <c r="G253" s="51">
        <v>161000349</v>
      </c>
      <c r="H253" s="52">
        <v>42.8</v>
      </c>
      <c r="I253" s="52">
        <f>L253+M253+N253</f>
        <v>36.35</v>
      </c>
      <c r="J253" s="52">
        <f>O253+P253</f>
        <v>6.449999999999999</v>
      </c>
      <c r="K253" s="53">
        <f>IF(H253=I253+J253,0,W253)</f>
        <v>0</v>
      </c>
      <c r="L253" s="52">
        <v>23.05</v>
      </c>
      <c r="M253" s="52">
        <v>13.3</v>
      </c>
      <c r="N253" s="52">
        <v>0</v>
      </c>
      <c r="O253" s="52">
        <v>4.85</v>
      </c>
      <c r="P253" s="52">
        <v>1.6</v>
      </c>
      <c r="Q253" s="54">
        <v>36.35</v>
      </c>
      <c r="R253" s="52">
        <v>42.8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42.8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46132.51237268518</v>
      </c>
      <c r="AH253" s="52">
        <v>0</v>
      </c>
      <c r="AI253" s="52">
        <v>0</v>
      </c>
      <c r="AJ253" s="53">
        <f>AH253+AI253</f>
        <v>0</v>
      </c>
      <c r="AK253" s="56">
        <v>0</v>
      </c>
    </row>
    <row r="254">
      <c r="A254" s="48">
        <v>46132.513506944444</v>
      </c>
      <c r="B254" s="49" t="s">
        <v>99</v>
      </c>
      <c r="C254" s="49" t="s">
        <v>111</v>
      </c>
      <c r="D254" s="49" t="s">
        <v>5</v>
      </c>
      <c r="E254" s="50">
        <v>96</v>
      </c>
      <c r="F254" s="49" t="s">
        <v>109</v>
      </c>
      <c r="G254" s="51"/>
      <c r="H254" s="52">
        <v>0</v>
      </c>
      <c r="I254" s="52">
        <f>L254+M254+N254</f>
        <v>0</v>
      </c>
      <c r="J254" s="52">
        <f>O254+P254</f>
        <v>0</v>
      </c>
      <c r="K254" s="53">
        <f>IF(H254=I254+J254,0,W254)</f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  <c r="Q254" s="54">
        <v>0</v>
      </c>
      <c r="R254" s="52">
        <v>0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/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46132.513506944444</v>
      </c>
      <c r="AH254" s="52">
        <v>23912</v>
      </c>
      <c r="AI254" s="52">
        <v>0</v>
      </c>
      <c r="AJ254" s="53">
        <f>AH254+AI254</f>
        <v>23912</v>
      </c>
      <c r="AK254" s="56"/>
    </row>
    <row r="255">
      <c r="A255" s="48">
        <v>46132.51392361111</v>
      </c>
      <c r="B255" s="49" t="s">
        <v>108</v>
      </c>
      <c r="C255" s="49" t="s">
        <v>111</v>
      </c>
      <c r="D255" s="49" t="s">
        <v>5</v>
      </c>
      <c r="E255" s="50">
        <v>96</v>
      </c>
      <c r="F255" s="49" t="s">
        <v>109</v>
      </c>
      <c r="G255" s="51">
        <v>169002604</v>
      </c>
      <c r="H255" s="52">
        <v>23</v>
      </c>
      <c r="I255" s="52">
        <f>L255+M255+N255</f>
        <v>20.6696</v>
      </c>
      <c r="J255" s="52">
        <f>O255+P255</f>
        <v>2.4804</v>
      </c>
      <c r="K255" s="53">
        <f>IF(H255=I255+J255,0,W255)</f>
        <v>-0.15</v>
      </c>
      <c r="L255" s="52">
        <v>0</v>
      </c>
      <c r="M255" s="52">
        <v>20.6696</v>
      </c>
      <c r="N255" s="52">
        <v>0</v>
      </c>
      <c r="O255" s="52">
        <v>0</v>
      </c>
      <c r="P255" s="52">
        <v>2.4804</v>
      </c>
      <c r="Q255" s="54">
        <v>20.6696</v>
      </c>
      <c r="R255" s="52">
        <v>23.15</v>
      </c>
      <c r="S255" s="52">
        <v>0</v>
      </c>
      <c r="T255" s="52">
        <v>0</v>
      </c>
      <c r="U255" s="52">
        <v>0</v>
      </c>
      <c r="V255" s="52">
        <v>0</v>
      </c>
      <c r="W255" s="52">
        <v>-0.15</v>
      </c>
      <c r="X255" s="54">
        <v>25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46132.51392361111</v>
      </c>
      <c r="AH255" s="52">
        <v>23935</v>
      </c>
      <c r="AI255" s="52">
        <v>0</v>
      </c>
      <c r="AJ255" s="53">
        <f>AH255+AI255</f>
        <v>23935</v>
      </c>
      <c r="AK255" s="56">
        <v>0</v>
      </c>
    </row>
    <row r="256">
      <c r="A256" s="48">
        <v>46132.514131944445</v>
      </c>
      <c r="B256" s="49" t="s">
        <v>108</v>
      </c>
      <c r="C256" s="49" t="s">
        <v>111</v>
      </c>
      <c r="D256" s="49" t="s">
        <v>5</v>
      </c>
      <c r="E256" s="50">
        <v>96</v>
      </c>
      <c r="F256" s="49" t="s">
        <v>109</v>
      </c>
      <c r="G256" s="51">
        <v>169002605</v>
      </c>
      <c r="H256" s="52">
        <v>54</v>
      </c>
      <c r="I256" s="52">
        <f>L256+M256+N256</f>
        <v>46.448499999999996</v>
      </c>
      <c r="J256" s="52">
        <f>O256+P256</f>
        <v>7.3515</v>
      </c>
      <c r="K256" s="53">
        <f>IF(H256=I256+J256,0,W256)</f>
        <v>0.2</v>
      </c>
      <c r="L256" s="52">
        <v>19.7521</v>
      </c>
      <c r="M256" s="52">
        <v>26.6964</v>
      </c>
      <c r="N256" s="52">
        <v>0</v>
      </c>
      <c r="O256" s="52">
        <v>4.1479</v>
      </c>
      <c r="P256" s="52">
        <v>3.2036</v>
      </c>
      <c r="Q256" s="54">
        <v>46.4485</v>
      </c>
      <c r="R256" s="52">
        <v>53.8</v>
      </c>
      <c r="S256" s="52">
        <v>0</v>
      </c>
      <c r="T256" s="52">
        <v>0</v>
      </c>
      <c r="U256" s="52">
        <v>0</v>
      </c>
      <c r="V256" s="52">
        <v>0</v>
      </c>
      <c r="W256" s="52">
        <v>0.2</v>
      </c>
      <c r="X256" s="54">
        <v>100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46132.514131944445</v>
      </c>
      <c r="AH256" s="52">
        <v>23989</v>
      </c>
      <c r="AI256" s="52">
        <v>0</v>
      </c>
      <c r="AJ256" s="53">
        <f>AH256+AI256</f>
        <v>23989</v>
      </c>
      <c r="AK256" s="56">
        <v>0</v>
      </c>
    </row>
    <row r="257">
      <c r="A257" s="48">
        <v>46132.514756944445</v>
      </c>
      <c r="B257" s="49" t="s">
        <v>108</v>
      </c>
      <c r="C257" s="49" t="s">
        <v>111</v>
      </c>
      <c r="D257" s="49" t="s">
        <v>5</v>
      </c>
      <c r="E257" s="50">
        <v>96</v>
      </c>
      <c r="F257" s="49" t="s">
        <v>109</v>
      </c>
      <c r="G257" s="51">
        <v>169002606</v>
      </c>
      <c r="H257" s="52">
        <v>10</v>
      </c>
      <c r="I257" s="52">
        <f>L257+M257+N257</f>
        <v>8.8393</v>
      </c>
      <c r="J257" s="52">
        <f>O257+P257</f>
        <v>1.0607</v>
      </c>
      <c r="K257" s="53">
        <f>IF(H257=I257+J257,0,W257)</f>
        <v>0.1</v>
      </c>
      <c r="L257" s="52">
        <v>0</v>
      </c>
      <c r="M257" s="52">
        <v>8.8393</v>
      </c>
      <c r="N257" s="52">
        <v>0</v>
      </c>
      <c r="O257" s="52">
        <v>0</v>
      </c>
      <c r="P257" s="52">
        <v>1.0607</v>
      </c>
      <c r="Q257" s="54">
        <v>8.8393</v>
      </c>
      <c r="R257" s="52">
        <v>9.9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10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46132.514756944445</v>
      </c>
      <c r="AH257" s="52">
        <v>23999</v>
      </c>
      <c r="AI257" s="52">
        <v>0</v>
      </c>
      <c r="AJ257" s="53">
        <f>AH257+AI257</f>
        <v>23999</v>
      </c>
      <c r="AK257" s="56">
        <v>0</v>
      </c>
    </row>
    <row r="258">
      <c r="A258" s="48">
        <v>46132.51526620371</v>
      </c>
      <c r="B258" s="49" t="s">
        <v>108</v>
      </c>
      <c r="C258" s="49" t="s">
        <v>111</v>
      </c>
      <c r="D258" s="49" t="s">
        <v>5</v>
      </c>
      <c r="E258" s="50">
        <v>96</v>
      </c>
      <c r="F258" s="49" t="s">
        <v>109</v>
      </c>
      <c r="G258" s="51">
        <v>169002607</v>
      </c>
      <c r="H258" s="52">
        <v>36</v>
      </c>
      <c r="I258" s="52">
        <f>L258+M258+N258</f>
        <v>32.2946</v>
      </c>
      <c r="J258" s="52">
        <f>O258+P258</f>
        <v>3.8754</v>
      </c>
      <c r="K258" s="53">
        <f>IF(H258=I258+J258,0,W258)</f>
        <v>-0.17</v>
      </c>
      <c r="L258" s="52">
        <v>0</v>
      </c>
      <c r="M258" s="52">
        <v>32.2946</v>
      </c>
      <c r="N258" s="52">
        <v>0</v>
      </c>
      <c r="O258" s="52">
        <v>0</v>
      </c>
      <c r="P258" s="52">
        <v>3.8754</v>
      </c>
      <c r="Q258" s="54">
        <v>32.2946</v>
      </c>
      <c r="R258" s="52">
        <v>36.17</v>
      </c>
      <c r="S258" s="52">
        <v>0</v>
      </c>
      <c r="T258" s="52">
        <v>0</v>
      </c>
      <c r="U258" s="52">
        <v>0</v>
      </c>
      <c r="V258" s="52">
        <v>0</v>
      </c>
      <c r="W258" s="52">
        <v>-0.17</v>
      </c>
      <c r="X258" s="54">
        <v>36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46132.51526620371</v>
      </c>
      <c r="AH258" s="52">
        <v>24035</v>
      </c>
      <c r="AI258" s="52">
        <v>0</v>
      </c>
      <c r="AJ258" s="53">
        <f>AH258+AI258</f>
        <v>24035</v>
      </c>
      <c r="AK258" s="56">
        <v>6.8002</v>
      </c>
    </row>
    <row r="259">
      <c r="A259" s="48">
        <v>46132.515543981484</v>
      </c>
      <c r="B259" s="49" t="s">
        <v>108</v>
      </c>
      <c r="C259" s="49" t="s">
        <v>111</v>
      </c>
      <c r="D259" s="49" t="s">
        <v>5</v>
      </c>
      <c r="E259" s="50">
        <v>96</v>
      </c>
      <c r="F259" s="49" t="s">
        <v>109</v>
      </c>
      <c r="G259" s="51">
        <v>169002608</v>
      </c>
      <c r="H259" s="52">
        <v>70</v>
      </c>
      <c r="I259" s="52">
        <f>L259+M259+N259</f>
        <v>62.2322</v>
      </c>
      <c r="J259" s="52">
        <f>O259+P259</f>
        <v>7.4678</v>
      </c>
      <c r="K259" s="53">
        <f>IF(H259=I259+J259,0,W259)</f>
        <v>0.3</v>
      </c>
      <c r="L259" s="52">
        <v>0</v>
      </c>
      <c r="M259" s="52">
        <v>62.2322</v>
      </c>
      <c r="N259" s="52">
        <v>0</v>
      </c>
      <c r="O259" s="52">
        <v>0</v>
      </c>
      <c r="P259" s="52">
        <v>7.4678</v>
      </c>
      <c r="Q259" s="54">
        <v>62.2322</v>
      </c>
      <c r="R259" s="52">
        <v>69.7</v>
      </c>
      <c r="S259" s="52">
        <v>0</v>
      </c>
      <c r="T259" s="52">
        <v>0</v>
      </c>
      <c r="U259" s="52">
        <v>0</v>
      </c>
      <c r="V259" s="52">
        <v>0</v>
      </c>
      <c r="W259" s="52">
        <v>0.3</v>
      </c>
      <c r="X259" s="54">
        <v>70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46132.515543981484</v>
      </c>
      <c r="AH259" s="52">
        <v>24105</v>
      </c>
      <c r="AI259" s="52">
        <v>0</v>
      </c>
      <c r="AJ259" s="53">
        <f>AH259+AI259</f>
        <v>24105</v>
      </c>
      <c r="AK259" s="56">
        <v>0</v>
      </c>
    </row>
    <row r="260">
      <c r="A260" s="48">
        <v>46132.51724537037</v>
      </c>
      <c r="B260" s="49" t="s">
        <v>108</v>
      </c>
      <c r="C260" s="49" t="s">
        <v>111</v>
      </c>
      <c r="D260" s="49" t="s">
        <v>5</v>
      </c>
      <c r="E260" s="50">
        <v>96</v>
      </c>
      <c r="F260" s="49" t="s">
        <v>109</v>
      </c>
      <c r="G260" s="51">
        <v>169002609</v>
      </c>
      <c r="H260" s="52">
        <v>391.3</v>
      </c>
      <c r="I260" s="52">
        <f>L260+M260+N260</f>
        <v>349.249</v>
      </c>
      <c r="J260" s="52">
        <f>O260+P260</f>
        <v>42.051</v>
      </c>
      <c r="K260" s="53">
        <f>IF(H260=I260+J260,0,W260)</f>
        <v>0</v>
      </c>
      <c r="L260" s="52">
        <v>1.5702</v>
      </c>
      <c r="M260" s="52">
        <v>347.6788</v>
      </c>
      <c r="N260" s="52">
        <v>0</v>
      </c>
      <c r="O260" s="52">
        <v>0.3298</v>
      </c>
      <c r="P260" s="52">
        <v>41.7212</v>
      </c>
      <c r="Q260" s="54">
        <v>349.249</v>
      </c>
      <c r="R260" s="52">
        <v>391.3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391.3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46132.51724537037</v>
      </c>
      <c r="AH260" s="52">
        <v>24105</v>
      </c>
      <c r="AI260" s="52">
        <v>0</v>
      </c>
      <c r="AJ260" s="53">
        <f>AH260+AI260</f>
        <v>24105</v>
      </c>
      <c r="AK260" s="56">
        <v>0</v>
      </c>
    </row>
    <row r="261">
      <c r="A261" s="48">
        <v>46132.517916666664</v>
      </c>
      <c r="B261" s="49" t="s">
        <v>108</v>
      </c>
      <c r="C261" s="49" t="s">
        <v>111</v>
      </c>
      <c r="D261" s="49" t="s">
        <v>5</v>
      </c>
      <c r="E261" s="50">
        <v>96</v>
      </c>
      <c r="F261" s="49" t="s">
        <v>109</v>
      </c>
      <c r="G261" s="51">
        <v>169002610</v>
      </c>
      <c r="H261" s="52">
        <v>49.64</v>
      </c>
      <c r="I261" s="52">
        <f>L261+M261+N261</f>
        <v>44.3214</v>
      </c>
      <c r="J261" s="52">
        <f>O261+P261</f>
        <v>5.3186</v>
      </c>
      <c r="K261" s="53">
        <f>IF(H261=I261+J261,0,W261)</f>
        <v>0</v>
      </c>
      <c r="L261" s="52">
        <v>0</v>
      </c>
      <c r="M261" s="52">
        <v>44.3214</v>
      </c>
      <c r="N261" s="52">
        <v>0</v>
      </c>
      <c r="O261" s="52">
        <v>0</v>
      </c>
      <c r="P261" s="52">
        <v>5.3186</v>
      </c>
      <c r="Q261" s="54">
        <v>44.3214</v>
      </c>
      <c r="R261" s="52">
        <v>49.64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49.64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46132.517916666664</v>
      </c>
      <c r="AH261" s="52">
        <v>24105</v>
      </c>
      <c r="AI261" s="52">
        <v>0</v>
      </c>
      <c r="AJ261" s="53">
        <f>AH261+AI261</f>
        <v>24105</v>
      </c>
      <c r="AK261" s="56">
        <v>0</v>
      </c>
    </row>
    <row r="262">
      <c r="A262" s="48">
        <v>46132.51829861111</v>
      </c>
      <c r="B262" s="49" t="s">
        <v>108</v>
      </c>
      <c r="C262" s="49" t="s">
        <v>111</v>
      </c>
      <c r="D262" s="49" t="s">
        <v>5</v>
      </c>
      <c r="E262" s="50">
        <v>96</v>
      </c>
      <c r="F262" s="49" t="s">
        <v>109</v>
      </c>
      <c r="G262" s="51">
        <v>169002611</v>
      </c>
      <c r="H262" s="52">
        <v>33</v>
      </c>
      <c r="I262" s="52">
        <f>L262+M262+N262</f>
        <v>29.375</v>
      </c>
      <c r="J262" s="52">
        <f>O262+P262</f>
        <v>3.525</v>
      </c>
      <c r="K262" s="53">
        <f>IF(H262=I262+J262,0,W262)</f>
        <v>0.1</v>
      </c>
      <c r="L262" s="52">
        <v>0</v>
      </c>
      <c r="M262" s="52">
        <v>29.375</v>
      </c>
      <c r="N262" s="52">
        <v>0</v>
      </c>
      <c r="O262" s="52">
        <v>0</v>
      </c>
      <c r="P262" s="52">
        <v>3.525</v>
      </c>
      <c r="Q262" s="54">
        <v>29.375</v>
      </c>
      <c r="R262" s="52">
        <v>32.9</v>
      </c>
      <c r="S262" s="52">
        <v>0</v>
      </c>
      <c r="T262" s="52">
        <v>0</v>
      </c>
      <c r="U262" s="52">
        <v>0</v>
      </c>
      <c r="V262" s="52">
        <v>0</v>
      </c>
      <c r="W262" s="52">
        <v>0.1</v>
      </c>
      <c r="X262" s="54">
        <v>100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46132.51829861111</v>
      </c>
      <c r="AH262" s="52">
        <v>24138</v>
      </c>
      <c r="AI262" s="52">
        <v>0</v>
      </c>
      <c r="AJ262" s="53">
        <f>AH262+AI262</f>
        <v>24138</v>
      </c>
      <c r="AK262" s="56">
        <v>0</v>
      </c>
    </row>
    <row r="263">
      <c r="A263" s="48">
        <v>46132.51857638889</v>
      </c>
      <c r="B263" s="49" t="s">
        <v>108</v>
      </c>
      <c r="C263" s="49" t="s">
        <v>100</v>
      </c>
      <c r="D263" s="49" t="s">
        <v>5</v>
      </c>
      <c r="E263" s="50">
        <v>96</v>
      </c>
      <c r="F263" s="49" t="s">
        <v>105</v>
      </c>
      <c r="G263" s="51">
        <v>161000350</v>
      </c>
      <c r="H263" s="52">
        <v>15.9</v>
      </c>
      <c r="I263" s="52">
        <f>L263+M263+N263</f>
        <v>13.43</v>
      </c>
      <c r="J263" s="52">
        <f>O263+P263</f>
        <v>2.4699999999999998</v>
      </c>
      <c r="K263" s="53">
        <f>IF(H263=I263+J263,0,W263)</f>
        <v>0</v>
      </c>
      <c r="L263" s="52">
        <v>9.42</v>
      </c>
      <c r="M263" s="52">
        <v>4.01</v>
      </c>
      <c r="N263" s="52">
        <v>0</v>
      </c>
      <c r="O263" s="52">
        <v>1.98</v>
      </c>
      <c r="P263" s="52">
        <v>0.49</v>
      </c>
      <c r="Q263" s="54">
        <v>13.43</v>
      </c>
      <c r="R263" s="52">
        <v>15.9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15.9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46132.51857638889</v>
      </c>
      <c r="AH263" s="52">
        <v>0</v>
      </c>
      <c r="AI263" s="52">
        <v>0</v>
      </c>
      <c r="AJ263" s="53">
        <f>AH263+AI263</f>
        <v>0</v>
      </c>
      <c r="AK263" s="56">
        <v>0</v>
      </c>
    </row>
    <row r="264">
      <c r="A264" s="48">
        <v>46132.51888888889</v>
      </c>
      <c r="B264" s="49" t="s">
        <v>108</v>
      </c>
      <c r="C264" s="49" t="s">
        <v>111</v>
      </c>
      <c r="D264" s="49" t="s">
        <v>5</v>
      </c>
      <c r="E264" s="50">
        <v>96</v>
      </c>
      <c r="F264" s="49" t="s">
        <v>109</v>
      </c>
      <c r="G264" s="51">
        <v>169002612</v>
      </c>
      <c r="H264" s="52">
        <v>82.5</v>
      </c>
      <c r="I264" s="52">
        <f>L264+M264+N264</f>
        <v>73.6608</v>
      </c>
      <c r="J264" s="52">
        <f>O264+P264</f>
        <v>8.8392</v>
      </c>
      <c r="K264" s="53">
        <f>IF(H264=I264+J264,0,W264)</f>
        <v>0</v>
      </c>
      <c r="L264" s="52">
        <v>0</v>
      </c>
      <c r="M264" s="52">
        <v>73.6608</v>
      </c>
      <c r="N264" s="52">
        <v>0</v>
      </c>
      <c r="O264" s="52">
        <v>0</v>
      </c>
      <c r="P264" s="52">
        <v>8.8392</v>
      </c>
      <c r="Q264" s="54">
        <v>73.6608</v>
      </c>
      <c r="R264" s="52">
        <v>82.5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82.5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46132.51888888889</v>
      </c>
      <c r="AH264" s="52">
        <v>24138</v>
      </c>
      <c r="AI264" s="52">
        <v>0</v>
      </c>
      <c r="AJ264" s="53">
        <f>AH264+AI264</f>
        <v>24138</v>
      </c>
      <c r="AK264" s="56">
        <v>0</v>
      </c>
    </row>
    <row r="265">
      <c r="A265" s="48">
        <v>46132.51899305556</v>
      </c>
      <c r="B265" s="49" t="s">
        <v>108</v>
      </c>
      <c r="C265" s="49" t="s">
        <v>111</v>
      </c>
      <c r="D265" s="49" t="s">
        <v>5</v>
      </c>
      <c r="E265" s="50">
        <v>96</v>
      </c>
      <c r="F265" s="49" t="s">
        <v>109</v>
      </c>
      <c r="G265" s="51">
        <v>169002613</v>
      </c>
      <c r="H265" s="52">
        <v>11</v>
      </c>
      <c r="I265" s="52">
        <f>L265+M265+N265</f>
        <v>9.4215</v>
      </c>
      <c r="J265" s="52">
        <f>O265+P265</f>
        <v>1.9785</v>
      </c>
      <c r="K265" s="53">
        <f>IF(H265=I265+J265,0,W265)</f>
        <v>-0.4</v>
      </c>
      <c r="L265" s="52">
        <v>9.4215</v>
      </c>
      <c r="M265" s="52">
        <v>0</v>
      </c>
      <c r="N265" s="52">
        <v>0</v>
      </c>
      <c r="O265" s="52">
        <v>1.9785</v>
      </c>
      <c r="P265" s="52">
        <v>0</v>
      </c>
      <c r="Q265" s="54">
        <v>9.4215</v>
      </c>
      <c r="R265" s="52">
        <v>11.4</v>
      </c>
      <c r="S265" s="52">
        <v>0</v>
      </c>
      <c r="T265" s="52">
        <v>0</v>
      </c>
      <c r="U265" s="52">
        <v>0</v>
      </c>
      <c r="V265" s="52">
        <v>0</v>
      </c>
      <c r="W265" s="52">
        <v>-0.4</v>
      </c>
      <c r="X265" s="54">
        <v>20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46132.51899305556</v>
      </c>
      <c r="AH265" s="52">
        <v>24149</v>
      </c>
      <c r="AI265" s="52">
        <v>0</v>
      </c>
      <c r="AJ265" s="53">
        <f>AH265+AI265</f>
        <v>24149</v>
      </c>
      <c r="AK265" s="56">
        <v>0</v>
      </c>
    </row>
    <row r="266">
      <c r="A266" s="48">
        <v>46132.519837962966</v>
      </c>
      <c r="B266" s="49" t="s">
        <v>108</v>
      </c>
      <c r="C266" s="49" t="s">
        <v>111</v>
      </c>
      <c r="D266" s="49" t="s">
        <v>5</v>
      </c>
      <c r="E266" s="50">
        <v>96</v>
      </c>
      <c r="F266" s="49" t="s">
        <v>109</v>
      </c>
      <c r="G266" s="51">
        <v>169002614</v>
      </c>
      <c r="H266" s="52">
        <v>37.8</v>
      </c>
      <c r="I266" s="52">
        <f>L266+M266+N266</f>
        <v>33.75</v>
      </c>
      <c r="J266" s="52">
        <f>O266+P266</f>
        <v>4.05</v>
      </c>
      <c r="K266" s="53">
        <f>IF(H266=I266+J266,0,W266)</f>
        <v>0</v>
      </c>
      <c r="L266" s="52">
        <v>0</v>
      </c>
      <c r="M266" s="52">
        <v>33.75</v>
      </c>
      <c r="N266" s="52">
        <v>0</v>
      </c>
      <c r="O266" s="52">
        <v>0</v>
      </c>
      <c r="P266" s="52">
        <v>4.05</v>
      </c>
      <c r="Q266" s="54">
        <v>33.75</v>
      </c>
      <c r="R266" s="52">
        <v>37.8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0</v>
      </c>
      <c r="Y266" s="52">
        <v>0</v>
      </c>
      <c r="Z266" s="52">
        <v>37.8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46132.519837962966</v>
      </c>
      <c r="AH266" s="52">
        <v>24149</v>
      </c>
      <c r="AI266" s="52">
        <v>0</v>
      </c>
      <c r="AJ266" s="53">
        <f>AH266+AI266</f>
        <v>24149</v>
      </c>
      <c r="AK266" s="56">
        <v>0</v>
      </c>
    </row>
    <row r="267">
      <c r="A267" s="48">
        <v>46132.52153935185</v>
      </c>
      <c r="B267" s="49" t="s">
        <v>108</v>
      </c>
      <c r="C267" s="49" t="s">
        <v>111</v>
      </c>
      <c r="D267" s="49" t="s">
        <v>5</v>
      </c>
      <c r="E267" s="50">
        <v>96</v>
      </c>
      <c r="F267" s="49" t="s">
        <v>109</v>
      </c>
      <c r="G267" s="51">
        <v>169002615</v>
      </c>
      <c r="H267" s="52">
        <v>142</v>
      </c>
      <c r="I267" s="52">
        <f>L267+M267+N267</f>
        <v>126.366</v>
      </c>
      <c r="J267" s="52">
        <f>O267+P267</f>
        <v>15.164</v>
      </c>
      <c r="K267" s="53">
        <f>IF(H267=I267+J267,0,W267)</f>
        <v>0.47</v>
      </c>
      <c r="L267" s="52">
        <v>0</v>
      </c>
      <c r="M267" s="52">
        <v>126.366</v>
      </c>
      <c r="N267" s="52">
        <v>0</v>
      </c>
      <c r="O267" s="52">
        <v>0</v>
      </c>
      <c r="P267" s="52">
        <v>15.164</v>
      </c>
      <c r="Q267" s="54">
        <v>126.366</v>
      </c>
      <c r="R267" s="52">
        <v>141.53</v>
      </c>
      <c r="S267" s="52">
        <v>0</v>
      </c>
      <c r="T267" s="52">
        <v>0</v>
      </c>
      <c r="U267" s="52">
        <v>0</v>
      </c>
      <c r="V267" s="52">
        <v>0</v>
      </c>
      <c r="W267" s="52">
        <v>0.47</v>
      </c>
      <c r="X267" s="54">
        <v>1000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46132.52153935185</v>
      </c>
      <c r="AH267" s="52">
        <v>24291</v>
      </c>
      <c r="AI267" s="52">
        <v>0</v>
      </c>
      <c r="AJ267" s="53">
        <f>AH267+AI267</f>
        <v>24291</v>
      </c>
      <c r="AK267" s="56">
        <v>6.8473</v>
      </c>
    </row>
    <row r="268">
      <c r="A268" s="48">
        <v>46132.522673611114</v>
      </c>
      <c r="B268" s="49" t="s">
        <v>108</v>
      </c>
      <c r="C268" s="49" t="s">
        <v>111</v>
      </c>
      <c r="D268" s="49" t="s">
        <v>5</v>
      </c>
      <c r="E268" s="50">
        <v>96</v>
      </c>
      <c r="F268" s="49" t="s">
        <v>109</v>
      </c>
      <c r="G268" s="51">
        <v>169002616</v>
      </c>
      <c r="H268" s="52">
        <v>183.23</v>
      </c>
      <c r="I268" s="52">
        <f>L268+M268+N268</f>
        <v>163.5982</v>
      </c>
      <c r="J268" s="52">
        <f>O268+P268</f>
        <v>19.6318</v>
      </c>
      <c r="K268" s="53">
        <f>IF(H268=I268+J268,0,W268)</f>
        <v>0</v>
      </c>
      <c r="L268" s="52">
        <v>0</v>
      </c>
      <c r="M268" s="52">
        <v>163.5982</v>
      </c>
      <c r="N268" s="52">
        <v>0</v>
      </c>
      <c r="O268" s="52">
        <v>0</v>
      </c>
      <c r="P268" s="52">
        <v>19.6318</v>
      </c>
      <c r="Q268" s="54">
        <v>163.5982</v>
      </c>
      <c r="R268" s="52">
        <v>183.23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183.23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46132.522673611114</v>
      </c>
      <c r="AH268" s="52">
        <v>24291</v>
      </c>
      <c r="AI268" s="52">
        <v>0</v>
      </c>
      <c r="AJ268" s="53">
        <f>AH268+AI268</f>
        <v>24291</v>
      </c>
      <c r="AK268" s="56">
        <v>8.4193</v>
      </c>
    </row>
    <row r="269">
      <c r="A269" s="48">
        <v>46132.523252314815</v>
      </c>
      <c r="B269" s="49" t="s">
        <v>108</v>
      </c>
      <c r="C269" s="49" t="s">
        <v>111</v>
      </c>
      <c r="D269" s="49" t="s">
        <v>5</v>
      </c>
      <c r="E269" s="50">
        <v>96</v>
      </c>
      <c r="F269" s="49" t="s">
        <v>109</v>
      </c>
      <c r="G269" s="51">
        <v>169002617</v>
      </c>
      <c r="H269" s="52">
        <v>43.2</v>
      </c>
      <c r="I269" s="52">
        <f>L269+M269+N269</f>
        <v>38.5715</v>
      </c>
      <c r="J269" s="52">
        <f>O269+P269</f>
        <v>4.6285</v>
      </c>
      <c r="K269" s="53">
        <f>IF(H269=I269+J269,0,W269)</f>
        <v>0</v>
      </c>
      <c r="L269" s="52">
        <v>0</v>
      </c>
      <c r="M269" s="52">
        <v>38.5715</v>
      </c>
      <c r="N269" s="52">
        <v>0</v>
      </c>
      <c r="O269" s="52">
        <v>0</v>
      </c>
      <c r="P269" s="52">
        <v>4.6285</v>
      </c>
      <c r="Q269" s="54">
        <v>38.5715</v>
      </c>
      <c r="R269" s="52">
        <v>43.2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43.2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46132.523252314815</v>
      </c>
      <c r="AH269" s="52">
        <v>24291</v>
      </c>
      <c r="AI269" s="52">
        <v>0</v>
      </c>
      <c r="AJ269" s="53">
        <f>AH269+AI269</f>
        <v>24291</v>
      </c>
      <c r="AK269" s="56">
        <v>5.8288</v>
      </c>
    </row>
    <row r="270">
      <c r="A270" s="48">
        <v>46132.5253125</v>
      </c>
      <c r="B270" s="49" t="s">
        <v>108</v>
      </c>
      <c r="C270" s="49" t="s">
        <v>111</v>
      </c>
      <c r="D270" s="49" t="s">
        <v>5</v>
      </c>
      <c r="E270" s="50">
        <v>96</v>
      </c>
      <c r="F270" s="49" t="s">
        <v>109</v>
      </c>
      <c r="G270" s="51">
        <v>169002618</v>
      </c>
      <c r="H270" s="52">
        <v>70.15</v>
      </c>
      <c r="I270" s="52">
        <f>L270+M270+N270</f>
        <v>61.0467</v>
      </c>
      <c r="J270" s="52">
        <f>O270+P270</f>
        <v>9.1033</v>
      </c>
      <c r="K270" s="53">
        <f>IF(H270=I270+J270,0,W270)</f>
        <v>0</v>
      </c>
      <c r="L270" s="52">
        <v>19.7521</v>
      </c>
      <c r="M270" s="52">
        <v>41.2946</v>
      </c>
      <c r="N270" s="52">
        <v>0</v>
      </c>
      <c r="O270" s="52">
        <v>4.1479</v>
      </c>
      <c r="P270" s="52">
        <v>4.9554</v>
      </c>
      <c r="Q270" s="54">
        <v>61.0467</v>
      </c>
      <c r="R270" s="52">
        <v>70.15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70.15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46132.5253125</v>
      </c>
      <c r="AH270" s="52">
        <v>24291</v>
      </c>
      <c r="AI270" s="52">
        <v>0</v>
      </c>
      <c r="AJ270" s="53">
        <f>AH270+AI270</f>
        <v>24291</v>
      </c>
      <c r="AK270" s="56">
        <v>0</v>
      </c>
    </row>
    <row r="271">
      <c r="A271" s="48">
        <v>46132.527337962965</v>
      </c>
      <c r="B271" s="49" t="s">
        <v>108</v>
      </c>
      <c r="C271" s="49" t="s">
        <v>111</v>
      </c>
      <c r="D271" s="49" t="s">
        <v>5</v>
      </c>
      <c r="E271" s="50">
        <v>96</v>
      </c>
      <c r="F271" s="49" t="s">
        <v>109</v>
      </c>
      <c r="G271" s="51">
        <v>169002619</v>
      </c>
      <c r="H271" s="52">
        <v>123.46</v>
      </c>
      <c r="I271" s="52">
        <f>L271+M271+N271</f>
        <v>108.3793</v>
      </c>
      <c r="J271" s="52">
        <f>O271+P271</f>
        <v>15.0807</v>
      </c>
      <c r="K271" s="53">
        <f>IF(H271=I271+J271,0,W271)</f>
        <v>0</v>
      </c>
      <c r="L271" s="52">
        <v>23.0579</v>
      </c>
      <c r="M271" s="52">
        <v>85.3214</v>
      </c>
      <c r="N271" s="52">
        <v>0</v>
      </c>
      <c r="O271" s="52">
        <v>4.8421</v>
      </c>
      <c r="P271" s="52">
        <v>10.2386</v>
      </c>
      <c r="Q271" s="54">
        <v>108.3793</v>
      </c>
      <c r="R271" s="52">
        <v>123.46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123.46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46132.527337962965</v>
      </c>
      <c r="AH271" s="52">
        <v>24291</v>
      </c>
      <c r="AI271" s="52">
        <v>0</v>
      </c>
      <c r="AJ271" s="53">
        <f>AH271+AI271</f>
        <v>24291</v>
      </c>
      <c r="AK271" s="56">
        <v>23.94</v>
      </c>
    </row>
    <row r="272">
      <c r="A272" s="48">
        <v>46132.52792824074</v>
      </c>
      <c r="B272" s="49" t="s">
        <v>108</v>
      </c>
      <c r="C272" s="49" t="s">
        <v>111</v>
      </c>
      <c r="D272" s="49" t="s">
        <v>5</v>
      </c>
      <c r="E272" s="50">
        <v>96</v>
      </c>
      <c r="F272" s="49" t="s">
        <v>109</v>
      </c>
      <c r="G272" s="51">
        <v>169002620</v>
      </c>
      <c r="H272" s="52">
        <v>150</v>
      </c>
      <c r="I272" s="52">
        <f>L272+M272+N272</f>
        <v>132.07569999999998</v>
      </c>
      <c r="J272" s="52">
        <f>O272+P272</f>
        <v>17.924300000000002</v>
      </c>
      <c r="K272" s="53">
        <f>IF(H272=I272+J272,0,W272)</f>
        <v>0</v>
      </c>
      <c r="L272" s="52">
        <v>23.0579</v>
      </c>
      <c r="M272" s="52">
        <v>109.0178</v>
      </c>
      <c r="N272" s="52">
        <v>0</v>
      </c>
      <c r="O272" s="52">
        <v>4.8421</v>
      </c>
      <c r="P272" s="52">
        <v>13.0822</v>
      </c>
      <c r="Q272" s="54">
        <v>132.0757</v>
      </c>
      <c r="R272" s="52">
        <v>150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150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46132.52792824074</v>
      </c>
      <c r="AH272" s="52">
        <v>24291</v>
      </c>
      <c r="AI272" s="52">
        <v>0</v>
      </c>
      <c r="AJ272" s="53">
        <f>AH272+AI272</f>
        <v>24291</v>
      </c>
      <c r="AK272" s="56">
        <v>0</v>
      </c>
    </row>
    <row r="273">
      <c r="A273" s="48">
        <v>46132.52868055556</v>
      </c>
      <c r="B273" s="49" t="s">
        <v>108</v>
      </c>
      <c r="C273" s="49" t="s">
        <v>111</v>
      </c>
      <c r="D273" s="49" t="s">
        <v>5</v>
      </c>
      <c r="E273" s="50">
        <v>96</v>
      </c>
      <c r="F273" s="49" t="s">
        <v>109</v>
      </c>
      <c r="G273" s="51">
        <v>169002621</v>
      </c>
      <c r="H273" s="52">
        <v>248</v>
      </c>
      <c r="I273" s="52">
        <f>L273+M273+N273</f>
        <v>221.3482</v>
      </c>
      <c r="J273" s="52">
        <f>O273+P273</f>
        <v>26.5618</v>
      </c>
      <c r="K273" s="53">
        <f>IF(H273=I273+J273,0,W273)</f>
        <v>0.09</v>
      </c>
      <c r="L273" s="52">
        <v>0</v>
      </c>
      <c r="M273" s="52">
        <v>221.3482</v>
      </c>
      <c r="N273" s="52">
        <v>0</v>
      </c>
      <c r="O273" s="52">
        <v>0</v>
      </c>
      <c r="P273" s="52">
        <v>26.5618</v>
      </c>
      <c r="Q273" s="54">
        <v>221.3482</v>
      </c>
      <c r="R273" s="52">
        <v>247.91</v>
      </c>
      <c r="S273" s="52">
        <v>0</v>
      </c>
      <c r="T273" s="52">
        <v>0</v>
      </c>
      <c r="U273" s="52">
        <v>0</v>
      </c>
      <c r="V273" s="52">
        <v>0</v>
      </c>
      <c r="W273" s="52">
        <v>0.09</v>
      </c>
      <c r="X273" s="54">
        <v>1000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46132.52868055556</v>
      </c>
      <c r="AH273" s="52">
        <v>24539</v>
      </c>
      <c r="AI273" s="52">
        <v>0</v>
      </c>
      <c r="AJ273" s="53">
        <f>AH273+AI273</f>
        <v>24539</v>
      </c>
      <c r="AK273" s="56">
        <v>0</v>
      </c>
    </row>
    <row r="274">
      <c r="A274" s="48">
        <v>46132.52993055555</v>
      </c>
      <c r="B274" s="49" t="s">
        <v>108</v>
      </c>
      <c r="C274" s="49" t="s">
        <v>111</v>
      </c>
      <c r="D274" s="49" t="s">
        <v>5</v>
      </c>
      <c r="E274" s="50">
        <v>96</v>
      </c>
      <c r="F274" s="49" t="s">
        <v>109</v>
      </c>
      <c r="G274" s="51">
        <v>169002622</v>
      </c>
      <c r="H274" s="52">
        <v>297.8</v>
      </c>
      <c r="I274" s="52">
        <f>L274+M274+N274</f>
        <v>246.1157</v>
      </c>
      <c r="J274" s="52">
        <f>O274+P274</f>
        <v>51.6843</v>
      </c>
      <c r="K274" s="53">
        <f>IF(H274=I274+J274,0,W274)</f>
        <v>0</v>
      </c>
      <c r="L274" s="52">
        <v>246.1157</v>
      </c>
      <c r="M274" s="52">
        <v>0</v>
      </c>
      <c r="N274" s="52">
        <v>0</v>
      </c>
      <c r="O274" s="52">
        <v>51.6843</v>
      </c>
      <c r="P274" s="52">
        <v>0</v>
      </c>
      <c r="Q274" s="54">
        <v>246.1157</v>
      </c>
      <c r="R274" s="52">
        <v>297.8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297.8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46132.52993055555</v>
      </c>
      <c r="AH274" s="52">
        <v>24539</v>
      </c>
      <c r="AI274" s="52">
        <v>0</v>
      </c>
      <c r="AJ274" s="53">
        <f>AH274+AI274</f>
        <v>24539</v>
      </c>
      <c r="AK274" s="56">
        <v>0</v>
      </c>
    </row>
    <row r="275">
      <c r="A275" s="48">
        <v>46132.53212962963</v>
      </c>
      <c r="B275" s="49" t="s">
        <v>108</v>
      </c>
      <c r="C275" s="49" t="s">
        <v>111</v>
      </c>
      <c r="D275" s="49" t="s">
        <v>5</v>
      </c>
      <c r="E275" s="50">
        <v>96</v>
      </c>
      <c r="F275" s="49" t="s">
        <v>109</v>
      </c>
      <c r="G275" s="51">
        <v>169002623</v>
      </c>
      <c r="H275" s="52">
        <v>22</v>
      </c>
      <c r="I275" s="52">
        <f>L275+M275+N275</f>
        <v>18.0992</v>
      </c>
      <c r="J275" s="52">
        <f>O275+P275</f>
        <v>3.8008</v>
      </c>
      <c r="K275" s="53">
        <f>IF(H275=I275+J275,0,W275)</f>
        <v>0.1</v>
      </c>
      <c r="L275" s="52">
        <v>18.0992</v>
      </c>
      <c r="M275" s="52">
        <v>0</v>
      </c>
      <c r="N275" s="52">
        <v>0</v>
      </c>
      <c r="O275" s="52">
        <v>3.8008</v>
      </c>
      <c r="P275" s="52">
        <v>0</v>
      </c>
      <c r="Q275" s="54">
        <v>18.0992</v>
      </c>
      <c r="R275" s="52">
        <v>21.9</v>
      </c>
      <c r="S275" s="52">
        <v>0</v>
      </c>
      <c r="T275" s="52">
        <v>0</v>
      </c>
      <c r="U275" s="52">
        <v>0</v>
      </c>
      <c r="V275" s="52">
        <v>0</v>
      </c>
      <c r="W275" s="52">
        <v>0.1</v>
      </c>
      <c r="X275" s="54">
        <v>22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46132.53212962963</v>
      </c>
      <c r="AH275" s="52">
        <v>24561</v>
      </c>
      <c r="AI275" s="52">
        <v>0</v>
      </c>
      <c r="AJ275" s="53">
        <f>AH275+AI275</f>
        <v>24561</v>
      </c>
      <c r="AK275" s="56">
        <v>0</v>
      </c>
    </row>
    <row r="276">
      <c r="A276" s="48">
        <v>46132.53456018519</v>
      </c>
      <c r="B276" s="49" t="s">
        <v>108</v>
      </c>
      <c r="C276" s="49" t="s">
        <v>111</v>
      </c>
      <c r="D276" s="49" t="s">
        <v>5</v>
      </c>
      <c r="E276" s="50">
        <v>96</v>
      </c>
      <c r="F276" s="49" t="s">
        <v>109</v>
      </c>
      <c r="G276" s="51">
        <v>169002624</v>
      </c>
      <c r="H276" s="52">
        <v>306</v>
      </c>
      <c r="I276" s="52">
        <f>L276+M276+N276</f>
        <v>262.10749999999996</v>
      </c>
      <c r="J276" s="52">
        <f>O276+P276</f>
        <v>43.5025</v>
      </c>
      <c r="K276" s="53">
        <f>IF(H276=I276+J276,0,W276)</f>
        <v>0.39</v>
      </c>
      <c r="L276" s="52">
        <v>133.8843</v>
      </c>
      <c r="M276" s="52">
        <v>128.2232</v>
      </c>
      <c r="N276" s="52">
        <v>0</v>
      </c>
      <c r="O276" s="52">
        <v>28.1157</v>
      </c>
      <c r="P276" s="52">
        <v>15.3868</v>
      </c>
      <c r="Q276" s="54">
        <v>262.1075</v>
      </c>
      <c r="R276" s="52">
        <v>305.61</v>
      </c>
      <c r="S276" s="52">
        <v>0</v>
      </c>
      <c r="T276" s="52">
        <v>0</v>
      </c>
      <c r="U276" s="52">
        <v>0</v>
      </c>
      <c r="V276" s="52">
        <v>0</v>
      </c>
      <c r="W276" s="52">
        <v>0.39</v>
      </c>
      <c r="X276" s="54">
        <v>1006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46132.53456018519</v>
      </c>
      <c r="AH276" s="52">
        <v>24867</v>
      </c>
      <c r="AI276" s="52">
        <v>0</v>
      </c>
      <c r="AJ276" s="53">
        <f>AH276+AI276</f>
        <v>24867</v>
      </c>
      <c r="AK276" s="56">
        <v>25.0101</v>
      </c>
    </row>
    <row r="277">
      <c r="A277" s="48">
        <v>46132.53623842593</v>
      </c>
      <c r="B277" s="49" t="s">
        <v>108</v>
      </c>
      <c r="C277" s="49" t="s">
        <v>111</v>
      </c>
      <c r="D277" s="49" t="s">
        <v>5</v>
      </c>
      <c r="E277" s="50">
        <v>96</v>
      </c>
      <c r="F277" s="49" t="s">
        <v>109</v>
      </c>
      <c r="G277" s="51">
        <v>169002625</v>
      </c>
      <c r="H277" s="52">
        <v>89</v>
      </c>
      <c r="I277" s="52">
        <f>L277+M277+N277</f>
        <v>78.3714</v>
      </c>
      <c r="J277" s="52">
        <f>O277+P277</f>
        <v>10.7286</v>
      </c>
      <c r="K277" s="53">
        <f>IF(H277=I277+J277,0,W277)</f>
        <v>-0.1</v>
      </c>
      <c r="L277" s="52">
        <v>14.7107</v>
      </c>
      <c r="M277" s="52">
        <v>63.6607</v>
      </c>
      <c r="N277" s="52">
        <v>0</v>
      </c>
      <c r="O277" s="52">
        <v>3.0893</v>
      </c>
      <c r="P277" s="52">
        <v>7.6393</v>
      </c>
      <c r="Q277" s="54">
        <v>78.3714</v>
      </c>
      <c r="R277" s="52">
        <v>89.1</v>
      </c>
      <c r="S277" s="52">
        <v>0</v>
      </c>
      <c r="T277" s="52">
        <v>0</v>
      </c>
      <c r="U277" s="52">
        <v>0</v>
      </c>
      <c r="V277" s="52">
        <v>0</v>
      </c>
      <c r="W277" s="52">
        <v>-0.1</v>
      </c>
      <c r="X277" s="54">
        <v>100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46132.53623842593</v>
      </c>
      <c r="AH277" s="52">
        <v>24956</v>
      </c>
      <c r="AI277" s="52">
        <v>0</v>
      </c>
      <c r="AJ277" s="53">
        <f>AH277+AI277</f>
        <v>24956</v>
      </c>
      <c r="AK277" s="56">
        <v>0</v>
      </c>
    </row>
    <row r="278">
      <c r="A278" s="48">
        <v>46132.53759259259</v>
      </c>
      <c r="B278" s="49" t="s">
        <v>108</v>
      </c>
      <c r="C278" s="49" t="s">
        <v>111</v>
      </c>
      <c r="D278" s="49" t="s">
        <v>5</v>
      </c>
      <c r="E278" s="50">
        <v>96</v>
      </c>
      <c r="F278" s="49" t="s">
        <v>109</v>
      </c>
      <c r="G278" s="51">
        <v>169002626</v>
      </c>
      <c r="H278" s="52">
        <v>34</v>
      </c>
      <c r="I278" s="52">
        <f>L278+M278+N278</f>
        <v>29.303400000000003</v>
      </c>
      <c r="J278" s="52">
        <f>O278+P278</f>
        <v>4.9966</v>
      </c>
      <c r="K278" s="53">
        <f>IF(H278=I278+J278,0,W278)</f>
        <v>-0.3</v>
      </c>
      <c r="L278" s="52">
        <v>16.4463</v>
      </c>
      <c r="M278" s="52">
        <v>12.8571</v>
      </c>
      <c r="N278" s="52">
        <v>0</v>
      </c>
      <c r="O278" s="52">
        <v>3.4537</v>
      </c>
      <c r="P278" s="52">
        <v>1.5429</v>
      </c>
      <c r="Q278" s="54">
        <v>29.3034</v>
      </c>
      <c r="R278" s="52">
        <v>34.3</v>
      </c>
      <c r="S278" s="52">
        <v>0</v>
      </c>
      <c r="T278" s="52">
        <v>0</v>
      </c>
      <c r="U278" s="52">
        <v>0</v>
      </c>
      <c r="V278" s="52">
        <v>0</v>
      </c>
      <c r="W278" s="52">
        <v>-0.3</v>
      </c>
      <c r="X278" s="54">
        <v>34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46132.53759259259</v>
      </c>
      <c r="AH278" s="52">
        <v>24990</v>
      </c>
      <c r="AI278" s="52">
        <v>0</v>
      </c>
      <c r="AJ278" s="53">
        <f>AH278+AI278</f>
        <v>24990</v>
      </c>
      <c r="AK278" s="56">
        <v>0</v>
      </c>
    </row>
    <row r="279">
      <c r="A279" s="48">
        <v>46132.53807870371</v>
      </c>
      <c r="B279" s="49" t="s">
        <v>108</v>
      </c>
      <c r="C279" s="49" t="s">
        <v>111</v>
      </c>
      <c r="D279" s="49" t="s">
        <v>5</v>
      </c>
      <c r="E279" s="50">
        <v>96</v>
      </c>
      <c r="F279" s="49" t="s">
        <v>109</v>
      </c>
      <c r="G279" s="51">
        <v>169002627</v>
      </c>
      <c r="H279" s="52">
        <v>85.76</v>
      </c>
      <c r="I279" s="52">
        <f>L279+M279+N279</f>
        <v>73.2707</v>
      </c>
      <c r="J279" s="52">
        <f>O279+P279</f>
        <v>12.4893</v>
      </c>
      <c r="K279" s="53">
        <f>IF(H279=I279+J279,0,W279)</f>
        <v>0</v>
      </c>
      <c r="L279" s="52">
        <v>41.0743</v>
      </c>
      <c r="M279" s="52">
        <v>32.1964</v>
      </c>
      <c r="N279" s="52">
        <v>0</v>
      </c>
      <c r="O279" s="52">
        <v>8.6257</v>
      </c>
      <c r="P279" s="52">
        <v>3.8636</v>
      </c>
      <c r="Q279" s="54">
        <v>73.2707</v>
      </c>
      <c r="R279" s="52">
        <v>85.76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85.76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46132.53807870371</v>
      </c>
      <c r="AH279" s="52">
        <v>24990</v>
      </c>
      <c r="AI279" s="52">
        <v>0</v>
      </c>
      <c r="AJ279" s="53">
        <f>AH279+AI279</f>
        <v>24990</v>
      </c>
      <c r="AK279" s="56">
        <v>10.14</v>
      </c>
    </row>
    <row r="280">
      <c r="A280" s="48">
        <v>46132.538356481484</v>
      </c>
      <c r="B280" s="49" t="s">
        <v>108</v>
      </c>
      <c r="C280" s="49" t="s">
        <v>111</v>
      </c>
      <c r="D280" s="49" t="s">
        <v>5</v>
      </c>
      <c r="E280" s="50">
        <v>96</v>
      </c>
      <c r="F280" s="49" t="s">
        <v>109</v>
      </c>
      <c r="G280" s="51">
        <v>169002628</v>
      </c>
      <c r="H280" s="52">
        <v>48.8</v>
      </c>
      <c r="I280" s="52">
        <f>L280+M280+N280</f>
        <v>42.0506</v>
      </c>
      <c r="J280" s="52">
        <f>O280+P280</f>
        <v>6.7494</v>
      </c>
      <c r="K280" s="53">
        <f>IF(H280=I280+J280,0,W280)</f>
        <v>0</v>
      </c>
      <c r="L280" s="52">
        <v>18.9256</v>
      </c>
      <c r="M280" s="52">
        <v>23.125</v>
      </c>
      <c r="N280" s="52">
        <v>0</v>
      </c>
      <c r="O280" s="52">
        <v>3.9744</v>
      </c>
      <c r="P280" s="52">
        <v>2.775</v>
      </c>
      <c r="Q280" s="54">
        <v>42.0506</v>
      </c>
      <c r="R280" s="52">
        <v>48.8</v>
      </c>
      <c r="S280" s="52">
        <v>0</v>
      </c>
      <c r="T280" s="52">
        <v>0</v>
      </c>
      <c r="U280" s="52">
        <v>0</v>
      </c>
      <c r="V280" s="52">
        <v>0</v>
      </c>
      <c r="W280" s="52">
        <v>0</v>
      </c>
      <c r="X280" s="54">
        <v>0</v>
      </c>
      <c r="Y280" s="52">
        <v>0</v>
      </c>
      <c r="Z280" s="52">
        <v>48.8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46132.538356481484</v>
      </c>
      <c r="AH280" s="52">
        <v>24990</v>
      </c>
      <c r="AI280" s="52">
        <v>0</v>
      </c>
      <c r="AJ280" s="53">
        <f>AH280+AI280</f>
        <v>24990</v>
      </c>
      <c r="AK280" s="56">
        <v>0</v>
      </c>
    </row>
    <row r="281">
      <c r="A281" s="48">
        <v>46132.54001157408</v>
      </c>
      <c r="B281" s="49" t="s">
        <v>108</v>
      </c>
      <c r="C281" s="49" t="s">
        <v>111</v>
      </c>
      <c r="D281" s="49" t="s">
        <v>5</v>
      </c>
      <c r="E281" s="50">
        <v>96</v>
      </c>
      <c r="F281" s="49" t="s">
        <v>109</v>
      </c>
      <c r="G281" s="51">
        <v>169002629</v>
      </c>
      <c r="H281" s="52">
        <v>174.4</v>
      </c>
      <c r="I281" s="52">
        <f>L281+M281+N281</f>
        <v>152.5398</v>
      </c>
      <c r="J281" s="52">
        <f>O281+P281</f>
        <v>21.8602</v>
      </c>
      <c r="K281" s="53">
        <f>IF(H281=I281+J281,0,W281)</f>
        <v>0</v>
      </c>
      <c r="L281" s="52">
        <v>39.5042</v>
      </c>
      <c r="M281" s="52">
        <v>113.0356</v>
      </c>
      <c r="N281" s="52">
        <v>0</v>
      </c>
      <c r="O281" s="52">
        <v>8.2958</v>
      </c>
      <c r="P281" s="52">
        <v>13.5644</v>
      </c>
      <c r="Q281" s="54">
        <v>152.5398</v>
      </c>
      <c r="R281" s="52">
        <v>174.4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174.4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46132.54001157408</v>
      </c>
      <c r="AH281" s="52">
        <v>24990</v>
      </c>
      <c r="AI281" s="52">
        <v>0</v>
      </c>
      <c r="AJ281" s="53">
        <f>AH281+AI281</f>
        <v>24990</v>
      </c>
      <c r="AK281" s="56">
        <v>0</v>
      </c>
    </row>
    <row r="282">
      <c r="A282" s="48">
        <v>46132.540347222224</v>
      </c>
      <c r="B282" s="49" t="s">
        <v>108</v>
      </c>
      <c r="C282" s="49" t="s">
        <v>111</v>
      </c>
      <c r="D282" s="49" t="s">
        <v>5</v>
      </c>
      <c r="E282" s="50">
        <v>96</v>
      </c>
      <c r="F282" s="49" t="s">
        <v>109</v>
      </c>
      <c r="G282" s="51">
        <v>169002630</v>
      </c>
      <c r="H282" s="52">
        <v>45</v>
      </c>
      <c r="I282" s="52">
        <f>L282+M282+N282</f>
        <v>40</v>
      </c>
      <c r="J282" s="52">
        <f>O282+P282</f>
        <v>4.8</v>
      </c>
      <c r="K282" s="53">
        <f>IF(H282=I282+J282,0,W282)</f>
        <v>0.2</v>
      </c>
      <c r="L282" s="52">
        <v>0</v>
      </c>
      <c r="M282" s="52">
        <v>40</v>
      </c>
      <c r="N282" s="52">
        <v>0</v>
      </c>
      <c r="O282" s="52">
        <v>0</v>
      </c>
      <c r="P282" s="52">
        <v>4.8</v>
      </c>
      <c r="Q282" s="54">
        <v>40</v>
      </c>
      <c r="R282" s="52">
        <v>44.8</v>
      </c>
      <c r="S282" s="52">
        <v>0</v>
      </c>
      <c r="T282" s="52">
        <v>0</v>
      </c>
      <c r="U282" s="52">
        <v>0</v>
      </c>
      <c r="V282" s="52">
        <v>0</v>
      </c>
      <c r="W282" s="52">
        <v>0.2</v>
      </c>
      <c r="X282" s="54">
        <v>45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46132.540347222224</v>
      </c>
      <c r="AH282" s="52">
        <v>25035</v>
      </c>
      <c r="AI282" s="52">
        <v>0</v>
      </c>
      <c r="AJ282" s="53">
        <f>AH282+AI282</f>
        <v>25035</v>
      </c>
      <c r="AK282" s="56">
        <v>0</v>
      </c>
    </row>
    <row r="283">
      <c r="A283" s="48">
        <v>46132.54126157407</v>
      </c>
      <c r="B283" s="49" t="s">
        <v>108</v>
      </c>
      <c r="C283" s="49" t="s">
        <v>111</v>
      </c>
      <c r="D283" s="49" t="s">
        <v>5</v>
      </c>
      <c r="E283" s="50">
        <v>96</v>
      </c>
      <c r="F283" s="49" t="s">
        <v>109</v>
      </c>
      <c r="G283" s="51">
        <v>169002631</v>
      </c>
      <c r="H283" s="52">
        <v>47</v>
      </c>
      <c r="I283" s="52">
        <f>L283+M283+N283</f>
        <v>39.1584</v>
      </c>
      <c r="J283" s="52">
        <f>O283+P283</f>
        <v>8.041599999999999</v>
      </c>
      <c r="K283" s="53">
        <f>IF(H283=I283+J283,0,W283)</f>
        <v>-0.2</v>
      </c>
      <c r="L283" s="52">
        <v>13.1405</v>
      </c>
      <c r="M283" s="52">
        <v>44.0179</v>
      </c>
      <c r="N283" s="52">
        <v>-18</v>
      </c>
      <c r="O283" s="52">
        <v>2.7595</v>
      </c>
      <c r="P283" s="52">
        <v>5.2821</v>
      </c>
      <c r="Q283" s="54">
        <v>57.1584</v>
      </c>
      <c r="R283" s="52">
        <v>65.2</v>
      </c>
      <c r="S283" s="52">
        <v>0</v>
      </c>
      <c r="T283" s="52">
        <v>0</v>
      </c>
      <c r="U283" s="52">
        <v>0</v>
      </c>
      <c r="V283" s="52">
        <v>-18</v>
      </c>
      <c r="W283" s="52">
        <v>-0.2</v>
      </c>
      <c r="X283" s="54">
        <v>1000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46132.54126157407</v>
      </c>
      <c r="AH283" s="52">
        <v>25082</v>
      </c>
      <c r="AI283" s="52">
        <v>0</v>
      </c>
      <c r="AJ283" s="53">
        <f>AH283+AI283</f>
        <v>25082</v>
      </c>
      <c r="AK283" s="56">
        <v>0</v>
      </c>
    </row>
    <row r="284">
      <c r="A284" s="48">
        <v>46132.542129629626</v>
      </c>
      <c r="B284" s="49" t="s">
        <v>108</v>
      </c>
      <c r="C284" s="49" t="s">
        <v>106</v>
      </c>
      <c r="D284" s="49" t="s">
        <v>5</v>
      </c>
      <c r="E284" s="50">
        <v>96</v>
      </c>
      <c r="F284" s="49" t="s">
        <v>107</v>
      </c>
      <c r="G284" s="51">
        <v>166004712</v>
      </c>
      <c r="H284" s="52">
        <v>64</v>
      </c>
      <c r="I284" s="52">
        <f>L284+M284+N284</f>
        <v>55.11150000000001</v>
      </c>
      <c r="J284" s="52">
        <f>O284+P284</f>
        <v>8.688500000000001</v>
      </c>
      <c r="K284" s="53">
        <f>IF(H284=I284+J284,0,W284)</f>
        <v>0.2</v>
      </c>
      <c r="L284" s="52">
        <v>23.0579</v>
      </c>
      <c r="M284" s="52">
        <v>32.0536</v>
      </c>
      <c r="N284" s="52">
        <v>0</v>
      </c>
      <c r="O284" s="52">
        <v>4.8421</v>
      </c>
      <c r="P284" s="52">
        <v>3.8464</v>
      </c>
      <c r="Q284" s="54">
        <v>55.1115</v>
      </c>
      <c r="R284" s="52">
        <v>63.8</v>
      </c>
      <c r="S284" s="52">
        <v>0</v>
      </c>
      <c r="T284" s="52">
        <v>0</v>
      </c>
      <c r="U284" s="52">
        <v>0</v>
      </c>
      <c r="V284" s="52">
        <v>0</v>
      </c>
      <c r="W284" s="52">
        <v>0.2</v>
      </c>
      <c r="X284" s="54">
        <v>100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46132.542129629626</v>
      </c>
      <c r="AH284" s="52">
        <v>41354</v>
      </c>
      <c r="AI284" s="52">
        <v>0</v>
      </c>
      <c r="AJ284" s="53">
        <f>AH284+AI284</f>
        <v>41354</v>
      </c>
      <c r="AK284" s="56">
        <v>0</v>
      </c>
    </row>
    <row r="285">
      <c r="A285" s="48">
        <v>46132.54253472222</v>
      </c>
      <c r="B285" s="49" t="s">
        <v>108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166004713</v>
      </c>
      <c r="H285" s="52">
        <v>96</v>
      </c>
      <c r="I285" s="52">
        <f>L285+M285+N285</f>
        <v>79.1736</v>
      </c>
      <c r="J285" s="52">
        <f>O285+P285</f>
        <v>16.6264</v>
      </c>
      <c r="K285" s="53">
        <f>IF(H285=I285+J285,0,W285)</f>
        <v>0.2</v>
      </c>
      <c r="L285" s="52">
        <v>79.1736</v>
      </c>
      <c r="M285" s="52">
        <v>0</v>
      </c>
      <c r="N285" s="52">
        <v>0</v>
      </c>
      <c r="O285" s="52">
        <v>16.6264</v>
      </c>
      <c r="P285" s="52">
        <v>0</v>
      </c>
      <c r="Q285" s="54">
        <v>79.1736</v>
      </c>
      <c r="R285" s="52">
        <v>95.8</v>
      </c>
      <c r="S285" s="52">
        <v>0</v>
      </c>
      <c r="T285" s="52">
        <v>0</v>
      </c>
      <c r="U285" s="52">
        <v>0</v>
      </c>
      <c r="V285" s="52">
        <v>0</v>
      </c>
      <c r="W285" s="52">
        <v>0.2</v>
      </c>
      <c r="X285" s="54">
        <v>100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46132.54253472222</v>
      </c>
      <c r="AH285" s="52">
        <v>41450</v>
      </c>
      <c r="AI285" s="52">
        <v>0</v>
      </c>
      <c r="AJ285" s="53">
        <f>AH285+AI285</f>
        <v>41450</v>
      </c>
      <c r="AK285" s="56">
        <v>0</v>
      </c>
    </row>
    <row r="286">
      <c r="A286" s="48">
        <v>46132.54261574074</v>
      </c>
      <c r="B286" s="49" t="s">
        <v>108</v>
      </c>
      <c r="C286" s="49" t="s">
        <v>100</v>
      </c>
      <c r="D286" s="49" t="s">
        <v>5</v>
      </c>
      <c r="E286" s="50">
        <v>96</v>
      </c>
      <c r="F286" s="49" t="s">
        <v>105</v>
      </c>
      <c r="G286" s="51">
        <v>161000351</v>
      </c>
      <c r="H286" s="52">
        <v>145.38</v>
      </c>
      <c r="I286" s="52">
        <f>L286+M286+N286</f>
        <v>129.79</v>
      </c>
      <c r="J286" s="52">
        <f>O286+P286</f>
        <v>15.59</v>
      </c>
      <c r="K286" s="53">
        <f>IF(H286=I286+J286,0,W286)</f>
        <v>0</v>
      </c>
      <c r="L286" s="52">
        <v>0</v>
      </c>
      <c r="M286" s="52">
        <v>129.79</v>
      </c>
      <c r="N286" s="52">
        <v>0</v>
      </c>
      <c r="O286" s="52">
        <v>0</v>
      </c>
      <c r="P286" s="52">
        <v>15.59</v>
      </c>
      <c r="Q286" s="54">
        <v>129.79</v>
      </c>
      <c r="R286" s="52">
        <v>145.38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145.38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46132.54261574074</v>
      </c>
      <c r="AH286" s="52">
        <v>0</v>
      </c>
      <c r="AI286" s="52">
        <v>0</v>
      </c>
      <c r="AJ286" s="53">
        <f>AH286+AI286</f>
        <v>0</v>
      </c>
      <c r="AK286" s="56">
        <v>0</v>
      </c>
    </row>
    <row r="287">
      <c r="A287" s="48">
        <v>46132.54377314815</v>
      </c>
      <c r="B287" s="49" t="s">
        <v>108</v>
      </c>
      <c r="C287" s="49" t="s">
        <v>106</v>
      </c>
      <c r="D287" s="49" t="s">
        <v>5</v>
      </c>
      <c r="E287" s="50">
        <v>96</v>
      </c>
      <c r="F287" s="49" t="s">
        <v>107</v>
      </c>
      <c r="G287" s="51">
        <v>166004714</v>
      </c>
      <c r="H287" s="52">
        <v>6</v>
      </c>
      <c r="I287" s="52">
        <f>L287+M287+N287</f>
        <v>5.3393</v>
      </c>
      <c r="J287" s="52">
        <f>O287+P287</f>
        <v>0.6407</v>
      </c>
      <c r="K287" s="53">
        <f>IF(H287=I287+J287,0,W287)</f>
        <v>0.02</v>
      </c>
      <c r="L287" s="52">
        <v>0</v>
      </c>
      <c r="M287" s="52">
        <v>5.3393</v>
      </c>
      <c r="N287" s="52">
        <v>0</v>
      </c>
      <c r="O287" s="52">
        <v>0</v>
      </c>
      <c r="P287" s="52">
        <v>0.6407</v>
      </c>
      <c r="Q287" s="54">
        <v>5.3393</v>
      </c>
      <c r="R287" s="52">
        <v>5.98</v>
      </c>
      <c r="S287" s="52">
        <v>0</v>
      </c>
      <c r="T287" s="52">
        <v>0</v>
      </c>
      <c r="U287" s="52">
        <v>0</v>
      </c>
      <c r="V287" s="52">
        <v>0</v>
      </c>
      <c r="W287" s="52">
        <v>0.02</v>
      </c>
      <c r="X287" s="54">
        <v>50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46132.54377314815</v>
      </c>
      <c r="AH287" s="52">
        <v>41456</v>
      </c>
      <c r="AI287" s="52">
        <v>0</v>
      </c>
      <c r="AJ287" s="53">
        <f>AH287+AI287</f>
        <v>41456</v>
      </c>
      <c r="AK287" s="56">
        <v>0</v>
      </c>
    </row>
    <row r="288">
      <c r="A288" s="48">
        <v>46132.54542824074</v>
      </c>
      <c r="B288" s="49" t="s">
        <v>108</v>
      </c>
      <c r="C288" s="49" t="s">
        <v>106</v>
      </c>
      <c r="D288" s="49" t="s">
        <v>5</v>
      </c>
      <c r="E288" s="50">
        <v>96</v>
      </c>
      <c r="F288" s="49" t="s">
        <v>107</v>
      </c>
      <c r="G288" s="51">
        <v>166004715</v>
      </c>
      <c r="H288" s="52">
        <v>1160</v>
      </c>
      <c r="I288" s="52">
        <f>L288+M288+N288</f>
        <v>958.6776</v>
      </c>
      <c r="J288" s="52">
        <f>O288+P288</f>
        <v>201.3224</v>
      </c>
      <c r="K288" s="53">
        <f>IF(H288=I288+J288,0,W288)</f>
        <v>0</v>
      </c>
      <c r="L288" s="52">
        <v>958.6776</v>
      </c>
      <c r="M288" s="52">
        <v>0</v>
      </c>
      <c r="N288" s="52">
        <v>0</v>
      </c>
      <c r="O288" s="52">
        <v>201.3224</v>
      </c>
      <c r="P288" s="52">
        <v>0</v>
      </c>
      <c r="Q288" s="54">
        <v>958.6776</v>
      </c>
      <c r="R288" s="52">
        <v>1160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1160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46132.54542824074</v>
      </c>
      <c r="AH288" s="52">
        <v>41456</v>
      </c>
      <c r="AI288" s="52">
        <v>0</v>
      </c>
      <c r="AJ288" s="53">
        <f>AH288+AI288</f>
        <v>41456</v>
      </c>
      <c r="AK288" s="56">
        <v>0</v>
      </c>
    </row>
    <row r="289">
      <c r="A289" s="48">
        <v>46132.54574074074</v>
      </c>
      <c r="B289" s="49" t="s">
        <v>108</v>
      </c>
      <c r="C289" s="49" t="s">
        <v>106</v>
      </c>
      <c r="D289" s="49" t="s">
        <v>5</v>
      </c>
      <c r="E289" s="50">
        <v>96</v>
      </c>
      <c r="F289" s="49" t="s">
        <v>107</v>
      </c>
      <c r="G289" s="51">
        <v>166004716</v>
      </c>
      <c r="H289" s="52">
        <v>81</v>
      </c>
      <c r="I289" s="52">
        <f>L289+M289+N289</f>
        <v>70.2008</v>
      </c>
      <c r="J289" s="52">
        <f>O289+P289</f>
        <v>10.4992</v>
      </c>
      <c r="K289" s="53">
        <f>IF(H289=I289+J289,0,W289)</f>
        <v>0.3</v>
      </c>
      <c r="L289" s="52">
        <v>23.0579</v>
      </c>
      <c r="M289" s="52">
        <v>47.1429</v>
      </c>
      <c r="N289" s="52">
        <v>0</v>
      </c>
      <c r="O289" s="52">
        <v>4.8421</v>
      </c>
      <c r="P289" s="52">
        <v>5.6571</v>
      </c>
      <c r="Q289" s="54">
        <v>70.2008</v>
      </c>
      <c r="R289" s="52">
        <v>80.7</v>
      </c>
      <c r="S289" s="52">
        <v>0</v>
      </c>
      <c r="T289" s="52">
        <v>0</v>
      </c>
      <c r="U289" s="52">
        <v>0</v>
      </c>
      <c r="V289" s="52">
        <v>0</v>
      </c>
      <c r="W289" s="52">
        <v>0.3</v>
      </c>
      <c r="X289" s="54">
        <v>100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46132.54574074074</v>
      </c>
      <c r="AH289" s="52">
        <v>41537</v>
      </c>
      <c r="AI289" s="52">
        <v>0</v>
      </c>
      <c r="AJ289" s="53">
        <f>AH289+AI289</f>
        <v>41537</v>
      </c>
      <c r="AK289" s="56">
        <v>0</v>
      </c>
    </row>
    <row r="290">
      <c r="A290" s="48">
        <v>46132.54597222222</v>
      </c>
      <c r="B290" s="49" t="s">
        <v>108</v>
      </c>
      <c r="C290" s="49" t="s">
        <v>100</v>
      </c>
      <c r="D290" s="49" t="s">
        <v>5</v>
      </c>
      <c r="E290" s="50">
        <v>96</v>
      </c>
      <c r="F290" s="49" t="s">
        <v>105</v>
      </c>
      <c r="G290" s="51">
        <v>161000352</v>
      </c>
      <c r="H290" s="52">
        <v>29.9</v>
      </c>
      <c r="I290" s="52">
        <f>L290+M290+N290</f>
        <v>24.71</v>
      </c>
      <c r="J290" s="52">
        <f>O290+P290</f>
        <v>5.19</v>
      </c>
      <c r="K290" s="53">
        <f>IF(H290=I290+J290,0,W290)</f>
        <v>0</v>
      </c>
      <c r="L290" s="52">
        <v>24.71</v>
      </c>
      <c r="M290" s="52">
        <v>0</v>
      </c>
      <c r="N290" s="52">
        <v>0</v>
      </c>
      <c r="O290" s="52">
        <v>5.19</v>
      </c>
      <c r="P290" s="52">
        <v>0</v>
      </c>
      <c r="Q290" s="54">
        <v>24.71</v>
      </c>
      <c r="R290" s="52">
        <v>29.9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29.9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46132.54597222222</v>
      </c>
      <c r="AH290" s="52">
        <v>0</v>
      </c>
      <c r="AI290" s="52">
        <v>0</v>
      </c>
      <c r="AJ290" s="53">
        <f>AH290+AI290</f>
        <v>0</v>
      </c>
      <c r="AK290" s="56">
        <v>0</v>
      </c>
    </row>
    <row r="291">
      <c r="A291" s="48">
        <v>46132.54688657408</v>
      </c>
      <c r="B291" s="49" t="s">
        <v>108</v>
      </c>
      <c r="C291" s="49" t="s">
        <v>106</v>
      </c>
      <c r="D291" s="49" t="s">
        <v>5</v>
      </c>
      <c r="E291" s="50">
        <v>96</v>
      </c>
      <c r="F291" s="49" t="s">
        <v>107</v>
      </c>
      <c r="G291" s="51">
        <v>166004717</v>
      </c>
      <c r="H291" s="52">
        <v>359.6</v>
      </c>
      <c r="I291" s="52">
        <f>L291+M291+N291</f>
        <v>310.3793</v>
      </c>
      <c r="J291" s="52">
        <f>O291+P291</f>
        <v>49.2207</v>
      </c>
      <c r="K291" s="53">
        <f>IF(H291=I291+J291,0,W291)</f>
        <v>0</v>
      </c>
      <c r="L291" s="52">
        <v>133.0579</v>
      </c>
      <c r="M291" s="52">
        <v>177.3214</v>
      </c>
      <c r="N291" s="52">
        <v>0</v>
      </c>
      <c r="O291" s="52">
        <v>27.9421</v>
      </c>
      <c r="P291" s="52">
        <v>21.2786</v>
      </c>
      <c r="Q291" s="54">
        <v>310.3793</v>
      </c>
      <c r="R291" s="52">
        <v>359.6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359.6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46132.54688657408</v>
      </c>
      <c r="AH291" s="52">
        <v>41537</v>
      </c>
      <c r="AI291" s="52">
        <v>0</v>
      </c>
      <c r="AJ291" s="53">
        <f>AH291+AI291</f>
        <v>41537</v>
      </c>
      <c r="AK291" s="56">
        <v>0</v>
      </c>
    </row>
    <row r="292">
      <c r="A292" s="48">
        <v>46132.5471875</v>
      </c>
      <c r="B292" s="49" t="s">
        <v>108</v>
      </c>
      <c r="C292" s="49" t="s">
        <v>106</v>
      </c>
      <c r="D292" s="49" t="s">
        <v>5</v>
      </c>
      <c r="E292" s="50">
        <v>96</v>
      </c>
      <c r="F292" s="49" t="s">
        <v>107</v>
      </c>
      <c r="G292" s="51">
        <v>166004718</v>
      </c>
      <c r="H292" s="52">
        <v>140</v>
      </c>
      <c r="I292" s="52">
        <f>L292+M292+N292</f>
        <v>124.5167</v>
      </c>
      <c r="J292" s="52">
        <f>O292+P292</f>
        <v>15.083300000000001</v>
      </c>
      <c r="K292" s="53">
        <f>IF(H292=I292+J292,0,W292)</f>
        <v>0.4</v>
      </c>
      <c r="L292" s="52">
        <v>1.5702</v>
      </c>
      <c r="M292" s="52">
        <v>122.9465</v>
      </c>
      <c r="N292" s="52">
        <v>0</v>
      </c>
      <c r="O292" s="52">
        <v>0.3298</v>
      </c>
      <c r="P292" s="52">
        <v>14.7535</v>
      </c>
      <c r="Q292" s="54">
        <v>124.5167</v>
      </c>
      <c r="R292" s="52">
        <v>139.6</v>
      </c>
      <c r="S292" s="52">
        <v>0</v>
      </c>
      <c r="T292" s="52">
        <v>0</v>
      </c>
      <c r="U292" s="52">
        <v>0</v>
      </c>
      <c r="V292" s="52">
        <v>0</v>
      </c>
      <c r="W292" s="52">
        <v>0.4</v>
      </c>
      <c r="X292" s="54">
        <v>150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46132.5471875</v>
      </c>
      <c r="AH292" s="52">
        <v>41677</v>
      </c>
      <c r="AI292" s="52">
        <v>0</v>
      </c>
      <c r="AJ292" s="53">
        <f>AH292+AI292</f>
        <v>41677</v>
      </c>
      <c r="AK292" s="56">
        <v>0</v>
      </c>
    </row>
    <row r="293">
      <c r="A293" s="48">
        <v>46132.547372685185</v>
      </c>
      <c r="B293" s="49" t="s">
        <v>108</v>
      </c>
      <c r="C293" s="49" t="s">
        <v>106</v>
      </c>
      <c r="D293" s="49" t="s">
        <v>5</v>
      </c>
      <c r="E293" s="50">
        <v>96</v>
      </c>
      <c r="F293" s="49" t="s">
        <v>107</v>
      </c>
      <c r="G293" s="51">
        <v>166004719</v>
      </c>
      <c r="H293" s="52">
        <v>11</v>
      </c>
      <c r="I293" s="52">
        <f>L293+M293+N293</f>
        <v>10.1786</v>
      </c>
      <c r="J293" s="52">
        <f>O293+P293</f>
        <v>1.2214</v>
      </c>
      <c r="K293" s="53">
        <f>IF(H293=I293+J293,0,W293)</f>
        <v>-0.4</v>
      </c>
      <c r="L293" s="52">
        <v>0</v>
      </c>
      <c r="M293" s="52">
        <v>10.1786</v>
      </c>
      <c r="N293" s="52">
        <v>0</v>
      </c>
      <c r="O293" s="52">
        <v>0</v>
      </c>
      <c r="P293" s="52">
        <v>1.2214</v>
      </c>
      <c r="Q293" s="54">
        <v>10.1786</v>
      </c>
      <c r="R293" s="52">
        <v>11.4</v>
      </c>
      <c r="S293" s="52">
        <v>0</v>
      </c>
      <c r="T293" s="52">
        <v>0</v>
      </c>
      <c r="U293" s="52">
        <v>0</v>
      </c>
      <c r="V293" s="52">
        <v>0</v>
      </c>
      <c r="W293" s="52">
        <v>-0.4</v>
      </c>
      <c r="X293" s="54">
        <v>11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46132.547372685185</v>
      </c>
      <c r="AH293" s="52">
        <v>41688</v>
      </c>
      <c r="AI293" s="52">
        <v>0</v>
      </c>
      <c r="AJ293" s="53">
        <f>AH293+AI293</f>
        <v>41688</v>
      </c>
      <c r="AK293" s="56">
        <v>0</v>
      </c>
    </row>
    <row r="294">
      <c r="A294" s="48">
        <v>46132.547488425924</v>
      </c>
      <c r="B294" s="49" t="s">
        <v>108</v>
      </c>
      <c r="C294" s="49" t="s">
        <v>106</v>
      </c>
      <c r="D294" s="49" t="s">
        <v>5</v>
      </c>
      <c r="E294" s="50">
        <v>96</v>
      </c>
      <c r="F294" s="49" t="s">
        <v>107</v>
      </c>
      <c r="G294" s="51">
        <v>166004720</v>
      </c>
      <c r="H294" s="52">
        <v>38</v>
      </c>
      <c r="I294" s="52">
        <f>L294+M294+N294</f>
        <v>34.2857</v>
      </c>
      <c r="J294" s="52">
        <f>O294+P294</f>
        <v>4.1143</v>
      </c>
      <c r="K294" s="53">
        <f>IF(H294=I294+J294,0,W294)</f>
        <v>-0.4</v>
      </c>
      <c r="L294" s="52">
        <v>0</v>
      </c>
      <c r="M294" s="52">
        <v>34.2857</v>
      </c>
      <c r="N294" s="52">
        <v>0</v>
      </c>
      <c r="O294" s="52">
        <v>0</v>
      </c>
      <c r="P294" s="52">
        <v>4.1143</v>
      </c>
      <c r="Q294" s="54">
        <v>34.2857</v>
      </c>
      <c r="R294" s="52">
        <v>38.4</v>
      </c>
      <c r="S294" s="52">
        <v>0</v>
      </c>
      <c r="T294" s="52">
        <v>0</v>
      </c>
      <c r="U294" s="52">
        <v>0</v>
      </c>
      <c r="V294" s="52">
        <v>0</v>
      </c>
      <c r="W294" s="52">
        <v>-0.4</v>
      </c>
      <c r="X294" s="54">
        <v>50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46132.547488425924</v>
      </c>
      <c r="AH294" s="52">
        <v>41726</v>
      </c>
      <c r="AI294" s="52">
        <v>0</v>
      </c>
      <c r="AJ294" s="53">
        <f>AH294+AI294</f>
        <v>41726</v>
      </c>
      <c r="AK294" s="56">
        <v>0</v>
      </c>
    </row>
    <row r="295">
      <c r="A295" s="48">
        <v>46132.54760416667</v>
      </c>
      <c r="B295" s="49" t="s">
        <v>108</v>
      </c>
      <c r="C295" s="49" t="s">
        <v>100</v>
      </c>
      <c r="D295" s="49" t="s">
        <v>5</v>
      </c>
      <c r="E295" s="50">
        <v>96</v>
      </c>
      <c r="F295" s="49" t="s">
        <v>105</v>
      </c>
      <c r="G295" s="51">
        <v>161000353</v>
      </c>
      <c r="H295" s="52">
        <v>93.5</v>
      </c>
      <c r="I295" s="52">
        <f>L295+M295+N295</f>
        <v>81.47</v>
      </c>
      <c r="J295" s="52">
        <f>O295+P295</f>
        <v>12.030000000000001</v>
      </c>
      <c r="K295" s="53">
        <f>IF(H295=I295+J295,0,W295)</f>
        <v>0</v>
      </c>
      <c r="L295" s="52">
        <v>24.71</v>
      </c>
      <c r="M295" s="52">
        <v>56.76</v>
      </c>
      <c r="N295" s="52">
        <v>0</v>
      </c>
      <c r="O295" s="52">
        <v>5.19</v>
      </c>
      <c r="P295" s="52">
        <v>6.84</v>
      </c>
      <c r="Q295" s="54">
        <v>81.47</v>
      </c>
      <c r="R295" s="52">
        <v>93.5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93.5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46132.54760416667</v>
      </c>
      <c r="AH295" s="52">
        <v>0</v>
      </c>
      <c r="AI295" s="52">
        <v>0</v>
      </c>
      <c r="AJ295" s="53">
        <f>AH295+AI295</f>
        <v>0</v>
      </c>
      <c r="AK295" s="56">
        <v>0</v>
      </c>
    </row>
    <row r="296">
      <c r="A296" s="48">
        <v>46132.54818287037</v>
      </c>
      <c r="B296" s="49" t="s">
        <v>108</v>
      </c>
      <c r="C296" s="49" t="s">
        <v>106</v>
      </c>
      <c r="D296" s="49" t="s">
        <v>5</v>
      </c>
      <c r="E296" s="50">
        <v>96</v>
      </c>
      <c r="F296" s="49" t="s">
        <v>107</v>
      </c>
      <c r="G296" s="51">
        <v>166004721</v>
      </c>
      <c r="H296" s="52">
        <v>312.58</v>
      </c>
      <c r="I296" s="52">
        <f>L296+M296+N296</f>
        <v>279.0891</v>
      </c>
      <c r="J296" s="52">
        <f>O296+P296</f>
        <v>33.4909</v>
      </c>
      <c r="K296" s="53">
        <f>IF(H296=I296+J296,0,W296)</f>
        <v>0</v>
      </c>
      <c r="L296" s="52">
        <v>0</v>
      </c>
      <c r="M296" s="52">
        <v>279.0891</v>
      </c>
      <c r="N296" s="52">
        <v>0</v>
      </c>
      <c r="O296" s="52">
        <v>0</v>
      </c>
      <c r="P296" s="52">
        <v>33.4909</v>
      </c>
      <c r="Q296" s="54">
        <v>279.0891</v>
      </c>
      <c r="R296" s="52">
        <v>312.58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4">
        <v>0</v>
      </c>
      <c r="Y296" s="52">
        <v>0</v>
      </c>
      <c r="Z296" s="52">
        <v>312.58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46132.54818287037</v>
      </c>
      <c r="AH296" s="52">
        <v>41726</v>
      </c>
      <c r="AI296" s="52">
        <v>0</v>
      </c>
      <c r="AJ296" s="53">
        <f>AH296+AI296</f>
        <v>41726</v>
      </c>
      <c r="AK296" s="56">
        <v>0</v>
      </c>
    </row>
    <row r="297">
      <c r="A297" s="48">
        <v>46132.54856481482</v>
      </c>
      <c r="B297" s="49" t="s">
        <v>108</v>
      </c>
      <c r="C297" s="49" t="s">
        <v>106</v>
      </c>
      <c r="D297" s="49" t="s">
        <v>5</v>
      </c>
      <c r="E297" s="50">
        <v>96</v>
      </c>
      <c r="F297" s="49" t="s">
        <v>107</v>
      </c>
      <c r="G297" s="51">
        <v>166004722</v>
      </c>
      <c r="H297" s="52">
        <v>151.9</v>
      </c>
      <c r="I297" s="52">
        <f>L297+M297+N297</f>
        <v>135.625</v>
      </c>
      <c r="J297" s="52">
        <f>O297+P297</f>
        <v>16.275</v>
      </c>
      <c r="K297" s="53">
        <f>IF(H297=I297+J297,0,W297)</f>
        <v>0</v>
      </c>
      <c r="L297" s="52">
        <v>0</v>
      </c>
      <c r="M297" s="52">
        <v>135.625</v>
      </c>
      <c r="N297" s="52">
        <v>0</v>
      </c>
      <c r="O297" s="52">
        <v>0</v>
      </c>
      <c r="P297" s="52">
        <v>16.275</v>
      </c>
      <c r="Q297" s="54">
        <v>135.625</v>
      </c>
      <c r="R297" s="52">
        <v>151.9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151.9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46132.54856481482</v>
      </c>
      <c r="AH297" s="52">
        <v>41726</v>
      </c>
      <c r="AI297" s="52">
        <v>0</v>
      </c>
      <c r="AJ297" s="53">
        <f>AH297+AI297</f>
        <v>41726</v>
      </c>
      <c r="AK297" s="56">
        <v>0</v>
      </c>
    </row>
    <row r="298">
      <c r="A298" s="48">
        <v>46132.548854166664</v>
      </c>
      <c r="B298" s="49" t="s">
        <v>108</v>
      </c>
      <c r="C298" s="49" t="s">
        <v>106</v>
      </c>
      <c r="D298" s="49" t="s">
        <v>5</v>
      </c>
      <c r="E298" s="50">
        <v>96</v>
      </c>
      <c r="F298" s="49" t="s">
        <v>107</v>
      </c>
      <c r="G298" s="51">
        <v>166004723</v>
      </c>
      <c r="H298" s="52">
        <v>22.8</v>
      </c>
      <c r="I298" s="52">
        <f>L298+M298+N298</f>
        <v>18.843</v>
      </c>
      <c r="J298" s="52">
        <f>O298+P298</f>
        <v>3.957</v>
      </c>
      <c r="K298" s="53">
        <f>IF(H298=I298+J298,0,W298)</f>
        <v>0</v>
      </c>
      <c r="L298" s="52">
        <v>18.843</v>
      </c>
      <c r="M298" s="52">
        <v>0</v>
      </c>
      <c r="N298" s="52">
        <v>0</v>
      </c>
      <c r="O298" s="52">
        <v>3.957</v>
      </c>
      <c r="P298" s="52">
        <v>0</v>
      </c>
      <c r="Q298" s="54">
        <v>18.843</v>
      </c>
      <c r="R298" s="52">
        <v>22.8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22.8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46132.548854166664</v>
      </c>
      <c r="AH298" s="52">
        <v>41726</v>
      </c>
      <c r="AI298" s="52">
        <v>0</v>
      </c>
      <c r="AJ298" s="53">
        <f>AH298+AI298</f>
        <v>41726</v>
      </c>
      <c r="AK298" s="56">
        <v>0</v>
      </c>
    </row>
    <row r="299">
      <c r="A299" s="48">
        <v>46132.549467592595</v>
      </c>
      <c r="B299" s="49" t="s">
        <v>108</v>
      </c>
      <c r="C299" s="49" t="s">
        <v>106</v>
      </c>
      <c r="D299" s="49" t="s">
        <v>5</v>
      </c>
      <c r="E299" s="50">
        <v>96</v>
      </c>
      <c r="F299" s="49" t="s">
        <v>107</v>
      </c>
      <c r="G299" s="51">
        <v>166004724</v>
      </c>
      <c r="H299" s="52">
        <v>157.96</v>
      </c>
      <c r="I299" s="52">
        <f>L299+M299+N299</f>
        <v>141.0357</v>
      </c>
      <c r="J299" s="52">
        <f>O299+P299</f>
        <v>16.9243</v>
      </c>
      <c r="K299" s="53">
        <f>IF(H299=I299+J299,0,W299)</f>
        <v>0</v>
      </c>
      <c r="L299" s="52">
        <v>0</v>
      </c>
      <c r="M299" s="52">
        <v>141.0357</v>
      </c>
      <c r="N299" s="52">
        <v>0</v>
      </c>
      <c r="O299" s="52">
        <v>0</v>
      </c>
      <c r="P299" s="52">
        <v>16.9243</v>
      </c>
      <c r="Q299" s="54">
        <v>141.0357</v>
      </c>
      <c r="R299" s="52">
        <v>157.96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157.96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46132.549467592595</v>
      </c>
      <c r="AH299" s="52">
        <v>41726</v>
      </c>
      <c r="AI299" s="52">
        <v>0</v>
      </c>
      <c r="AJ299" s="53">
        <f>AH299+AI299</f>
        <v>41726</v>
      </c>
      <c r="AK299" s="56">
        <v>9.54</v>
      </c>
    </row>
    <row r="300">
      <c r="A300" s="48">
        <v>46132.54959490741</v>
      </c>
      <c r="B300" s="49" t="s">
        <v>108</v>
      </c>
      <c r="C300" s="49" t="s">
        <v>106</v>
      </c>
      <c r="D300" s="49" t="s">
        <v>5</v>
      </c>
      <c r="E300" s="50">
        <v>96</v>
      </c>
      <c r="F300" s="49" t="s">
        <v>107</v>
      </c>
      <c r="G300" s="51">
        <v>166004725</v>
      </c>
      <c r="H300" s="52">
        <v>50</v>
      </c>
      <c r="I300" s="52">
        <f>L300+M300+N300</f>
        <v>44.5536</v>
      </c>
      <c r="J300" s="52">
        <f>O300+P300</f>
        <v>5.3464</v>
      </c>
      <c r="K300" s="53">
        <f>IF(H300=I300+J300,0,W300)</f>
        <v>0.1</v>
      </c>
      <c r="L300" s="52">
        <v>0</v>
      </c>
      <c r="M300" s="52">
        <v>44.5536</v>
      </c>
      <c r="N300" s="52">
        <v>0</v>
      </c>
      <c r="O300" s="52">
        <v>0</v>
      </c>
      <c r="P300" s="52">
        <v>5.3464</v>
      </c>
      <c r="Q300" s="54">
        <v>44.5536</v>
      </c>
      <c r="R300" s="52">
        <v>49.9</v>
      </c>
      <c r="S300" s="52">
        <v>0</v>
      </c>
      <c r="T300" s="52">
        <v>0</v>
      </c>
      <c r="U300" s="52">
        <v>0</v>
      </c>
      <c r="V300" s="52">
        <v>0</v>
      </c>
      <c r="W300" s="52">
        <v>0.1</v>
      </c>
      <c r="X300" s="54">
        <v>100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46132.54959490741</v>
      </c>
      <c r="AH300" s="52">
        <v>41776</v>
      </c>
      <c r="AI300" s="52">
        <v>0</v>
      </c>
      <c r="AJ300" s="53">
        <f>AH300+AI300</f>
        <v>41776</v>
      </c>
      <c r="AK300" s="56">
        <v>0</v>
      </c>
    </row>
    <row r="301">
      <c r="A301" s="48">
        <v>46132.54986111111</v>
      </c>
      <c r="B301" s="49" t="s">
        <v>108</v>
      </c>
      <c r="C301" s="49" t="s">
        <v>106</v>
      </c>
      <c r="D301" s="49" t="s">
        <v>5</v>
      </c>
      <c r="E301" s="50">
        <v>96</v>
      </c>
      <c r="F301" s="49" t="s">
        <v>107</v>
      </c>
      <c r="G301" s="51">
        <v>166004726</v>
      </c>
      <c r="H301" s="52">
        <v>60</v>
      </c>
      <c r="I301" s="52">
        <f>L301+M301+N301</f>
        <v>53.9465</v>
      </c>
      <c r="J301" s="52">
        <f>O301+P301</f>
        <v>6.4735</v>
      </c>
      <c r="K301" s="53">
        <f>IF(H301=I301+J301,0,W301)</f>
        <v>-0.42</v>
      </c>
      <c r="L301" s="52">
        <v>0</v>
      </c>
      <c r="M301" s="52">
        <v>53.9465</v>
      </c>
      <c r="N301" s="52">
        <v>0</v>
      </c>
      <c r="O301" s="52">
        <v>0</v>
      </c>
      <c r="P301" s="52">
        <v>6.4735</v>
      </c>
      <c r="Q301" s="54">
        <v>53.9465</v>
      </c>
      <c r="R301" s="52">
        <v>60.42</v>
      </c>
      <c r="S301" s="52">
        <v>0</v>
      </c>
      <c r="T301" s="52">
        <v>0</v>
      </c>
      <c r="U301" s="52">
        <v>0</v>
      </c>
      <c r="V301" s="52">
        <v>0</v>
      </c>
      <c r="W301" s="52">
        <v>-0.42</v>
      </c>
      <c r="X301" s="54">
        <v>200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46132.54986111111</v>
      </c>
      <c r="AH301" s="52">
        <v>41836</v>
      </c>
      <c r="AI301" s="52">
        <v>0</v>
      </c>
      <c r="AJ301" s="53">
        <f>AH301+AI301</f>
        <v>41836</v>
      </c>
      <c r="AK301" s="56">
        <v>0</v>
      </c>
    </row>
    <row r="302">
      <c r="A302" s="48">
        <v>46132.550891203704</v>
      </c>
      <c r="B302" s="49" t="s">
        <v>108</v>
      </c>
      <c r="C302" s="49" t="s">
        <v>106</v>
      </c>
      <c r="D302" s="49" t="s">
        <v>5</v>
      </c>
      <c r="E302" s="50">
        <v>96</v>
      </c>
      <c r="F302" s="49" t="s">
        <v>107</v>
      </c>
      <c r="G302" s="51">
        <v>166004727</v>
      </c>
      <c r="H302" s="52">
        <v>209</v>
      </c>
      <c r="I302" s="52">
        <f>L302+M302+N302</f>
        <v>186.7488</v>
      </c>
      <c r="J302" s="52">
        <f>O302+P302</f>
        <v>22.551199999999998</v>
      </c>
      <c r="K302" s="53">
        <f>IF(H302=I302+J302,0,W302)</f>
        <v>-0.3</v>
      </c>
      <c r="L302" s="52">
        <v>1.5702</v>
      </c>
      <c r="M302" s="52">
        <v>185.1786</v>
      </c>
      <c r="N302" s="52">
        <v>0</v>
      </c>
      <c r="O302" s="52">
        <v>0.3298</v>
      </c>
      <c r="P302" s="52">
        <v>22.2214</v>
      </c>
      <c r="Q302" s="54">
        <v>186.7488</v>
      </c>
      <c r="R302" s="52">
        <v>209.3</v>
      </c>
      <c r="S302" s="52">
        <v>0</v>
      </c>
      <c r="T302" s="52">
        <v>0</v>
      </c>
      <c r="U302" s="52">
        <v>0</v>
      </c>
      <c r="V302" s="52">
        <v>0</v>
      </c>
      <c r="W302" s="52">
        <v>-0.3</v>
      </c>
      <c r="X302" s="54">
        <v>500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46132.550891203704</v>
      </c>
      <c r="AH302" s="52">
        <v>42045</v>
      </c>
      <c r="AI302" s="52">
        <v>0</v>
      </c>
      <c r="AJ302" s="53">
        <f>AH302+AI302</f>
        <v>42045</v>
      </c>
      <c r="AK302" s="56">
        <v>0</v>
      </c>
    </row>
    <row r="303">
      <c r="A303" s="48">
        <v>46132.551145833335</v>
      </c>
      <c r="B303" s="49" t="s">
        <v>108</v>
      </c>
      <c r="C303" s="49" t="s">
        <v>106</v>
      </c>
      <c r="D303" s="49" t="s">
        <v>5</v>
      </c>
      <c r="E303" s="50">
        <v>96</v>
      </c>
      <c r="F303" s="49" t="s">
        <v>107</v>
      </c>
      <c r="G303" s="51">
        <v>166004728</v>
      </c>
      <c r="H303" s="52">
        <v>15</v>
      </c>
      <c r="I303" s="52">
        <f>L303+M303+N303</f>
        <v>12.9464</v>
      </c>
      <c r="J303" s="52">
        <f>O303+P303</f>
        <v>1.5536</v>
      </c>
      <c r="K303" s="53">
        <f>IF(H303=I303+J303,0,W303)</f>
        <v>0.5</v>
      </c>
      <c r="L303" s="52">
        <v>0</v>
      </c>
      <c r="M303" s="52">
        <v>12.9464</v>
      </c>
      <c r="N303" s="52">
        <v>0</v>
      </c>
      <c r="O303" s="52">
        <v>0</v>
      </c>
      <c r="P303" s="52">
        <v>1.5536</v>
      </c>
      <c r="Q303" s="54">
        <v>12.9464</v>
      </c>
      <c r="R303" s="52">
        <v>14.5</v>
      </c>
      <c r="S303" s="52">
        <v>0</v>
      </c>
      <c r="T303" s="52">
        <v>0</v>
      </c>
      <c r="U303" s="52">
        <v>0</v>
      </c>
      <c r="V303" s="52">
        <v>0</v>
      </c>
      <c r="W303" s="52">
        <v>0.5</v>
      </c>
      <c r="X303" s="54">
        <v>20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46132.551145833335</v>
      </c>
      <c r="AH303" s="52">
        <v>42060</v>
      </c>
      <c r="AI303" s="52">
        <v>0</v>
      </c>
      <c r="AJ303" s="53">
        <f>AH303+AI303</f>
        <v>42060</v>
      </c>
      <c r="AK303" s="56">
        <v>0</v>
      </c>
    </row>
    <row r="304">
      <c r="A304" s="48">
        <v>46132.55148148148</v>
      </c>
      <c r="B304" s="49" t="s">
        <v>108</v>
      </c>
      <c r="C304" s="49" t="s">
        <v>106</v>
      </c>
      <c r="D304" s="49" t="s">
        <v>5</v>
      </c>
      <c r="E304" s="50">
        <v>96</v>
      </c>
      <c r="F304" s="49" t="s">
        <v>107</v>
      </c>
      <c r="G304" s="51">
        <v>166004729</v>
      </c>
      <c r="H304" s="52">
        <v>54</v>
      </c>
      <c r="I304" s="52">
        <f>L304+M304+N304</f>
        <v>44.3802</v>
      </c>
      <c r="J304" s="52">
        <f>O304+P304</f>
        <v>9.3198</v>
      </c>
      <c r="K304" s="53">
        <f>IF(H304=I304+J304,0,W304)</f>
        <v>0.3</v>
      </c>
      <c r="L304" s="52">
        <v>44.3802</v>
      </c>
      <c r="M304" s="52">
        <v>0</v>
      </c>
      <c r="N304" s="52">
        <v>0</v>
      </c>
      <c r="O304" s="52">
        <v>9.3198</v>
      </c>
      <c r="P304" s="52">
        <v>0</v>
      </c>
      <c r="Q304" s="54">
        <v>44.3802</v>
      </c>
      <c r="R304" s="52">
        <v>53.7</v>
      </c>
      <c r="S304" s="52">
        <v>0</v>
      </c>
      <c r="T304" s="52">
        <v>0</v>
      </c>
      <c r="U304" s="52">
        <v>0</v>
      </c>
      <c r="V304" s="52">
        <v>0</v>
      </c>
      <c r="W304" s="52">
        <v>0.3</v>
      </c>
      <c r="X304" s="54">
        <v>54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46132.55148148148</v>
      </c>
      <c r="AH304" s="52">
        <v>42114</v>
      </c>
      <c r="AI304" s="52">
        <v>0</v>
      </c>
      <c r="AJ304" s="53">
        <f>AH304+AI304</f>
        <v>42114</v>
      </c>
      <c r="AK304" s="56">
        <v>0</v>
      </c>
    </row>
    <row r="305">
      <c r="A305" s="48">
        <v>46132.55226851852</v>
      </c>
      <c r="B305" s="49" t="s">
        <v>108</v>
      </c>
      <c r="C305" s="49" t="s">
        <v>106</v>
      </c>
      <c r="D305" s="49" t="s">
        <v>5</v>
      </c>
      <c r="E305" s="50">
        <v>96</v>
      </c>
      <c r="F305" s="49" t="s">
        <v>107</v>
      </c>
      <c r="G305" s="51">
        <v>166004730</v>
      </c>
      <c r="H305" s="52">
        <v>230.11</v>
      </c>
      <c r="I305" s="52">
        <f>L305+M305+N305</f>
        <v>205.4554</v>
      </c>
      <c r="J305" s="52">
        <f>O305+P305</f>
        <v>24.6546</v>
      </c>
      <c r="K305" s="53">
        <f>IF(H305=I305+J305,0,W305)</f>
        <v>0</v>
      </c>
      <c r="L305" s="52">
        <v>0</v>
      </c>
      <c r="M305" s="52">
        <v>205.4554</v>
      </c>
      <c r="N305" s="52">
        <v>0</v>
      </c>
      <c r="O305" s="52">
        <v>0</v>
      </c>
      <c r="P305" s="52">
        <v>24.6546</v>
      </c>
      <c r="Q305" s="54">
        <v>205.4554</v>
      </c>
      <c r="R305" s="52">
        <v>230.11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230.11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46132.55226851852</v>
      </c>
      <c r="AH305" s="52">
        <v>42114</v>
      </c>
      <c r="AI305" s="52">
        <v>0</v>
      </c>
      <c r="AJ305" s="53">
        <f>AH305+AI305</f>
        <v>42114</v>
      </c>
      <c r="AK305" s="56">
        <v>0</v>
      </c>
    </row>
    <row r="306">
      <c r="A306" s="48">
        <v>46132.55238425926</v>
      </c>
      <c r="B306" s="49" t="s">
        <v>108</v>
      </c>
      <c r="C306" s="49" t="s">
        <v>106</v>
      </c>
      <c r="D306" s="49" t="s">
        <v>5</v>
      </c>
      <c r="E306" s="50">
        <v>96</v>
      </c>
      <c r="F306" s="49" t="s">
        <v>107</v>
      </c>
      <c r="G306" s="51">
        <v>166004731</v>
      </c>
      <c r="H306" s="52">
        <v>60</v>
      </c>
      <c r="I306" s="52">
        <f>L306+M306+N306</f>
        <v>53.3928</v>
      </c>
      <c r="J306" s="52">
        <f>O306+P306</f>
        <v>6.4072</v>
      </c>
      <c r="K306" s="53">
        <f>IF(H306=I306+J306,0,W306)</f>
        <v>0.2</v>
      </c>
      <c r="L306" s="52">
        <v>0</v>
      </c>
      <c r="M306" s="52">
        <v>53.3928</v>
      </c>
      <c r="N306" s="52">
        <v>0</v>
      </c>
      <c r="O306" s="52">
        <v>0</v>
      </c>
      <c r="P306" s="52">
        <v>6.4072</v>
      </c>
      <c r="Q306" s="54">
        <v>53.3928</v>
      </c>
      <c r="R306" s="52">
        <v>59.8</v>
      </c>
      <c r="S306" s="52">
        <v>0</v>
      </c>
      <c r="T306" s="52">
        <v>0</v>
      </c>
      <c r="U306" s="52">
        <v>0</v>
      </c>
      <c r="V306" s="52">
        <v>0</v>
      </c>
      <c r="W306" s="52">
        <v>0.2</v>
      </c>
      <c r="X306" s="54">
        <v>100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46132.55238425926</v>
      </c>
      <c r="AH306" s="52">
        <v>42174</v>
      </c>
      <c r="AI306" s="52">
        <v>0</v>
      </c>
      <c r="AJ306" s="53">
        <f>AH306+AI306</f>
        <v>42174</v>
      </c>
      <c r="AK306" s="56">
        <v>0</v>
      </c>
    </row>
    <row r="307">
      <c r="A307" s="48">
        <v>46132.55333333334</v>
      </c>
      <c r="B307" s="49" t="s">
        <v>108</v>
      </c>
      <c r="C307" s="49" t="s">
        <v>106</v>
      </c>
      <c r="D307" s="49" t="s">
        <v>5</v>
      </c>
      <c r="E307" s="50">
        <v>96</v>
      </c>
      <c r="F307" s="49" t="s">
        <v>107</v>
      </c>
      <c r="G307" s="51">
        <v>166004732</v>
      </c>
      <c r="H307" s="52">
        <v>477.4</v>
      </c>
      <c r="I307" s="52">
        <f>L307+M307+N307</f>
        <v>414.1698</v>
      </c>
      <c r="J307" s="52">
        <f>O307+P307</f>
        <v>63.230199999999996</v>
      </c>
      <c r="K307" s="53">
        <f>IF(H307=I307+J307,0,W307)</f>
        <v>0</v>
      </c>
      <c r="L307" s="52">
        <v>150.3306</v>
      </c>
      <c r="M307" s="52">
        <v>263.8392</v>
      </c>
      <c r="N307" s="52">
        <v>0</v>
      </c>
      <c r="O307" s="52">
        <v>31.5694</v>
      </c>
      <c r="P307" s="52">
        <v>31.6608</v>
      </c>
      <c r="Q307" s="54">
        <v>414.1698</v>
      </c>
      <c r="R307" s="52">
        <v>477.4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477.4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46132.55333333334</v>
      </c>
      <c r="AH307" s="52">
        <v>42174</v>
      </c>
      <c r="AI307" s="52">
        <v>0</v>
      </c>
      <c r="AJ307" s="53">
        <f>AH307+AI307</f>
        <v>42174</v>
      </c>
      <c r="AK307" s="56">
        <v>0</v>
      </c>
    </row>
    <row r="308">
      <c r="A308" s="48">
        <v>46132.554236111115</v>
      </c>
      <c r="B308" s="49" t="s">
        <v>108</v>
      </c>
      <c r="C308" s="49" t="s">
        <v>106</v>
      </c>
      <c r="D308" s="49" t="s">
        <v>5</v>
      </c>
      <c r="E308" s="50">
        <v>96</v>
      </c>
      <c r="F308" s="49" t="s">
        <v>107</v>
      </c>
      <c r="G308" s="51">
        <v>166004733</v>
      </c>
      <c r="H308" s="52">
        <v>140</v>
      </c>
      <c r="I308" s="52">
        <f>L308+M308+N308</f>
        <v>122.477</v>
      </c>
      <c r="J308" s="52">
        <f>O308+P308</f>
        <v>17.293</v>
      </c>
      <c r="K308" s="53">
        <f>IF(H308=I308+J308,0,W308)</f>
        <v>0.23</v>
      </c>
      <c r="L308" s="52">
        <v>28.843</v>
      </c>
      <c r="M308" s="52">
        <v>93.634</v>
      </c>
      <c r="N308" s="52">
        <v>0</v>
      </c>
      <c r="O308" s="52">
        <v>6.057</v>
      </c>
      <c r="P308" s="52">
        <v>11.236</v>
      </c>
      <c r="Q308" s="54">
        <v>122.477</v>
      </c>
      <c r="R308" s="52">
        <v>139.77</v>
      </c>
      <c r="S308" s="52">
        <v>0</v>
      </c>
      <c r="T308" s="52">
        <v>0</v>
      </c>
      <c r="U308" s="52">
        <v>0</v>
      </c>
      <c r="V308" s="52">
        <v>0</v>
      </c>
      <c r="W308" s="52">
        <v>0.23</v>
      </c>
      <c r="X308" s="54">
        <v>200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46132.554236111115</v>
      </c>
      <c r="AH308" s="52">
        <v>42314</v>
      </c>
      <c r="AI308" s="52">
        <v>0</v>
      </c>
      <c r="AJ308" s="53">
        <f>AH308+AI308</f>
        <v>42314</v>
      </c>
      <c r="AK308" s="56">
        <v>0</v>
      </c>
    </row>
    <row r="309">
      <c r="A309" s="48">
        <v>46132.55453703704</v>
      </c>
      <c r="B309" s="49" t="s">
        <v>108</v>
      </c>
      <c r="C309" s="49" t="s">
        <v>106</v>
      </c>
      <c r="D309" s="49" t="s">
        <v>5</v>
      </c>
      <c r="E309" s="50">
        <v>96</v>
      </c>
      <c r="F309" s="49" t="s">
        <v>107</v>
      </c>
      <c r="G309" s="51">
        <v>166004734</v>
      </c>
      <c r="H309" s="52">
        <v>35</v>
      </c>
      <c r="I309" s="52">
        <f>L309+M309+N309</f>
        <v>28.843</v>
      </c>
      <c r="J309" s="52">
        <f>O309+P309</f>
        <v>6.057</v>
      </c>
      <c r="K309" s="53">
        <f>IF(H309=I309+J309,0,W309)</f>
        <v>0.1</v>
      </c>
      <c r="L309" s="52">
        <v>28.843</v>
      </c>
      <c r="M309" s="52">
        <v>0</v>
      </c>
      <c r="N309" s="52">
        <v>0</v>
      </c>
      <c r="O309" s="52">
        <v>6.057</v>
      </c>
      <c r="P309" s="52">
        <v>0</v>
      </c>
      <c r="Q309" s="54">
        <v>28.843</v>
      </c>
      <c r="R309" s="52">
        <v>34.9</v>
      </c>
      <c r="S309" s="52">
        <v>0</v>
      </c>
      <c r="T309" s="52">
        <v>0</v>
      </c>
      <c r="U309" s="52">
        <v>0</v>
      </c>
      <c r="V309" s="52">
        <v>0</v>
      </c>
      <c r="W309" s="52">
        <v>0.1</v>
      </c>
      <c r="X309" s="54">
        <v>50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46132.55453703704</v>
      </c>
      <c r="AH309" s="52">
        <v>42349</v>
      </c>
      <c r="AI309" s="52">
        <v>0</v>
      </c>
      <c r="AJ309" s="53">
        <f>AH309+AI309</f>
        <v>42349</v>
      </c>
      <c r="AK309" s="56">
        <v>0</v>
      </c>
    </row>
    <row r="310">
      <c r="A310" s="48">
        <v>46132.555243055554</v>
      </c>
      <c r="B310" s="49" t="s">
        <v>108</v>
      </c>
      <c r="C310" s="49" t="s">
        <v>106</v>
      </c>
      <c r="D310" s="49" t="s">
        <v>5</v>
      </c>
      <c r="E310" s="50">
        <v>96</v>
      </c>
      <c r="F310" s="49" t="s">
        <v>107</v>
      </c>
      <c r="G310" s="51">
        <v>166004735</v>
      </c>
      <c r="H310" s="52">
        <v>102</v>
      </c>
      <c r="I310" s="52">
        <f>L310+M310+N310</f>
        <v>90.7143</v>
      </c>
      <c r="J310" s="52">
        <f>O310+P310</f>
        <v>10.8857</v>
      </c>
      <c r="K310" s="53">
        <f>IF(H310=I310+J310,0,W310)</f>
        <v>0.4</v>
      </c>
      <c r="L310" s="52">
        <v>0</v>
      </c>
      <c r="M310" s="52">
        <v>90.7143</v>
      </c>
      <c r="N310" s="52">
        <v>0</v>
      </c>
      <c r="O310" s="52">
        <v>0</v>
      </c>
      <c r="P310" s="52">
        <v>10.8857</v>
      </c>
      <c r="Q310" s="54">
        <v>90.7143</v>
      </c>
      <c r="R310" s="52">
        <v>101.6</v>
      </c>
      <c r="S310" s="52">
        <v>0</v>
      </c>
      <c r="T310" s="52">
        <v>0</v>
      </c>
      <c r="U310" s="52">
        <v>0</v>
      </c>
      <c r="V310" s="52">
        <v>0</v>
      </c>
      <c r="W310" s="52">
        <v>0.4</v>
      </c>
      <c r="X310" s="54">
        <v>102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46132.555243055554</v>
      </c>
      <c r="AH310" s="52">
        <v>42451</v>
      </c>
      <c r="AI310" s="52">
        <v>0</v>
      </c>
      <c r="AJ310" s="53">
        <f>AH310+AI310</f>
        <v>42451</v>
      </c>
      <c r="AK310" s="56">
        <v>0</v>
      </c>
    </row>
    <row r="311">
      <c r="A311" s="48">
        <v>46132.555439814816</v>
      </c>
      <c r="B311" s="49" t="s">
        <v>108</v>
      </c>
      <c r="C311" s="49" t="s">
        <v>106</v>
      </c>
      <c r="D311" s="49" t="s">
        <v>5</v>
      </c>
      <c r="E311" s="50">
        <v>96</v>
      </c>
      <c r="F311" s="49" t="s">
        <v>107</v>
      </c>
      <c r="G311" s="51">
        <v>166004736</v>
      </c>
      <c r="H311" s="52">
        <v>17</v>
      </c>
      <c r="I311" s="52">
        <f>L311+M311+N311</f>
        <v>15.0893</v>
      </c>
      <c r="J311" s="52">
        <f>O311+P311</f>
        <v>1.8107</v>
      </c>
      <c r="K311" s="53">
        <f>IF(H311=I311+J311,0,W311)</f>
        <v>0.1</v>
      </c>
      <c r="L311" s="52">
        <v>0</v>
      </c>
      <c r="M311" s="52">
        <v>15.0893</v>
      </c>
      <c r="N311" s="52">
        <v>0</v>
      </c>
      <c r="O311" s="52">
        <v>0</v>
      </c>
      <c r="P311" s="52">
        <v>1.8107</v>
      </c>
      <c r="Q311" s="54">
        <v>15.0893</v>
      </c>
      <c r="R311" s="52">
        <v>16.9</v>
      </c>
      <c r="S311" s="52">
        <v>0</v>
      </c>
      <c r="T311" s="52">
        <v>0</v>
      </c>
      <c r="U311" s="52">
        <v>0</v>
      </c>
      <c r="V311" s="52">
        <v>0</v>
      </c>
      <c r="W311" s="52">
        <v>0.1</v>
      </c>
      <c r="X311" s="54">
        <v>17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46132.555439814816</v>
      </c>
      <c r="AH311" s="52">
        <v>42468</v>
      </c>
      <c r="AI311" s="52">
        <v>0</v>
      </c>
      <c r="AJ311" s="53">
        <f>AH311+AI311</f>
        <v>42468</v>
      </c>
      <c r="AK311" s="56">
        <v>0</v>
      </c>
    </row>
    <row r="312">
      <c r="A312" s="48">
        <v>46132.55627314815</v>
      </c>
      <c r="B312" s="49" t="s">
        <v>108</v>
      </c>
      <c r="C312" s="49" t="s">
        <v>106</v>
      </c>
      <c r="D312" s="49" t="s">
        <v>5</v>
      </c>
      <c r="E312" s="50">
        <v>96</v>
      </c>
      <c r="F312" s="49" t="s">
        <v>107</v>
      </c>
      <c r="G312" s="51">
        <v>166004737</v>
      </c>
      <c r="H312" s="52">
        <v>30</v>
      </c>
      <c r="I312" s="52">
        <f>L312+M312+N312</f>
        <v>24.7107</v>
      </c>
      <c r="J312" s="52">
        <f>O312+P312</f>
        <v>5.1893</v>
      </c>
      <c r="K312" s="53">
        <f>IF(H312=I312+J312,0,W312)</f>
        <v>0.1</v>
      </c>
      <c r="L312" s="52">
        <v>24.7107</v>
      </c>
      <c r="M312" s="52">
        <v>0</v>
      </c>
      <c r="N312" s="52">
        <v>0</v>
      </c>
      <c r="O312" s="52">
        <v>5.1893</v>
      </c>
      <c r="P312" s="52">
        <v>0</v>
      </c>
      <c r="Q312" s="54">
        <v>24.7107</v>
      </c>
      <c r="R312" s="52">
        <v>29.9</v>
      </c>
      <c r="S312" s="52">
        <v>0</v>
      </c>
      <c r="T312" s="52">
        <v>0</v>
      </c>
      <c r="U312" s="52">
        <v>0</v>
      </c>
      <c r="V312" s="52">
        <v>0</v>
      </c>
      <c r="W312" s="52">
        <v>0.1</v>
      </c>
      <c r="X312" s="54">
        <v>500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46132.55627314815</v>
      </c>
      <c r="AH312" s="52">
        <v>42498</v>
      </c>
      <c r="AI312" s="52">
        <v>0</v>
      </c>
      <c r="AJ312" s="53">
        <f>AH312+AI312</f>
        <v>42498</v>
      </c>
      <c r="AK312" s="56">
        <v>0</v>
      </c>
    </row>
    <row r="313">
      <c r="A313" s="48">
        <v>46132.5577662037</v>
      </c>
      <c r="B313" s="49" t="s">
        <v>108</v>
      </c>
      <c r="C313" s="49" t="s">
        <v>106</v>
      </c>
      <c r="D313" s="49" t="s">
        <v>5</v>
      </c>
      <c r="E313" s="50">
        <v>96</v>
      </c>
      <c r="F313" s="49" t="s">
        <v>107</v>
      </c>
      <c r="G313" s="51">
        <v>166004738</v>
      </c>
      <c r="H313" s="52">
        <v>207.6</v>
      </c>
      <c r="I313" s="52">
        <f>L313+M313+N313</f>
        <v>185.1048</v>
      </c>
      <c r="J313" s="52">
        <f>O313+P313</f>
        <v>22.4952</v>
      </c>
      <c r="K313" s="53">
        <f>IF(H313=I313+J313,0,W313)</f>
        <v>0</v>
      </c>
      <c r="L313" s="52">
        <v>3.1404</v>
      </c>
      <c r="M313" s="52">
        <v>181.9644</v>
      </c>
      <c r="N313" s="52">
        <v>0</v>
      </c>
      <c r="O313" s="52">
        <v>0.6596</v>
      </c>
      <c r="P313" s="52">
        <v>21.8356</v>
      </c>
      <c r="Q313" s="54">
        <v>185.1048</v>
      </c>
      <c r="R313" s="52">
        <v>207.6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207.6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46132.5577662037</v>
      </c>
      <c r="AH313" s="52">
        <v>42498</v>
      </c>
      <c r="AI313" s="52">
        <v>0</v>
      </c>
      <c r="AJ313" s="53">
        <f>AH313+AI313</f>
        <v>42498</v>
      </c>
      <c r="AK313" s="56">
        <v>0</v>
      </c>
    </row>
    <row r="314">
      <c r="A314" s="48">
        <v>46132.55804398148</v>
      </c>
      <c r="B314" s="49" t="s">
        <v>108</v>
      </c>
      <c r="C314" s="49" t="s">
        <v>106</v>
      </c>
      <c r="D314" s="49" t="s">
        <v>5</v>
      </c>
      <c r="E314" s="50">
        <v>96</v>
      </c>
      <c r="F314" s="49" t="s">
        <v>107</v>
      </c>
      <c r="G314" s="51">
        <v>166004739</v>
      </c>
      <c r="H314" s="52">
        <v>256</v>
      </c>
      <c r="I314" s="52">
        <f>L314+M314+N314</f>
        <v>211.2397</v>
      </c>
      <c r="J314" s="52">
        <f>O314+P314</f>
        <v>44.3603</v>
      </c>
      <c r="K314" s="53">
        <f>IF(H314=I314+J314,0,W314)</f>
        <v>0.4</v>
      </c>
      <c r="L314" s="52">
        <v>211.2397</v>
      </c>
      <c r="M314" s="52">
        <v>0</v>
      </c>
      <c r="N314" s="52">
        <v>0</v>
      </c>
      <c r="O314" s="52">
        <v>44.3603</v>
      </c>
      <c r="P314" s="52">
        <v>0</v>
      </c>
      <c r="Q314" s="54">
        <v>211.2397</v>
      </c>
      <c r="R314" s="52">
        <v>255.6</v>
      </c>
      <c r="S314" s="52">
        <v>0</v>
      </c>
      <c r="T314" s="52">
        <v>0</v>
      </c>
      <c r="U314" s="52">
        <v>0</v>
      </c>
      <c r="V314" s="52">
        <v>0</v>
      </c>
      <c r="W314" s="52">
        <v>0.4</v>
      </c>
      <c r="X314" s="54">
        <v>500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46132.55804398148</v>
      </c>
      <c r="AH314" s="52">
        <v>42754</v>
      </c>
      <c r="AI314" s="52">
        <v>0</v>
      </c>
      <c r="AJ314" s="53">
        <f>AH314+AI314</f>
        <v>42754</v>
      </c>
      <c r="AK314" s="56">
        <v>0</v>
      </c>
    </row>
    <row r="315">
      <c r="A315" s="48">
        <v>46132.558854166666</v>
      </c>
      <c r="B315" s="49" t="s">
        <v>108</v>
      </c>
      <c r="C315" s="49" t="s">
        <v>106</v>
      </c>
      <c r="D315" s="49" t="s">
        <v>5</v>
      </c>
      <c r="E315" s="50">
        <v>96</v>
      </c>
      <c r="F315" s="49" t="s">
        <v>107</v>
      </c>
      <c r="G315" s="51">
        <v>166004740</v>
      </c>
      <c r="H315" s="52">
        <v>36</v>
      </c>
      <c r="I315" s="52">
        <f>L315+M315+N315</f>
        <v>32.0536</v>
      </c>
      <c r="J315" s="52">
        <f>O315+P315</f>
        <v>3.8464</v>
      </c>
      <c r="K315" s="53">
        <f>IF(H315=I315+J315,0,W315)</f>
        <v>0.1</v>
      </c>
      <c r="L315" s="52">
        <v>0</v>
      </c>
      <c r="M315" s="52">
        <v>32.0536</v>
      </c>
      <c r="N315" s="52">
        <v>0</v>
      </c>
      <c r="O315" s="52">
        <v>0</v>
      </c>
      <c r="P315" s="52">
        <v>3.8464</v>
      </c>
      <c r="Q315" s="54">
        <v>32.0536</v>
      </c>
      <c r="R315" s="52">
        <v>35.9</v>
      </c>
      <c r="S315" s="52">
        <v>0</v>
      </c>
      <c r="T315" s="52">
        <v>0</v>
      </c>
      <c r="U315" s="52">
        <v>0</v>
      </c>
      <c r="V315" s="52">
        <v>0</v>
      </c>
      <c r="W315" s="52">
        <v>0.1</v>
      </c>
      <c r="X315" s="54">
        <v>100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46132.558854166666</v>
      </c>
      <c r="AH315" s="52">
        <v>42790</v>
      </c>
      <c r="AI315" s="52">
        <v>0</v>
      </c>
      <c r="AJ315" s="53">
        <f>AH315+AI315</f>
        <v>42790</v>
      </c>
      <c r="AK315" s="56">
        <v>0</v>
      </c>
    </row>
    <row r="316">
      <c r="A316" s="48">
        <v>46132.560277777775</v>
      </c>
      <c r="B316" s="49" t="s">
        <v>108</v>
      </c>
      <c r="C316" s="49" t="s">
        <v>106</v>
      </c>
      <c r="D316" s="49" t="s">
        <v>5</v>
      </c>
      <c r="E316" s="50">
        <v>96</v>
      </c>
      <c r="F316" s="49" t="s">
        <v>107</v>
      </c>
      <c r="G316" s="51">
        <v>166004741</v>
      </c>
      <c r="H316" s="52">
        <v>29</v>
      </c>
      <c r="I316" s="52">
        <f>L316+M316+N316</f>
        <v>25.7143</v>
      </c>
      <c r="J316" s="52">
        <f>O316+P316</f>
        <v>3.0857</v>
      </c>
      <c r="K316" s="53">
        <f>IF(H316=I316+J316,0,W316)</f>
        <v>0.2</v>
      </c>
      <c r="L316" s="52">
        <v>0</v>
      </c>
      <c r="M316" s="52">
        <v>25.7143</v>
      </c>
      <c r="N316" s="52">
        <v>0</v>
      </c>
      <c r="O316" s="52">
        <v>0</v>
      </c>
      <c r="P316" s="52">
        <v>3.0857</v>
      </c>
      <c r="Q316" s="54">
        <v>25.7143</v>
      </c>
      <c r="R316" s="52">
        <v>28.8</v>
      </c>
      <c r="S316" s="52">
        <v>0</v>
      </c>
      <c r="T316" s="52">
        <v>0</v>
      </c>
      <c r="U316" s="52">
        <v>0</v>
      </c>
      <c r="V316" s="52">
        <v>0</v>
      </c>
      <c r="W316" s="52">
        <v>0.2</v>
      </c>
      <c r="X316" s="54">
        <v>100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46132.560277777775</v>
      </c>
      <c r="AH316" s="52">
        <v>42819</v>
      </c>
      <c r="AI316" s="52">
        <v>0</v>
      </c>
      <c r="AJ316" s="53">
        <f>AH316+AI316</f>
        <v>42819</v>
      </c>
      <c r="AK316" s="56">
        <v>0</v>
      </c>
    </row>
    <row r="317">
      <c r="A317" s="48">
        <v>46132.56047453704</v>
      </c>
      <c r="B317" s="49" t="s">
        <v>108</v>
      </c>
      <c r="C317" s="49" t="s">
        <v>106</v>
      </c>
      <c r="D317" s="49" t="s">
        <v>5</v>
      </c>
      <c r="E317" s="50">
        <v>96</v>
      </c>
      <c r="F317" s="49" t="s">
        <v>107</v>
      </c>
      <c r="G317" s="51">
        <v>166004742</v>
      </c>
      <c r="H317" s="52">
        <v>20</v>
      </c>
      <c r="I317" s="52">
        <f>L317+M317+N317</f>
        <v>17.7679</v>
      </c>
      <c r="J317" s="52">
        <f>O317+P317</f>
        <v>2.1321</v>
      </c>
      <c r="K317" s="53">
        <f>IF(H317=I317+J317,0,W317)</f>
        <v>0.1</v>
      </c>
      <c r="L317" s="52">
        <v>0</v>
      </c>
      <c r="M317" s="52">
        <v>17.7679</v>
      </c>
      <c r="N317" s="52">
        <v>0</v>
      </c>
      <c r="O317" s="52">
        <v>0</v>
      </c>
      <c r="P317" s="52">
        <v>2.1321</v>
      </c>
      <c r="Q317" s="54">
        <v>17.7679</v>
      </c>
      <c r="R317" s="52">
        <v>19.9</v>
      </c>
      <c r="S317" s="52">
        <v>0</v>
      </c>
      <c r="T317" s="52">
        <v>0</v>
      </c>
      <c r="U317" s="52">
        <v>0</v>
      </c>
      <c r="V317" s="52">
        <v>0</v>
      </c>
      <c r="W317" s="52">
        <v>0.1</v>
      </c>
      <c r="X317" s="54">
        <v>20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46132.56047453704</v>
      </c>
      <c r="AH317" s="52">
        <v>42839</v>
      </c>
      <c r="AI317" s="52">
        <v>0</v>
      </c>
      <c r="AJ317" s="53">
        <f>AH317+AI317</f>
        <v>42839</v>
      </c>
      <c r="AK317" s="56">
        <v>0</v>
      </c>
    </row>
    <row r="318">
      <c r="A318" s="48">
        <v>46132.56055555555</v>
      </c>
      <c r="B318" s="49" t="s">
        <v>108</v>
      </c>
      <c r="C318" s="49" t="s">
        <v>106</v>
      </c>
      <c r="D318" s="49" t="s">
        <v>5</v>
      </c>
      <c r="E318" s="50">
        <v>96</v>
      </c>
      <c r="F318" s="49" t="s">
        <v>107</v>
      </c>
      <c r="G318" s="51">
        <v>166004743</v>
      </c>
      <c r="H318" s="52">
        <v>20</v>
      </c>
      <c r="I318" s="52">
        <f>L318+M318+N318</f>
        <v>17.7679</v>
      </c>
      <c r="J318" s="52">
        <f>O318+P318</f>
        <v>2.1321</v>
      </c>
      <c r="K318" s="53">
        <f>IF(H318=I318+J318,0,W318)</f>
        <v>0.1</v>
      </c>
      <c r="L318" s="52">
        <v>0</v>
      </c>
      <c r="M318" s="52">
        <v>17.7679</v>
      </c>
      <c r="N318" s="52">
        <v>0</v>
      </c>
      <c r="O318" s="52">
        <v>0</v>
      </c>
      <c r="P318" s="52">
        <v>2.1321</v>
      </c>
      <c r="Q318" s="54">
        <v>17.7679</v>
      </c>
      <c r="R318" s="52">
        <v>19.9</v>
      </c>
      <c r="S318" s="52">
        <v>0</v>
      </c>
      <c r="T318" s="52">
        <v>0</v>
      </c>
      <c r="U318" s="52">
        <v>0</v>
      </c>
      <c r="V318" s="52">
        <v>0</v>
      </c>
      <c r="W318" s="52">
        <v>0.1</v>
      </c>
      <c r="X318" s="54">
        <v>20</v>
      </c>
      <c r="Y318" s="52">
        <v>0</v>
      </c>
      <c r="Z318" s="52">
        <v>0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46132.56055555555</v>
      </c>
      <c r="AH318" s="52">
        <v>42859</v>
      </c>
      <c r="AI318" s="52">
        <v>0</v>
      </c>
      <c r="AJ318" s="53">
        <f>AH318+AI318</f>
        <v>42859</v>
      </c>
      <c r="AK318" s="56">
        <v>0</v>
      </c>
    </row>
    <row r="319">
      <c r="A319" s="48">
        <v>46132.56087962963</v>
      </c>
      <c r="B319" s="49" t="s">
        <v>99</v>
      </c>
      <c r="C319" s="49" t="s">
        <v>112</v>
      </c>
      <c r="D319" s="49" t="s">
        <v>5</v>
      </c>
      <c r="E319" s="50">
        <v>96</v>
      </c>
      <c r="F319" s="49" t="s">
        <v>109</v>
      </c>
      <c r="G319" s="51"/>
      <c r="H319" s="52">
        <v>0</v>
      </c>
      <c r="I319" s="52">
        <f>L319+M319+N319</f>
        <v>0</v>
      </c>
      <c r="J319" s="52">
        <f>O319+P319</f>
        <v>0</v>
      </c>
      <c r="K319" s="53">
        <f>IF(H319=I319+J319,0,W319)</f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  <c r="Q319" s="54">
        <v>0</v>
      </c>
      <c r="R319" s="52">
        <v>0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/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46132.56087962963</v>
      </c>
      <c r="AH319" s="52">
        <v>25082</v>
      </c>
      <c r="AI319" s="52">
        <v>0</v>
      </c>
      <c r="AJ319" s="53">
        <f>AH319+AI319</f>
        <v>25082</v>
      </c>
      <c r="AK319" s="56"/>
    </row>
    <row r="320">
      <c r="A320" s="48">
        <v>46132.5609837963</v>
      </c>
      <c r="B320" s="49" t="s">
        <v>99</v>
      </c>
      <c r="C320" s="49" t="s">
        <v>106</v>
      </c>
      <c r="D320" s="49" t="s">
        <v>5</v>
      </c>
      <c r="E320" s="50">
        <v>96</v>
      </c>
      <c r="F320" s="49" t="s">
        <v>107</v>
      </c>
      <c r="G320" s="51"/>
      <c r="H320" s="52">
        <v>0</v>
      </c>
      <c r="I320" s="52">
        <f>L320+M320+N320</f>
        <v>0</v>
      </c>
      <c r="J320" s="52">
        <f>O320+P320</f>
        <v>0</v>
      </c>
      <c r="K320" s="53">
        <f>IF(H320=I320+J320,0,W320)</f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  <c r="Q320" s="54">
        <v>0</v>
      </c>
      <c r="R320" s="52">
        <v>0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/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46132.5609837963</v>
      </c>
      <c r="AH320" s="52">
        <v>42859</v>
      </c>
      <c r="AI320" s="52">
        <v>0</v>
      </c>
      <c r="AJ320" s="53">
        <f>AH320+AI320</f>
        <v>42859</v>
      </c>
      <c r="AK320" s="56"/>
    </row>
    <row r="321">
      <c r="A321" s="48">
        <v>46132.56113425926</v>
      </c>
      <c r="B321" s="49" t="s">
        <v>108</v>
      </c>
      <c r="C321" s="49" t="s">
        <v>106</v>
      </c>
      <c r="D321" s="49" t="s">
        <v>5</v>
      </c>
      <c r="E321" s="50">
        <v>96</v>
      </c>
      <c r="F321" s="49" t="s">
        <v>107</v>
      </c>
      <c r="G321" s="51">
        <v>166004744</v>
      </c>
      <c r="H321" s="52">
        <v>28</v>
      </c>
      <c r="I321" s="52">
        <f>L321+M321+N321</f>
        <v>24.9107</v>
      </c>
      <c r="J321" s="52">
        <f>O321+P321</f>
        <v>2.9893</v>
      </c>
      <c r="K321" s="53">
        <f>IF(H321=I321+J321,0,W321)</f>
        <v>0.1</v>
      </c>
      <c r="L321" s="52">
        <v>0</v>
      </c>
      <c r="M321" s="52">
        <v>24.9107</v>
      </c>
      <c r="N321" s="52">
        <v>0</v>
      </c>
      <c r="O321" s="52">
        <v>0</v>
      </c>
      <c r="P321" s="52">
        <v>2.9893</v>
      </c>
      <c r="Q321" s="54">
        <v>24.9107</v>
      </c>
      <c r="R321" s="52">
        <v>27.9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28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46132.56113425926</v>
      </c>
      <c r="AH321" s="52">
        <v>42887</v>
      </c>
      <c r="AI321" s="52">
        <v>0</v>
      </c>
      <c r="AJ321" s="53">
        <f>AH321+AI321</f>
        <v>42887</v>
      </c>
      <c r="AK321" s="56">
        <v>0</v>
      </c>
    </row>
    <row r="322">
      <c r="A322" s="48">
        <v>46132.56116898148</v>
      </c>
      <c r="B322" s="49" t="s">
        <v>108</v>
      </c>
      <c r="C322" s="49" t="s">
        <v>100</v>
      </c>
      <c r="D322" s="49" t="s">
        <v>5</v>
      </c>
      <c r="E322" s="50">
        <v>96</v>
      </c>
      <c r="F322" s="49" t="s">
        <v>105</v>
      </c>
      <c r="G322" s="51">
        <v>161000354</v>
      </c>
      <c r="H322" s="52">
        <v>41.9</v>
      </c>
      <c r="I322" s="52">
        <f>L322+M322+N322</f>
        <v>34.62</v>
      </c>
      <c r="J322" s="52">
        <f>O322+P322</f>
        <v>7.28</v>
      </c>
      <c r="K322" s="53">
        <f>IF(H322=I322+J322,0,W322)</f>
        <v>0</v>
      </c>
      <c r="L322" s="52">
        <v>34.62</v>
      </c>
      <c r="M322" s="52">
        <v>0</v>
      </c>
      <c r="N322" s="52">
        <v>0</v>
      </c>
      <c r="O322" s="52">
        <v>7.28</v>
      </c>
      <c r="P322" s="52">
        <v>0</v>
      </c>
      <c r="Q322" s="54">
        <v>34.62</v>
      </c>
      <c r="R322" s="52">
        <v>41.9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4">
        <v>0</v>
      </c>
      <c r="Y322" s="52">
        <v>0</v>
      </c>
      <c r="Z322" s="52">
        <v>41.9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46132.56116898148</v>
      </c>
      <c r="AH322" s="52">
        <v>0</v>
      </c>
      <c r="AI322" s="52">
        <v>0</v>
      </c>
      <c r="AJ322" s="53">
        <f>AH322+AI322</f>
        <v>0</v>
      </c>
      <c r="AK322" s="56">
        <v>0</v>
      </c>
    </row>
    <row r="323">
      <c r="A323" s="48">
        <v>46132.56128472222</v>
      </c>
      <c r="B323" s="49" t="s">
        <v>99</v>
      </c>
      <c r="C323" s="49" t="s">
        <v>112</v>
      </c>
      <c r="D323" s="49" t="s">
        <v>5</v>
      </c>
      <c r="E323" s="50">
        <v>96</v>
      </c>
      <c r="F323" s="49" t="s">
        <v>107</v>
      </c>
      <c r="G323" s="51"/>
      <c r="H323" s="52">
        <v>0</v>
      </c>
      <c r="I323" s="52">
        <f>L323+M323+N323</f>
        <v>0</v>
      </c>
      <c r="J323" s="52">
        <f>O323+P323</f>
        <v>0</v>
      </c>
      <c r="K323" s="53">
        <f>IF(H323=I323+J323,0,W323)</f>
        <v>0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  <c r="Q323" s="54">
        <v>0</v>
      </c>
      <c r="R323" s="52">
        <v>0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/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46132.56128472222</v>
      </c>
      <c r="AH323" s="52">
        <v>42887</v>
      </c>
      <c r="AI323" s="52">
        <v>0</v>
      </c>
      <c r="AJ323" s="53">
        <f>AH323+AI323</f>
        <v>42887</v>
      </c>
      <c r="AK323" s="56"/>
    </row>
    <row r="324">
      <c r="A324" s="48">
        <v>46132.562476851854</v>
      </c>
      <c r="B324" s="49" t="s">
        <v>99</v>
      </c>
      <c r="C324" s="49" t="s">
        <v>106</v>
      </c>
      <c r="D324" s="49" t="s">
        <v>5</v>
      </c>
      <c r="E324" s="50">
        <v>96</v>
      </c>
      <c r="F324" s="49" t="s">
        <v>107</v>
      </c>
      <c r="G324" s="51"/>
      <c r="H324" s="52">
        <v>0</v>
      </c>
      <c r="I324" s="52">
        <f>L324+M324+N324</f>
        <v>0</v>
      </c>
      <c r="J324" s="52">
        <f>O324+P324</f>
        <v>0</v>
      </c>
      <c r="K324" s="53">
        <f>IF(H324=I324+J324,0,W324)</f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  <c r="Q324" s="54">
        <v>0</v>
      </c>
      <c r="R324" s="52">
        <v>0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/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46132.562476851854</v>
      </c>
      <c r="AH324" s="52">
        <v>42887</v>
      </c>
      <c r="AI324" s="52">
        <v>0</v>
      </c>
      <c r="AJ324" s="53">
        <f>AH324+AI324</f>
        <v>42887</v>
      </c>
      <c r="AK324" s="56"/>
    </row>
    <row r="325">
      <c r="A325" s="48">
        <v>46132.563252314816</v>
      </c>
      <c r="B325" s="49" t="s">
        <v>108</v>
      </c>
      <c r="C325" s="49" t="s">
        <v>100</v>
      </c>
      <c r="D325" s="49" t="s">
        <v>5</v>
      </c>
      <c r="E325" s="50">
        <v>96</v>
      </c>
      <c r="F325" s="49" t="s">
        <v>105</v>
      </c>
      <c r="G325" s="51">
        <v>161000355</v>
      </c>
      <c r="H325" s="52">
        <v>103.5</v>
      </c>
      <c r="I325" s="52">
        <f>L325+M325+N325</f>
        <v>90.62</v>
      </c>
      <c r="J325" s="52">
        <f>O325+P325</f>
        <v>12.88</v>
      </c>
      <c r="K325" s="53">
        <f>IF(H325=I325+J325,0,W325)</f>
        <v>0</v>
      </c>
      <c r="L325" s="52">
        <v>22.23</v>
      </c>
      <c r="M325" s="52">
        <v>68.39</v>
      </c>
      <c r="N325" s="52">
        <v>0</v>
      </c>
      <c r="O325" s="52">
        <v>4.67</v>
      </c>
      <c r="P325" s="52">
        <v>8.21</v>
      </c>
      <c r="Q325" s="54">
        <v>90.62</v>
      </c>
      <c r="R325" s="52">
        <v>103.5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103.5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46132.563252314816</v>
      </c>
      <c r="AH325" s="52">
        <v>0</v>
      </c>
      <c r="AI325" s="52">
        <v>0</v>
      </c>
      <c r="AJ325" s="53">
        <f>AH325+AI325</f>
        <v>0</v>
      </c>
      <c r="AK325" s="56">
        <v>0</v>
      </c>
    </row>
    <row r="326">
      <c r="A326" s="48">
        <v>46132.56327546296</v>
      </c>
      <c r="B326" s="49" t="s">
        <v>108</v>
      </c>
      <c r="C326" s="49" t="s">
        <v>106</v>
      </c>
      <c r="D326" s="49" t="s">
        <v>5</v>
      </c>
      <c r="E326" s="50">
        <v>96</v>
      </c>
      <c r="F326" s="49" t="s">
        <v>107</v>
      </c>
      <c r="G326" s="51">
        <v>166004745</v>
      </c>
      <c r="H326" s="52">
        <v>59.8</v>
      </c>
      <c r="I326" s="52">
        <f>L326+M326+N326</f>
        <v>53.3929</v>
      </c>
      <c r="J326" s="52">
        <f>O326+P326</f>
        <v>6.4071</v>
      </c>
      <c r="K326" s="53">
        <f>IF(H326=I326+J326,0,W326)</f>
        <v>0</v>
      </c>
      <c r="L326" s="52">
        <v>0</v>
      </c>
      <c r="M326" s="52">
        <v>53.3929</v>
      </c>
      <c r="N326" s="52">
        <v>0</v>
      </c>
      <c r="O326" s="52">
        <v>0</v>
      </c>
      <c r="P326" s="52">
        <v>6.4071</v>
      </c>
      <c r="Q326" s="54">
        <v>53.3929</v>
      </c>
      <c r="R326" s="52">
        <v>59.8</v>
      </c>
      <c r="S326" s="52">
        <v>0</v>
      </c>
      <c r="T326" s="52">
        <v>0</v>
      </c>
      <c r="U326" s="52">
        <v>0</v>
      </c>
      <c r="V326" s="52">
        <v>0</v>
      </c>
      <c r="W326" s="52">
        <v>0</v>
      </c>
      <c r="X326" s="54">
        <v>0</v>
      </c>
      <c r="Y326" s="52">
        <v>0</v>
      </c>
      <c r="Z326" s="52">
        <v>59.8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46132.56327546296</v>
      </c>
      <c r="AH326" s="52">
        <v>42887</v>
      </c>
      <c r="AI326" s="52">
        <v>0</v>
      </c>
      <c r="AJ326" s="53">
        <f>AH326+AI326</f>
        <v>42887</v>
      </c>
      <c r="AK326" s="56">
        <v>0</v>
      </c>
    </row>
    <row r="327">
      <c r="A327" s="48">
        <v>46132.56459490741</v>
      </c>
      <c r="B327" s="49" t="s">
        <v>108</v>
      </c>
      <c r="C327" s="49" t="s">
        <v>106</v>
      </c>
      <c r="D327" s="49" t="s">
        <v>5</v>
      </c>
      <c r="E327" s="50">
        <v>96</v>
      </c>
      <c r="F327" s="49" t="s">
        <v>107</v>
      </c>
      <c r="G327" s="51">
        <v>166004746</v>
      </c>
      <c r="H327" s="52">
        <v>206.8</v>
      </c>
      <c r="I327" s="52">
        <f>L327+M327+N327</f>
        <v>178.3073</v>
      </c>
      <c r="J327" s="52">
        <f>O327+P327</f>
        <v>28.4927</v>
      </c>
      <c r="K327" s="53">
        <f>IF(H327=I327+J327,0,W327)</f>
        <v>0</v>
      </c>
      <c r="L327" s="52">
        <v>78.843</v>
      </c>
      <c r="M327" s="52">
        <v>99.4643</v>
      </c>
      <c r="N327" s="52">
        <v>0</v>
      </c>
      <c r="O327" s="52">
        <v>16.557</v>
      </c>
      <c r="P327" s="52">
        <v>11.9357</v>
      </c>
      <c r="Q327" s="54">
        <v>178.3073</v>
      </c>
      <c r="R327" s="52">
        <v>206.8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206.8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46132.56459490741</v>
      </c>
      <c r="AH327" s="52">
        <v>42887</v>
      </c>
      <c r="AI327" s="52">
        <v>0</v>
      </c>
      <c r="AJ327" s="53">
        <f>AH327+AI327</f>
        <v>42887</v>
      </c>
      <c r="AK327" s="56">
        <v>0</v>
      </c>
    </row>
    <row r="328">
      <c r="A328" s="48">
        <v>46132.56480324074</v>
      </c>
      <c r="B328" s="49" t="s">
        <v>108</v>
      </c>
      <c r="C328" s="49" t="s">
        <v>106</v>
      </c>
      <c r="D328" s="49" t="s">
        <v>5</v>
      </c>
      <c r="E328" s="50">
        <v>96</v>
      </c>
      <c r="F328" s="49" t="s">
        <v>107</v>
      </c>
      <c r="G328" s="51">
        <v>166004747</v>
      </c>
      <c r="H328" s="52">
        <v>32</v>
      </c>
      <c r="I328" s="52">
        <f>L328+M328+N328</f>
        <v>28.8304</v>
      </c>
      <c r="J328" s="52">
        <f>O328+P328</f>
        <v>3.4596</v>
      </c>
      <c r="K328" s="53">
        <f>IF(H328=I328+J328,0,W328)</f>
        <v>-0.29</v>
      </c>
      <c r="L328" s="52">
        <v>0</v>
      </c>
      <c r="M328" s="52">
        <v>28.8304</v>
      </c>
      <c r="N328" s="52">
        <v>0</v>
      </c>
      <c r="O328" s="52">
        <v>0</v>
      </c>
      <c r="P328" s="52">
        <v>3.4596</v>
      </c>
      <c r="Q328" s="54">
        <v>28.8304</v>
      </c>
      <c r="R328" s="52">
        <v>32.29</v>
      </c>
      <c r="S328" s="52">
        <v>0</v>
      </c>
      <c r="T328" s="52">
        <v>0</v>
      </c>
      <c r="U328" s="52">
        <v>0</v>
      </c>
      <c r="V328" s="52">
        <v>0</v>
      </c>
      <c r="W328" s="52">
        <v>-0.29</v>
      </c>
      <c r="X328" s="54">
        <v>52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46132.56480324074</v>
      </c>
      <c r="AH328" s="52">
        <v>42919</v>
      </c>
      <c r="AI328" s="52">
        <v>0</v>
      </c>
      <c r="AJ328" s="53">
        <f>AH328+AI328</f>
        <v>42919</v>
      </c>
      <c r="AK328" s="56">
        <v>0</v>
      </c>
    </row>
    <row r="329">
      <c r="A329" s="48">
        <v>46132.565729166665</v>
      </c>
      <c r="B329" s="49" t="s">
        <v>108</v>
      </c>
      <c r="C329" s="49" t="s">
        <v>100</v>
      </c>
      <c r="D329" s="49" t="s">
        <v>5</v>
      </c>
      <c r="E329" s="50">
        <v>96</v>
      </c>
      <c r="F329" s="49" t="s">
        <v>101</v>
      </c>
      <c r="G329" s="51">
        <v>163000334</v>
      </c>
      <c r="H329" s="52">
        <v>12.4</v>
      </c>
      <c r="I329" s="52">
        <f>L329+M329+N329</f>
        <v>11.07</v>
      </c>
      <c r="J329" s="52">
        <f>O329+P329</f>
        <v>1.33</v>
      </c>
      <c r="K329" s="53">
        <f>IF(H329=I329+J329,0,W329)</f>
        <v>0</v>
      </c>
      <c r="L329" s="52">
        <v>0</v>
      </c>
      <c r="M329" s="52">
        <v>11.07</v>
      </c>
      <c r="N329" s="52">
        <v>0</v>
      </c>
      <c r="O329" s="52">
        <v>0</v>
      </c>
      <c r="P329" s="52">
        <v>1.33</v>
      </c>
      <c r="Q329" s="54">
        <v>11.07</v>
      </c>
      <c r="R329" s="52">
        <v>12.4</v>
      </c>
      <c r="S329" s="52">
        <v>0</v>
      </c>
      <c r="T329" s="52">
        <v>0</v>
      </c>
      <c r="U329" s="52">
        <v>0</v>
      </c>
      <c r="V329" s="52">
        <v>0</v>
      </c>
      <c r="W329" s="52">
        <v>0</v>
      </c>
      <c r="X329" s="54">
        <v>0</v>
      </c>
      <c r="Y329" s="52">
        <v>0</v>
      </c>
      <c r="Z329" s="52">
        <v>12.4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46132.565729166665</v>
      </c>
      <c r="AH329" s="52">
        <v>0</v>
      </c>
      <c r="AI329" s="52">
        <v>0</v>
      </c>
      <c r="AJ329" s="53">
        <f>AH329+AI329</f>
        <v>0</v>
      </c>
      <c r="AK329" s="56">
        <v>0</v>
      </c>
    </row>
    <row r="330">
      <c r="A330" s="48">
        <v>46132.56592592593</v>
      </c>
      <c r="B330" s="49" t="s">
        <v>108</v>
      </c>
      <c r="C330" s="49" t="s">
        <v>100</v>
      </c>
      <c r="D330" s="49" t="s">
        <v>5</v>
      </c>
      <c r="E330" s="50">
        <v>96</v>
      </c>
      <c r="F330" s="49" t="s">
        <v>105</v>
      </c>
      <c r="G330" s="51">
        <v>161000356</v>
      </c>
      <c r="H330" s="52">
        <v>12.4</v>
      </c>
      <c r="I330" s="52">
        <f>L330+M330+N330</f>
        <v>11.07</v>
      </c>
      <c r="J330" s="52">
        <f>O330+P330</f>
        <v>1.33</v>
      </c>
      <c r="K330" s="53">
        <f>IF(H330=I330+J330,0,W330)</f>
        <v>0</v>
      </c>
      <c r="L330" s="52">
        <v>0</v>
      </c>
      <c r="M330" s="52">
        <v>11.07</v>
      </c>
      <c r="N330" s="52">
        <v>0</v>
      </c>
      <c r="O330" s="52">
        <v>0</v>
      </c>
      <c r="P330" s="52">
        <v>1.33</v>
      </c>
      <c r="Q330" s="54">
        <v>11.07</v>
      </c>
      <c r="R330" s="52">
        <v>12.4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12.4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46132.56592592593</v>
      </c>
      <c r="AH330" s="52">
        <v>0</v>
      </c>
      <c r="AI330" s="52">
        <v>0</v>
      </c>
      <c r="AJ330" s="53">
        <f>AH330+AI330</f>
        <v>0</v>
      </c>
      <c r="AK330" s="56">
        <v>0</v>
      </c>
    </row>
    <row r="331">
      <c r="A331" s="48">
        <v>46132.56693287037</v>
      </c>
      <c r="B331" s="49" t="s">
        <v>108</v>
      </c>
      <c r="C331" s="49" t="s">
        <v>106</v>
      </c>
      <c r="D331" s="49" t="s">
        <v>5</v>
      </c>
      <c r="E331" s="50">
        <v>96</v>
      </c>
      <c r="F331" s="49" t="s">
        <v>107</v>
      </c>
      <c r="G331" s="51">
        <v>166004748</v>
      </c>
      <c r="H331" s="52">
        <v>52</v>
      </c>
      <c r="I331" s="52">
        <f>L331+M331+N331</f>
        <v>46.2054</v>
      </c>
      <c r="J331" s="52">
        <f>O331+P331</f>
        <v>5.5446</v>
      </c>
      <c r="K331" s="53">
        <f>IF(H331=I331+J331,0,W331)</f>
        <v>0.25</v>
      </c>
      <c r="L331" s="52">
        <v>0</v>
      </c>
      <c r="M331" s="52">
        <v>46.2054</v>
      </c>
      <c r="N331" s="52">
        <v>0</v>
      </c>
      <c r="O331" s="52">
        <v>0</v>
      </c>
      <c r="P331" s="52">
        <v>5.5446</v>
      </c>
      <c r="Q331" s="54">
        <v>46.2054</v>
      </c>
      <c r="R331" s="52">
        <v>51.75</v>
      </c>
      <c r="S331" s="52">
        <v>0</v>
      </c>
      <c r="T331" s="52">
        <v>0</v>
      </c>
      <c r="U331" s="52">
        <v>0</v>
      </c>
      <c r="V331" s="52">
        <v>0</v>
      </c>
      <c r="W331" s="52">
        <v>0.25</v>
      </c>
      <c r="X331" s="54">
        <v>52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46132.56693287037</v>
      </c>
      <c r="AH331" s="52">
        <v>42971</v>
      </c>
      <c r="AI331" s="52">
        <v>0</v>
      </c>
      <c r="AJ331" s="53">
        <f>AH331+AI331</f>
        <v>42971</v>
      </c>
      <c r="AK331" s="56">
        <v>0</v>
      </c>
    </row>
    <row r="332">
      <c r="A332" s="48">
        <v>46132.56763888889</v>
      </c>
      <c r="B332" s="49" t="s">
        <v>108</v>
      </c>
      <c r="C332" s="49" t="s">
        <v>106</v>
      </c>
      <c r="D332" s="49" t="s">
        <v>5</v>
      </c>
      <c r="E332" s="50">
        <v>96</v>
      </c>
      <c r="F332" s="49" t="s">
        <v>107</v>
      </c>
      <c r="G332" s="51">
        <v>166004749</v>
      </c>
      <c r="H332" s="52">
        <v>510</v>
      </c>
      <c r="I332" s="52">
        <f>L332+M332+N332</f>
        <v>442.2227</v>
      </c>
      <c r="J332" s="52">
        <f>O332+P332</f>
        <v>67.40729999999999</v>
      </c>
      <c r="K332" s="53">
        <f>IF(H332=I332+J332,0,W332)</f>
        <v>0.37</v>
      </c>
      <c r="L332" s="52">
        <v>159.3388</v>
      </c>
      <c r="M332" s="52">
        <v>282.8839</v>
      </c>
      <c r="N332" s="52">
        <v>0</v>
      </c>
      <c r="O332" s="52">
        <v>33.4612</v>
      </c>
      <c r="P332" s="52">
        <v>33.9461</v>
      </c>
      <c r="Q332" s="54">
        <v>442.2227</v>
      </c>
      <c r="R332" s="52">
        <v>509.63</v>
      </c>
      <c r="S332" s="52">
        <v>0</v>
      </c>
      <c r="T332" s="52">
        <v>0</v>
      </c>
      <c r="U332" s="52">
        <v>0</v>
      </c>
      <c r="V332" s="52">
        <v>0</v>
      </c>
      <c r="W332" s="52">
        <v>0.37</v>
      </c>
      <c r="X332" s="54">
        <v>700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46132.56763888889</v>
      </c>
      <c r="AH332" s="52">
        <v>43481</v>
      </c>
      <c r="AI332" s="52">
        <v>0</v>
      </c>
      <c r="AJ332" s="53">
        <f>AH332+AI332</f>
        <v>43481</v>
      </c>
      <c r="AK332" s="56">
        <v>0</v>
      </c>
    </row>
    <row r="333">
      <c r="A333" s="48">
        <v>46132.568078703705</v>
      </c>
      <c r="B333" s="49" t="s">
        <v>108</v>
      </c>
      <c r="C333" s="49" t="s">
        <v>106</v>
      </c>
      <c r="D333" s="49" t="s">
        <v>5</v>
      </c>
      <c r="E333" s="50">
        <v>96</v>
      </c>
      <c r="F333" s="49" t="s">
        <v>107</v>
      </c>
      <c r="G333" s="51">
        <v>166004750</v>
      </c>
      <c r="H333" s="52">
        <v>47.8</v>
      </c>
      <c r="I333" s="52">
        <f>L333+M333+N333</f>
        <v>39.5042</v>
      </c>
      <c r="J333" s="52">
        <f>O333+P333</f>
        <v>8.2958</v>
      </c>
      <c r="K333" s="53">
        <f>IF(H333=I333+J333,0,W333)</f>
        <v>0</v>
      </c>
      <c r="L333" s="52">
        <v>39.5042</v>
      </c>
      <c r="M333" s="52">
        <v>0</v>
      </c>
      <c r="N333" s="52">
        <v>0</v>
      </c>
      <c r="O333" s="52">
        <v>8.2958</v>
      </c>
      <c r="P333" s="52">
        <v>0</v>
      </c>
      <c r="Q333" s="54">
        <v>39.5042</v>
      </c>
      <c r="R333" s="52">
        <v>47.8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47.8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46132.568078703705</v>
      </c>
      <c r="AH333" s="52">
        <v>43481</v>
      </c>
      <c r="AI333" s="52">
        <v>0</v>
      </c>
      <c r="AJ333" s="53">
        <f>AH333+AI333</f>
        <v>43481</v>
      </c>
      <c r="AK333" s="56">
        <v>0</v>
      </c>
    </row>
    <row r="334">
      <c r="A334" s="48">
        <v>46132.569699074076</v>
      </c>
      <c r="B334" s="49" t="s">
        <v>108</v>
      </c>
      <c r="C334" s="49" t="s">
        <v>106</v>
      </c>
      <c r="D334" s="49" t="s">
        <v>5</v>
      </c>
      <c r="E334" s="50">
        <v>96</v>
      </c>
      <c r="F334" s="49" t="s">
        <v>107</v>
      </c>
      <c r="G334" s="51">
        <v>166004751</v>
      </c>
      <c r="H334" s="52">
        <v>424</v>
      </c>
      <c r="I334" s="52">
        <f>L334+M334+N334</f>
        <v>366.2848</v>
      </c>
      <c r="J334" s="52">
        <f>O334+P334</f>
        <v>57.6252</v>
      </c>
      <c r="K334" s="53">
        <f>IF(H334=I334+J334,0,W334)</f>
        <v>0.09</v>
      </c>
      <c r="L334" s="52">
        <v>151.9009</v>
      </c>
      <c r="M334" s="52">
        <v>214.3839</v>
      </c>
      <c r="N334" s="52">
        <v>0</v>
      </c>
      <c r="O334" s="52">
        <v>31.8991</v>
      </c>
      <c r="P334" s="52">
        <v>25.7261</v>
      </c>
      <c r="Q334" s="54">
        <v>366.2848</v>
      </c>
      <c r="R334" s="52">
        <v>423.91</v>
      </c>
      <c r="S334" s="52">
        <v>0</v>
      </c>
      <c r="T334" s="52">
        <v>0</v>
      </c>
      <c r="U334" s="52">
        <v>0</v>
      </c>
      <c r="V334" s="52">
        <v>0</v>
      </c>
      <c r="W334" s="52">
        <v>0.09</v>
      </c>
      <c r="X334" s="54">
        <v>500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46132.569699074076</v>
      </c>
      <c r="AH334" s="52">
        <v>43905</v>
      </c>
      <c r="AI334" s="52">
        <v>0</v>
      </c>
      <c r="AJ334" s="53">
        <f>AH334+AI334</f>
        <v>43905</v>
      </c>
      <c r="AK334" s="56">
        <v>0</v>
      </c>
    </row>
    <row r="335">
      <c r="A335" s="48">
        <v>46132.569756944446</v>
      </c>
      <c r="B335" s="49" t="s">
        <v>108</v>
      </c>
      <c r="C335" s="49" t="s">
        <v>100</v>
      </c>
      <c r="D335" s="49" t="s">
        <v>5</v>
      </c>
      <c r="E335" s="50">
        <v>96</v>
      </c>
      <c r="F335" s="49" t="s">
        <v>105</v>
      </c>
      <c r="G335" s="51">
        <v>161000357</v>
      </c>
      <c r="H335" s="52">
        <v>19.9</v>
      </c>
      <c r="I335" s="52">
        <f>L335+M335+N335</f>
        <v>17.76</v>
      </c>
      <c r="J335" s="52">
        <f>O335+P335</f>
        <v>2.14</v>
      </c>
      <c r="K335" s="53">
        <f>IF(H335=I335+J335,0,W335)</f>
        <v>0</v>
      </c>
      <c r="L335" s="52">
        <v>0</v>
      </c>
      <c r="M335" s="52">
        <v>17.76</v>
      </c>
      <c r="N335" s="52">
        <v>0</v>
      </c>
      <c r="O335" s="52">
        <v>0</v>
      </c>
      <c r="P335" s="52">
        <v>2.14</v>
      </c>
      <c r="Q335" s="54">
        <v>17.76</v>
      </c>
      <c r="R335" s="52">
        <v>19.9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19.9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46132.569756944446</v>
      </c>
      <c r="AH335" s="52">
        <v>0</v>
      </c>
      <c r="AI335" s="52">
        <v>0</v>
      </c>
      <c r="AJ335" s="53">
        <f>AH335+AI335</f>
        <v>0</v>
      </c>
      <c r="AK335" s="56">
        <v>0</v>
      </c>
    </row>
    <row r="336">
      <c r="A336" s="48">
        <v>46132.570127314815</v>
      </c>
      <c r="B336" s="49" t="s">
        <v>108</v>
      </c>
      <c r="C336" s="49" t="s">
        <v>106</v>
      </c>
      <c r="D336" s="49" t="s">
        <v>5</v>
      </c>
      <c r="E336" s="50">
        <v>96</v>
      </c>
      <c r="F336" s="49" t="s">
        <v>107</v>
      </c>
      <c r="G336" s="51">
        <v>166004752</v>
      </c>
      <c r="H336" s="52">
        <v>82.6</v>
      </c>
      <c r="I336" s="52">
        <f>L336+M336+N336</f>
        <v>71.1733</v>
      </c>
      <c r="J336" s="52">
        <f>O336+P336</f>
        <v>11.4267</v>
      </c>
      <c r="K336" s="53">
        <f>IF(H336=I336+J336,0,W336)</f>
        <v>0</v>
      </c>
      <c r="L336" s="52">
        <v>32.0661</v>
      </c>
      <c r="M336" s="52">
        <v>39.1072</v>
      </c>
      <c r="N336" s="52">
        <v>0</v>
      </c>
      <c r="O336" s="52">
        <v>6.7339</v>
      </c>
      <c r="P336" s="52">
        <v>4.6928</v>
      </c>
      <c r="Q336" s="54">
        <v>71.1733</v>
      </c>
      <c r="R336" s="52">
        <v>82.6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0</v>
      </c>
      <c r="Y336" s="52">
        <v>0</v>
      </c>
      <c r="Z336" s="52">
        <v>82.6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46132.570127314815</v>
      </c>
      <c r="AH336" s="52">
        <v>43905</v>
      </c>
      <c r="AI336" s="52">
        <v>0</v>
      </c>
      <c r="AJ336" s="53">
        <f>AH336+AI336</f>
        <v>43905</v>
      </c>
      <c r="AK336" s="56">
        <v>0</v>
      </c>
    </row>
    <row r="337">
      <c r="A337" s="48">
        <v>46132.57034722222</v>
      </c>
      <c r="B337" s="49" t="s">
        <v>108</v>
      </c>
      <c r="C337" s="49" t="s">
        <v>106</v>
      </c>
      <c r="D337" s="49" t="s">
        <v>5</v>
      </c>
      <c r="E337" s="50">
        <v>96</v>
      </c>
      <c r="F337" s="49" t="s">
        <v>107</v>
      </c>
      <c r="G337" s="51">
        <v>166004753</v>
      </c>
      <c r="H337" s="52">
        <v>118</v>
      </c>
      <c r="I337" s="52">
        <f>L337+M337+N337</f>
        <v>99.3588</v>
      </c>
      <c r="J337" s="52">
        <f>O337+P337</f>
        <v>18.1412</v>
      </c>
      <c r="K337" s="53">
        <f>IF(H337=I337+J337,0,W337)</f>
        <v>0.5</v>
      </c>
      <c r="L337" s="52">
        <v>69.0909</v>
      </c>
      <c r="M337" s="52">
        <v>30.2679</v>
      </c>
      <c r="N337" s="52">
        <v>0</v>
      </c>
      <c r="O337" s="52">
        <v>14.5091</v>
      </c>
      <c r="P337" s="52">
        <v>3.6321</v>
      </c>
      <c r="Q337" s="54">
        <v>99.3588</v>
      </c>
      <c r="R337" s="52">
        <v>117.5</v>
      </c>
      <c r="S337" s="52">
        <v>0</v>
      </c>
      <c r="T337" s="52">
        <v>0</v>
      </c>
      <c r="U337" s="52">
        <v>0</v>
      </c>
      <c r="V337" s="52">
        <v>0</v>
      </c>
      <c r="W337" s="52">
        <v>0.5</v>
      </c>
      <c r="X337" s="54">
        <v>150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46132.57034722222</v>
      </c>
      <c r="AH337" s="52">
        <v>44023</v>
      </c>
      <c r="AI337" s="52">
        <v>0</v>
      </c>
      <c r="AJ337" s="53">
        <f>AH337+AI337</f>
        <v>44023</v>
      </c>
      <c r="AK337" s="56">
        <v>0</v>
      </c>
    </row>
    <row r="338">
      <c r="A338" s="48">
        <v>46132.57193287037</v>
      </c>
      <c r="B338" s="49" t="s">
        <v>99</v>
      </c>
      <c r="C338" s="49" t="s">
        <v>112</v>
      </c>
      <c r="D338" s="49" t="s">
        <v>5</v>
      </c>
      <c r="E338" s="50">
        <v>96</v>
      </c>
      <c r="F338" s="49" t="s">
        <v>109</v>
      </c>
      <c r="G338" s="51"/>
      <c r="H338" s="52">
        <v>0</v>
      </c>
      <c r="I338" s="52">
        <f>L338+M338+N338</f>
        <v>0</v>
      </c>
      <c r="J338" s="52">
        <f>O338+P338</f>
        <v>0</v>
      </c>
      <c r="K338" s="53">
        <f>IF(H338=I338+J338,0,W338)</f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  <c r="Q338" s="54">
        <v>0</v>
      </c>
      <c r="R338" s="52">
        <v>0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/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46132.57193287037</v>
      </c>
      <c r="AH338" s="52">
        <v>25082</v>
      </c>
      <c r="AI338" s="52">
        <v>0</v>
      </c>
      <c r="AJ338" s="53">
        <f>AH338+AI338</f>
        <v>25082</v>
      </c>
      <c r="AK338" s="56"/>
    </row>
    <row r="339">
      <c r="A339" s="48">
        <v>46132.57204861111</v>
      </c>
      <c r="B339" s="49" t="s">
        <v>108</v>
      </c>
      <c r="C339" s="49" t="s">
        <v>106</v>
      </c>
      <c r="D339" s="49" t="s">
        <v>5</v>
      </c>
      <c r="E339" s="50">
        <v>96</v>
      </c>
      <c r="F339" s="49" t="s">
        <v>107</v>
      </c>
      <c r="G339" s="51">
        <v>166004754</v>
      </c>
      <c r="H339" s="52">
        <v>30</v>
      </c>
      <c r="I339" s="52">
        <f>L339+M339+N339</f>
        <v>26.6964</v>
      </c>
      <c r="J339" s="52">
        <f>O339+P339</f>
        <v>3.2036</v>
      </c>
      <c r="K339" s="53">
        <f>IF(H339=I339+J339,0,W339)</f>
        <v>0.1</v>
      </c>
      <c r="L339" s="52">
        <v>0</v>
      </c>
      <c r="M339" s="52">
        <v>26.6964</v>
      </c>
      <c r="N339" s="52">
        <v>0</v>
      </c>
      <c r="O339" s="52">
        <v>0</v>
      </c>
      <c r="P339" s="52">
        <v>3.2036</v>
      </c>
      <c r="Q339" s="54">
        <v>26.6964</v>
      </c>
      <c r="R339" s="52">
        <v>29.9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30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46132.57204861111</v>
      </c>
      <c r="AH339" s="52">
        <v>44053</v>
      </c>
      <c r="AI339" s="52">
        <v>0</v>
      </c>
      <c r="AJ339" s="53">
        <f>AH339+AI339</f>
        <v>44053</v>
      </c>
      <c r="AK339" s="56">
        <v>0</v>
      </c>
    </row>
    <row r="340">
      <c r="A340" s="48">
        <v>46132.57263888889</v>
      </c>
      <c r="B340" s="49" t="s">
        <v>108</v>
      </c>
      <c r="C340" s="49" t="s">
        <v>106</v>
      </c>
      <c r="D340" s="49" t="s">
        <v>5</v>
      </c>
      <c r="E340" s="50">
        <v>96</v>
      </c>
      <c r="F340" s="49" t="s">
        <v>107</v>
      </c>
      <c r="G340" s="51">
        <v>166004755</v>
      </c>
      <c r="H340" s="52">
        <v>14</v>
      </c>
      <c r="I340" s="52">
        <f>L340+M340+N340</f>
        <v>12.0537</v>
      </c>
      <c r="J340" s="52">
        <f>O340+P340</f>
        <v>1.4463</v>
      </c>
      <c r="K340" s="53">
        <f>IF(H340=I340+J340,0,W340)</f>
        <v>0.5</v>
      </c>
      <c r="L340" s="52">
        <v>0</v>
      </c>
      <c r="M340" s="52">
        <v>12.0537</v>
      </c>
      <c r="N340" s="52">
        <v>0</v>
      </c>
      <c r="O340" s="52">
        <v>0</v>
      </c>
      <c r="P340" s="52">
        <v>1.4463</v>
      </c>
      <c r="Q340" s="54">
        <v>12.0537</v>
      </c>
      <c r="R340" s="52">
        <v>13.5</v>
      </c>
      <c r="S340" s="52">
        <v>0</v>
      </c>
      <c r="T340" s="52">
        <v>0</v>
      </c>
      <c r="U340" s="52">
        <v>0</v>
      </c>
      <c r="V340" s="52">
        <v>0</v>
      </c>
      <c r="W340" s="52">
        <v>0.5</v>
      </c>
      <c r="X340" s="54">
        <v>14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46132.57263888889</v>
      </c>
      <c r="AH340" s="52">
        <v>44067</v>
      </c>
      <c r="AI340" s="52">
        <v>0</v>
      </c>
      <c r="AJ340" s="53">
        <f>AH340+AI340</f>
        <v>44067</v>
      </c>
      <c r="AK340" s="56">
        <v>0</v>
      </c>
    </row>
    <row r="341">
      <c r="A341" s="48">
        <v>46132.57277777778</v>
      </c>
      <c r="B341" s="49" t="s">
        <v>99</v>
      </c>
      <c r="C341" s="49" t="s">
        <v>112</v>
      </c>
      <c r="D341" s="49" t="s">
        <v>5</v>
      </c>
      <c r="E341" s="50">
        <v>96</v>
      </c>
      <c r="F341" s="49" t="s">
        <v>107</v>
      </c>
      <c r="G341" s="51"/>
      <c r="H341" s="52">
        <v>0</v>
      </c>
      <c r="I341" s="52">
        <f>L341+M341+N341</f>
        <v>0</v>
      </c>
      <c r="J341" s="52">
        <f>O341+P341</f>
        <v>0</v>
      </c>
      <c r="K341" s="53">
        <f>IF(H341=I341+J341,0,W341)</f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  <c r="Q341" s="54">
        <v>0</v>
      </c>
      <c r="R341" s="52">
        <v>0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/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46132.57277777778</v>
      </c>
      <c r="AH341" s="52">
        <v>44067</v>
      </c>
      <c r="AI341" s="52">
        <v>0</v>
      </c>
      <c r="AJ341" s="53">
        <f>AH341+AI341</f>
        <v>44067</v>
      </c>
      <c r="AK341" s="56"/>
    </row>
    <row r="342">
      <c r="A342" s="48">
        <v>46132.573379629626</v>
      </c>
      <c r="B342" s="49" t="s">
        <v>99</v>
      </c>
      <c r="C342" s="49" t="s">
        <v>106</v>
      </c>
      <c r="D342" s="49" t="s">
        <v>5</v>
      </c>
      <c r="E342" s="50">
        <v>96</v>
      </c>
      <c r="F342" s="49" t="s">
        <v>107</v>
      </c>
      <c r="G342" s="51"/>
      <c r="H342" s="52">
        <v>0</v>
      </c>
      <c r="I342" s="52">
        <f>L342+M342+N342</f>
        <v>0</v>
      </c>
      <c r="J342" s="52">
        <f>O342+P342</f>
        <v>0</v>
      </c>
      <c r="K342" s="53">
        <f>IF(H342=I342+J342,0,W342)</f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  <c r="Q342" s="54">
        <v>0</v>
      </c>
      <c r="R342" s="52">
        <v>0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/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46132.573379629626</v>
      </c>
      <c r="AH342" s="52">
        <v>44067</v>
      </c>
      <c r="AI342" s="52">
        <v>0</v>
      </c>
      <c r="AJ342" s="53">
        <f>AH342+AI342</f>
        <v>44067</v>
      </c>
      <c r="AK342" s="56"/>
    </row>
    <row r="343">
      <c r="A343" s="48">
        <v>46132.574953703705</v>
      </c>
      <c r="B343" s="49" t="s">
        <v>108</v>
      </c>
      <c r="C343" s="49" t="s">
        <v>100</v>
      </c>
      <c r="D343" s="49" t="s">
        <v>5</v>
      </c>
      <c r="E343" s="50">
        <v>96</v>
      </c>
      <c r="F343" s="49" t="s">
        <v>105</v>
      </c>
      <c r="G343" s="51">
        <v>161000358</v>
      </c>
      <c r="H343" s="52">
        <v>19.9</v>
      </c>
      <c r="I343" s="52">
        <f>L343+M343+N343</f>
        <v>16.44</v>
      </c>
      <c r="J343" s="52">
        <f>O343+P343</f>
        <v>3.46</v>
      </c>
      <c r="K343" s="53">
        <f>IF(H343=I343+J343,0,W343)</f>
        <v>0</v>
      </c>
      <c r="L343" s="52">
        <v>16.44</v>
      </c>
      <c r="M343" s="52">
        <v>0</v>
      </c>
      <c r="N343" s="52">
        <v>0</v>
      </c>
      <c r="O343" s="52">
        <v>3.46</v>
      </c>
      <c r="P343" s="52">
        <v>0</v>
      </c>
      <c r="Q343" s="54">
        <v>16.44</v>
      </c>
      <c r="R343" s="52">
        <v>19.9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19.9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46132.574953703705</v>
      </c>
      <c r="AH343" s="52">
        <v>0</v>
      </c>
      <c r="AI343" s="52">
        <v>0</v>
      </c>
      <c r="AJ343" s="53">
        <f>AH343+AI343</f>
        <v>0</v>
      </c>
      <c r="AK343" s="56">
        <v>0</v>
      </c>
    </row>
    <row r="344">
      <c r="A344" s="48">
        <v>46132.5753125</v>
      </c>
      <c r="B344" s="49" t="s">
        <v>108</v>
      </c>
      <c r="C344" s="49" t="s">
        <v>106</v>
      </c>
      <c r="D344" s="49" t="s">
        <v>5</v>
      </c>
      <c r="E344" s="50">
        <v>96</v>
      </c>
      <c r="F344" s="49" t="s">
        <v>107</v>
      </c>
      <c r="G344" s="51">
        <v>166004756</v>
      </c>
      <c r="H344" s="52">
        <v>327</v>
      </c>
      <c r="I344" s="52">
        <f>L344+M344+N344</f>
        <v>281.5328</v>
      </c>
      <c r="J344" s="52">
        <f>O344+P344</f>
        <v>45.7072</v>
      </c>
      <c r="K344" s="53">
        <f>IF(H344=I344+J344,0,W344)</f>
        <v>-0.24</v>
      </c>
      <c r="L344" s="52">
        <v>132.4794</v>
      </c>
      <c r="M344" s="52">
        <v>149.0534</v>
      </c>
      <c r="N344" s="52">
        <v>0</v>
      </c>
      <c r="O344" s="52">
        <v>27.8206</v>
      </c>
      <c r="P344" s="52">
        <v>17.8866</v>
      </c>
      <c r="Q344" s="54">
        <v>281.5328</v>
      </c>
      <c r="R344" s="52">
        <v>327.24</v>
      </c>
      <c r="S344" s="52">
        <v>0</v>
      </c>
      <c r="T344" s="52">
        <v>0</v>
      </c>
      <c r="U344" s="52">
        <v>0</v>
      </c>
      <c r="V344" s="52">
        <v>0</v>
      </c>
      <c r="W344" s="52">
        <v>-0.24</v>
      </c>
      <c r="X344" s="54">
        <v>500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46132.5753125</v>
      </c>
      <c r="AH344" s="52">
        <v>44394</v>
      </c>
      <c r="AI344" s="52">
        <v>0</v>
      </c>
      <c r="AJ344" s="53">
        <f>AH344+AI344</f>
        <v>44394</v>
      </c>
      <c r="AK344" s="56">
        <v>0</v>
      </c>
    </row>
    <row r="345">
      <c r="A345" s="48">
        <v>46132.575787037036</v>
      </c>
      <c r="B345" s="49" t="s">
        <v>108</v>
      </c>
      <c r="C345" s="49" t="s">
        <v>106</v>
      </c>
      <c r="D345" s="49" t="s">
        <v>5</v>
      </c>
      <c r="E345" s="50">
        <v>96</v>
      </c>
      <c r="F345" s="49" t="s">
        <v>107</v>
      </c>
      <c r="G345" s="51">
        <v>166004757</v>
      </c>
      <c r="H345" s="52">
        <v>90.3</v>
      </c>
      <c r="I345" s="52">
        <f>L345+M345+N345</f>
        <v>80.6251</v>
      </c>
      <c r="J345" s="52">
        <f>O345+P345</f>
        <v>9.6749</v>
      </c>
      <c r="K345" s="53">
        <f>IF(H345=I345+J345,0,W345)</f>
        <v>0</v>
      </c>
      <c r="L345" s="52">
        <v>0</v>
      </c>
      <c r="M345" s="52">
        <v>80.6251</v>
      </c>
      <c r="N345" s="52">
        <v>0</v>
      </c>
      <c r="O345" s="52">
        <v>0</v>
      </c>
      <c r="P345" s="52">
        <v>9.6749</v>
      </c>
      <c r="Q345" s="54">
        <v>80.6251</v>
      </c>
      <c r="R345" s="52">
        <v>90.3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90.3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46132.575787037036</v>
      </c>
      <c r="AH345" s="52">
        <v>44394</v>
      </c>
      <c r="AI345" s="52">
        <v>0</v>
      </c>
      <c r="AJ345" s="53">
        <f>AH345+AI345</f>
        <v>44394</v>
      </c>
      <c r="AK345" s="56">
        <v>0</v>
      </c>
    </row>
    <row r="346">
      <c r="A346" s="48">
        <v>46132.57628472222</v>
      </c>
      <c r="B346" s="49" t="s">
        <v>108</v>
      </c>
      <c r="C346" s="49" t="s">
        <v>106</v>
      </c>
      <c r="D346" s="49" t="s">
        <v>5</v>
      </c>
      <c r="E346" s="50">
        <v>96</v>
      </c>
      <c r="F346" s="49" t="s">
        <v>107</v>
      </c>
      <c r="G346" s="51">
        <v>166004758</v>
      </c>
      <c r="H346" s="52">
        <v>11</v>
      </c>
      <c r="I346" s="52">
        <f>L346+M346+N346</f>
        <v>9.7321</v>
      </c>
      <c r="J346" s="52">
        <f>O346+P346</f>
        <v>1.1679</v>
      </c>
      <c r="K346" s="53">
        <f>IF(H346=I346+J346,0,W346)</f>
        <v>0.1</v>
      </c>
      <c r="L346" s="52">
        <v>0</v>
      </c>
      <c r="M346" s="52">
        <v>9.7321</v>
      </c>
      <c r="N346" s="52">
        <v>0</v>
      </c>
      <c r="O346" s="52">
        <v>0</v>
      </c>
      <c r="P346" s="52">
        <v>1.1679</v>
      </c>
      <c r="Q346" s="54">
        <v>9.7321</v>
      </c>
      <c r="R346" s="52">
        <v>10.9</v>
      </c>
      <c r="S346" s="52">
        <v>0</v>
      </c>
      <c r="T346" s="52">
        <v>0</v>
      </c>
      <c r="U346" s="52">
        <v>0</v>
      </c>
      <c r="V346" s="52">
        <v>0</v>
      </c>
      <c r="W346" s="52">
        <v>0.1</v>
      </c>
      <c r="X346" s="54">
        <v>20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46132.57628472222</v>
      </c>
      <c r="AH346" s="52">
        <v>44405</v>
      </c>
      <c r="AI346" s="52">
        <v>0</v>
      </c>
      <c r="AJ346" s="53">
        <f>AH346+AI346</f>
        <v>44405</v>
      </c>
      <c r="AK346" s="56">
        <v>0</v>
      </c>
    </row>
    <row r="347">
      <c r="A347" s="48">
        <v>46132.57659722222</v>
      </c>
      <c r="B347" s="49" t="s">
        <v>108</v>
      </c>
      <c r="C347" s="49" t="s">
        <v>106</v>
      </c>
      <c r="D347" s="49" t="s">
        <v>5</v>
      </c>
      <c r="E347" s="50">
        <v>96</v>
      </c>
      <c r="F347" s="49" t="s">
        <v>107</v>
      </c>
      <c r="G347" s="51">
        <v>166004759</v>
      </c>
      <c r="H347" s="52">
        <v>65</v>
      </c>
      <c r="I347" s="52">
        <f>L347+M347+N347</f>
        <v>58.3929</v>
      </c>
      <c r="J347" s="52">
        <f>O347+P347</f>
        <v>7.0071</v>
      </c>
      <c r="K347" s="53">
        <f>IF(H347=I347+J347,0,W347)</f>
        <v>-0.4</v>
      </c>
      <c r="L347" s="52">
        <v>0</v>
      </c>
      <c r="M347" s="52">
        <v>58.3929</v>
      </c>
      <c r="N347" s="52">
        <v>0</v>
      </c>
      <c r="O347" s="52">
        <v>0</v>
      </c>
      <c r="P347" s="52">
        <v>7.0071</v>
      </c>
      <c r="Q347" s="54">
        <v>58.3929</v>
      </c>
      <c r="R347" s="52">
        <v>65.4</v>
      </c>
      <c r="S347" s="52">
        <v>0</v>
      </c>
      <c r="T347" s="52">
        <v>0</v>
      </c>
      <c r="U347" s="52">
        <v>0</v>
      </c>
      <c r="V347" s="52">
        <v>0</v>
      </c>
      <c r="W347" s="52">
        <v>-0.4</v>
      </c>
      <c r="X347" s="54">
        <v>65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46132.57659722222</v>
      </c>
      <c r="AH347" s="52">
        <v>44470</v>
      </c>
      <c r="AI347" s="52">
        <v>0</v>
      </c>
      <c r="AJ347" s="53">
        <f>AH347+AI347</f>
        <v>44470</v>
      </c>
      <c r="AK347" s="56">
        <v>0</v>
      </c>
    </row>
    <row r="348">
      <c r="A348" s="48">
        <v>46132.57780092592</v>
      </c>
      <c r="B348" s="49" t="s">
        <v>108</v>
      </c>
      <c r="C348" s="49" t="s">
        <v>106</v>
      </c>
      <c r="D348" s="49" t="s">
        <v>5</v>
      </c>
      <c r="E348" s="50">
        <v>96</v>
      </c>
      <c r="F348" s="49" t="s">
        <v>107</v>
      </c>
      <c r="G348" s="51">
        <v>166004760</v>
      </c>
      <c r="H348" s="52">
        <v>354.3</v>
      </c>
      <c r="I348" s="52">
        <f>L348+M348+N348</f>
        <v>316.3391</v>
      </c>
      <c r="J348" s="52">
        <f>O348+P348</f>
        <v>37.9609</v>
      </c>
      <c r="K348" s="53">
        <f>IF(H348=I348+J348,0,W348)</f>
        <v>0</v>
      </c>
      <c r="L348" s="52">
        <v>0</v>
      </c>
      <c r="M348" s="52">
        <v>316.3391</v>
      </c>
      <c r="N348" s="52">
        <v>0</v>
      </c>
      <c r="O348" s="52">
        <v>0</v>
      </c>
      <c r="P348" s="52">
        <v>37.9609</v>
      </c>
      <c r="Q348" s="54">
        <v>316.3391</v>
      </c>
      <c r="R348" s="52">
        <v>354.3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354.3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46132.57780092592</v>
      </c>
      <c r="AH348" s="52">
        <v>44470</v>
      </c>
      <c r="AI348" s="52">
        <v>0</v>
      </c>
      <c r="AJ348" s="53">
        <f>AH348+AI348</f>
        <v>44470</v>
      </c>
      <c r="AK348" s="56">
        <v>0</v>
      </c>
    </row>
    <row r="349">
      <c r="A349" s="48">
        <v>46132.57848379629</v>
      </c>
      <c r="B349" s="49" t="s">
        <v>108</v>
      </c>
      <c r="C349" s="49" t="s">
        <v>106</v>
      </c>
      <c r="D349" s="49" t="s">
        <v>5</v>
      </c>
      <c r="E349" s="50">
        <v>96</v>
      </c>
      <c r="F349" s="49" t="s">
        <v>107</v>
      </c>
      <c r="G349" s="51">
        <v>166004761</v>
      </c>
      <c r="H349" s="52">
        <v>141.55</v>
      </c>
      <c r="I349" s="52">
        <f>L349+M349+N349</f>
        <v>125.6274</v>
      </c>
      <c r="J349" s="52">
        <f>O349+P349</f>
        <v>15.922600000000001</v>
      </c>
      <c r="K349" s="53">
        <f>IF(H349=I349+J349,0,W349)</f>
        <v>0</v>
      </c>
      <c r="L349" s="52">
        <v>9.4215</v>
      </c>
      <c r="M349" s="52">
        <v>116.2059</v>
      </c>
      <c r="N349" s="52">
        <v>0</v>
      </c>
      <c r="O349" s="52">
        <v>1.9785</v>
      </c>
      <c r="P349" s="52">
        <v>13.9441</v>
      </c>
      <c r="Q349" s="54">
        <v>125.6274</v>
      </c>
      <c r="R349" s="52">
        <v>141.55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141.55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46132.57848379629</v>
      </c>
      <c r="AH349" s="52">
        <v>44470</v>
      </c>
      <c r="AI349" s="52">
        <v>0</v>
      </c>
      <c r="AJ349" s="53">
        <f>AH349+AI349</f>
        <v>44470</v>
      </c>
      <c r="AK349" s="56">
        <v>0</v>
      </c>
    </row>
    <row r="350">
      <c r="A350" s="48">
        <v>46132.578784722224</v>
      </c>
      <c r="B350" s="49" t="s">
        <v>108</v>
      </c>
      <c r="C350" s="49" t="s">
        <v>106</v>
      </c>
      <c r="D350" s="49" t="s">
        <v>5</v>
      </c>
      <c r="E350" s="50">
        <v>96</v>
      </c>
      <c r="F350" s="49" t="s">
        <v>107</v>
      </c>
      <c r="G350" s="51">
        <v>166004762</v>
      </c>
      <c r="H350" s="52">
        <v>95.4</v>
      </c>
      <c r="I350" s="52">
        <f>L350+M350+N350</f>
        <v>78.843</v>
      </c>
      <c r="J350" s="52">
        <f>O350+P350</f>
        <v>16.557</v>
      </c>
      <c r="K350" s="53">
        <f>IF(H350=I350+J350,0,W350)</f>
        <v>0</v>
      </c>
      <c r="L350" s="52">
        <v>78.843</v>
      </c>
      <c r="M350" s="52">
        <v>0</v>
      </c>
      <c r="N350" s="52">
        <v>0</v>
      </c>
      <c r="O350" s="52">
        <v>16.557</v>
      </c>
      <c r="P350" s="52">
        <v>0</v>
      </c>
      <c r="Q350" s="54">
        <v>78.843</v>
      </c>
      <c r="R350" s="52">
        <v>95.4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95.4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46132.578784722224</v>
      </c>
      <c r="AH350" s="52">
        <v>44470</v>
      </c>
      <c r="AI350" s="52">
        <v>0</v>
      </c>
      <c r="AJ350" s="53">
        <f>AH350+AI350</f>
        <v>44470</v>
      </c>
      <c r="AK350" s="56">
        <v>0</v>
      </c>
    </row>
    <row r="351">
      <c r="A351" s="48">
        <v>46132.579560185186</v>
      </c>
      <c r="B351" s="49" t="s">
        <v>108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166004763</v>
      </c>
      <c r="H351" s="52">
        <v>102.6</v>
      </c>
      <c r="I351" s="52">
        <f>L351+M351+N351</f>
        <v>86.6463</v>
      </c>
      <c r="J351" s="52">
        <f>O351+P351</f>
        <v>15.9537</v>
      </c>
      <c r="K351" s="53">
        <f>IF(H351=I351+J351,0,W351)</f>
        <v>0</v>
      </c>
      <c r="L351" s="52">
        <v>61.7356</v>
      </c>
      <c r="M351" s="52">
        <v>24.9107</v>
      </c>
      <c r="N351" s="52">
        <v>0</v>
      </c>
      <c r="O351" s="52">
        <v>12.9644</v>
      </c>
      <c r="P351" s="52">
        <v>2.9893</v>
      </c>
      <c r="Q351" s="54">
        <v>86.6463</v>
      </c>
      <c r="R351" s="52">
        <v>102.6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102.6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46132.579560185186</v>
      </c>
      <c r="AH351" s="52">
        <v>44470</v>
      </c>
      <c r="AI351" s="52">
        <v>0</v>
      </c>
      <c r="AJ351" s="53">
        <f>AH351+AI351</f>
        <v>44470</v>
      </c>
      <c r="AK351" s="56">
        <v>0</v>
      </c>
    </row>
    <row r="352">
      <c r="A352" s="48">
        <v>46132.58017361111</v>
      </c>
      <c r="B352" s="49" t="s">
        <v>108</v>
      </c>
      <c r="C352" s="49" t="s">
        <v>106</v>
      </c>
      <c r="D352" s="49" t="s">
        <v>5</v>
      </c>
      <c r="E352" s="50">
        <v>96</v>
      </c>
      <c r="F352" s="49" t="s">
        <v>107</v>
      </c>
      <c r="G352" s="51">
        <v>166004764</v>
      </c>
      <c r="H352" s="52">
        <v>11</v>
      </c>
      <c r="I352" s="52">
        <f>L352+M352+N352</f>
        <v>9.5357</v>
      </c>
      <c r="J352" s="52">
        <f>O352+P352</f>
        <v>1.1443</v>
      </c>
      <c r="K352" s="53">
        <f>IF(H352=I352+J352,0,W352)</f>
        <v>0.32</v>
      </c>
      <c r="L352" s="52">
        <v>0</v>
      </c>
      <c r="M352" s="52">
        <v>9.5357</v>
      </c>
      <c r="N352" s="52">
        <v>0</v>
      </c>
      <c r="O352" s="52">
        <v>0</v>
      </c>
      <c r="P352" s="52">
        <v>1.1443</v>
      </c>
      <c r="Q352" s="54">
        <v>9.5357</v>
      </c>
      <c r="R352" s="52">
        <v>10.68</v>
      </c>
      <c r="S352" s="52">
        <v>0</v>
      </c>
      <c r="T352" s="52">
        <v>0</v>
      </c>
      <c r="U352" s="52">
        <v>0</v>
      </c>
      <c r="V352" s="52">
        <v>0</v>
      </c>
      <c r="W352" s="52">
        <v>0.32</v>
      </c>
      <c r="X352" s="54">
        <v>11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46132.58017361111</v>
      </c>
      <c r="AH352" s="52">
        <v>44481</v>
      </c>
      <c r="AI352" s="52">
        <v>0</v>
      </c>
      <c r="AJ352" s="53">
        <f>AH352+AI352</f>
        <v>44481</v>
      </c>
      <c r="AK352" s="56">
        <v>2.9144</v>
      </c>
    </row>
    <row r="353">
      <c r="A353" s="48">
        <v>46132.581099537034</v>
      </c>
      <c r="B353" s="49" t="s">
        <v>99</v>
      </c>
      <c r="C353" s="49" t="s">
        <v>111</v>
      </c>
      <c r="D353" s="49" t="s">
        <v>5</v>
      </c>
      <c r="E353" s="50">
        <v>96</v>
      </c>
      <c r="F353" s="49" t="s">
        <v>109</v>
      </c>
      <c r="G353" s="51"/>
      <c r="H353" s="52">
        <v>0</v>
      </c>
      <c r="I353" s="52">
        <f>L353+M353+N353</f>
        <v>0</v>
      </c>
      <c r="J353" s="52">
        <f>O353+P353</f>
        <v>0</v>
      </c>
      <c r="K353" s="53">
        <f>IF(H353=I353+J353,0,W353)</f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  <c r="Q353" s="54">
        <v>0</v>
      </c>
      <c r="R353" s="52">
        <v>0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/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46132.581099537034</v>
      </c>
      <c r="AH353" s="52">
        <v>25082</v>
      </c>
      <c r="AI353" s="52">
        <v>0</v>
      </c>
      <c r="AJ353" s="53">
        <f>AH353+AI353</f>
        <v>25082</v>
      </c>
      <c r="AK353" s="56"/>
    </row>
    <row r="354">
      <c r="A354" s="48">
        <v>46132.581782407404</v>
      </c>
      <c r="B354" s="49" t="s">
        <v>108</v>
      </c>
      <c r="C354" s="49" t="s">
        <v>111</v>
      </c>
      <c r="D354" s="49" t="s">
        <v>5</v>
      </c>
      <c r="E354" s="50">
        <v>96</v>
      </c>
      <c r="F354" s="49" t="s">
        <v>109</v>
      </c>
      <c r="G354" s="51">
        <v>169002632</v>
      </c>
      <c r="H354" s="52">
        <v>253.96</v>
      </c>
      <c r="I354" s="52">
        <f>L354+M354+N354</f>
        <v>226.7499</v>
      </c>
      <c r="J354" s="52">
        <f>O354+P354</f>
        <v>27.2101</v>
      </c>
      <c r="K354" s="53">
        <f>IF(H354=I354+J354,0,W354)</f>
        <v>0</v>
      </c>
      <c r="L354" s="52">
        <v>0</v>
      </c>
      <c r="M354" s="52">
        <v>226.7499</v>
      </c>
      <c r="N354" s="52">
        <v>0</v>
      </c>
      <c r="O354" s="52">
        <v>0</v>
      </c>
      <c r="P354" s="52">
        <v>27.2101</v>
      </c>
      <c r="Q354" s="54">
        <v>226.7499</v>
      </c>
      <c r="R354" s="52">
        <v>253.96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253.96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46132.581782407404</v>
      </c>
      <c r="AH354" s="52">
        <v>25082</v>
      </c>
      <c r="AI354" s="52">
        <v>0</v>
      </c>
      <c r="AJ354" s="53">
        <f>AH354+AI354</f>
        <v>25082</v>
      </c>
      <c r="AK354" s="56">
        <v>8.64</v>
      </c>
    </row>
    <row r="355">
      <c r="A355" s="48">
        <v>46132.58226851852</v>
      </c>
      <c r="B355" s="49" t="s">
        <v>108</v>
      </c>
      <c r="C355" s="49" t="s">
        <v>111</v>
      </c>
      <c r="D355" s="49" t="s">
        <v>5</v>
      </c>
      <c r="E355" s="50">
        <v>96</v>
      </c>
      <c r="F355" s="49" t="s">
        <v>109</v>
      </c>
      <c r="G355" s="51">
        <v>169002633</v>
      </c>
      <c r="H355" s="52">
        <v>280</v>
      </c>
      <c r="I355" s="52">
        <f>L355+M355+N355</f>
        <v>245.86860000000001</v>
      </c>
      <c r="J355" s="52">
        <f>O355+P355</f>
        <v>34.3314</v>
      </c>
      <c r="K355" s="53">
        <f>IF(H355=I355+J355,0,W355)</f>
        <v>-0.2</v>
      </c>
      <c r="L355" s="52">
        <v>53.6364</v>
      </c>
      <c r="M355" s="52">
        <v>192.2322</v>
      </c>
      <c r="N355" s="52">
        <v>0</v>
      </c>
      <c r="O355" s="52">
        <v>11.2636</v>
      </c>
      <c r="P355" s="52">
        <v>23.0678</v>
      </c>
      <c r="Q355" s="54">
        <v>245.8686</v>
      </c>
      <c r="R355" s="52">
        <v>280.2</v>
      </c>
      <c r="S355" s="52">
        <v>0</v>
      </c>
      <c r="T355" s="52">
        <v>0</v>
      </c>
      <c r="U355" s="52">
        <v>0</v>
      </c>
      <c r="V355" s="52">
        <v>0</v>
      </c>
      <c r="W355" s="52">
        <v>-0.2</v>
      </c>
      <c r="X355" s="54">
        <v>300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46132.58226851852</v>
      </c>
      <c r="AH355" s="52">
        <v>25362</v>
      </c>
      <c r="AI355" s="52">
        <v>0</v>
      </c>
      <c r="AJ355" s="53">
        <f>AH355+AI355</f>
        <v>25362</v>
      </c>
      <c r="AK355" s="56">
        <v>0</v>
      </c>
    </row>
    <row r="356">
      <c r="A356" s="48">
        <v>46132.58267361111</v>
      </c>
      <c r="B356" s="49" t="s">
        <v>108</v>
      </c>
      <c r="C356" s="49" t="s">
        <v>111</v>
      </c>
      <c r="D356" s="49" t="s">
        <v>5</v>
      </c>
      <c r="E356" s="50">
        <v>96</v>
      </c>
      <c r="F356" s="49" t="s">
        <v>109</v>
      </c>
      <c r="G356" s="51">
        <v>169002634</v>
      </c>
      <c r="H356" s="52">
        <v>55.8</v>
      </c>
      <c r="I356" s="52">
        <f>L356+M356+N356</f>
        <v>46.1157</v>
      </c>
      <c r="J356" s="52">
        <f>O356+P356</f>
        <v>9.6843</v>
      </c>
      <c r="K356" s="53">
        <f>IF(H356=I356+J356,0,W356)</f>
        <v>0</v>
      </c>
      <c r="L356" s="52">
        <v>46.1157</v>
      </c>
      <c r="M356" s="52">
        <v>0</v>
      </c>
      <c r="N356" s="52">
        <v>0</v>
      </c>
      <c r="O356" s="52">
        <v>9.6843</v>
      </c>
      <c r="P356" s="52">
        <v>0</v>
      </c>
      <c r="Q356" s="54">
        <v>46.1157</v>
      </c>
      <c r="R356" s="52">
        <v>55.8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55.8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46132.58267361111</v>
      </c>
      <c r="AH356" s="52">
        <v>25362</v>
      </c>
      <c r="AI356" s="52">
        <v>0</v>
      </c>
      <c r="AJ356" s="53">
        <f>AH356+AI356</f>
        <v>25362</v>
      </c>
      <c r="AK356" s="56">
        <v>0</v>
      </c>
    </row>
    <row r="357">
      <c r="A357" s="48">
        <v>46132.583449074074</v>
      </c>
      <c r="B357" s="49" t="s">
        <v>108</v>
      </c>
      <c r="C357" s="49" t="s">
        <v>100</v>
      </c>
      <c r="D357" s="49" t="s">
        <v>5</v>
      </c>
      <c r="E357" s="50">
        <v>96</v>
      </c>
      <c r="F357" s="49" t="s">
        <v>105</v>
      </c>
      <c r="G357" s="51">
        <v>161000359</v>
      </c>
      <c r="H357" s="52">
        <v>15.9</v>
      </c>
      <c r="I357" s="52">
        <f>L357+M357+N357</f>
        <v>14.19</v>
      </c>
      <c r="J357" s="52">
        <f>O357+P357</f>
        <v>1.71</v>
      </c>
      <c r="K357" s="53">
        <f>IF(H357=I357+J357,0,W357)</f>
        <v>0</v>
      </c>
      <c r="L357" s="52">
        <v>0</v>
      </c>
      <c r="M357" s="52">
        <v>14.19</v>
      </c>
      <c r="N357" s="52">
        <v>0</v>
      </c>
      <c r="O357" s="52">
        <v>0</v>
      </c>
      <c r="P357" s="52">
        <v>1.71</v>
      </c>
      <c r="Q357" s="54">
        <v>14.19</v>
      </c>
      <c r="R357" s="52">
        <v>15.9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15.9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46132.583449074074</v>
      </c>
      <c r="AH357" s="52">
        <v>0</v>
      </c>
      <c r="AI357" s="52">
        <v>0</v>
      </c>
      <c r="AJ357" s="53">
        <f>AH357+AI357</f>
        <v>0</v>
      </c>
      <c r="AK357" s="56">
        <v>0</v>
      </c>
    </row>
    <row r="358">
      <c r="A358" s="48">
        <v>46132.583657407406</v>
      </c>
      <c r="B358" s="49" t="s">
        <v>108</v>
      </c>
      <c r="C358" s="49" t="s">
        <v>111</v>
      </c>
      <c r="D358" s="49" t="s">
        <v>5</v>
      </c>
      <c r="E358" s="50">
        <v>96</v>
      </c>
      <c r="F358" s="49" t="s">
        <v>109</v>
      </c>
      <c r="G358" s="51">
        <v>169002635</v>
      </c>
      <c r="H358" s="52">
        <v>17</v>
      </c>
      <c r="I358" s="52">
        <f>L358+M358+N358</f>
        <v>15.0893</v>
      </c>
      <c r="J358" s="52">
        <f>O358+P358</f>
        <v>1.8107</v>
      </c>
      <c r="K358" s="53">
        <f>IF(H358=I358+J358,0,W358)</f>
        <v>0.1</v>
      </c>
      <c r="L358" s="52">
        <v>0</v>
      </c>
      <c r="M358" s="52">
        <v>15.0893</v>
      </c>
      <c r="N358" s="52">
        <v>0</v>
      </c>
      <c r="O358" s="52">
        <v>0</v>
      </c>
      <c r="P358" s="52">
        <v>1.8107</v>
      </c>
      <c r="Q358" s="54">
        <v>15.0893</v>
      </c>
      <c r="R358" s="52">
        <v>16.9</v>
      </c>
      <c r="S358" s="52">
        <v>0</v>
      </c>
      <c r="T358" s="52">
        <v>0</v>
      </c>
      <c r="U358" s="52">
        <v>0</v>
      </c>
      <c r="V358" s="52">
        <v>0</v>
      </c>
      <c r="W358" s="52">
        <v>0.1</v>
      </c>
      <c r="X358" s="54">
        <v>20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46132.583657407406</v>
      </c>
      <c r="AH358" s="52">
        <v>25379</v>
      </c>
      <c r="AI358" s="52">
        <v>0</v>
      </c>
      <c r="AJ358" s="53">
        <f>AH358+AI358</f>
        <v>25379</v>
      </c>
      <c r="AK358" s="56">
        <v>0</v>
      </c>
    </row>
    <row r="359">
      <c r="A359" s="48">
        <v>46132.583715277775</v>
      </c>
      <c r="B359" s="49" t="s">
        <v>99</v>
      </c>
      <c r="C359" s="49" t="s">
        <v>112</v>
      </c>
      <c r="D359" s="49" t="s">
        <v>5</v>
      </c>
      <c r="E359" s="50">
        <v>96</v>
      </c>
      <c r="F359" s="49" t="s">
        <v>107</v>
      </c>
      <c r="G359" s="51"/>
      <c r="H359" s="52">
        <v>0</v>
      </c>
      <c r="I359" s="52">
        <f>L359+M359+N359</f>
        <v>0</v>
      </c>
      <c r="J359" s="52">
        <f>O359+P359</f>
        <v>0</v>
      </c>
      <c r="K359" s="53">
        <f>IF(H359=I359+J359,0,W359)</f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  <c r="Q359" s="54">
        <v>0</v>
      </c>
      <c r="R359" s="52">
        <v>0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/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46132.583715277775</v>
      </c>
      <c r="AH359" s="52">
        <v>44481</v>
      </c>
      <c r="AI359" s="52">
        <v>0</v>
      </c>
      <c r="AJ359" s="53">
        <f>AH359+AI359</f>
        <v>44481</v>
      </c>
      <c r="AK359" s="56"/>
    </row>
    <row r="360">
      <c r="A360" s="48">
        <v>46132.584398148145</v>
      </c>
      <c r="B360" s="49" t="s">
        <v>108</v>
      </c>
      <c r="C360" s="49" t="s">
        <v>111</v>
      </c>
      <c r="D360" s="49" t="s">
        <v>5</v>
      </c>
      <c r="E360" s="50">
        <v>96</v>
      </c>
      <c r="F360" s="49" t="s">
        <v>109</v>
      </c>
      <c r="G360" s="51">
        <v>169002636</v>
      </c>
      <c r="H360" s="52">
        <v>49</v>
      </c>
      <c r="I360" s="52">
        <f>L360+M360+N360</f>
        <v>43.9732</v>
      </c>
      <c r="J360" s="52">
        <f>O360+P360</f>
        <v>5.2768</v>
      </c>
      <c r="K360" s="53">
        <f>IF(H360=I360+J360,0,W360)</f>
        <v>-0.25</v>
      </c>
      <c r="L360" s="52">
        <v>0</v>
      </c>
      <c r="M360" s="52">
        <v>43.9732</v>
      </c>
      <c r="N360" s="52">
        <v>0</v>
      </c>
      <c r="O360" s="52">
        <v>0</v>
      </c>
      <c r="P360" s="52">
        <v>5.2768</v>
      </c>
      <c r="Q360" s="54">
        <v>43.9732</v>
      </c>
      <c r="R360" s="52">
        <v>49.25</v>
      </c>
      <c r="S360" s="52">
        <v>0</v>
      </c>
      <c r="T360" s="52">
        <v>0</v>
      </c>
      <c r="U360" s="52">
        <v>0</v>
      </c>
      <c r="V360" s="52">
        <v>0</v>
      </c>
      <c r="W360" s="52">
        <v>-0.25</v>
      </c>
      <c r="X360" s="54">
        <v>200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46132.584398148145</v>
      </c>
      <c r="AH360" s="52">
        <v>25428</v>
      </c>
      <c r="AI360" s="52">
        <v>0</v>
      </c>
      <c r="AJ360" s="53">
        <f>AH360+AI360</f>
        <v>25428</v>
      </c>
      <c r="AK360" s="56">
        <v>0</v>
      </c>
    </row>
    <row r="361">
      <c r="A361" s="48">
        <v>46132.58480324074</v>
      </c>
      <c r="B361" s="49" t="s">
        <v>108</v>
      </c>
      <c r="C361" s="49" t="s">
        <v>111</v>
      </c>
      <c r="D361" s="49" t="s">
        <v>5</v>
      </c>
      <c r="E361" s="50">
        <v>96</v>
      </c>
      <c r="F361" s="49" t="s">
        <v>109</v>
      </c>
      <c r="G361" s="51">
        <v>169002637</v>
      </c>
      <c r="H361" s="52">
        <v>64</v>
      </c>
      <c r="I361" s="52">
        <f>L361+M361+N361</f>
        <v>52.562</v>
      </c>
      <c r="J361" s="52">
        <f>O361+P361</f>
        <v>11.038</v>
      </c>
      <c r="K361" s="53">
        <f>IF(H361=I361+J361,0,W361)</f>
        <v>0.4</v>
      </c>
      <c r="L361" s="52">
        <v>52.562</v>
      </c>
      <c r="M361" s="52">
        <v>0</v>
      </c>
      <c r="N361" s="52">
        <v>0</v>
      </c>
      <c r="O361" s="52">
        <v>11.038</v>
      </c>
      <c r="P361" s="52">
        <v>0</v>
      </c>
      <c r="Q361" s="54">
        <v>52.562</v>
      </c>
      <c r="R361" s="52">
        <v>63.6</v>
      </c>
      <c r="S361" s="52">
        <v>0</v>
      </c>
      <c r="T361" s="52">
        <v>0</v>
      </c>
      <c r="U361" s="52">
        <v>0</v>
      </c>
      <c r="V361" s="52">
        <v>0</v>
      </c>
      <c r="W361" s="52">
        <v>0.4</v>
      </c>
      <c r="X361" s="54">
        <v>100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46132.58480324074</v>
      </c>
      <c r="AH361" s="52">
        <v>25492</v>
      </c>
      <c r="AI361" s="52">
        <v>0</v>
      </c>
      <c r="AJ361" s="53">
        <f>AH361+AI361</f>
        <v>25492</v>
      </c>
      <c r="AK361" s="56">
        <v>0</v>
      </c>
    </row>
    <row r="362">
      <c r="A362" s="48">
        <v>46132.5862037037</v>
      </c>
      <c r="B362" s="49" t="s">
        <v>108</v>
      </c>
      <c r="C362" s="49" t="s">
        <v>111</v>
      </c>
      <c r="D362" s="49" t="s">
        <v>5</v>
      </c>
      <c r="E362" s="50">
        <v>96</v>
      </c>
      <c r="F362" s="49" t="s">
        <v>109</v>
      </c>
      <c r="G362" s="51">
        <v>169002638</v>
      </c>
      <c r="H362" s="52">
        <v>152</v>
      </c>
      <c r="I362" s="52">
        <f>L362+M362+N362</f>
        <v>129.9348</v>
      </c>
      <c r="J362" s="52">
        <f>O362+P362</f>
        <v>22.4052</v>
      </c>
      <c r="K362" s="53">
        <f>IF(H362=I362+J362,0,W362)</f>
        <v>-0.34</v>
      </c>
      <c r="L362" s="52">
        <v>75.7026</v>
      </c>
      <c r="M362" s="52">
        <v>54.2322</v>
      </c>
      <c r="N362" s="52">
        <v>0</v>
      </c>
      <c r="O362" s="52">
        <v>15.8974</v>
      </c>
      <c r="P362" s="52">
        <v>6.5078</v>
      </c>
      <c r="Q362" s="54">
        <v>129.9348</v>
      </c>
      <c r="R362" s="52">
        <v>152.34</v>
      </c>
      <c r="S362" s="52">
        <v>0</v>
      </c>
      <c r="T362" s="52">
        <v>0</v>
      </c>
      <c r="U362" s="52">
        <v>0</v>
      </c>
      <c r="V362" s="52">
        <v>0</v>
      </c>
      <c r="W362" s="52">
        <v>-0.34</v>
      </c>
      <c r="X362" s="54">
        <v>155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46132.5862037037</v>
      </c>
      <c r="AH362" s="52">
        <v>25644</v>
      </c>
      <c r="AI362" s="52">
        <v>0</v>
      </c>
      <c r="AJ362" s="53">
        <f>AH362+AI362</f>
        <v>25644</v>
      </c>
      <c r="AK362" s="56">
        <v>0</v>
      </c>
    </row>
    <row r="363">
      <c r="A363" s="48">
        <v>46132.58744212963</v>
      </c>
      <c r="B363" s="49" t="s">
        <v>108</v>
      </c>
      <c r="C363" s="49" t="s">
        <v>111</v>
      </c>
      <c r="D363" s="49" t="s">
        <v>5</v>
      </c>
      <c r="E363" s="50">
        <v>96</v>
      </c>
      <c r="F363" s="49" t="s">
        <v>109</v>
      </c>
      <c r="G363" s="51">
        <v>169002639</v>
      </c>
      <c r="H363" s="52">
        <v>362.11</v>
      </c>
      <c r="I363" s="52">
        <f>L363+M363+N363</f>
        <v>315.1506</v>
      </c>
      <c r="J363" s="52">
        <f>O363+P363</f>
        <v>46.9594</v>
      </c>
      <c r="K363" s="53">
        <f>IF(H363=I363+J363,0,W363)</f>
        <v>0</v>
      </c>
      <c r="L363" s="52">
        <v>101.5702</v>
      </c>
      <c r="M363" s="52">
        <v>213.5804</v>
      </c>
      <c r="N363" s="52">
        <v>0</v>
      </c>
      <c r="O363" s="52">
        <v>21.3298</v>
      </c>
      <c r="P363" s="52">
        <v>25.6296</v>
      </c>
      <c r="Q363" s="54">
        <v>315.1506</v>
      </c>
      <c r="R363" s="52">
        <v>362.11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362.11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46132.58744212963</v>
      </c>
      <c r="AH363" s="52">
        <v>25644</v>
      </c>
      <c r="AI363" s="52">
        <v>0</v>
      </c>
      <c r="AJ363" s="53">
        <f>AH363+AI363</f>
        <v>25644</v>
      </c>
      <c r="AK363" s="56">
        <v>6.987</v>
      </c>
    </row>
    <row r="364">
      <c r="A364" s="48">
        <v>46132.587858796294</v>
      </c>
      <c r="B364" s="49" t="s">
        <v>108</v>
      </c>
      <c r="C364" s="49" t="s">
        <v>111</v>
      </c>
      <c r="D364" s="49" t="s">
        <v>5</v>
      </c>
      <c r="E364" s="50">
        <v>96</v>
      </c>
      <c r="F364" s="49" t="s">
        <v>109</v>
      </c>
      <c r="G364" s="51">
        <v>169002640</v>
      </c>
      <c r="H364" s="52">
        <v>72.3</v>
      </c>
      <c r="I364" s="52">
        <f>L364+M364+N364</f>
        <v>64.5535</v>
      </c>
      <c r="J364" s="52">
        <f>O364+P364</f>
        <v>7.7465</v>
      </c>
      <c r="K364" s="53">
        <f>IF(H364=I364+J364,0,W364)</f>
        <v>0</v>
      </c>
      <c r="L364" s="52">
        <v>0</v>
      </c>
      <c r="M364" s="52">
        <v>64.5535</v>
      </c>
      <c r="N364" s="52">
        <v>0</v>
      </c>
      <c r="O364" s="52">
        <v>0</v>
      </c>
      <c r="P364" s="52">
        <v>7.7465</v>
      </c>
      <c r="Q364" s="54">
        <v>64.5535</v>
      </c>
      <c r="R364" s="52">
        <v>72.3</v>
      </c>
      <c r="S364" s="52">
        <v>0</v>
      </c>
      <c r="T364" s="52">
        <v>0</v>
      </c>
      <c r="U364" s="52">
        <v>0</v>
      </c>
      <c r="V364" s="52">
        <v>0</v>
      </c>
      <c r="W364" s="52">
        <v>0</v>
      </c>
      <c r="X364" s="54">
        <v>0</v>
      </c>
      <c r="Y364" s="52">
        <v>0</v>
      </c>
      <c r="Z364" s="52">
        <v>72.3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46132.587858796294</v>
      </c>
      <c r="AH364" s="52">
        <v>25644</v>
      </c>
      <c r="AI364" s="52">
        <v>0</v>
      </c>
      <c r="AJ364" s="53">
        <f>AH364+AI364</f>
        <v>25644</v>
      </c>
      <c r="AK364" s="56">
        <v>0</v>
      </c>
    </row>
    <row r="365">
      <c r="A365" s="48">
        <v>46132.58797453704</v>
      </c>
      <c r="B365" s="49" t="s">
        <v>108</v>
      </c>
      <c r="C365" s="49" t="s">
        <v>111</v>
      </c>
      <c r="D365" s="49" t="s">
        <v>5</v>
      </c>
      <c r="E365" s="50">
        <v>96</v>
      </c>
      <c r="F365" s="49" t="s">
        <v>109</v>
      </c>
      <c r="G365" s="51">
        <v>169002641</v>
      </c>
      <c r="H365" s="52">
        <v>70</v>
      </c>
      <c r="I365" s="52">
        <f>L365+M365+N365</f>
        <v>62.4107</v>
      </c>
      <c r="J365" s="52">
        <f>O365+P365</f>
        <v>7.4893</v>
      </c>
      <c r="K365" s="53">
        <f>IF(H365=I365+J365,0,W365)</f>
        <v>0.1</v>
      </c>
      <c r="L365" s="52">
        <v>0</v>
      </c>
      <c r="M365" s="52">
        <v>62.4107</v>
      </c>
      <c r="N365" s="52">
        <v>0</v>
      </c>
      <c r="O365" s="52">
        <v>0</v>
      </c>
      <c r="P365" s="52">
        <v>7.4893</v>
      </c>
      <c r="Q365" s="54">
        <v>62.4107</v>
      </c>
      <c r="R365" s="52">
        <v>69.9</v>
      </c>
      <c r="S365" s="52">
        <v>0</v>
      </c>
      <c r="T365" s="52">
        <v>0</v>
      </c>
      <c r="U365" s="52">
        <v>0</v>
      </c>
      <c r="V365" s="52">
        <v>0</v>
      </c>
      <c r="W365" s="52">
        <v>0.1</v>
      </c>
      <c r="X365" s="54">
        <v>100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46132.58797453704</v>
      </c>
      <c r="AH365" s="52">
        <v>25714</v>
      </c>
      <c r="AI365" s="52">
        <v>0</v>
      </c>
      <c r="AJ365" s="53">
        <f>AH365+AI365</f>
        <v>25714</v>
      </c>
      <c r="AK365" s="56">
        <v>0</v>
      </c>
    </row>
    <row r="366">
      <c r="A366" s="48">
        <v>46132.58875</v>
      </c>
      <c r="B366" s="49" t="s">
        <v>108</v>
      </c>
      <c r="C366" s="49" t="s">
        <v>111</v>
      </c>
      <c r="D366" s="49" t="s">
        <v>5</v>
      </c>
      <c r="E366" s="50">
        <v>96</v>
      </c>
      <c r="F366" s="49" t="s">
        <v>109</v>
      </c>
      <c r="G366" s="51">
        <v>169002642</v>
      </c>
      <c r="H366" s="52">
        <v>71.4</v>
      </c>
      <c r="I366" s="52">
        <f>L366+M366+N366</f>
        <v>63.75</v>
      </c>
      <c r="J366" s="52">
        <f>O366+P366</f>
        <v>7.65</v>
      </c>
      <c r="K366" s="53">
        <f>IF(H366=I366+J366,0,W366)</f>
        <v>0</v>
      </c>
      <c r="L366" s="52">
        <v>0</v>
      </c>
      <c r="M366" s="52">
        <v>63.75</v>
      </c>
      <c r="N366" s="52">
        <v>0</v>
      </c>
      <c r="O366" s="52">
        <v>0</v>
      </c>
      <c r="P366" s="52">
        <v>7.65</v>
      </c>
      <c r="Q366" s="54">
        <v>63.75</v>
      </c>
      <c r="R366" s="52">
        <v>71.4</v>
      </c>
      <c r="S366" s="52">
        <v>0</v>
      </c>
      <c r="T366" s="52">
        <v>0</v>
      </c>
      <c r="U366" s="52">
        <v>0</v>
      </c>
      <c r="V366" s="52">
        <v>0</v>
      </c>
      <c r="W366" s="52">
        <v>0</v>
      </c>
      <c r="X366" s="54">
        <v>0</v>
      </c>
      <c r="Y366" s="52">
        <v>0</v>
      </c>
      <c r="Z366" s="52">
        <v>71.4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46132.58875</v>
      </c>
      <c r="AH366" s="52">
        <v>25714</v>
      </c>
      <c r="AI366" s="52">
        <v>0</v>
      </c>
      <c r="AJ366" s="53">
        <f>AH366+AI366</f>
        <v>25714</v>
      </c>
      <c r="AK366" s="56">
        <v>0</v>
      </c>
    </row>
    <row r="367">
      <c r="A367" s="48">
        <v>46132.58949074074</v>
      </c>
      <c r="B367" s="49" t="s">
        <v>108</v>
      </c>
      <c r="C367" s="49" t="s">
        <v>111</v>
      </c>
      <c r="D367" s="49" t="s">
        <v>5</v>
      </c>
      <c r="E367" s="50">
        <v>96</v>
      </c>
      <c r="F367" s="49" t="s">
        <v>109</v>
      </c>
      <c r="G367" s="51">
        <v>169002643</v>
      </c>
      <c r="H367" s="52">
        <v>286.6</v>
      </c>
      <c r="I367" s="52">
        <f>L367+M367+N367</f>
        <v>248.5412</v>
      </c>
      <c r="J367" s="52">
        <f>O367+P367</f>
        <v>38.0588</v>
      </c>
      <c r="K367" s="53">
        <f>IF(H367=I367+J367,0,W367)</f>
        <v>0</v>
      </c>
      <c r="L367" s="52">
        <v>91.4876</v>
      </c>
      <c r="M367" s="52">
        <v>157.0536</v>
      </c>
      <c r="N367" s="52">
        <v>0</v>
      </c>
      <c r="O367" s="52">
        <v>19.2124</v>
      </c>
      <c r="P367" s="52">
        <v>18.8464</v>
      </c>
      <c r="Q367" s="54">
        <v>248.5412</v>
      </c>
      <c r="R367" s="52">
        <v>286.6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>
        <v>0</v>
      </c>
      <c r="Y367" s="52">
        <v>0</v>
      </c>
      <c r="Z367" s="52">
        <v>286.6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46132.58949074074</v>
      </c>
      <c r="AH367" s="52">
        <v>25714</v>
      </c>
      <c r="AI367" s="52">
        <v>0</v>
      </c>
      <c r="AJ367" s="53">
        <f>AH367+AI367</f>
        <v>25714</v>
      </c>
      <c r="AK367" s="56">
        <v>0</v>
      </c>
    </row>
    <row r="368">
      <c r="A368" s="48">
        <v>46132.5909375</v>
      </c>
      <c r="B368" s="49" t="s">
        <v>108</v>
      </c>
      <c r="C368" s="49" t="s">
        <v>111</v>
      </c>
      <c r="D368" s="49" t="s">
        <v>5</v>
      </c>
      <c r="E368" s="50">
        <v>96</v>
      </c>
      <c r="F368" s="49" t="s">
        <v>109</v>
      </c>
      <c r="G368" s="51">
        <v>169002644</v>
      </c>
      <c r="H368" s="52">
        <v>16</v>
      </c>
      <c r="I368" s="52">
        <f>L368+M368+N368</f>
        <v>14.1964</v>
      </c>
      <c r="J368" s="52">
        <f>O368+P368</f>
        <v>1.7036</v>
      </c>
      <c r="K368" s="53">
        <f>IF(H368=I368+J368,0,W368)</f>
        <v>0.1</v>
      </c>
      <c r="L368" s="52">
        <v>0</v>
      </c>
      <c r="M368" s="52">
        <v>14.1964</v>
      </c>
      <c r="N368" s="52">
        <v>0</v>
      </c>
      <c r="O368" s="52">
        <v>0</v>
      </c>
      <c r="P368" s="52">
        <v>1.7036</v>
      </c>
      <c r="Q368" s="54">
        <v>14.1964</v>
      </c>
      <c r="R368" s="52">
        <v>15.9</v>
      </c>
      <c r="S368" s="52">
        <v>0</v>
      </c>
      <c r="T368" s="52">
        <v>0</v>
      </c>
      <c r="U368" s="52">
        <v>0</v>
      </c>
      <c r="V368" s="52">
        <v>0</v>
      </c>
      <c r="W368" s="52">
        <v>0.1</v>
      </c>
      <c r="X368" s="54">
        <v>16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46132.5909375</v>
      </c>
      <c r="AH368" s="52">
        <v>25730</v>
      </c>
      <c r="AI368" s="52">
        <v>0</v>
      </c>
      <c r="AJ368" s="53">
        <f>AH368+AI368</f>
        <v>25730</v>
      </c>
      <c r="AK368" s="56">
        <v>0</v>
      </c>
    </row>
    <row r="369">
      <c r="A369" s="48">
        <v>46132.591319444444</v>
      </c>
      <c r="B369" s="49" t="s">
        <v>108</v>
      </c>
      <c r="C369" s="49" t="s">
        <v>111</v>
      </c>
      <c r="D369" s="49" t="s">
        <v>5</v>
      </c>
      <c r="E369" s="50">
        <v>96</v>
      </c>
      <c r="F369" s="49" t="s">
        <v>109</v>
      </c>
      <c r="G369" s="51">
        <v>169002645</v>
      </c>
      <c r="H369" s="52">
        <v>108</v>
      </c>
      <c r="I369" s="52">
        <f>L369+M369+N369</f>
        <v>96.1608</v>
      </c>
      <c r="J369" s="52">
        <f>O369+P369</f>
        <v>11.5392</v>
      </c>
      <c r="K369" s="53">
        <f>IF(H369=I369+J369,0,W369)</f>
        <v>0.3</v>
      </c>
      <c r="L369" s="52">
        <v>0</v>
      </c>
      <c r="M369" s="52">
        <v>96.1608</v>
      </c>
      <c r="N369" s="52">
        <v>0</v>
      </c>
      <c r="O369" s="52">
        <v>0</v>
      </c>
      <c r="P369" s="52">
        <v>11.5392</v>
      </c>
      <c r="Q369" s="54">
        <v>96.1608</v>
      </c>
      <c r="R369" s="52">
        <v>107.7</v>
      </c>
      <c r="S369" s="52">
        <v>0</v>
      </c>
      <c r="T369" s="52">
        <v>0</v>
      </c>
      <c r="U369" s="52">
        <v>0</v>
      </c>
      <c r="V369" s="52">
        <v>0</v>
      </c>
      <c r="W369" s="52">
        <v>0.3</v>
      </c>
      <c r="X369" s="54">
        <v>110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46132.591319444444</v>
      </c>
      <c r="AH369" s="52">
        <v>25838</v>
      </c>
      <c r="AI369" s="52">
        <v>0</v>
      </c>
      <c r="AJ369" s="53">
        <f>AH369+AI369</f>
        <v>25838</v>
      </c>
      <c r="AK369" s="56">
        <v>0</v>
      </c>
    </row>
    <row r="370">
      <c r="A370" s="48">
        <v>46132.59159722222</v>
      </c>
      <c r="B370" s="49" t="s">
        <v>108</v>
      </c>
      <c r="C370" s="49" t="s">
        <v>100</v>
      </c>
      <c r="D370" s="49" t="s">
        <v>5</v>
      </c>
      <c r="E370" s="50">
        <v>96</v>
      </c>
      <c r="F370" s="49" t="s">
        <v>101</v>
      </c>
      <c r="G370" s="51">
        <v>163000335</v>
      </c>
      <c r="H370" s="52">
        <v>22.9</v>
      </c>
      <c r="I370" s="52">
        <f>L370+M370+N370</f>
        <v>20.44</v>
      </c>
      <c r="J370" s="52">
        <f>O370+P370</f>
        <v>2.46</v>
      </c>
      <c r="K370" s="53">
        <f>IF(H370=I370+J370,0,W370)</f>
        <v>0</v>
      </c>
      <c r="L370" s="52">
        <v>0</v>
      </c>
      <c r="M370" s="52">
        <v>20.44</v>
      </c>
      <c r="N370" s="52">
        <v>0</v>
      </c>
      <c r="O370" s="52">
        <v>0</v>
      </c>
      <c r="P370" s="52">
        <v>2.46</v>
      </c>
      <c r="Q370" s="54">
        <v>20.44</v>
      </c>
      <c r="R370" s="52">
        <v>22.9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22.9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46132.59159722222</v>
      </c>
      <c r="AH370" s="52">
        <v>0</v>
      </c>
      <c r="AI370" s="52">
        <v>0</v>
      </c>
      <c r="AJ370" s="53">
        <f>AH370+AI370</f>
        <v>0</v>
      </c>
      <c r="AK370" s="56">
        <v>0</v>
      </c>
    </row>
    <row r="371">
      <c r="A371" s="48">
        <v>46132.5916087963</v>
      </c>
      <c r="B371" s="49" t="s">
        <v>108</v>
      </c>
      <c r="C371" s="49" t="s">
        <v>111</v>
      </c>
      <c r="D371" s="49" t="s">
        <v>5</v>
      </c>
      <c r="E371" s="50">
        <v>96</v>
      </c>
      <c r="F371" s="49" t="s">
        <v>109</v>
      </c>
      <c r="G371" s="51">
        <v>169002646</v>
      </c>
      <c r="H371" s="52">
        <v>24</v>
      </c>
      <c r="I371" s="52">
        <f>L371+M371+N371</f>
        <v>21.25</v>
      </c>
      <c r="J371" s="52">
        <f>O371+P371</f>
        <v>2.55</v>
      </c>
      <c r="K371" s="53">
        <f>IF(H371=I371+J371,0,W371)</f>
        <v>0.2</v>
      </c>
      <c r="L371" s="52">
        <v>0</v>
      </c>
      <c r="M371" s="52">
        <v>21.25</v>
      </c>
      <c r="N371" s="52">
        <v>0</v>
      </c>
      <c r="O371" s="52">
        <v>0</v>
      </c>
      <c r="P371" s="52">
        <v>2.55</v>
      </c>
      <c r="Q371" s="54">
        <v>21.25</v>
      </c>
      <c r="R371" s="52">
        <v>23.8</v>
      </c>
      <c r="S371" s="52">
        <v>0</v>
      </c>
      <c r="T371" s="52">
        <v>0</v>
      </c>
      <c r="U371" s="52">
        <v>0</v>
      </c>
      <c r="V371" s="52">
        <v>0</v>
      </c>
      <c r="W371" s="52">
        <v>0.2</v>
      </c>
      <c r="X371" s="54">
        <v>25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46132.5916087963</v>
      </c>
      <c r="AH371" s="52">
        <v>25862</v>
      </c>
      <c r="AI371" s="52">
        <v>0</v>
      </c>
      <c r="AJ371" s="53">
        <f>AH371+AI371</f>
        <v>25862</v>
      </c>
      <c r="AK371" s="56">
        <v>0</v>
      </c>
    </row>
    <row r="372">
      <c r="A372" s="48">
        <v>46132.59203703704</v>
      </c>
      <c r="B372" s="49" t="s">
        <v>108</v>
      </c>
      <c r="C372" s="49" t="s">
        <v>111</v>
      </c>
      <c r="D372" s="49" t="s">
        <v>5</v>
      </c>
      <c r="E372" s="50">
        <v>96</v>
      </c>
      <c r="F372" s="49" t="s">
        <v>109</v>
      </c>
      <c r="G372" s="51">
        <v>169002647</v>
      </c>
      <c r="H372" s="52">
        <v>53</v>
      </c>
      <c r="I372" s="52">
        <f>L372+M372+N372</f>
        <v>45.4892</v>
      </c>
      <c r="J372" s="52">
        <f>O372+P372</f>
        <v>7.3108</v>
      </c>
      <c r="K372" s="53">
        <f>IF(H372=I372+J372,0,W372)</f>
        <v>0.2</v>
      </c>
      <c r="L372" s="52">
        <v>20.5785</v>
      </c>
      <c r="M372" s="52">
        <v>24.9107</v>
      </c>
      <c r="N372" s="52">
        <v>0</v>
      </c>
      <c r="O372" s="52">
        <v>4.3215</v>
      </c>
      <c r="P372" s="52">
        <v>2.9893</v>
      </c>
      <c r="Q372" s="54">
        <v>45.4892</v>
      </c>
      <c r="R372" s="52">
        <v>52.8</v>
      </c>
      <c r="S372" s="52">
        <v>0</v>
      </c>
      <c r="T372" s="52">
        <v>0</v>
      </c>
      <c r="U372" s="52">
        <v>0</v>
      </c>
      <c r="V372" s="52">
        <v>0</v>
      </c>
      <c r="W372" s="52">
        <v>0.2</v>
      </c>
      <c r="X372" s="54">
        <v>503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46132.59203703704</v>
      </c>
      <c r="AH372" s="52">
        <v>25915</v>
      </c>
      <c r="AI372" s="52">
        <v>0</v>
      </c>
      <c r="AJ372" s="53">
        <f>AH372+AI372</f>
        <v>25915</v>
      </c>
      <c r="AK372" s="56">
        <v>0</v>
      </c>
    </row>
    <row r="373">
      <c r="A373" s="48">
        <v>46132.59240740741</v>
      </c>
      <c r="B373" s="49" t="s">
        <v>108</v>
      </c>
      <c r="C373" s="49" t="s">
        <v>111</v>
      </c>
      <c r="D373" s="49" t="s">
        <v>5</v>
      </c>
      <c r="E373" s="50">
        <v>96</v>
      </c>
      <c r="F373" s="49" t="s">
        <v>109</v>
      </c>
      <c r="G373" s="51">
        <v>169002648</v>
      </c>
      <c r="H373" s="52">
        <v>104</v>
      </c>
      <c r="I373" s="52">
        <f>L373+M373+N373</f>
        <v>93.2144</v>
      </c>
      <c r="J373" s="52">
        <f>O373+P373</f>
        <v>11.1856</v>
      </c>
      <c r="K373" s="53">
        <f>IF(H373=I373+J373,0,W373)</f>
        <v>-0.4</v>
      </c>
      <c r="L373" s="52">
        <v>0</v>
      </c>
      <c r="M373" s="52">
        <v>93.2144</v>
      </c>
      <c r="N373" s="52">
        <v>0</v>
      </c>
      <c r="O373" s="52">
        <v>0</v>
      </c>
      <c r="P373" s="52">
        <v>11.1856</v>
      </c>
      <c r="Q373" s="54">
        <v>93.2144</v>
      </c>
      <c r="R373" s="52">
        <v>104.4</v>
      </c>
      <c r="S373" s="52">
        <v>0</v>
      </c>
      <c r="T373" s="52">
        <v>0</v>
      </c>
      <c r="U373" s="52">
        <v>0</v>
      </c>
      <c r="V373" s="52">
        <v>0</v>
      </c>
      <c r="W373" s="52">
        <v>-0.4</v>
      </c>
      <c r="X373" s="54">
        <v>105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46132.59240740741</v>
      </c>
      <c r="AH373" s="52">
        <v>26019</v>
      </c>
      <c r="AI373" s="52">
        <v>0</v>
      </c>
      <c r="AJ373" s="53">
        <f>AH373+AI373</f>
        <v>26019</v>
      </c>
      <c r="AK373" s="56">
        <v>0</v>
      </c>
    </row>
    <row r="374">
      <c r="A374" s="48">
        <v>46132.59247685185</v>
      </c>
      <c r="B374" s="49" t="s">
        <v>108</v>
      </c>
      <c r="C374" s="49" t="s">
        <v>100</v>
      </c>
      <c r="D374" s="49" t="s">
        <v>5</v>
      </c>
      <c r="E374" s="50">
        <v>96</v>
      </c>
      <c r="F374" s="49" t="s">
        <v>105</v>
      </c>
      <c r="G374" s="51">
        <v>161000360</v>
      </c>
      <c r="H374" s="52">
        <v>57.8</v>
      </c>
      <c r="I374" s="52">
        <f>L374+M374+N374</f>
        <v>51.59</v>
      </c>
      <c r="J374" s="52">
        <f>O374+P374</f>
        <v>6.21</v>
      </c>
      <c r="K374" s="53">
        <f>IF(H374=I374+J374,0,W374)</f>
        <v>0</v>
      </c>
      <c r="L374" s="52">
        <v>0</v>
      </c>
      <c r="M374" s="52">
        <v>51.59</v>
      </c>
      <c r="N374" s="52">
        <v>0</v>
      </c>
      <c r="O374" s="52">
        <v>0</v>
      </c>
      <c r="P374" s="52">
        <v>6.21</v>
      </c>
      <c r="Q374" s="54">
        <v>51.59</v>
      </c>
      <c r="R374" s="52">
        <v>57.8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57.8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46132.59247685185</v>
      </c>
      <c r="AH374" s="52">
        <v>0</v>
      </c>
      <c r="AI374" s="52">
        <v>0</v>
      </c>
      <c r="AJ374" s="53">
        <f>AH374+AI374</f>
        <v>0</v>
      </c>
      <c r="AK374" s="56">
        <v>0</v>
      </c>
    </row>
    <row r="375">
      <c r="A375" s="48">
        <v>46132.593356481484</v>
      </c>
      <c r="B375" s="49" t="s">
        <v>108</v>
      </c>
      <c r="C375" s="49" t="s">
        <v>111</v>
      </c>
      <c r="D375" s="49" t="s">
        <v>5</v>
      </c>
      <c r="E375" s="50">
        <v>96</v>
      </c>
      <c r="F375" s="49" t="s">
        <v>109</v>
      </c>
      <c r="G375" s="51">
        <v>169002649</v>
      </c>
      <c r="H375" s="52">
        <v>63</v>
      </c>
      <c r="I375" s="52">
        <f>L375+M375+N375</f>
        <v>55.9822</v>
      </c>
      <c r="J375" s="52">
        <f>O375+P375</f>
        <v>6.7178</v>
      </c>
      <c r="K375" s="53">
        <f>IF(H375=I375+J375,0,W375)</f>
        <v>0.3</v>
      </c>
      <c r="L375" s="52">
        <v>0</v>
      </c>
      <c r="M375" s="52">
        <v>55.9822</v>
      </c>
      <c r="N375" s="52">
        <v>0</v>
      </c>
      <c r="O375" s="52">
        <v>0</v>
      </c>
      <c r="P375" s="52">
        <v>6.7178</v>
      </c>
      <c r="Q375" s="54">
        <v>55.9822</v>
      </c>
      <c r="R375" s="52">
        <v>62.7</v>
      </c>
      <c r="S375" s="52">
        <v>0</v>
      </c>
      <c r="T375" s="52">
        <v>0</v>
      </c>
      <c r="U375" s="52">
        <v>0</v>
      </c>
      <c r="V375" s="52">
        <v>0</v>
      </c>
      <c r="W375" s="52">
        <v>0.3</v>
      </c>
      <c r="X375" s="54">
        <v>63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46132.593356481484</v>
      </c>
      <c r="AH375" s="52">
        <v>26082</v>
      </c>
      <c r="AI375" s="52">
        <v>0</v>
      </c>
      <c r="AJ375" s="53">
        <f>AH375+AI375</f>
        <v>26082</v>
      </c>
      <c r="AK375" s="56">
        <v>0</v>
      </c>
    </row>
    <row r="376">
      <c r="A376" s="48">
        <v>46132.594293981485</v>
      </c>
      <c r="B376" s="49" t="s">
        <v>108</v>
      </c>
      <c r="C376" s="49" t="s">
        <v>111</v>
      </c>
      <c r="D376" s="49" t="s">
        <v>5</v>
      </c>
      <c r="E376" s="50">
        <v>96</v>
      </c>
      <c r="F376" s="49" t="s">
        <v>109</v>
      </c>
      <c r="G376" s="51">
        <v>169002650</v>
      </c>
      <c r="H376" s="52">
        <v>106.4</v>
      </c>
      <c r="I376" s="52">
        <f>L376+M376+N376</f>
        <v>91.8257</v>
      </c>
      <c r="J376" s="52">
        <f>O376+P376</f>
        <v>14.574300000000001</v>
      </c>
      <c r="K376" s="53">
        <f>IF(H376=I376+J376,0,W376)</f>
        <v>0</v>
      </c>
      <c r="L376" s="52">
        <v>39.5042</v>
      </c>
      <c r="M376" s="52">
        <v>52.3215</v>
      </c>
      <c r="N376" s="52">
        <v>0</v>
      </c>
      <c r="O376" s="52">
        <v>8.2958</v>
      </c>
      <c r="P376" s="52">
        <v>6.2785</v>
      </c>
      <c r="Q376" s="54">
        <v>91.8257</v>
      </c>
      <c r="R376" s="52">
        <v>106.4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106.4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46132.594293981485</v>
      </c>
      <c r="AH376" s="52">
        <v>26082</v>
      </c>
      <c r="AI376" s="52">
        <v>0</v>
      </c>
      <c r="AJ376" s="53">
        <f>AH376+AI376</f>
        <v>26082</v>
      </c>
      <c r="AK376" s="56">
        <v>0</v>
      </c>
    </row>
    <row r="377">
      <c r="A377" s="48">
        <v>46132.59517361111</v>
      </c>
      <c r="B377" s="49" t="s">
        <v>108</v>
      </c>
      <c r="C377" s="49" t="s">
        <v>111</v>
      </c>
      <c r="D377" s="49" t="s">
        <v>5</v>
      </c>
      <c r="E377" s="50">
        <v>96</v>
      </c>
      <c r="F377" s="49" t="s">
        <v>109</v>
      </c>
      <c r="G377" s="51">
        <v>169002651</v>
      </c>
      <c r="H377" s="52">
        <v>316</v>
      </c>
      <c r="I377" s="52">
        <f>L377+M377+N377</f>
        <v>282.4998</v>
      </c>
      <c r="J377" s="52">
        <f>O377+P377</f>
        <v>33.9002</v>
      </c>
      <c r="K377" s="53">
        <f>IF(H377=I377+J377,0,W377)</f>
        <v>-0.4</v>
      </c>
      <c r="L377" s="52">
        <v>0</v>
      </c>
      <c r="M377" s="52">
        <v>282.4998</v>
      </c>
      <c r="N377" s="52">
        <v>0</v>
      </c>
      <c r="O377" s="52">
        <v>0</v>
      </c>
      <c r="P377" s="52">
        <v>33.9002</v>
      </c>
      <c r="Q377" s="54">
        <v>282.4998</v>
      </c>
      <c r="R377" s="52">
        <v>316.4</v>
      </c>
      <c r="S377" s="52">
        <v>0</v>
      </c>
      <c r="T377" s="52">
        <v>0</v>
      </c>
      <c r="U377" s="52">
        <v>0</v>
      </c>
      <c r="V377" s="52">
        <v>0</v>
      </c>
      <c r="W377" s="52">
        <v>-0.4</v>
      </c>
      <c r="X377" s="54">
        <v>420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46132.59517361111</v>
      </c>
      <c r="AH377" s="52">
        <v>26398</v>
      </c>
      <c r="AI377" s="52">
        <v>0</v>
      </c>
      <c r="AJ377" s="53">
        <f>AH377+AI377</f>
        <v>26398</v>
      </c>
      <c r="AK377" s="56">
        <v>0</v>
      </c>
    </row>
    <row r="378">
      <c r="A378" s="48">
        <v>46132.59579861111</v>
      </c>
      <c r="B378" s="49" t="s">
        <v>108</v>
      </c>
      <c r="C378" s="49" t="s">
        <v>100</v>
      </c>
      <c r="D378" s="49" t="s">
        <v>5</v>
      </c>
      <c r="E378" s="50">
        <v>96</v>
      </c>
      <c r="F378" s="49" t="s">
        <v>101</v>
      </c>
      <c r="G378" s="51">
        <v>163000336</v>
      </c>
      <c r="H378" s="52">
        <v>24.9</v>
      </c>
      <c r="I378" s="52">
        <f>L378+M378+N378</f>
        <v>22.23</v>
      </c>
      <c r="J378" s="52">
        <f>O378+P378</f>
        <v>2.67</v>
      </c>
      <c r="K378" s="53">
        <f>IF(H378=I378+J378,0,W378)</f>
        <v>0</v>
      </c>
      <c r="L378" s="52">
        <v>0</v>
      </c>
      <c r="M378" s="52">
        <v>22.23</v>
      </c>
      <c r="N378" s="52">
        <v>0</v>
      </c>
      <c r="O378" s="52">
        <v>0</v>
      </c>
      <c r="P378" s="52">
        <v>2.67</v>
      </c>
      <c r="Q378" s="54">
        <v>22.23</v>
      </c>
      <c r="R378" s="52">
        <v>24.9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24.9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46132.59579861111</v>
      </c>
      <c r="AH378" s="52">
        <v>0</v>
      </c>
      <c r="AI378" s="52">
        <v>0</v>
      </c>
      <c r="AJ378" s="53">
        <f>AH378+AI378</f>
        <v>0</v>
      </c>
      <c r="AK378" s="56">
        <v>0</v>
      </c>
    </row>
    <row r="379">
      <c r="A379" s="48">
        <v>46132.596504629626</v>
      </c>
      <c r="B379" s="49" t="s">
        <v>108</v>
      </c>
      <c r="C379" s="49" t="s">
        <v>111</v>
      </c>
      <c r="D379" s="49" t="s">
        <v>5</v>
      </c>
      <c r="E379" s="50">
        <v>96</v>
      </c>
      <c r="F379" s="49" t="s">
        <v>109</v>
      </c>
      <c r="G379" s="51">
        <v>169002652</v>
      </c>
      <c r="H379" s="52">
        <v>183.7</v>
      </c>
      <c r="I379" s="52">
        <f>L379+M379+N379</f>
        <v>163.0284</v>
      </c>
      <c r="J379" s="52">
        <f>O379+P379</f>
        <v>20.671599999999998</v>
      </c>
      <c r="K379" s="53">
        <f>IF(H379=I379+J379,0,W379)</f>
        <v>0</v>
      </c>
      <c r="L379" s="52">
        <v>12.314</v>
      </c>
      <c r="M379" s="52">
        <v>150.7144</v>
      </c>
      <c r="N379" s="52">
        <v>0</v>
      </c>
      <c r="O379" s="52">
        <v>2.586</v>
      </c>
      <c r="P379" s="52">
        <v>18.0856</v>
      </c>
      <c r="Q379" s="54">
        <v>163.0284</v>
      </c>
      <c r="R379" s="52">
        <v>183.7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183.7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46132.596504629626</v>
      </c>
      <c r="AH379" s="52">
        <v>26398</v>
      </c>
      <c r="AI379" s="52">
        <v>0</v>
      </c>
      <c r="AJ379" s="53">
        <f>AH379+AI379</f>
        <v>26398</v>
      </c>
      <c r="AK379" s="56">
        <v>0</v>
      </c>
    </row>
    <row r="380">
      <c r="A380" s="48">
        <v>46132.596921296295</v>
      </c>
      <c r="B380" s="49" t="s">
        <v>108</v>
      </c>
      <c r="C380" s="49" t="s">
        <v>111</v>
      </c>
      <c r="D380" s="49" t="s">
        <v>5</v>
      </c>
      <c r="E380" s="50">
        <v>96</v>
      </c>
      <c r="F380" s="49" t="s">
        <v>109</v>
      </c>
      <c r="G380" s="51">
        <v>169002653</v>
      </c>
      <c r="H380" s="52">
        <v>179.82</v>
      </c>
      <c r="I380" s="52">
        <f>L380+M380+N380</f>
        <v>157.90370000000001</v>
      </c>
      <c r="J380" s="52">
        <f>O380+P380</f>
        <v>21.9163</v>
      </c>
      <c r="K380" s="53">
        <f>IF(H380=I380+J380,0,W380)</f>
        <v>0</v>
      </c>
      <c r="L380" s="52">
        <v>32.9752</v>
      </c>
      <c r="M380" s="52">
        <v>124.9285</v>
      </c>
      <c r="N380" s="52">
        <v>0</v>
      </c>
      <c r="O380" s="52">
        <v>6.9248</v>
      </c>
      <c r="P380" s="52">
        <v>14.9915</v>
      </c>
      <c r="Q380" s="54">
        <v>157.9037</v>
      </c>
      <c r="R380" s="52">
        <v>179.82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179.82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46132.596921296295</v>
      </c>
      <c r="AH380" s="52">
        <v>26398</v>
      </c>
      <c r="AI380" s="52">
        <v>0</v>
      </c>
      <c r="AJ380" s="53">
        <f>AH380+AI380</f>
        <v>26398</v>
      </c>
      <c r="AK380" s="56">
        <v>0</v>
      </c>
    </row>
    <row r="381">
      <c r="A381" s="48">
        <v>46132.59737268519</v>
      </c>
      <c r="B381" s="49" t="s">
        <v>108</v>
      </c>
      <c r="C381" s="49" t="s">
        <v>111</v>
      </c>
      <c r="D381" s="49" t="s">
        <v>5</v>
      </c>
      <c r="E381" s="50">
        <v>96</v>
      </c>
      <c r="F381" s="49" t="s">
        <v>109</v>
      </c>
      <c r="G381" s="51">
        <v>169002654</v>
      </c>
      <c r="H381" s="52">
        <v>134.96</v>
      </c>
      <c r="I381" s="52">
        <f>L381+M381+N381</f>
        <v>120.5</v>
      </c>
      <c r="J381" s="52">
        <f>O381+P381</f>
        <v>14.46</v>
      </c>
      <c r="K381" s="53">
        <f>IF(H381=I381+J381,0,W381)</f>
        <v>0</v>
      </c>
      <c r="L381" s="52">
        <v>0</v>
      </c>
      <c r="M381" s="52">
        <v>120.5</v>
      </c>
      <c r="N381" s="52">
        <v>0</v>
      </c>
      <c r="O381" s="52">
        <v>0</v>
      </c>
      <c r="P381" s="52">
        <v>14.46</v>
      </c>
      <c r="Q381" s="54">
        <v>120.5</v>
      </c>
      <c r="R381" s="52">
        <v>134.96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134.96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46132.59737268519</v>
      </c>
      <c r="AH381" s="52">
        <v>26398</v>
      </c>
      <c r="AI381" s="52">
        <v>0</v>
      </c>
      <c r="AJ381" s="53">
        <f>AH381+AI381</f>
        <v>26398</v>
      </c>
      <c r="AK381" s="56">
        <v>6.987</v>
      </c>
    </row>
    <row r="382">
      <c r="A382" s="48">
        <v>46132.59795138889</v>
      </c>
      <c r="B382" s="49" t="s">
        <v>108</v>
      </c>
      <c r="C382" s="49" t="s">
        <v>111</v>
      </c>
      <c r="D382" s="49" t="s">
        <v>5</v>
      </c>
      <c r="E382" s="50">
        <v>96</v>
      </c>
      <c r="F382" s="49" t="s">
        <v>109</v>
      </c>
      <c r="G382" s="51">
        <v>169002655</v>
      </c>
      <c r="H382" s="52">
        <v>187.7</v>
      </c>
      <c r="I382" s="52">
        <f>L382+M382+N382</f>
        <v>165.9356</v>
      </c>
      <c r="J382" s="52">
        <f>O382+P382</f>
        <v>21.764400000000002</v>
      </c>
      <c r="K382" s="53">
        <f>IF(H382=I382+J382,0,W382)</f>
        <v>0</v>
      </c>
      <c r="L382" s="52">
        <v>20.5785</v>
      </c>
      <c r="M382" s="52">
        <v>145.3571</v>
      </c>
      <c r="N382" s="52">
        <v>0</v>
      </c>
      <c r="O382" s="52">
        <v>4.3215</v>
      </c>
      <c r="P382" s="52">
        <v>17.4429</v>
      </c>
      <c r="Q382" s="54">
        <v>165.9356</v>
      </c>
      <c r="R382" s="52">
        <v>187.7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187.7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46132.59795138889</v>
      </c>
      <c r="AH382" s="52">
        <v>26398</v>
      </c>
      <c r="AI382" s="52">
        <v>0</v>
      </c>
      <c r="AJ382" s="53">
        <f>AH382+AI382</f>
        <v>26398</v>
      </c>
      <c r="AK382" s="56">
        <v>0</v>
      </c>
    </row>
    <row r="383">
      <c r="A383" s="48">
        <v>46132.59798611111</v>
      </c>
      <c r="B383" s="49" t="s">
        <v>108</v>
      </c>
      <c r="C383" s="49" t="s">
        <v>100</v>
      </c>
      <c r="D383" s="49" t="s">
        <v>5</v>
      </c>
      <c r="E383" s="50">
        <v>96</v>
      </c>
      <c r="F383" s="49" t="s">
        <v>101</v>
      </c>
      <c r="G383" s="51">
        <v>163000337</v>
      </c>
      <c r="H383" s="52">
        <v>162</v>
      </c>
      <c r="I383" s="52">
        <f>L383+M383+N383</f>
        <v>133.88</v>
      </c>
      <c r="J383" s="52">
        <f>O383+P383</f>
        <v>28.12</v>
      </c>
      <c r="K383" s="53">
        <f>IF(H383=I383+J383,0,W383)</f>
        <v>0</v>
      </c>
      <c r="L383" s="52">
        <v>133.88</v>
      </c>
      <c r="M383" s="52">
        <v>0</v>
      </c>
      <c r="N383" s="52">
        <v>0</v>
      </c>
      <c r="O383" s="52">
        <v>28.12</v>
      </c>
      <c r="P383" s="52">
        <v>0</v>
      </c>
      <c r="Q383" s="54">
        <v>133.88</v>
      </c>
      <c r="R383" s="52">
        <v>162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162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46132.59798611111</v>
      </c>
      <c r="AH383" s="52">
        <v>0</v>
      </c>
      <c r="AI383" s="52">
        <v>0</v>
      </c>
      <c r="AJ383" s="53">
        <f>AH383+AI383</f>
        <v>0</v>
      </c>
      <c r="AK383" s="56">
        <v>0</v>
      </c>
    </row>
    <row r="384">
      <c r="A384" s="48">
        <v>46132.59824074074</v>
      </c>
      <c r="B384" s="49" t="s">
        <v>108</v>
      </c>
      <c r="C384" s="49" t="s">
        <v>111</v>
      </c>
      <c r="D384" s="49" t="s">
        <v>5</v>
      </c>
      <c r="E384" s="50">
        <v>96</v>
      </c>
      <c r="F384" s="49" t="s">
        <v>109</v>
      </c>
      <c r="G384" s="51">
        <v>169002656</v>
      </c>
      <c r="H384" s="52">
        <v>24</v>
      </c>
      <c r="I384" s="52">
        <f>L384+M384+N384</f>
        <v>21.1964</v>
      </c>
      <c r="J384" s="52">
        <f>O384+P384</f>
        <v>2.5436</v>
      </c>
      <c r="K384" s="53">
        <f>IF(H384=I384+J384,0,W384)</f>
        <v>0.26</v>
      </c>
      <c r="L384" s="52">
        <v>0</v>
      </c>
      <c r="M384" s="52">
        <v>21.1964</v>
      </c>
      <c r="N384" s="52">
        <v>0</v>
      </c>
      <c r="O384" s="52">
        <v>0</v>
      </c>
      <c r="P384" s="52">
        <v>2.5436</v>
      </c>
      <c r="Q384" s="54">
        <v>21.1964</v>
      </c>
      <c r="R384" s="52">
        <v>23.74</v>
      </c>
      <c r="S384" s="52">
        <v>0</v>
      </c>
      <c r="T384" s="52">
        <v>0</v>
      </c>
      <c r="U384" s="52">
        <v>0</v>
      </c>
      <c r="V384" s="52">
        <v>0</v>
      </c>
      <c r="W384" s="52">
        <v>0.26</v>
      </c>
      <c r="X384" s="54">
        <v>24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46132.59824074074</v>
      </c>
      <c r="AH384" s="52">
        <v>26422</v>
      </c>
      <c r="AI384" s="52">
        <v>0</v>
      </c>
      <c r="AJ384" s="53">
        <f>AH384+AI384</f>
        <v>26422</v>
      </c>
      <c r="AK384" s="56">
        <v>0</v>
      </c>
    </row>
    <row r="385">
      <c r="A385" s="48">
        <v>46132.59856481481</v>
      </c>
      <c r="B385" s="49" t="s">
        <v>108</v>
      </c>
      <c r="C385" s="49" t="s">
        <v>111</v>
      </c>
      <c r="D385" s="49" t="s">
        <v>5</v>
      </c>
      <c r="E385" s="50">
        <v>96</v>
      </c>
      <c r="F385" s="49" t="s">
        <v>109</v>
      </c>
      <c r="G385" s="51">
        <v>169002657</v>
      </c>
      <c r="H385" s="52">
        <v>67</v>
      </c>
      <c r="I385" s="52">
        <f>L385+M385+N385</f>
        <v>60.1786</v>
      </c>
      <c r="J385" s="52">
        <f>O385+P385</f>
        <v>7.2214</v>
      </c>
      <c r="K385" s="53">
        <f>IF(H385=I385+J385,0,W385)</f>
        <v>-0.4</v>
      </c>
      <c r="L385" s="52">
        <v>0</v>
      </c>
      <c r="M385" s="52">
        <v>60.1786</v>
      </c>
      <c r="N385" s="52">
        <v>0</v>
      </c>
      <c r="O385" s="52">
        <v>0</v>
      </c>
      <c r="P385" s="52">
        <v>7.2214</v>
      </c>
      <c r="Q385" s="54">
        <v>60.1786</v>
      </c>
      <c r="R385" s="52">
        <v>67.4</v>
      </c>
      <c r="S385" s="52">
        <v>0</v>
      </c>
      <c r="T385" s="52">
        <v>0</v>
      </c>
      <c r="U385" s="52">
        <v>0</v>
      </c>
      <c r="V385" s="52">
        <v>0</v>
      </c>
      <c r="W385" s="52">
        <v>-0.4</v>
      </c>
      <c r="X385" s="54">
        <v>100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46132.59856481481</v>
      </c>
      <c r="AH385" s="52">
        <v>26489</v>
      </c>
      <c r="AI385" s="52">
        <v>0</v>
      </c>
      <c r="AJ385" s="53">
        <f>AH385+AI385</f>
        <v>26489</v>
      </c>
      <c r="AK385" s="56">
        <v>0</v>
      </c>
    </row>
    <row r="386">
      <c r="A386" s="48">
        <v>46132.59952546296</v>
      </c>
      <c r="B386" s="49" t="s">
        <v>108</v>
      </c>
      <c r="C386" s="49" t="s">
        <v>111</v>
      </c>
      <c r="D386" s="49" t="s">
        <v>5</v>
      </c>
      <c r="E386" s="50">
        <v>96</v>
      </c>
      <c r="F386" s="49" t="s">
        <v>109</v>
      </c>
      <c r="G386" s="51">
        <v>169002658</v>
      </c>
      <c r="H386" s="52">
        <v>81</v>
      </c>
      <c r="I386" s="52">
        <f>L386+M386+N386</f>
        <v>72.6786</v>
      </c>
      <c r="J386" s="52">
        <f>O386+P386</f>
        <v>8.7214</v>
      </c>
      <c r="K386" s="53">
        <f>IF(H386=I386+J386,0,W386)</f>
        <v>-0.4</v>
      </c>
      <c r="L386" s="52">
        <v>0</v>
      </c>
      <c r="M386" s="52">
        <v>72.6786</v>
      </c>
      <c r="N386" s="52">
        <v>0</v>
      </c>
      <c r="O386" s="52">
        <v>0</v>
      </c>
      <c r="P386" s="52">
        <v>8.7214</v>
      </c>
      <c r="Q386" s="54">
        <v>72.6786</v>
      </c>
      <c r="R386" s="52">
        <v>81.4</v>
      </c>
      <c r="S386" s="52">
        <v>0</v>
      </c>
      <c r="T386" s="52">
        <v>0</v>
      </c>
      <c r="U386" s="52">
        <v>0</v>
      </c>
      <c r="V386" s="52">
        <v>0</v>
      </c>
      <c r="W386" s="52">
        <v>-0.4</v>
      </c>
      <c r="X386" s="54">
        <v>102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46132.59952546296</v>
      </c>
      <c r="AH386" s="52">
        <v>26570</v>
      </c>
      <c r="AI386" s="52">
        <v>0</v>
      </c>
      <c r="AJ386" s="53">
        <f>AH386+AI386</f>
        <v>26570</v>
      </c>
      <c r="AK386" s="56">
        <v>0</v>
      </c>
    </row>
    <row r="387">
      <c r="A387" s="48">
        <v>46132.60115740741</v>
      </c>
      <c r="B387" s="49" t="s">
        <v>108</v>
      </c>
      <c r="C387" s="49" t="s">
        <v>111</v>
      </c>
      <c r="D387" s="49" t="s">
        <v>5</v>
      </c>
      <c r="E387" s="50">
        <v>96</v>
      </c>
      <c r="F387" s="49" t="s">
        <v>109</v>
      </c>
      <c r="G387" s="51">
        <v>169002659</v>
      </c>
      <c r="H387" s="52">
        <v>78.9</v>
      </c>
      <c r="I387" s="52">
        <f>L387+M387+N387</f>
        <v>68.4607</v>
      </c>
      <c r="J387" s="52">
        <f>O387+P387</f>
        <v>10.4393</v>
      </c>
      <c r="K387" s="53">
        <f>IF(H387=I387+J387,0,W387)</f>
        <v>0</v>
      </c>
      <c r="L387" s="52">
        <v>24.7107</v>
      </c>
      <c r="M387" s="52">
        <v>43.75</v>
      </c>
      <c r="N387" s="52">
        <v>0</v>
      </c>
      <c r="O387" s="52">
        <v>5.1893</v>
      </c>
      <c r="P387" s="52">
        <v>5.25</v>
      </c>
      <c r="Q387" s="54">
        <v>68.4607</v>
      </c>
      <c r="R387" s="52">
        <v>78.9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78.9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46132.60115740741</v>
      </c>
      <c r="AH387" s="52">
        <v>26570</v>
      </c>
      <c r="AI387" s="52">
        <v>0</v>
      </c>
      <c r="AJ387" s="53">
        <f>AH387+AI387</f>
        <v>26570</v>
      </c>
      <c r="AK387" s="56">
        <v>0</v>
      </c>
    </row>
    <row r="388">
      <c r="A388" s="48">
        <v>46132.60165509259</v>
      </c>
      <c r="B388" s="49" t="s">
        <v>108</v>
      </c>
      <c r="C388" s="49" t="s">
        <v>111</v>
      </c>
      <c r="D388" s="49" t="s">
        <v>5</v>
      </c>
      <c r="E388" s="50">
        <v>96</v>
      </c>
      <c r="F388" s="49" t="s">
        <v>109</v>
      </c>
      <c r="G388" s="51">
        <v>169002660</v>
      </c>
      <c r="H388" s="52">
        <v>20</v>
      </c>
      <c r="I388" s="52">
        <f>L388+M388+N388</f>
        <v>17.7679</v>
      </c>
      <c r="J388" s="52">
        <f>O388+P388</f>
        <v>2.1321</v>
      </c>
      <c r="K388" s="53">
        <f>IF(H388=I388+J388,0,W388)</f>
        <v>0.1</v>
      </c>
      <c r="L388" s="52">
        <v>0</v>
      </c>
      <c r="M388" s="52">
        <v>17.7679</v>
      </c>
      <c r="N388" s="52">
        <v>0</v>
      </c>
      <c r="O388" s="52">
        <v>0</v>
      </c>
      <c r="P388" s="52">
        <v>2.1321</v>
      </c>
      <c r="Q388" s="54">
        <v>17.7679</v>
      </c>
      <c r="R388" s="52">
        <v>19.9</v>
      </c>
      <c r="S388" s="52">
        <v>0</v>
      </c>
      <c r="T388" s="52">
        <v>0</v>
      </c>
      <c r="U388" s="52">
        <v>0</v>
      </c>
      <c r="V388" s="52">
        <v>0</v>
      </c>
      <c r="W388" s="52">
        <v>0.1</v>
      </c>
      <c r="X388" s="54">
        <v>20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46132.60165509259</v>
      </c>
      <c r="AH388" s="52">
        <v>26590</v>
      </c>
      <c r="AI388" s="52">
        <v>0</v>
      </c>
      <c r="AJ388" s="53">
        <f>AH388+AI388</f>
        <v>26590</v>
      </c>
      <c r="AK388" s="56">
        <v>0</v>
      </c>
    </row>
    <row r="389">
      <c r="A389" s="48">
        <v>46132.601875</v>
      </c>
      <c r="B389" s="49" t="s">
        <v>108</v>
      </c>
      <c r="C389" s="49" t="s">
        <v>111</v>
      </c>
      <c r="D389" s="49" t="s">
        <v>5</v>
      </c>
      <c r="E389" s="50">
        <v>96</v>
      </c>
      <c r="F389" s="49" t="s">
        <v>109</v>
      </c>
      <c r="G389" s="51">
        <v>169002661</v>
      </c>
      <c r="H389" s="52">
        <v>62</v>
      </c>
      <c r="I389" s="52">
        <f>L389+M389+N389</f>
        <v>52.578900000000004</v>
      </c>
      <c r="J389" s="52">
        <f>O389+P389</f>
        <v>9.1211</v>
      </c>
      <c r="K389" s="53">
        <f>IF(H389=I389+J389,0,W389)</f>
        <v>0.3</v>
      </c>
      <c r="L389" s="52">
        <v>31.2396</v>
      </c>
      <c r="M389" s="52">
        <v>21.3393</v>
      </c>
      <c r="N389" s="52">
        <v>0</v>
      </c>
      <c r="O389" s="52">
        <v>6.5604</v>
      </c>
      <c r="P389" s="52">
        <v>2.5607</v>
      </c>
      <c r="Q389" s="54">
        <v>52.5789</v>
      </c>
      <c r="R389" s="52">
        <v>61.7</v>
      </c>
      <c r="S389" s="52">
        <v>0</v>
      </c>
      <c r="T389" s="52">
        <v>0</v>
      </c>
      <c r="U389" s="52">
        <v>0</v>
      </c>
      <c r="V389" s="52">
        <v>0</v>
      </c>
      <c r="W389" s="52">
        <v>0.3</v>
      </c>
      <c r="X389" s="54">
        <v>200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46132.601875</v>
      </c>
      <c r="AH389" s="52">
        <v>26652</v>
      </c>
      <c r="AI389" s="52">
        <v>0</v>
      </c>
      <c r="AJ389" s="53">
        <f>AH389+AI389</f>
        <v>26652</v>
      </c>
      <c r="AK389" s="56">
        <v>0</v>
      </c>
    </row>
    <row r="390">
      <c r="A390" s="48">
        <v>46132.60221064815</v>
      </c>
      <c r="B390" s="49" t="s">
        <v>108</v>
      </c>
      <c r="C390" s="49" t="s">
        <v>111</v>
      </c>
      <c r="D390" s="49" t="s">
        <v>5</v>
      </c>
      <c r="E390" s="50">
        <v>96</v>
      </c>
      <c r="F390" s="49" t="s">
        <v>109</v>
      </c>
      <c r="G390" s="51">
        <v>169002662</v>
      </c>
      <c r="H390" s="52">
        <v>23</v>
      </c>
      <c r="I390" s="52">
        <f>L390+M390+N390</f>
        <v>20.4464</v>
      </c>
      <c r="J390" s="52">
        <f>O390+P390</f>
        <v>2.4536</v>
      </c>
      <c r="K390" s="53">
        <f>IF(H390=I390+J390,0,W390)</f>
        <v>0.1</v>
      </c>
      <c r="L390" s="52">
        <v>0</v>
      </c>
      <c r="M390" s="52">
        <v>20.4464</v>
      </c>
      <c r="N390" s="52">
        <v>0</v>
      </c>
      <c r="O390" s="52">
        <v>0</v>
      </c>
      <c r="P390" s="52">
        <v>2.4536</v>
      </c>
      <c r="Q390" s="54">
        <v>20.4464</v>
      </c>
      <c r="R390" s="52">
        <v>22.9</v>
      </c>
      <c r="S390" s="52">
        <v>0</v>
      </c>
      <c r="T390" s="52">
        <v>0</v>
      </c>
      <c r="U390" s="52">
        <v>0</v>
      </c>
      <c r="V390" s="52">
        <v>0</v>
      </c>
      <c r="W390" s="52">
        <v>0.1</v>
      </c>
      <c r="X390" s="54">
        <v>50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46132.60221064815</v>
      </c>
      <c r="AH390" s="52">
        <v>26675</v>
      </c>
      <c r="AI390" s="52">
        <v>0</v>
      </c>
      <c r="AJ390" s="53">
        <f>AH390+AI390</f>
        <v>26675</v>
      </c>
      <c r="AK390" s="56">
        <v>0</v>
      </c>
    </row>
    <row r="391">
      <c r="A391" s="48">
        <v>46132.60240740741</v>
      </c>
      <c r="B391" s="49" t="s">
        <v>108</v>
      </c>
      <c r="C391" s="49" t="s">
        <v>111</v>
      </c>
      <c r="D391" s="49" t="s">
        <v>5</v>
      </c>
      <c r="E391" s="50">
        <v>96</v>
      </c>
      <c r="F391" s="49" t="s">
        <v>109</v>
      </c>
      <c r="G391" s="51">
        <v>169002663</v>
      </c>
      <c r="H391" s="52">
        <v>48</v>
      </c>
      <c r="I391" s="52">
        <f>L391+M391+N391</f>
        <v>39.5042</v>
      </c>
      <c r="J391" s="52">
        <f>O391+P391</f>
        <v>8.2958</v>
      </c>
      <c r="K391" s="53">
        <f>IF(H391=I391+J391,0,W391)</f>
        <v>0.2</v>
      </c>
      <c r="L391" s="52">
        <v>39.5042</v>
      </c>
      <c r="M391" s="52">
        <v>0</v>
      </c>
      <c r="N391" s="52">
        <v>0</v>
      </c>
      <c r="O391" s="52">
        <v>8.2958</v>
      </c>
      <c r="P391" s="52">
        <v>0</v>
      </c>
      <c r="Q391" s="54">
        <v>39.5042</v>
      </c>
      <c r="R391" s="52">
        <v>47.8</v>
      </c>
      <c r="S391" s="52">
        <v>0</v>
      </c>
      <c r="T391" s="52">
        <v>0</v>
      </c>
      <c r="U391" s="52">
        <v>0</v>
      </c>
      <c r="V391" s="52">
        <v>0</v>
      </c>
      <c r="W391" s="52">
        <v>0.2</v>
      </c>
      <c r="X391" s="54">
        <v>200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46132.60240740741</v>
      </c>
      <c r="AH391" s="52">
        <v>26723</v>
      </c>
      <c r="AI391" s="52">
        <v>0</v>
      </c>
      <c r="AJ391" s="53">
        <f>AH391+AI391</f>
        <v>26723</v>
      </c>
      <c r="AK391" s="56">
        <v>0</v>
      </c>
    </row>
    <row r="392">
      <c r="A392" s="48">
        <v>46132.602847222224</v>
      </c>
      <c r="B392" s="49" t="s">
        <v>108</v>
      </c>
      <c r="C392" s="49" t="s">
        <v>111</v>
      </c>
      <c r="D392" s="49" t="s">
        <v>5</v>
      </c>
      <c r="E392" s="50">
        <v>96</v>
      </c>
      <c r="F392" s="49" t="s">
        <v>109</v>
      </c>
      <c r="G392" s="51">
        <v>169002664</v>
      </c>
      <c r="H392" s="52">
        <v>83.8</v>
      </c>
      <c r="I392" s="52">
        <f>L392+M392+N392</f>
        <v>74.8215</v>
      </c>
      <c r="J392" s="52">
        <f>O392+P392</f>
        <v>8.9785</v>
      </c>
      <c r="K392" s="53">
        <f>IF(H392=I392+J392,0,W392)</f>
        <v>0</v>
      </c>
      <c r="L392" s="52">
        <v>0</v>
      </c>
      <c r="M392" s="52">
        <v>74.8215</v>
      </c>
      <c r="N392" s="52">
        <v>0</v>
      </c>
      <c r="O392" s="52">
        <v>0</v>
      </c>
      <c r="P392" s="52">
        <v>8.9785</v>
      </c>
      <c r="Q392" s="54">
        <v>74.8215</v>
      </c>
      <c r="R392" s="52">
        <v>83.8</v>
      </c>
      <c r="S392" s="52">
        <v>0</v>
      </c>
      <c r="T392" s="52">
        <v>0</v>
      </c>
      <c r="U392" s="52">
        <v>0</v>
      </c>
      <c r="V392" s="52">
        <v>0</v>
      </c>
      <c r="W392" s="52">
        <v>0</v>
      </c>
      <c r="X392" s="54">
        <v>0</v>
      </c>
      <c r="Y392" s="52">
        <v>0</v>
      </c>
      <c r="Z392" s="52">
        <v>83.8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46132.602847222224</v>
      </c>
      <c r="AH392" s="52">
        <v>26723</v>
      </c>
      <c r="AI392" s="52">
        <v>0</v>
      </c>
      <c r="AJ392" s="53">
        <f>AH392+AI392</f>
        <v>26723</v>
      </c>
      <c r="AK392" s="56">
        <v>0</v>
      </c>
    </row>
    <row r="393">
      <c r="A393" s="48">
        <v>46132.60297453704</v>
      </c>
      <c r="B393" s="49" t="s">
        <v>108</v>
      </c>
      <c r="C393" s="49" t="s">
        <v>100</v>
      </c>
      <c r="D393" s="49" t="s">
        <v>5</v>
      </c>
      <c r="E393" s="50">
        <v>96</v>
      </c>
      <c r="F393" s="49" t="s">
        <v>105</v>
      </c>
      <c r="G393" s="51">
        <v>161000361</v>
      </c>
      <c r="H393" s="52">
        <v>77.8</v>
      </c>
      <c r="I393" s="52">
        <f>L393+M393+N393</f>
        <v>69.46</v>
      </c>
      <c r="J393" s="52">
        <f>O393+P393</f>
        <v>8.34</v>
      </c>
      <c r="K393" s="53">
        <f>IF(H393=I393+J393,0,W393)</f>
        <v>0</v>
      </c>
      <c r="L393" s="52">
        <v>0</v>
      </c>
      <c r="M393" s="52">
        <v>69.46</v>
      </c>
      <c r="N393" s="52">
        <v>0</v>
      </c>
      <c r="O393" s="52">
        <v>0</v>
      </c>
      <c r="P393" s="52">
        <v>8.34</v>
      </c>
      <c r="Q393" s="54">
        <v>69.46</v>
      </c>
      <c r="R393" s="52">
        <v>77.8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77.8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46132.60297453704</v>
      </c>
      <c r="AH393" s="52">
        <v>0</v>
      </c>
      <c r="AI393" s="52">
        <v>0</v>
      </c>
      <c r="AJ393" s="53">
        <f>AH393+AI393</f>
        <v>0</v>
      </c>
      <c r="AK393" s="56">
        <v>0</v>
      </c>
    </row>
    <row r="394">
      <c r="A394" s="48">
        <v>46132.60320601852</v>
      </c>
      <c r="B394" s="49" t="s">
        <v>108</v>
      </c>
      <c r="C394" s="49" t="s">
        <v>111</v>
      </c>
      <c r="D394" s="49" t="s">
        <v>5</v>
      </c>
      <c r="E394" s="50">
        <v>96</v>
      </c>
      <c r="F394" s="49" t="s">
        <v>109</v>
      </c>
      <c r="G394" s="51">
        <v>169002665</v>
      </c>
      <c r="H394" s="52">
        <v>90</v>
      </c>
      <c r="I394" s="52">
        <f>L394+M394+N394</f>
        <v>79.9107</v>
      </c>
      <c r="J394" s="52">
        <f>O394+P394</f>
        <v>9.5893</v>
      </c>
      <c r="K394" s="53">
        <f>IF(H394=I394+J394,0,W394)</f>
        <v>0.5</v>
      </c>
      <c r="L394" s="52">
        <v>0</v>
      </c>
      <c r="M394" s="52">
        <v>79.9107</v>
      </c>
      <c r="N394" s="52">
        <v>0</v>
      </c>
      <c r="O394" s="52">
        <v>0</v>
      </c>
      <c r="P394" s="52">
        <v>9.5893</v>
      </c>
      <c r="Q394" s="54">
        <v>79.9107</v>
      </c>
      <c r="R394" s="52">
        <v>89.5</v>
      </c>
      <c r="S394" s="52">
        <v>0</v>
      </c>
      <c r="T394" s="52">
        <v>0</v>
      </c>
      <c r="U394" s="52">
        <v>0</v>
      </c>
      <c r="V394" s="52">
        <v>0</v>
      </c>
      <c r="W394" s="52">
        <v>0.5</v>
      </c>
      <c r="X394" s="54">
        <v>100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46132.60320601852</v>
      </c>
      <c r="AH394" s="52">
        <v>26813</v>
      </c>
      <c r="AI394" s="52">
        <v>0</v>
      </c>
      <c r="AJ394" s="53">
        <f>AH394+AI394</f>
        <v>26813</v>
      </c>
      <c r="AK394" s="56">
        <v>0</v>
      </c>
    </row>
    <row r="395">
      <c r="A395" s="48">
        <v>46132.603738425925</v>
      </c>
      <c r="B395" s="49" t="s">
        <v>108</v>
      </c>
      <c r="C395" s="49" t="s">
        <v>111</v>
      </c>
      <c r="D395" s="49" t="s">
        <v>5</v>
      </c>
      <c r="E395" s="50">
        <v>96</v>
      </c>
      <c r="F395" s="49" t="s">
        <v>109</v>
      </c>
      <c r="G395" s="51">
        <v>169002666</v>
      </c>
      <c r="H395" s="52">
        <v>190.8</v>
      </c>
      <c r="I395" s="52">
        <f>L395+M395+N395</f>
        <v>157.686</v>
      </c>
      <c r="J395" s="52">
        <f>O395+P395</f>
        <v>33.114</v>
      </c>
      <c r="K395" s="53">
        <f>IF(H395=I395+J395,0,W395)</f>
        <v>0</v>
      </c>
      <c r="L395" s="52">
        <v>157.686</v>
      </c>
      <c r="M395" s="52">
        <v>0</v>
      </c>
      <c r="N395" s="52">
        <v>0</v>
      </c>
      <c r="O395" s="52">
        <v>33.114</v>
      </c>
      <c r="P395" s="52">
        <v>0</v>
      </c>
      <c r="Q395" s="54">
        <v>157.686</v>
      </c>
      <c r="R395" s="52">
        <v>190.8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190.8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46132.603738425925</v>
      </c>
      <c r="AH395" s="52">
        <v>26813</v>
      </c>
      <c r="AI395" s="52">
        <v>0</v>
      </c>
      <c r="AJ395" s="53">
        <f>AH395+AI395</f>
        <v>26813</v>
      </c>
      <c r="AK395" s="56">
        <v>0</v>
      </c>
    </row>
    <row r="396">
      <c r="A396" s="48">
        <v>46132.60508101852</v>
      </c>
      <c r="B396" s="49" t="s">
        <v>108</v>
      </c>
      <c r="C396" s="49" t="s">
        <v>111</v>
      </c>
      <c r="D396" s="49" t="s">
        <v>5</v>
      </c>
      <c r="E396" s="50">
        <v>96</v>
      </c>
      <c r="F396" s="49" t="s">
        <v>109</v>
      </c>
      <c r="G396" s="51">
        <v>169002667</v>
      </c>
      <c r="H396" s="52">
        <v>83.7</v>
      </c>
      <c r="I396" s="52">
        <f>L396+M396+N396</f>
        <v>74.7322</v>
      </c>
      <c r="J396" s="52">
        <f>O396+P396</f>
        <v>8.9678</v>
      </c>
      <c r="K396" s="53">
        <f>IF(H396=I396+J396,0,W396)</f>
        <v>0</v>
      </c>
      <c r="L396" s="52">
        <v>0</v>
      </c>
      <c r="M396" s="52">
        <v>74.7322</v>
      </c>
      <c r="N396" s="52">
        <v>0</v>
      </c>
      <c r="O396" s="52">
        <v>0</v>
      </c>
      <c r="P396" s="52">
        <v>8.9678</v>
      </c>
      <c r="Q396" s="54">
        <v>74.7322</v>
      </c>
      <c r="R396" s="52">
        <v>83.7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83.7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46132.60508101852</v>
      </c>
      <c r="AH396" s="52">
        <v>26813</v>
      </c>
      <c r="AI396" s="52">
        <v>0</v>
      </c>
      <c r="AJ396" s="53">
        <f>AH396+AI396</f>
        <v>26813</v>
      </c>
      <c r="AK396" s="56">
        <v>0</v>
      </c>
    </row>
    <row r="397">
      <c r="A397" s="48">
        <v>46132.60550925926</v>
      </c>
      <c r="B397" s="49" t="s">
        <v>108</v>
      </c>
      <c r="C397" s="49" t="s">
        <v>111</v>
      </c>
      <c r="D397" s="49" t="s">
        <v>5</v>
      </c>
      <c r="E397" s="50">
        <v>96</v>
      </c>
      <c r="F397" s="49" t="s">
        <v>109</v>
      </c>
      <c r="G397" s="51">
        <v>169002668</v>
      </c>
      <c r="H397" s="52">
        <v>103</v>
      </c>
      <c r="I397" s="52">
        <f>L397+M397+N397</f>
        <v>86.937</v>
      </c>
      <c r="J397" s="52">
        <f>O397+P397</f>
        <v>16.063</v>
      </c>
      <c r="K397" s="53">
        <f>IF(H397=I397+J397,0,W397)</f>
        <v>0</v>
      </c>
      <c r="L397" s="52">
        <v>62.562</v>
      </c>
      <c r="M397" s="52">
        <v>24.375</v>
      </c>
      <c r="N397" s="52">
        <v>0</v>
      </c>
      <c r="O397" s="52">
        <v>13.138</v>
      </c>
      <c r="P397" s="52">
        <v>2.925</v>
      </c>
      <c r="Q397" s="54">
        <v>86.937</v>
      </c>
      <c r="R397" s="52">
        <v>103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103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46132.60550925926</v>
      </c>
      <c r="AH397" s="52">
        <v>26813</v>
      </c>
      <c r="AI397" s="52">
        <v>0</v>
      </c>
      <c r="AJ397" s="53">
        <f>AH397+AI397</f>
        <v>26813</v>
      </c>
      <c r="AK397" s="56">
        <v>0</v>
      </c>
    </row>
    <row r="398">
      <c r="A398" s="48">
        <v>46132.605787037035</v>
      </c>
      <c r="B398" s="49" t="s">
        <v>108</v>
      </c>
      <c r="C398" s="49" t="s">
        <v>100</v>
      </c>
      <c r="D398" s="49" t="s">
        <v>5</v>
      </c>
      <c r="E398" s="50">
        <v>96</v>
      </c>
      <c r="F398" s="49" t="s">
        <v>101</v>
      </c>
      <c r="G398" s="51">
        <v>163000338</v>
      </c>
      <c r="H398" s="52">
        <v>27.9</v>
      </c>
      <c r="I398" s="52">
        <f>L398+M398+N398</f>
        <v>23.05</v>
      </c>
      <c r="J398" s="52">
        <f>O398+P398</f>
        <v>4.85</v>
      </c>
      <c r="K398" s="53">
        <f>IF(H398=I398+J398,0,W398)</f>
        <v>0</v>
      </c>
      <c r="L398" s="52">
        <v>23.05</v>
      </c>
      <c r="M398" s="52">
        <v>0</v>
      </c>
      <c r="N398" s="52">
        <v>0</v>
      </c>
      <c r="O398" s="52">
        <v>4.85</v>
      </c>
      <c r="P398" s="52">
        <v>0</v>
      </c>
      <c r="Q398" s="54">
        <v>23.05</v>
      </c>
      <c r="R398" s="52">
        <v>27.9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0</v>
      </c>
      <c r="Y398" s="52">
        <v>0</v>
      </c>
      <c r="Z398" s="52">
        <v>27.9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46132.605787037035</v>
      </c>
      <c r="AH398" s="52">
        <v>0</v>
      </c>
      <c r="AI398" s="52">
        <v>0</v>
      </c>
      <c r="AJ398" s="53">
        <f>AH398+AI398</f>
        <v>0</v>
      </c>
      <c r="AK398" s="56">
        <v>0</v>
      </c>
    </row>
    <row r="399">
      <c r="A399" s="48">
        <v>46132.6059837963</v>
      </c>
      <c r="B399" s="49" t="s">
        <v>108</v>
      </c>
      <c r="C399" s="49" t="s">
        <v>111</v>
      </c>
      <c r="D399" s="49" t="s">
        <v>5</v>
      </c>
      <c r="E399" s="50">
        <v>96</v>
      </c>
      <c r="F399" s="49" t="s">
        <v>109</v>
      </c>
      <c r="G399" s="51">
        <v>169002669</v>
      </c>
      <c r="H399" s="52">
        <v>199</v>
      </c>
      <c r="I399" s="52">
        <f>L399+M399+N399</f>
        <v>167.63729999999998</v>
      </c>
      <c r="J399" s="52">
        <f>O399+P399</f>
        <v>31.3627</v>
      </c>
      <c r="K399" s="53">
        <f>IF(H399=I399+J399,0,W399)</f>
        <v>0</v>
      </c>
      <c r="L399" s="52">
        <v>124.9587</v>
      </c>
      <c r="M399" s="52">
        <v>42.6786</v>
      </c>
      <c r="N399" s="52">
        <v>0</v>
      </c>
      <c r="O399" s="52">
        <v>26.2413</v>
      </c>
      <c r="P399" s="52">
        <v>5.1214</v>
      </c>
      <c r="Q399" s="54">
        <v>167.6373</v>
      </c>
      <c r="R399" s="52">
        <v>199</v>
      </c>
      <c r="S399" s="52">
        <v>0</v>
      </c>
      <c r="T399" s="52">
        <v>0</v>
      </c>
      <c r="U399" s="52">
        <v>0</v>
      </c>
      <c r="V399" s="52">
        <v>0</v>
      </c>
      <c r="W399" s="52">
        <v>0</v>
      </c>
      <c r="X399" s="54">
        <v>0</v>
      </c>
      <c r="Y399" s="52">
        <v>0</v>
      </c>
      <c r="Z399" s="52">
        <v>199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46132.6059837963</v>
      </c>
      <c r="AH399" s="52">
        <v>26813</v>
      </c>
      <c r="AI399" s="52">
        <v>0</v>
      </c>
      <c r="AJ399" s="53">
        <f>AH399+AI399</f>
        <v>26813</v>
      </c>
      <c r="AK399" s="56">
        <v>0</v>
      </c>
    </row>
    <row r="400">
      <c r="A400" s="48">
        <v>46132.606145833335</v>
      </c>
      <c r="B400" s="49" t="s">
        <v>108</v>
      </c>
      <c r="C400" s="49" t="s">
        <v>111</v>
      </c>
      <c r="D400" s="49" t="s">
        <v>5</v>
      </c>
      <c r="E400" s="50">
        <v>96</v>
      </c>
      <c r="F400" s="49" t="s">
        <v>109</v>
      </c>
      <c r="G400" s="51">
        <v>169002670</v>
      </c>
      <c r="H400" s="52">
        <v>29</v>
      </c>
      <c r="I400" s="52">
        <f>L400+M400+N400</f>
        <v>25.4036</v>
      </c>
      <c r="J400" s="52">
        <f>O400+P400</f>
        <v>3.8964</v>
      </c>
      <c r="K400" s="53">
        <f>IF(H400=I400+J400,0,W400)</f>
        <v>-0.3</v>
      </c>
      <c r="L400" s="52">
        <v>9.4215</v>
      </c>
      <c r="M400" s="52">
        <v>15.9821</v>
      </c>
      <c r="N400" s="52">
        <v>0</v>
      </c>
      <c r="O400" s="52">
        <v>1.9785</v>
      </c>
      <c r="P400" s="52">
        <v>1.9179</v>
      </c>
      <c r="Q400" s="54">
        <v>25.4036</v>
      </c>
      <c r="R400" s="52">
        <v>29.3</v>
      </c>
      <c r="S400" s="52">
        <v>0</v>
      </c>
      <c r="T400" s="52">
        <v>0</v>
      </c>
      <c r="U400" s="52">
        <v>0</v>
      </c>
      <c r="V400" s="52">
        <v>0</v>
      </c>
      <c r="W400" s="52">
        <v>-0.3</v>
      </c>
      <c r="X400" s="54">
        <v>50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46132.606145833335</v>
      </c>
      <c r="AH400" s="52">
        <v>26842</v>
      </c>
      <c r="AI400" s="52">
        <v>0</v>
      </c>
      <c r="AJ400" s="53">
        <f>AH400+AI400</f>
        <v>26842</v>
      </c>
      <c r="AK400" s="56">
        <v>0</v>
      </c>
    </row>
    <row r="401">
      <c r="A401" s="48">
        <v>46132.606261574074</v>
      </c>
      <c r="B401" s="49" t="s">
        <v>108</v>
      </c>
      <c r="C401" s="49" t="s">
        <v>100</v>
      </c>
      <c r="D401" s="49" t="s">
        <v>5</v>
      </c>
      <c r="E401" s="50">
        <v>96</v>
      </c>
      <c r="F401" s="49" t="s">
        <v>101</v>
      </c>
      <c r="G401" s="51">
        <v>163000339</v>
      </c>
      <c r="H401" s="52">
        <v>29.3</v>
      </c>
      <c r="I401" s="52">
        <f>L401+M401+N401</f>
        <v>25.4</v>
      </c>
      <c r="J401" s="52">
        <f>O401+P401</f>
        <v>3.9</v>
      </c>
      <c r="K401" s="53">
        <f>IF(H401=I401+J401,0,W401)</f>
        <v>0</v>
      </c>
      <c r="L401" s="52">
        <v>9.42</v>
      </c>
      <c r="M401" s="52">
        <v>15.98</v>
      </c>
      <c r="N401" s="52">
        <v>0</v>
      </c>
      <c r="O401" s="52">
        <v>1.98</v>
      </c>
      <c r="P401" s="52">
        <v>1.92</v>
      </c>
      <c r="Q401" s="54">
        <v>25.4</v>
      </c>
      <c r="R401" s="52">
        <v>29.3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29.3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46132.606261574074</v>
      </c>
      <c r="AH401" s="52">
        <v>0</v>
      </c>
      <c r="AI401" s="52">
        <v>0</v>
      </c>
      <c r="AJ401" s="53">
        <f>AH401+AI401</f>
        <v>0</v>
      </c>
      <c r="AK401" s="56">
        <v>0</v>
      </c>
    </row>
    <row r="402">
      <c r="A402" s="48">
        <v>46132.60666666667</v>
      </c>
      <c r="B402" s="49" t="s">
        <v>108</v>
      </c>
      <c r="C402" s="49" t="s">
        <v>100</v>
      </c>
      <c r="D402" s="49" t="s">
        <v>5</v>
      </c>
      <c r="E402" s="50">
        <v>96</v>
      </c>
      <c r="F402" s="49" t="s">
        <v>105</v>
      </c>
      <c r="G402" s="51">
        <v>161000362</v>
      </c>
      <c r="H402" s="52">
        <v>180.14</v>
      </c>
      <c r="I402" s="52">
        <f>L402+M402+N402</f>
        <v>160.81</v>
      </c>
      <c r="J402" s="52">
        <f>O402+P402</f>
        <v>19.33</v>
      </c>
      <c r="K402" s="53">
        <f>IF(H402=I402+J402,0,W402)</f>
        <v>0</v>
      </c>
      <c r="L402" s="52">
        <v>0</v>
      </c>
      <c r="M402" s="52">
        <v>160.81</v>
      </c>
      <c r="N402" s="52">
        <v>0</v>
      </c>
      <c r="O402" s="52">
        <v>0</v>
      </c>
      <c r="P402" s="52">
        <v>19.33</v>
      </c>
      <c r="Q402" s="54">
        <v>160.81</v>
      </c>
      <c r="R402" s="52">
        <v>180.14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180.14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46132.60666666667</v>
      </c>
      <c r="AH402" s="52">
        <v>0</v>
      </c>
      <c r="AI402" s="52">
        <v>0</v>
      </c>
      <c r="AJ402" s="53">
        <f>AH402+AI402</f>
        <v>0</v>
      </c>
      <c r="AK402" s="56">
        <v>0</v>
      </c>
    </row>
    <row r="403">
      <c r="A403" s="48">
        <v>46132.607094907406</v>
      </c>
      <c r="B403" s="49" t="s">
        <v>108</v>
      </c>
      <c r="C403" s="49" t="s">
        <v>111</v>
      </c>
      <c r="D403" s="49" t="s">
        <v>5</v>
      </c>
      <c r="E403" s="50">
        <v>96</v>
      </c>
      <c r="F403" s="49" t="s">
        <v>109</v>
      </c>
      <c r="G403" s="51">
        <v>169002671</v>
      </c>
      <c r="H403" s="52">
        <v>144</v>
      </c>
      <c r="I403" s="52">
        <f>L403+M403+N403</f>
        <v>128.3036</v>
      </c>
      <c r="J403" s="52">
        <f>O403+P403</f>
        <v>15.3964</v>
      </c>
      <c r="K403" s="53">
        <f>IF(H403=I403+J403,0,W403)</f>
        <v>0.3</v>
      </c>
      <c r="L403" s="52">
        <v>0</v>
      </c>
      <c r="M403" s="52">
        <v>128.3036</v>
      </c>
      <c r="N403" s="52">
        <v>0</v>
      </c>
      <c r="O403" s="52">
        <v>0</v>
      </c>
      <c r="P403" s="52">
        <v>15.3964</v>
      </c>
      <c r="Q403" s="54">
        <v>128.3036</v>
      </c>
      <c r="R403" s="52">
        <v>143.7</v>
      </c>
      <c r="S403" s="52">
        <v>0</v>
      </c>
      <c r="T403" s="52">
        <v>0</v>
      </c>
      <c r="U403" s="52">
        <v>0</v>
      </c>
      <c r="V403" s="52">
        <v>0</v>
      </c>
      <c r="W403" s="52">
        <v>0.3</v>
      </c>
      <c r="X403" s="54">
        <v>150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46132.607094907406</v>
      </c>
      <c r="AH403" s="52">
        <v>26986</v>
      </c>
      <c r="AI403" s="52">
        <v>0</v>
      </c>
      <c r="AJ403" s="53">
        <f>AH403+AI403</f>
        <v>26986</v>
      </c>
      <c r="AK403" s="56">
        <v>0</v>
      </c>
    </row>
    <row r="404">
      <c r="A404" s="48">
        <v>46132.60885416667</v>
      </c>
      <c r="B404" s="49" t="s">
        <v>108</v>
      </c>
      <c r="C404" s="49" t="s">
        <v>111</v>
      </c>
      <c r="D404" s="49" t="s">
        <v>5</v>
      </c>
      <c r="E404" s="50">
        <v>96</v>
      </c>
      <c r="F404" s="49" t="s">
        <v>109</v>
      </c>
      <c r="G404" s="51">
        <v>169002672</v>
      </c>
      <c r="H404" s="52">
        <v>144.93</v>
      </c>
      <c r="I404" s="52">
        <f>L404+M404+N404</f>
        <v>125.5565</v>
      </c>
      <c r="J404" s="52">
        <f>O404+P404</f>
        <v>19.3735</v>
      </c>
      <c r="K404" s="53">
        <f>IF(H404=I404+J404,0,W404)</f>
        <v>0</v>
      </c>
      <c r="L404" s="52">
        <v>47.8512</v>
      </c>
      <c r="M404" s="52">
        <v>77.7053</v>
      </c>
      <c r="N404" s="52">
        <v>0</v>
      </c>
      <c r="O404" s="52">
        <v>10.0488</v>
      </c>
      <c r="P404" s="52">
        <v>9.3247</v>
      </c>
      <c r="Q404" s="54">
        <v>125.5565</v>
      </c>
      <c r="R404" s="52">
        <v>144.93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144.93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46132.60885416667</v>
      </c>
      <c r="AH404" s="52">
        <v>26986</v>
      </c>
      <c r="AI404" s="52">
        <v>0</v>
      </c>
      <c r="AJ404" s="53">
        <f>AH404+AI404</f>
        <v>26986</v>
      </c>
      <c r="AK404" s="56">
        <v>0</v>
      </c>
    </row>
    <row r="405">
      <c r="A405" s="48">
        <v>46132.60916666667</v>
      </c>
      <c r="B405" s="49" t="s">
        <v>108</v>
      </c>
      <c r="C405" s="49" t="s">
        <v>100</v>
      </c>
      <c r="D405" s="49" t="s">
        <v>5</v>
      </c>
      <c r="E405" s="50">
        <v>96</v>
      </c>
      <c r="F405" s="49" t="s">
        <v>101</v>
      </c>
      <c r="G405" s="51">
        <v>163000340</v>
      </c>
      <c r="H405" s="52">
        <v>34.9</v>
      </c>
      <c r="I405" s="52">
        <f>L405+M405+N405</f>
        <v>31.16</v>
      </c>
      <c r="J405" s="52">
        <f>O405+P405</f>
        <v>3.74</v>
      </c>
      <c r="K405" s="53">
        <f>IF(H405=I405+J405,0,W405)</f>
        <v>0</v>
      </c>
      <c r="L405" s="52">
        <v>0</v>
      </c>
      <c r="M405" s="52">
        <v>31.16</v>
      </c>
      <c r="N405" s="52">
        <v>0</v>
      </c>
      <c r="O405" s="52">
        <v>0</v>
      </c>
      <c r="P405" s="52">
        <v>3.74</v>
      </c>
      <c r="Q405" s="54">
        <v>31.16</v>
      </c>
      <c r="R405" s="52">
        <v>34.9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34.9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46132.60916666667</v>
      </c>
      <c r="AH405" s="52">
        <v>0</v>
      </c>
      <c r="AI405" s="52">
        <v>0</v>
      </c>
      <c r="AJ405" s="53">
        <f>AH405+AI405</f>
        <v>0</v>
      </c>
      <c r="AK405" s="56">
        <v>0</v>
      </c>
    </row>
    <row r="406">
      <c r="A406" s="48">
        <v>46132.60938657408</v>
      </c>
      <c r="B406" s="49" t="s">
        <v>108</v>
      </c>
      <c r="C406" s="49" t="s">
        <v>100</v>
      </c>
      <c r="D406" s="49" t="s">
        <v>5</v>
      </c>
      <c r="E406" s="50">
        <v>96</v>
      </c>
      <c r="F406" s="49" t="s">
        <v>105</v>
      </c>
      <c r="G406" s="51">
        <v>161000363</v>
      </c>
      <c r="H406" s="52">
        <v>78.5</v>
      </c>
      <c r="I406" s="52">
        <f>L406+M406+N406</f>
        <v>70.08</v>
      </c>
      <c r="J406" s="52">
        <f>O406+P406</f>
        <v>8.42</v>
      </c>
      <c r="K406" s="53">
        <f>IF(H406=I406+J406,0,W406)</f>
        <v>0</v>
      </c>
      <c r="L406" s="52">
        <v>0</v>
      </c>
      <c r="M406" s="52">
        <v>70.08</v>
      </c>
      <c r="N406" s="52">
        <v>0</v>
      </c>
      <c r="O406" s="52">
        <v>0</v>
      </c>
      <c r="P406" s="52">
        <v>8.42</v>
      </c>
      <c r="Q406" s="54">
        <v>70.08</v>
      </c>
      <c r="R406" s="52">
        <v>78.5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78.5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46132.60938657408</v>
      </c>
      <c r="AH406" s="52">
        <v>0</v>
      </c>
      <c r="AI406" s="52">
        <v>0</v>
      </c>
      <c r="AJ406" s="53">
        <f>AH406+AI406</f>
        <v>0</v>
      </c>
      <c r="AK406" s="56">
        <v>0</v>
      </c>
    </row>
    <row r="407">
      <c r="A407" s="48">
        <v>46132.60943287037</v>
      </c>
      <c r="B407" s="49" t="s">
        <v>108</v>
      </c>
      <c r="C407" s="49" t="s">
        <v>111</v>
      </c>
      <c r="D407" s="49" t="s">
        <v>5</v>
      </c>
      <c r="E407" s="50">
        <v>96</v>
      </c>
      <c r="F407" s="49" t="s">
        <v>109</v>
      </c>
      <c r="G407" s="51">
        <v>169002673</v>
      </c>
      <c r="H407" s="52">
        <v>116.23</v>
      </c>
      <c r="I407" s="52">
        <f>L407+M407+N407</f>
        <v>103.7767</v>
      </c>
      <c r="J407" s="52">
        <f>O407+P407</f>
        <v>12.4533</v>
      </c>
      <c r="K407" s="53">
        <f>IF(H407=I407+J407,0,W407)</f>
        <v>0</v>
      </c>
      <c r="L407" s="52">
        <v>0</v>
      </c>
      <c r="M407" s="52">
        <v>103.7767</v>
      </c>
      <c r="N407" s="52">
        <v>0</v>
      </c>
      <c r="O407" s="52">
        <v>0</v>
      </c>
      <c r="P407" s="52">
        <v>12.4533</v>
      </c>
      <c r="Q407" s="54">
        <v>103.7767</v>
      </c>
      <c r="R407" s="52">
        <v>116.23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116.23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46132.60943287037</v>
      </c>
      <c r="AH407" s="52">
        <v>26986</v>
      </c>
      <c r="AI407" s="52">
        <v>0</v>
      </c>
      <c r="AJ407" s="53">
        <f>AH407+AI407</f>
        <v>26986</v>
      </c>
      <c r="AK407" s="56">
        <v>14.2383</v>
      </c>
    </row>
    <row r="408">
      <c r="A408" s="48">
        <v>46132.60959490741</v>
      </c>
      <c r="B408" s="49" t="s">
        <v>108</v>
      </c>
      <c r="C408" s="49" t="s">
        <v>100</v>
      </c>
      <c r="D408" s="49" t="s">
        <v>5</v>
      </c>
      <c r="E408" s="50">
        <v>96</v>
      </c>
      <c r="F408" s="49" t="s">
        <v>101</v>
      </c>
      <c r="G408" s="51">
        <v>163000341</v>
      </c>
      <c r="H408" s="52">
        <v>95.8</v>
      </c>
      <c r="I408" s="52">
        <f>L408+M408+N408</f>
        <v>85.53</v>
      </c>
      <c r="J408" s="52">
        <f>O408+P408</f>
        <v>10.27</v>
      </c>
      <c r="K408" s="53">
        <f>IF(H408=I408+J408,0,W408)</f>
        <v>0</v>
      </c>
      <c r="L408" s="52">
        <v>0</v>
      </c>
      <c r="M408" s="52">
        <v>85.53</v>
      </c>
      <c r="N408" s="52">
        <v>0</v>
      </c>
      <c r="O408" s="52">
        <v>0</v>
      </c>
      <c r="P408" s="52">
        <v>10.27</v>
      </c>
      <c r="Q408" s="54">
        <v>85.53</v>
      </c>
      <c r="R408" s="52">
        <v>95.8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95.8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46132.60959490741</v>
      </c>
      <c r="AH408" s="52">
        <v>0</v>
      </c>
      <c r="AI408" s="52">
        <v>0</v>
      </c>
      <c r="AJ408" s="53">
        <f>AH408+AI408</f>
        <v>0</v>
      </c>
      <c r="AK408" s="56">
        <v>0</v>
      </c>
    </row>
    <row r="409">
      <c r="A409" s="48">
        <v>46132.60984953704</v>
      </c>
      <c r="B409" s="49" t="s">
        <v>108</v>
      </c>
      <c r="C409" s="49" t="s">
        <v>111</v>
      </c>
      <c r="D409" s="49" t="s">
        <v>5</v>
      </c>
      <c r="E409" s="50">
        <v>96</v>
      </c>
      <c r="F409" s="49" t="s">
        <v>109</v>
      </c>
      <c r="G409" s="51">
        <v>169002674</v>
      </c>
      <c r="H409" s="52">
        <v>108.9</v>
      </c>
      <c r="I409" s="52">
        <f>L409+M409+N409</f>
        <v>97.2321</v>
      </c>
      <c r="J409" s="52">
        <f>O409+P409</f>
        <v>11.6679</v>
      </c>
      <c r="K409" s="53">
        <f>IF(H409=I409+J409,0,W409)</f>
        <v>0</v>
      </c>
      <c r="L409" s="52">
        <v>0</v>
      </c>
      <c r="M409" s="52">
        <v>97.2321</v>
      </c>
      <c r="N409" s="52">
        <v>0</v>
      </c>
      <c r="O409" s="52">
        <v>0</v>
      </c>
      <c r="P409" s="52">
        <v>11.6679</v>
      </c>
      <c r="Q409" s="54">
        <v>97.2321</v>
      </c>
      <c r="R409" s="52">
        <v>108.9</v>
      </c>
      <c r="S409" s="52">
        <v>0</v>
      </c>
      <c r="T409" s="52">
        <v>0</v>
      </c>
      <c r="U409" s="52">
        <v>0</v>
      </c>
      <c r="V409" s="52">
        <v>0</v>
      </c>
      <c r="W409" s="52">
        <v>0</v>
      </c>
      <c r="X409" s="54">
        <v>0</v>
      </c>
      <c r="Y409" s="52">
        <v>0</v>
      </c>
      <c r="Z409" s="52">
        <v>108.9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46132.60984953704</v>
      </c>
      <c r="AH409" s="52">
        <v>26986</v>
      </c>
      <c r="AI409" s="52">
        <v>0</v>
      </c>
      <c r="AJ409" s="53">
        <f>AH409+AI409</f>
        <v>26986</v>
      </c>
      <c r="AK409" s="56">
        <v>0</v>
      </c>
    </row>
    <row r="410">
      <c r="A410" s="48">
        <v>46132.61032407408</v>
      </c>
      <c r="B410" s="49" t="s">
        <v>108</v>
      </c>
      <c r="C410" s="49" t="s">
        <v>111</v>
      </c>
      <c r="D410" s="49" t="s">
        <v>5</v>
      </c>
      <c r="E410" s="50">
        <v>96</v>
      </c>
      <c r="F410" s="49" t="s">
        <v>109</v>
      </c>
      <c r="G410" s="51">
        <v>169002675</v>
      </c>
      <c r="H410" s="52">
        <v>486.9</v>
      </c>
      <c r="I410" s="52">
        <f>L410+M410+N410</f>
        <v>420.89869999999996</v>
      </c>
      <c r="J410" s="52">
        <f>O410+P410</f>
        <v>66.0013</v>
      </c>
      <c r="K410" s="53">
        <f>IF(H410=I410+J410,0,W410)</f>
        <v>0</v>
      </c>
      <c r="L410" s="52">
        <v>172.1488</v>
      </c>
      <c r="M410" s="52">
        <v>248.7499</v>
      </c>
      <c r="N410" s="52">
        <v>0</v>
      </c>
      <c r="O410" s="52">
        <v>36.1512</v>
      </c>
      <c r="P410" s="52">
        <v>29.8501</v>
      </c>
      <c r="Q410" s="54">
        <v>420.8987</v>
      </c>
      <c r="R410" s="52">
        <v>486.9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486.9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46132.61032407408</v>
      </c>
      <c r="AH410" s="52">
        <v>26986</v>
      </c>
      <c r="AI410" s="52">
        <v>0</v>
      </c>
      <c r="AJ410" s="53">
        <f>AH410+AI410</f>
        <v>26986</v>
      </c>
      <c r="AK410" s="56">
        <v>0</v>
      </c>
    </row>
    <row r="411">
      <c r="A411" s="48">
        <v>46132.610810185186</v>
      </c>
      <c r="B411" s="49" t="s">
        <v>108</v>
      </c>
      <c r="C411" s="49" t="s">
        <v>111</v>
      </c>
      <c r="D411" s="49" t="s">
        <v>5</v>
      </c>
      <c r="E411" s="50">
        <v>96</v>
      </c>
      <c r="F411" s="49" t="s">
        <v>109</v>
      </c>
      <c r="G411" s="51">
        <v>169002676</v>
      </c>
      <c r="H411" s="52">
        <v>116.65</v>
      </c>
      <c r="I411" s="52">
        <f>L411+M411+N411</f>
        <v>104.1518</v>
      </c>
      <c r="J411" s="52">
        <f>O411+P411</f>
        <v>12.4982</v>
      </c>
      <c r="K411" s="53">
        <f>IF(H411=I411+J411,0,W411)</f>
        <v>0</v>
      </c>
      <c r="L411" s="52">
        <v>0</v>
      </c>
      <c r="M411" s="52">
        <v>104.1518</v>
      </c>
      <c r="N411" s="52">
        <v>0</v>
      </c>
      <c r="O411" s="52">
        <v>0</v>
      </c>
      <c r="P411" s="52">
        <v>12.4982</v>
      </c>
      <c r="Q411" s="54">
        <v>104.1518</v>
      </c>
      <c r="R411" s="52">
        <v>116.65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0</v>
      </c>
      <c r="Y411" s="52">
        <v>0</v>
      </c>
      <c r="Z411" s="52">
        <v>116.65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46132.610810185186</v>
      </c>
      <c r="AH411" s="52">
        <v>26986</v>
      </c>
      <c r="AI411" s="52">
        <v>0</v>
      </c>
      <c r="AJ411" s="53">
        <f>AH411+AI411</f>
        <v>26986</v>
      </c>
      <c r="AK411" s="56">
        <v>0</v>
      </c>
    </row>
    <row r="412">
      <c r="A412" s="48">
        <v>46132.61143518519</v>
      </c>
      <c r="B412" s="49" t="s">
        <v>108</v>
      </c>
      <c r="C412" s="49" t="s">
        <v>111</v>
      </c>
      <c r="D412" s="49" t="s">
        <v>5</v>
      </c>
      <c r="E412" s="50">
        <v>96</v>
      </c>
      <c r="F412" s="49" t="s">
        <v>109</v>
      </c>
      <c r="G412" s="51">
        <v>169002677</v>
      </c>
      <c r="H412" s="52">
        <v>232</v>
      </c>
      <c r="I412" s="52">
        <f>L412+M412+N412</f>
        <v>192.75900000000001</v>
      </c>
      <c r="J412" s="52">
        <f>O412+P412</f>
        <v>39.041000000000004</v>
      </c>
      <c r="K412" s="53">
        <f>IF(H412=I412+J412,0,W412)</f>
        <v>0.2</v>
      </c>
      <c r="L412" s="52">
        <v>176.7769</v>
      </c>
      <c r="M412" s="52">
        <v>15.9821</v>
      </c>
      <c r="N412" s="52">
        <v>0</v>
      </c>
      <c r="O412" s="52">
        <v>37.1231</v>
      </c>
      <c r="P412" s="52">
        <v>1.9179</v>
      </c>
      <c r="Q412" s="54">
        <v>192.759</v>
      </c>
      <c r="R412" s="52">
        <v>231.8</v>
      </c>
      <c r="S412" s="52">
        <v>0</v>
      </c>
      <c r="T412" s="52">
        <v>0</v>
      </c>
      <c r="U412" s="52">
        <v>0</v>
      </c>
      <c r="V412" s="52">
        <v>0</v>
      </c>
      <c r="W412" s="52">
        <v>0.2</v>
      </c>
      <c r="X412" s="54">
        <v>500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46132.61143518519</v>
      </c>
      <c r="AH412" s="52">
        <v>27218</v>
      </c>
      <c r="AI412" s="52">
        <v>0</v>
      </c>
      <c r="AJ412" s="53">
        <f>AH412+AI412</f>
        <v>27218</v>
      </c>
      <c r="AK412" s="56">
        <v>0</v>
      </c>
    </row>
    <row r="413">
      <c r="A413" s="48">
        <v>46132.611666666664</v>
      </c>
      <c r="B413" s="49" t="s">
        <v>108</v>
      </c>
      <c r="C413" s="49" t="s">
        <v>100</v>
      </c>
      <c r="D413" s="49" t="s">
        <v>5</v>
      </c>
      <c r="E413" s="50">
        <v>96</v>
      </c>
      <c r="F413" s="49" t="s">
        <v>101</v>
      </c>
      <c r="G413" s="51">
        <v>163000342</v>
      </c>
      <c r="H413" s="52">
        <v>54.8</v>
      </c>
      <c r="I413" s="52">
        <f>L413+M413+N413</f>
        <v>48.91</v>
      </c>
      <c r="J413" s="52">
        <f>O413+P413</f>
        <v>5.89</v>
      </c>
      <c r="K413" s="53">
        <f>IF(H413=I413+J413,0,W413)</f>
        <v>0</v>
      </c>
      <c r="L413" s="52">
        <v>0</v>
      </c>
      <c r="M413" s="52">
        <v>48.91</v>
      </c>
      <c r="N413" s="52">
        <v>0</v>
      </c>
      <c r="O413" s="52">
        <v>0</v>
      </c>
      <c r="P413" s="52">
        <v>5.89</v>
      </c>
      <c r="Q413" s="54">
        <v>48.91</v>
      </c>
      <c r="R413" s="52">
        <v>54.8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54.8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46132.611666666664</v>
      </c>
      <c r="AH413" s="52">
        <v>0</v>
      </c>
      <c r="AI413" s="52">
        <v>0</v>
      </c>
      <c r="AJ413" s="53">
        <f>AH413+AI413</f>
        <v>0</v>
      </c>
      <c r="AK413" s="56">
        <v>0</v>
      </c>
    </row>
    <row r="414">
      <c r="A414" s="48">
        <v>46132.61178240741</v>
      </c>
      <c r="B414" s="49" t="s">
        <v>108</v>
      </c>
      <c r="C414" s="49" t="s">
        <v>111</v>
      </c>
      <c r="D414" s="49" t="s">
        <v>5</v>
      </c>
      <c r="E414" s="50">
        <v>96</v>
      </c>
      <c r="F414" s="49" t="s">
        <v>109</v>
      </c>
      <c r="G414" s="51">
        <v>169002678</v>
      </c>
      <c r="H414" s="52">
        <v>15</v>
      </c>
      <c r="I414" s="52">
        <f>L414+M414+N414</f>
        <v>12.9464</v>
      </c>
      <c r="J414" s="52">
        <f>O414+P414</f>
        <v>1.5536</v>
      </c>
      <c r="K414" s="53">
        <f>IF(H414=I414+J414,0,W414)</f>
        <v>0.5</v>
      </c>
      <c r="L414" s="52">
        <v>0</v>
      </c>
      <c r="M414" s="52">
        <v>12.9464</v>
      </c>
      <c r="N414" s="52">
        <v>0</v>
      </c>
      <c r="O414" s="52">
        <v>0</v>
      </c>
      <c r="P414" s="52">
        <v>1.5536</v>
      </c>
      <c r="Q414" s="54">
        <v>12.9464</v>
      </c>
      <c r="R414" s="52">
        <v>14.5</v>
      </c>
      <c r="S414" s="52">
        <v>0</v>
      </c>
      <c r="T414" s="52">
        <v>0</v>
      </c>
      <c r="U414" s="52">
        <v>0</v>
      </c>
      <c r="V414" s="52">
        <v>0</v>
      </c>
      <c r="W414" s="52">
        <v>0.5</v>
      </c>
      <c r="X414" s="54">
        <v>200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46132.61178240741</v>
      </c>
      <c r="AH414" s="52">
        <v>27233</v>
      </c>
      <c r="AI414" s="52">
        <v>0</v>
      </c>
      <c r="AJ414" s="53">
        <f>AH414+AI414</f>
        <v>27233</v>
      </c>
      <c r="AK414" s="56">
        <v>0</v>
      </c>
    </row>
    <row r="415">
      <c r="A415" s="48">
        <v>46132.61184027778</v>
      </c>
      <c r="B415" s="49" t="s">
        <v>108</v>
      </c>
      <c r="C415" s="49" t="s">
        <v>100</v>
      </c>
      <c r="D415" s="49" t="s">
        <v>5</v>
      </c>
      <c r="E415" s="50">
        <v>96</v>
      </c>
      <c r="F415" s="49" t="s">
        <v>105</v>
      </c>
      <c r="G415" s="51">
        <v>161000364</v>
      </c>
      <c r="H415" s="52">
        <v>260.8</v>
      </c>
      <c r="I415" s="52">
        <f>L415+M415+N415</f>
        <v>230.16</v>
      </c>
      <c r="J415" s="52">
        <f>O415+P415</f>
        <v>30.64</v>
      </c>
      <c r="K415" s="53">
        <f>IF(H415=I415+J415,0,W415)</f>
        <v>0</v>
      </c>
      <c r="L415" s="52">
        <v>32.97</v>
      </c>
      <c r="M415" s="52">
        <v>197.19</v>
      </c>
      <c r="N415" s="52">
        <v>0</v>
      </c>
      <c r="O415" s="52">
        <v>6.93</v>
      </c>
      <c r="P415" s="52">
        <v>23.71</v>
      </c>
      <c r="Q415" s="54">
        <v>230.16</v>
      </c>
      <c r="R415" s="52">
        <v>260.8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260.8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46132.61184027778</v>
      </c>
      <c r="AH415" s="52">
        <v>0</v>
      </c>
      <c r="AI415" s="52">
        <v>0</v>
      </c>
      <c r="AJ415" s="53">
        <f>AH415+AI415</f>
        <v>0</v>
      </c>
      <c r="AK415" s="56">
        <v>0</v>
      </c>
    </row>
    <row r="416">
      <c r="A416" s="48">
        <v>46132.61261574074</v>
      </c>
      <c r="B416" s="49" t="s">
        <v>108</v>
      </c>
      <c r="C416" s="49" t="s">
        <v>100</v>
      </c>
      <c r="D416" s="49" t="s">
        <v>5</v>
      </c>
      <c r="E416" s="50">
        <v>96</v>
      </c>
      <c r="F416" s="49" t="s">
        <v>105</v>
      </c>
      <c r="G416" s="51">
        <v>161000365</v>
      </c>
      <c r="H416" s="52">
        <v>49.8</v>
      </c>
      <c r="I416" s="52">
        <f>L416+M416+N416</f>
        <v>43.13</v>
      </c>
      <c r="J416" s="52">
        <f>O416+P416</f>
        <v>6.67</v>
      </c>
      <c r="K416" s="53">
        <f>IF(H416=I416+J416,0,W416)</f>
        <v>0</v>
      </c>
      <c r="L416" s="52">
        <v>16.44</v>
      </c>
      <c r="M416" s="52">
        <v>26.69</v>
      </c>
      <c r="N416" s="52">
        <v>0</v>
      </c>
      <c r="O416" s="52">
        <v>3.46</v>
      </c>
      <c r="P416" s="52">
        <v>3.21</v>
      </c>
      <c r="Q416" s="54">
        <v>43.13</v>
      </c>
      <c r="R416" s="52">
        <v>49.8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>
        <v>0</v>
      </c>
      <c r="Y416" s="52">
        <v>0</v>
      </c>
      <c r="Z416" s="52">
        <v>49.8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46132.61261574074</v>
      </c>
      <c r="AH416" s="52">
        <v>0</v>
      </c>
      <c r="AI416" s="52">
        <v>0</v>
      </c>
      <c r="AJ416" s="53">
        <f>AH416+AI416</f>
        <v>0</v>
      </c>
      <c r="AK416" s="56">
        <v>0</v>
      </c>
    </row>
    <row r="417">
      <c r="A417" s="48">
        <v>46132.61311342593</v>
      </c>
      <c r="B417" s="49" t="s">
        <v>108</v>
      </c>
      <c r="C417" s="49" t="s">
        <v>111</v>
      </c>
      <c r="D417" s="49" t="s">
        <v>5</v>
      </c>
      <c r="E417" s="50">
        <v>96</v>
      </c>
      <c r="F417" s="49" t="s">
        <v>109</v>
      </c>
      <c r="G417" s="51">
        <v>169002679</v>
      </c>
      <c r="H417" s="52">
        <v>95</v>
      </c>
      <c r="I417" s="52">
        <f>L417+M417+N417</f>
        <v>83.84809999999999</v>
      </c>
      <c r="J417" s="52">
        <f>O417+P417</f>
        <v>11.5419</v>
      </c>
      <c r="K417" s="53">
        <f>IF(H417=I417+J417,0,W417)</f>
        <v>-0.39</v>
      </c>
      <c r="L417" s="52">
        <v>16.4463</v>
      </c>
      <c r="M417" s="52">
        <v>67.4018</v>
      </c>
      <c r="N417" s="52">
        <v>0</v>
      </c>
      <c r="O417" s="52">
        <v>3.4537</v>
      </c>
      <c r="P417" s="52">
        <v>8.0882</v>
      </c>
      <c r="Q417" s="54">
        <v>83.8481</v>
      </c>
      <c r="R417" s="52">
        <v>95.39</v>
      </c>
      <c r="S417" s="52">
        <v>0</v>
      </c>
      <c r="T417" s="52">
        <v>0</v>
      </c>
      <c r="U417" s="52">
        <v>0</v>
      </c>
      <c r="V417" s="52">
        <v>0</v>
      </c>
      <c r="W417" s="52">
        <v>-0.39</v>
      </c>
      <c r="X417" s="54">
        <v>105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46132.61311342593</v>
      </c>
      <c r="AH417" s="52">
        <v>27328</v>
      </c>
      <c r="AI417" s="52">
        <v>0</v>
      </c>
      <c r="AJ417" s="53">
        <f>AH417+AI417</f>
        <v>27328</v>
      </c>
      <c r="AK417" s="56">
        <v>0</v>
      </c>
    </row>
    <row r="418">
      <c r="A418" s="48">
        <v>46132.61430555556</v>
      </c>
      <c r="B418" s="49" t="s">
        <v>108</v>
      </c>
      <c r="C418" s="49" t="s">
        <v>111</v>
      </c>
      <c r="D418" s="49" t="s">
        <v>5</v>
      </c>
      <c r="E418" s="50">
        <v>96</v>
      </c>
      <c r="F418" s="49" t="s">
        <v>109</v>
      </c>
      <c r="G418" s="51">
        <v>169002680</v>
      </c>
      <c r="H418" s="52">
        <v>52</v>
      </c>
      <c r="I418" s="52">
        <f>L418+M418+N418</f>
        <v>43.4138</v>
      </c>
      <c r="J418" s="52">
        <f>O418+P418</f>
        <v>8.6162</v>
      </c>
      <c r="K418" s="53">
        <f>IF(H418=I418+J418,0,W418)</f>
        <v>-0.03</v>
      </c>
      <c r="L418" s="52">
        <v>37.8513</v>
      </c>
      <c r="M418" s="52">
        <v>5.5625</v>
      </c>
      <c r="N418" s="52">
        <v>0</v>
      </c>
      <c r="O418" s="52">
        <v>7.9487</v>
      </c>
      <c r="P418" s="52">
        <v>0.6675</v>
      </c>
      <c r="Q418" s="54">
        <v>43.4138</v>
      </c>
      <c r="R418" s="52">
        <v>52.03</v>
      </c>
      <c r="S418" s="52">
        <v>0</v>
      </c>
      <c r="T418" s="52">
        <v>0</v>
      </c>
      <c r="U418" s="52">
        <v>0</v>
      </c>
      <c r="V418" s="52">
        <v>0</v>
      </c>
      <c r="W418" s="52">
        <v>-0.03</v>
      </c>
      <c r="X418" s="54">
        <v>55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46132.61430555556</v>
      </c>
      <c r="AH418" s="52">
        <v>27380</v>
      </c>
      <c r="AI418" s="52">
        <v>0</v>
      </c>
      <c r="AJ418" s="53">
        <f>AH418+AI418</f>
        <v>27380</v>
      </c>
      <c r="AK418" s="56">
        <v>0</v>
      </c>
    </row>
    <row r="419">
      <c r="A419" s="48">
        <v>46132.61452546297</v>
      </c>
      <c r="B419" s="49" t="s">
        <v>108</v>
      </c>
      <c r="C419" s="49" t="s">
        <v>111</v>
      </c>
      <c r="D419" s="49" t="s">
        <v>5</v>
      </c>
      <c r="E419" s="50">
        <v>96</v>
      </c>
      <c r="F419" s="49" t="s">
        <v>109</v>
      </c>
      <c r="G419" s="51">
        <v>169002681</v>
      </c>
      <c r="H419" s="52">
        <v>29</v>
      </c>
      <c r="I419" s="52">
        <f>L419+M419+N419</f>
        <v>25.8929</v>
      </c>
      <c r="J419" s="52">
        <f>O419+P419</f>
        <v>3.1071</v>
      </c>
      <c r="K419" s="53">
        <f>IF(H419=I419+J419,0,W419)</f>
        <v>0</v>
      </c>
      <c r="L419" s="52">
        <v>0</v>
      </c>
      <c r="M419" s="52">
        <v>25.8929</v>
      </c>
      <c r="N419" s="52">
        <v>0</v>
      </c>
      <c r="O419" s="52">
        <v>0</v>
      </c>
      <c r="P419" s="52">
        <v>3.1071</v>
      </c>
      <c r="Q419" s="54">
        <v>25.8929</v>
      </c>
      <c r="R419" s="52">
        <v>29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30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46132.61452546297</v>
      </c>
      <c r="AH419" s="52">
        <v>27409</v>
      </c>
      <c r="AI419" s="52">
        <v>0</v>
      </c>
      <c r="AJ419" s="53">
        <f>AH419+AI419</f>
        <v>27409</v>
      </c>
      <c r="AK419" s="56">
        <v>0</v>
      </c>
    </row>
    <row r="420">
      <c r="A420" s="48">
        <v>46132.61685185185</v>
      </c>
      <c r="B420" s="49" t="s">
        <v>108</v>
      </c>
      <c r="C420" s="49" t="s">
        <v>111</v>
      </c>
      <c r="D420" s="49" t="s">
        <v>5</v>
      </c>
      <c r="E420" s="50">
        <v>96</v>
      </c>
      <c r="F420" s="49" t="s">
        <v>109</v>
      </c>
      <c r="G420" s="51">
        <v>169002682</v>
      </c>
      <c r="H420" s="52">
        <v>112</v>
      </c>
      <c r="I420" s="52">
        <f>L420+M420+N420</f>
        <v>100.0892</v>
      </c>
      <c r="J420" s="52">
        <f>O420+P420</f>
        <v>12.0108</v>
      </c>
      <c r="K420" s="53">
        <f>IF(H420=I420+J420,0,W420)</f>
        <v>-0.1</v>
      </c>
      <c r="L420" s="52">
        <v>0</v>
      </c>
      <c r="M420" s="52">
        <v>100.0892</v>
      </c>
      <c r="N420" s="52">
        <v>0</v>
      </c>
      <c r="O420" s="52">
        <v>0</v>
      </c>
      <c r="P420" s="52">
        <v>12.0108</v>
      </c>
      <c r="Q420" s="54">
        <v>100.0892</v>
      </c>
      <c r="R420" s="52">
        <v>112.1</v>
      </c>
      <c r="S420" s="52">
        <v>0</v>
      </c>
      <c r="T420" s="52">
        <v>0</v>
      </c>
      <c r="U420" s="52">
        <v>0</v>
      </c>
      <c r="V420" s="52">
        <v>0</v>
      </c>
      <c r="W420" s="52">
        <v>-0.1</v>
      </c>
      <c r="X420" s="54">
        <v>212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46132.61685185185</v>
      </c>
      <c r="AH420" s="52">
        <v>27521</v>
      </c>
      <c r="AI420" s="52">
        <v>0</v>
      </c>
      <c r="AJ420" s="53">
        <f>AH420+AI420</f>
        <v>27521</v>
      </c>
      <c r="AK420" s="56">
        <v>0</v>
      </c>
    </row>
    <row r="421">
      <c r="A421" s="48">
        <v>46132.617372685185</v>
      </c>
      <c r="B421" s="49" t="s">
        <v>108</v>
      </c>
      <c r="C421" s="49" t="s">
        <v>100</v>
      </c>
      <c r="D421" s="49" t="s">
        <v>5</v>
      </c>
      <c r="E421" s="50">
        <v>96</v>
      </c>
      <c r="F421" s="49" t="s">
        <v>105</v>
      </c>
      <c r="G421" s="51">
        <v>161000366</v>
      </c>
      <c r="H421" s="52">
        <v>16.9</v>
      </c>
      <c r="I421" s="52">
        <f>L421+M421+N421</f>
        <v>15.08</v>
      </c>
      <c r="J421" s="52">
        <f>O421+P421</f>
        <v>1.82</v>
      </c>
      <c r="K421" s="53">
        <f>IF(H421=I421+J421,0,W421)</f>
        <v>0</v>
      </c>
      <c r="L421" s="52">
        <v>0</v>
      </c>
      <c r="M421" s="52">
        <v>15.08</v>
      </c>
      <c r="N421" s="52">
        <v>0</v>
      </c>
      <c r="O421" s="52">
        <v>0</v>
      </c>
      <c r="P421" s="52">
        <v>1.82</v>
      </c>
      <c r="Q421" s="54">
        <v>15.08</v>
      </c>
      <c r="R421" s="52">
        <v>16.9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16.9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46132.617372685185</v>
      </c>
      <c r="AH421" s="52">
        <v>0</v>
      </c>
      <c r="AI421" s="52">
        <v>0</v>
      </c>
      <c r="AJ421" s="53">
        <f>AH421+AI421</f>
        <v>0</v>
      </c>
      <c r="AK421" s="56">
        <v>0</v>
      </c>
    </row>
    <row r="422">
      <c r="A422" s="48">
        <v>46132.617476851854</v>
      </c>
      <c r="B422" s="49" t="s">
        <v>108</v>
      </c>
      <c r="C422" s="49" t="s">
        <v>111</v>
      </c>
      <c r="D422" s="49" t="s">
        <v>5</v>
      </c>
      <c r="E422" s="50">
        <v>96</v>
      </c>
      <c r="F422" s="49" t="s">
        <v>109</v>
      </c>
      <c r="G422" s="51">
        <v>169002683</v>
      </c>
      <c r="H422" s="52">
        <v>336</v>
      </c>
      <c r="I422" s="52">
        <f>L422+M422+N422</f>
        <v>296.2584</v>
      </c>
      <c r="J422" s="52">
        <f>O422+P422</f>
        <v>39.7016</v>
      </c>
      <c r="K422" s="53">
        <f>IF(H422=I422+J422,0,W422)</f>
        <v>0.04</v>
      </c>
      <c r="L422" s="52">
        <v>46.1158</v>
      </c>
      <c r="M422" s="52">
        <v>250.1426</v>
      </c>
      <c r="N422" s="52">
        <v>0</v>
      </c>
      <c r="O422" s="52">
        <v>9.6842</v>
      </c>
      <c r="P422" s="52">
        <v>30.0174</v>
      </c>
      <c r="Q422" s="54">
        <v>296.2584</v>
      </c>
      <c r="R422" s="52">
        <v>335.96</v>
      </c>
      <c r="S422" s="52">
        <v>0</v>
      </c>
      <c r="T422" s="52">
        <v>0</v>
      </c>
      <c r="U422" s="52">
        <v>0</v>
      </c>
      <c r="V422" s="52">
        <v>0</v>
      </c>
      <c r="W422" s="52">
        <v>0.04</v>
      </c>
      <c r="X422" s="54">
        <v>1000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46132.617476851854</v>
      </c>
      <c r="AH422" s="52">
        <v>27857</v>
      </c>
      <c r="AI422" s="52">
        <v>0</v>
      </c>
      <c r="AJ422" s="53">
        <f>AH422+AI422</f>
        <v>27857</v>
      </c>
      <c r="AK422" s="56">
        <v>0</v>
      </c>
    </row>
    <row r="423">
      <c r="A423" s="48">
        <v>46132.61809027778</v>
      </c>
      <c r="B423" s="49" t="s">
        <v>108</v>
      </c>
      <c r="C423" s="49" t="s">
        <v>111</v>
      </c>
      <c r="D423" s="49" t="s">
        <v>5</v>
      </c>
      <c r="E423" s="50">
        <v>96</v>
      </c>
      <c r="F423" s="49" t="s">
        <v>109</v>
      </c>
      <c r="G423" s="51">
        <v>169002684</v>
      </c>
      <c r="H423" s="52">
        <v>80</v>
      </c>
      <c r="I423" s="52">
        <f>L423+M423+N423</f>
        <v>71.6429</v>
      </c>
      <c r="J423" s="52">
        <f>O423+P423</f>
        <v>8.5971</v>
      </c>
      <c r="K423" s="53">
        <f>IF(H423=I423+J423,0,W423)</f>
        <v>-0.24</v>
      </c>
      <c r="L423" s="52">
        <v>0</v>
      </c>
      <c r="M423" s="52">
        <v>71.6429</v>
      </c>
      <c r="N423" s="52">
        <v>0</v>
      </c>
      <c r="O423" s="52">
        <v>0</v>
      </c>
      <c r="P423" s="52">
        <v>8.5971</v>
      </c>
      <c r="Q423" s="54">
        <v>71.6429</v>
      </c>
      <c r="R423" s="52">
        <v>80.24</v>
      </c>
      <c r="S423" s="52">
        <v>0</v>
      </c>
      <c r="T423" s="52">
        <v>0</v>
      </c>
      <c r="U423" s="52">
        <v>0</v>
      </c>
      <c r="V423" s="52">
        <v>0</v>
      </c>
      <c r="W423" s="52">
        <v>-0.24</v>
      </c>
      <c r="X423" s="54">
        <v>90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46132.61809027778</v>
      </c>
      <c r="AH423" s="52">
        <v>27937</v>
      </c>
      <c r="AI423" s="52">
        <v>0</v>
      </c>
      <c r="AJ423" s="53">
        <f>AH423+AI423</f>
        <v>27937</v>
      </c>
      <c r="AK423" s="56">
        <v>10.3648</v>
      </c>
    </row>
    <row r="424">
      <c r="A424" s="48">
        <v>46132.618576388886</v>
      </c>
      <c r="B424" s="49" t="s">
        <v>108</v>
      </c>
      <c r="C424" s="49" t="s">
        <v>111</v>
      </c>
      <c r="D424" s="49" t="s">
        <v>5</v>
      </c>
      <c r="E424" s="50">
        <v>96</v>
      </c>
      <c r="F424" s="49" t="s">
        <v>109</v>
      </c>
      <c r="G424" s="51">
        <v>169002685</v>
      </c>
      <c r="H424" s="52">
        <v>130.3</v>
      </c>
      <c r="I424" s="52">
        <f>L424+M424+N424</f>
        <v>116.3393</v>
      </c>
      <c r="J424" s="52">
        <f>O424+P424</f>
        <v>13.9607</v>
      </c>
      <c r="K424" s="53">
        <f>IF(H424=I424+J424,0,W424)</f>
        <v>0</v>
      </c>
      <c r="L424" s="52">
        <v>0</v>
      </c>
      <c r="M424" s="52">
        <v>116.3393</v>
      </c>
      <c r="N424" s="52">
        <v>0</v>
      </c>
      <c r="O424" s="52">
        <v>0</v>
      </c>
      <c r="P424" s="52">
        <v>13.9607</v>
      </c>
      <c r="Q424" s="54">
        <v>116.3393</v>
      </c>
      <c r="R424" s="52">
        <v>130.3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130.3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46132.618576388886</v>
      </c>
      <c r="AH424" s="52">
        <v>27937</v>
      </c>
      <c r="AI424" s="52">
        <v>0</v>
      </c>
      <c r="AJ424" s="53">
        <f>AH424+AI424</f>
        <v>27937</v>
      </c>
      <c r="AK424" s="56">
        <v>0</v>
      </c>
    </row>
    <row r="425">
      <c r="A425" s="48">
        <v>46132.618796296294</v>
      </c>
      <c r="B425" s="49" t="s">
        <v>108</v>
      </c>
      <c r="C425" s="49" t="s">
        <v>100</v>
      </c>
      <c r="D425" s="49" t="s">
        <v>5</v>
      </c>
      <c r="E425" s="50">
        <v>96</v>
      </c>
      <c r="F425" s="49" t="s">
        <v>105</v>
      </c>
      <c r="G425" s="51">
        <v>161000367</v>
      </c>
      <c r="H425" s="52">
        <v>261.14</v>
      </c>
      <c r="I425" s="52">
        <f>L425+M425+N425</f>
        <v>228.9</v>
      </c>
      <c r="J425" s="52">
        <f>O425+P425</f>
        <v>32.239999999999995</v>
      </c>
      <c r="K425" s="53">
        <f>IF(H425=I425+J425,0,W425)</f>
        <v>0</v>
      </c>
      <c r="L425" s="52">
        <v>52.56</v>
      </c>
      <c r="M425" s="52">
        <v>176.34</v>
      </c>
      <c r="N425" s="52">
        <v>0</v>
      </c>
      <c r="O425" s="52">
        <v>11.04</v>
      </c>
      <c r="P425" s="52">
        <v>21.2</v>
      </c>
      <c r="Q425" s="54">
        <v>228.9</v>
      </c>
      <c r="R425" s="52">
        <v>261.14</v>
      </c>
      <c r="S425" s="52">
        <v>0</v>
      </c>
      <c r="T425" s="52">
        <v>0</v>
      </c>
      <c r="U425" s="52">
        <v>0</v>
      </c>
      <c r="V425" s="52">
        <v>0</v>
      </c>
      <c r="W425" s="52">
        <v>0</v>
      </c>
      <c r="X425" s="54">
        <v>0</v>
      </c>
      <c r="Y425" s="52">
        <v>0</v>
      </c>
      <c r="Z425" s="52">
        <v>261.14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46132.618796296294</v>
      </c>
      <c r="AH425" s="52">
        <v>0</v>
      </c>
      <c r="AI425" s="52">
        <v>0</v>
      </c>
      <c r="AJ425" s="53">
        <f>AH425+AI425</f>
        <v>0</v>
      </c>
      <c r="AK425" s="56">
        <v>0</v>
      </c>
    </row>
    <row r="426">
      <c r="A426" s="48">
        <v>46132.619108796294</v>
      </c>
      <c r="B426" s="49" t="s">
        <v>108</v>
      </c>
      <c r="C426" s="49" t="s">
        <v>111</v>
      </c>
      <c r="D426" s="49" t="s">
        <v>5</v>
      </c>
      <c r="E426" s="50">
        <v>96</v>
      </c>
      <c r="F426" s="49" t="s">
        <v>109</v>
      </c>
      <c r="G426" s="51">
        <v>169002686</v>
      </c>
      <c r="H426" s="52">
        <v>81.4</v>
      </c>
      <c r="I426" s="52">
        <f>L426+M426+N426</f>
        <v>71.357</v>
      </c>
      <c r="J426" s="52">
        <f>O426+P426</f>
        <v>10.043</v>
      </c>
      <c r="K426" s="53">
        <f>IF(H426=I426+J426,0,W426)</f>
        <v>0</v>
      </c>
      <c r="L426" s="52">
        <v>16.4463</v>
      </c>
      <c r="M426" s="52">
        <v>54.9107</v>
      </c>
      <c r="N426" s="52">
        <v>0</v>
      </c>
      <c r="O426" s="52">
        <v>3.4537</v>
      </c>
      <c r="P426" s="52">
        <v>6.5893</v>
      </c>
      <c r="Q426" s="54">
        <v>71.357</v>
      </c>
      <c r="R426" s="52">
        <v>81.4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81.4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46132.619108796294</v>
      </c>
      <c r="AH426" s="52">
        <v>27937</v>
      </c>
      <c r="AI426" s="52">
        <v>0</v>
      </c>
      <c r="AJ426" s="53">
        <f>AH426+AI426</f>
        <v>27937</v>
      </c>
      <c r="AK426" s="56">
        <v>0</v>
      </c>
    </row>
    <row r="427">
      <c r="A427" s="48">
        <v>46132.619375</v>
      </c>
      <c r="B427" s="49" t="s">
        <v>108</v>
      </c>
      <c r="C427" s="49" t="s">
        <v>111</v>
      </c>
      <c r="D427" s="49" t="s">
        <v>5</v>
      </c>
      <c r="E427" s="50">
        <v>96</v>
      </c>
      <c r="F427" s="49" t="s">
        <v>109</v>
      </c>
      <c r="G427" s="51">
        <v>169002687</v>
      </c>
      <c r="H427" s="52">
        <v>16</v>
      </c>
      <c r="I427" s="52">
        <f>L427+M427+N427</f>
        <v>14.1964</v>
      </c>
      <c r="J427" s="52">
        <f>O427+P427</f>
        <v>1.7036</v>
      </c>
      <c r="K427" s="53">
        <f>IF(H427=I427+J427,0,W427)</f>
        <v>0.1</v>
      </c>
      <c r="L427" s="52">
        <v>0</v>
      </c>
      <c r="M427" s="52">
        <v>14.1964</v>
      </c>
      <c r="N427" s="52">
        <v>0</v>
      </c>
      <c r="O427" s="52">
        <v>0</v>
      </c>
      <c r="P427" s="52">
        <v>1.7036</v>
      </c>
      <c r="Q427" s="54">
        <v>14.1964</v>
      </c>
      <c r="R427" s="52">
        <v>15.9</v>
      </c>
      <c r="S427" s="52">
        <v>0</v>
      </c>
      <c r="T427" s="52">
        <v>0</v>
      </c>
      <c r="U427" s="52">
        <v>0</v>
      </c>
      <c r="V427" s="52">
        <v>0</v>
      </c>
      <c r="W427" s="52">
        <v>0.1</v>
      </c>
      <c r="X427" s="54">
        <v>16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46132.619375</v>
      </c>
      <c r="AH427" s="52">
        <v>27953</v>
      </c>
      <c r="AI427" s="52">
        <v>0</v>
      </c>
      <c r="AJ427" s="53">
        <f>AH427+AI427</f>
        <v>27953</v>
      </c>
      <c r="AK427" s="56">
        <v>0</v>
      </c>
    </row>
    <row r="428">
      <c r="A428" s="48">
        <v>46132.619791666664</v>
      </c>
      <c r="B428" s="49" t="s">
        <v>108</v>
      </c>
      <c r="C428" s="49" t="s">
        <v>111</v>
      </c>
      <c r="D428" s="49" t="s">
        <v>5</v>
      </c>
      <c r="E428" s="50">
        <v>96</v>
      </c>
      <c r="F428" s="49" t="s">
        <v>109</v>
      </c>
      <c r="G428" s="51">
        <v>169002688</v>
      </c>
      <c r="H428" s="52">
        <v>50</v>
      </c>
      <c r="I428" s="52">
        <f>L428+M428+N428</f>
        <v>44.5536</v>
      </c>
      <c r="J428" s="52">
        <f>O428+P428</f>
        <v>5.3464</v>
      </c>
      <c r="K428" s="53">
        <f>IF(H428=I428+J428,0,W428)</f>
        <v>0.1</v>
      </c>
      <c r="L428" s="52">
        <v>0</v>
      </c>
      <c r="M428" s="52">
        <v>44.5536</v>
      </c>
      <c r="N428" s="52">
        <v>0</v>
      </c>
      <c r="O428" s="52">
        <v>0</v>
      </c>
      <c r="P428" s="52">
        <v>5.3464</v>
      </c>
      <c r="Q428" s="54">
        <v>44.5536</v>
      </c>
      <c r="R428" s="52">
        <v>49.9</v>
      </c>
      <c r="S428" s="52">
        <v>0</v>
      </c>
      <c r="T428" s="52">
        <v>0</v>
      </c>
      <c r="U428" s="52">
        <v>0</v>
      </c>
      <c r="V428" s="52">
        <v>0</v>
      </c>
      <c r="W428" s="52">
        <v>0.1</v>
      </c>
      <c r="X428" s="54">
        <v>50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46132.619791666664</v>
      </c>
      <c r="AH428" s="52">
        <v>28003</v>
      </c>
      <c r="AI428" s="52">
        <v>0</v>
      </c>
      <c r="AJ428" s="53">
        <f>AH428+AI428</f>
        <v>28003</v>
      </c>
      <c r="AK428" s="56">
        <v>0</v>
      </c>
    </row>
    <row r="429">
      <c r="A429" s="48">
        <v>46132.619988425926</v>
      </c>
      <c r="B429" s="49" t="s">
        <v>108</v>
      </c>
      <c r="C429" s="49" t="s">
        <v>111</v>
      </c>
      <c r="D429" s="49" t="s">
        <v>5</v>
      </c>
      <c r="E429" s="50">
        <v>96</v>
      </c>
      <c r="F429" s="49" t="s">
        <v>109</v>
      </c>
      <c r="G429" s="51">
        <v>169002689</v>
      </c>
      <c r="H429" s="52">
        <v>67</v>
      </c>
      <c r="I429" s="52">
        <f>L429+M429+N429</f>
        <v>59.6429</v>
      </c>
      <c r="J429" s="52">
        <f>O429+P429</f>
        <v>7.1571</v>
      </c>
      <c r="K429" s="53">
        <f>IF(H429=I429+J429,0,W429)</f>
        <v>0.2</v>
      </c>
      <c r="L429" s="52">
        <v>0</v>
      </c>
      <c r="M429" s="52">
        <v>59.6429</v>
      </c>
      <c r="N429" s="52">
        <v>0</v>
      </c>
      <c r="O429" s="52">
        <v>0</v>
      </c>
      <c r="P429" s="52">
        <v>7.1571</v>
      </c>
      <c r="Q429" s="54">
        <v>59.6429</v>
      </c>
      <c r="R429" s="52">
        <v>66.8</v>
      </c>
      <c r="S429" s="52">
        <v>0</v>
      </c>
      <c r="T429" s="52">
        <v>0</v>
      </c>
      <c r="U429" s="52">
        <v>0</v>
      </c>
      <c r="V429" s="52">
        <v>0</v>
      </c>
      <c r="W429" s="52">
        <v>0.2</v>
      </c>
      <c r="X429" s="54">
        <v>100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46132.619988425926</v>
      </c>
      <c r="AH429" s="52">
        <v>28070</v>
      </c>
      <c r="AI429" s="52">
        <v>0</v>
      </c>
      <c r="AJ429" s="53">
        <f>AH429+AI429</f>
        <v>28070</v>
      </c>
      <c r="AK429" s="56">
        <v>0</v>
      </c>
    </row>
    <row r="430">
      <c r="A430" s="48">
        <v>46132.621099537035</v>
      </c>
      <c r="B430" s="49" t="s">
        <v>108</v>
      </c>
      <c r="C430" s="49" t="s">
        <v>111</v>
      </c>
      <c r="D430" s="49" t="s">
        <v>5</v>
      </c>
      <c r="E430" s="50">
        <v>96</v>
      </c>
      <c r="F430" s="49" t="s">
        <v>109</v>
      </c>
      <c r="G430" s="51">
        <v>169002690</v>
      </c>
      <c r="H430" s="52">
        <v>34</v>
      </c>
      <c r="I430" s="52">
        <f>L430+M430+N430</f>
        <v>30.2679</v>
      </c>
      <c r="J430" s="52">
        <f>O430+P430</f>
        <v>3.6321</v>
      </c>
      <c r="K430" s="53">
        <f>IF(H430=I430+J430,0,W430)</f>
        <v>0.1</v>
      </c>
      <c r="L430" s="52">
        <v>0</v>
      </c>
      <c r="M430" s="52">
        <v>30.2679</v>
      </c>
      <c r="N430" s="52">
        <v>0</v>
      </c>
      <c r="O430" s="52">
        <v>0</v>
      </c>
      <c r="P430" s="52">
        <v>3.6321</v>
      </c>
      <c r="Q430" s="54">
        <v>30.2679</v>
      </c>
      <c r="R430" s="52">
        <v>33.9</v>
      </c>
      <c r="S430" s="52">
        <v>0</v>
      </c>
      <c r="T430" s="52">
        <v>0</v>
      </c>
      <c r="U430" s="52">
        <v>0</v>
      </c>
      <c r="V430" s="52">
        <v>0</v>
      </c>
      <c r="W430" s="52">
        <v>0.1</v>
      </c>
      <c r="X430" s="54">
        <v>34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46132.621099537035</v>
      </c>
      <c r="AH430" s="52">
        <v>28104</v>
      </c>
      <c r="AI430" s="52">
        <v>0</v>
      </c>
      <c r="AJ430" s="53">
        <f>AH430+AI430</f>
        <v>28104</v>
      </c>
      <c r="AK430" s="56">
        <v>0</v>
      </c>
    </row>
    <row r="431">
      <c r="A431" s="48">
        <v>46132.62163194444</v>
      </c>
      <c r="B431" s="49" t="s">
        <v>108</v>
      </c>
      <c r="C431" s="49" t="s">
        <v>111</v>
      </c>
      <c r="D431" s="49" t="s">
        <v>5</v>
      </c>
      <c r="E431" s="50">
        <v>96</v>
      </c>
      <c r="F431" s="49" t="s">
        <v>109</v>
      </c>
      <c r="G431" s="51">
        <v>169002691</v>
      </c>
      <c r="H431" s="52">
        <v>34</v>
      </c>
      <c r="I431" s="52">
        <f>L431+M431+N431</f>
        <v>28.0165</v>
      </c>
      <c r="J431" s="52">
        <f>O431+P431</f>
        <v>5.8835</v>
      </c>
      <c r="K431" s="53">
        <f>IF(H431=I431+J431,0,W431)</f>
        <v>0.1</v>
      </c>
      <c r="L431" s="52">
        <v>28.0165</v>
      </c>
      <c r="M431" s="52">
        <v>0</v>
      </c>
      <c r="N431" s="52">
        <v>0</v>
      </c>
      <c r="O431" s="52">
        <v>5.8835</v>
      </c>
      <c r="P431" s="52">
        <v>0</v>
      </c>
      <c r="Q431" s="54">
        <v>28.0165</v>
      </c>
      <c r="R431" s="52">
        <v>33.9</v>
      </c>
      <c r="S431" s="52">
        <v>0</v>
      </c>
      <c r="T431" s="52">
        <v>0</v>
      </c>
      <c r="U431" s="52">
        <v>0</v>
      </c>
      <c r="V431" s="52">
        <v>0</v>
      </c>
      <c r="W431" s="52">
        <v>0.1</v>
      </c>
      <c r="X431" s="54">
        <v>100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46132.62163194444</v>
      </c>
      <c r="AH431" s="52">
        <v>28138</v>
      </c>
      <c r="AI431" s="52">
        <v>0</v>
      </c>
      <c r="AJ431" s="53">
        <f>AH431+AI431</f>
        <v>28138</v>
      </c>
      <c r="AK431" s="56">
        <v>0</v>
      </c>
    </row>
    <row r="432">
      <c r="A432" s="48">
        <v>46132.62262731481</v>
      </c>
      <c r="B432" s="49" t="s">
        <v>108</v>
      </c>
      <c r="C432" s="49" t="s">
        <v>100</v>
      </c>
      <c r="D432" s="49" t="s">
        <v>5</v>
      </c>
      <c r="E432" s="50">
        <v>96</v>
      </c>
      <c r="F432" s="49" t="s">
        <v>105</v>
      </c>
      <c r="G432" s="51">
        <v>161000368</v>
      </c>
      <c r="H432" s="52">
        <v>16.31</v>
      </c>
      <c r="I432" s="52">
        <f>L432+M432+N432</f>
        <v>14.55</v>
      </c>
      <c r="J432" s="52">
        <f>O432+P432</f>
        <v>1.76</v>
      </c>
      <c r="K432" s="53">
        <f>IF(H432=I432+J432,0,W432)</f>
        <v>0</v>
      </c>
      <c r="L432" s="52">
        <v>0</v>
      </c>
      <c r="M432" s="52">
        <v>14.55</v>
      </c>
      <c r="N432" s="52">
        <v>0</v>
      </c>
      <c r="O432" s="52">
        <v>0</v>
      </c>
      <c r="P432" s="52">
        <v>1.76</v>
      </c>
      <c r="Q432" s="54">
        <v>14.55</v>
      </c>
      <c r="R432" s="52">
        <v>16.31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16.31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46132.62262731481</v>
      </c>
      <c r="AH432" s="52">
        <v>0</v>
      </c>
      <c r="AI432" s="52">
        <v>0</v>
      </c>
      <c r="AJ432" s="53">
        <f>AH432+AI432</f>
        <v>0</v>
      </c>
      <c r="AK432" s="56">
        <v>0</v>
      </c>
    </row>
    <row r="433">
      <c r="A433" s="48">
        <v>46132.62273148148</v>
      </c>
      <c r="B433" s="49" t="s">
        <v>108</v>
      </c>
      <c r="C433" s="49" t="s">
        <v>111</v>
      </c>
      <c r="D433" s="49" t="s">
        <v>5</v>
      </c>
      <c r="E433" s="50">
        <v>96</v>
      </c>
      <c r="F433" s="49" t="s">
        <v>109</v>
      </c>
      <c r="G433" s="51">
        <v>169002692</v>
      </c>
      <c r="H433" s="52">
        <v>418.72</v>
      </c>
      <c r="I433" s="52">
        <f>L433+M433+N433</f>
        <v>373.8571</v>
      </c>
      <c r="J433" s="52">
        <f>O433+P433</f>
        <v>44.8629</v>
      </c>
      <c r="K433" s="53">
        <f>IF(H433=I433+J433,0,W433)</f>
        <v>0</v>
      </c>
      <c r="L433" s="52">
        <v>0</v>
      </c>
      <c r="M433" s="52">
        <v>373.8571</v>
      </c>
      <c r="N433" s="52">
        <v>0</v>
      </c>
      <c r="O433" s="52">
        <v>0</v>
      </c>
      <c r="P433" s="52">
        <v>44.8629</v>
      </c>
      <c r="Q433" s="54">
        <v>373.8571</v>
      </c>
      <c r="R433" s="52">
        <v>418.72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418.72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46132.62273148148</v>
      </c>
      <c r="AH433" s="52">
        <v>28138</v>
      </c>
      <c r="AI433" s="52">
        <v>0</v>
      </c>
      <c r="AJ433" s="53">
        <f>AH433+AI433</f>
        <v>28138</v>
      </c>
      <c r="AK433" s="56">
        <v>19.0967</v>
      </c>
    </row>
    <row r="434">
      <c r="A434" s="48">
        <v>46132.62327546296</v>
      </c>
      <c r="B434" s="49" t="s">
        <v>108</v>
      </c>
      <c r="C434" s="49" t="s">
        <v>100</v>
      </c>
      <c r="D434" s="49" t="s">
        <v>5</v>
      </c>
      <c r="E434" s="50">
        <v>96</v>
      </c>
      <c r="F434" s="49" t="s">
        <v>101</v>
      </c>
      <c r="G434" s="51">
        <v>163000343</v>
      </c>
      <c r="H434" s="52">
        <v>93</v>
      </c>
      <c r="I434" s="52">
        <f>L434+M434+N434</f>
        <v>83.01</v>
      </c>
      <c r="J434" s="52">
        <f>O434+P434</f>
        <v>9.99</v>
      </c>
      <c r="K434" s="53">
        <f>IF(H434=I434+J434,0,W434)</f>
        <v>0</v>
      </c>
      <c r="L434" s="52">
        <v>0</v>
      </c>
      <c r="M434" s="52">
        <v>83.01</v>
      </c>
      <c r="N434" s="52">
        <v>0</v>
      </c>
      <c r="O434" s="52">
        <v>0</v>
      </c>
      <c r="P434" s="52">
        <v>9.99</v>
      </c>
      <c r="Q434" s="54">
        <v>83.01</v>
      </c>
      <c r="R434" s="52">
        <v>93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93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46132.62327546296</v>
      </c>
      <c r="AH434" s="52">
        <v>0</v>
      </c>
      <c r="AI434" s="52">
        <v>0</v>
      </c>
      <c r="AJ434" s="53">
        <f>AH434+AI434</f>
        <v>0</v>
      </c>
      <c r="AK434" s="56">
        <v>0</v>
      </c>
    </row>
    <row r="435">
      <c r="A435" s="48">
        <v>46132.623402777775</v>
      </c>
      <c r="B435" s="49" t="s">
        <v>108</v>
      </c>
      <c r="C435" s="49" t="s">
        <v>111</v>
      </c>
      <c r="D435" s="49" t="s">
        <v>5</v>
      </c>
      <c r="E435" s="50">
        <v>96</v>
      </c>
      <c r="F435" s="49" t="s">
        <v>109</v>
      </c>
      <c r="G435" s="51">
        <v>169002693</v>
      </c>
      <c r="H435" s="52">
        <v>336.31</v>
      </c>
      <c r="I435" s="52">
        <f>L435+M435+N435</f>
        <v>292.1215</v>
      </c>
      <c r="J435" s="52">
        <f>O435+P435</f>
        <v>44.188500000000005</v>
      </c>
      <c r="K435" s="53">
        <f>IF(H435=I435+J435,0,W435)</f>
        <v>0</v>
      </c>
      <c r="L435" s="52">
        <v>101.4876</v>
      </c>
      <c r="M435" s="52">
        <v>190.6339</v>
      </c>
      <c r="N435" s="52">
        <v>0</v>
      </c>
      <c r="O435" s="52">
        <v>21.3124</v>
      </c>
      <c r="P435" s="52">
        <v>22.8761</v>
      </c>
      <c r="Q435" s="54">
        <v>292.1215</v>
      </c>
      <c r="R435" s="52">
        <v>336.31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>
        <v>0</v>
      </c>
      <c r="Y435" s="52">
        <v>0</v>
      </c>
      <c r="Z435" s="52">
        <v>336.31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46132.623402777775</v>
      </c>
      <c r="AH435" s="52">
        <v>28138</v>
      </c>
      <c r="AI435" s="52">
        <v>0</v>
      </c>
      <c r="AJ435" s="53">
        <f>AH435+AI435</f>
        <v>28138</v>
      </c>
      <c r="AK435" s="56">
        <v>21.6597</v>
      </c>
    </row>
    <row r="436">
      <c r="A436" s="48">
        <v>46132.62396990741</v>
      </c>
      <c r="B436" s="49" t="s">
        <v>99</v>
      </c>
      <c r="C436" s="49" t="s">
        <v>113</v>
      </c>
      <c r="D436" s="49" t="s">
        <v>5</v>
      </c>
      <c r="E436" s="50">
        <v>96</v>
      </c>
      <c r="F436" s="49" t="s">
        <v>107</v>
      </c>
      <c r="G436" s="51"/>
      <c r="H436" s="52">
        <v>0</v>
      </c>
      <c r="I436" s="52">
        <f>L436+M436+N436</f>
        <v>0</v>
      </c>
      <c r="J436" s="52">
        <f>O436+P436</f>
        <v>0</v>
      </c>
      <c r="K436" s="53">
        <f>IF(H436=I436+J436,0,W436)</f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  <c r="Q436" s="54">
        <v>0</v>
      </c>
      <c r="R436" s="52">
        <v>0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/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46132.62396990741</v>
      </c>
      <c r="AH436" s="52">
        <v>44481</v>
      </c>
      <c r="AI436" s="52">
        <v>0</v>
      </c>
      <c r="AJ436" s="53">
        <f>AH436+AI436</f>
        <v>44481</v>
      </c>
      <c r="AK436" s="56"/>
    </row>
    <row r="437">
      <c r="A437" s="48">
        <v>46132.624236111114</v>
      </c>
      <c r="B437" s="49" t="s">
        <v>108</v>
      </c>
      <c r="C437" s="49" t="s">
        <v>111</v>
      </c>
      <c r="D437" s="49" t="s">
        <v>5</v>
      </c>
      <c r="E437" s="50">
        <v>96</v>
      </c>
      <c r="F437" s="49" t="s">
        <v>109</v>
      </c>
      <c r="G437" s="51">
        <v>169002694</v>
      </c>
      <c r="H437" s="52">
        <v>178.9</v>
      </c>
      <c r="I437" s="52">
        <f>L437+M437+N437</f>
        <v>149.1729</v>
      </c>
      <c r="J437" s="52">
        <f>O437+P437</f>
        <v>29.7271</v>
      </c>
      <c r="K437" s="53">
        <f>IF(H437=I437+J437,0,W437)</f>
        <v>0</v>
      </c>
      <c r="L437" s="52">
        <v>131.405</v>
      </c>
      <c r="M437" s="52">
        <v>17.7679</v>
      </c>
      <c r="N437" s="52">
        <v>0</v>
      </c>
      <c r="O437" s="52">
        <v>27.595</v>
      </c>
      <c r="P437" s="52">
        <v>2.1321</v>
      </c>
      <c r="Q437" s="54">
        <v>149.1729</v>
      </c>
      <c r="R437" s="52">
        <v>178.9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178.9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46132.624236111114</v>
      </c>
      <c r="AH437" s="52">
        <v>28138</v>
      </c>
      <c r="AI437" s="52">
        <v>0</v>
      </c>
      <c r="AJ437" s="53">
        <f>AH437+AI437</f>
        <v>28138</v>
      </c>
      <c r="AK437" s="56">
        <v>0</v>
      </c>
    </row>
    <row r="438">
      <c r="A438" s="48">
        <v>46132.624398148146</v>
      </c>
      <c r="B438" s="49" t="s">
        <v>108</v>
      </c>
      <c r="C438" s="49" t="s">
        <v>111</v>
      </c>
      <c r="D438" s="49" t="s">
        <v>5</v>
      </c>
      <c r="E438" s="50">
        <v>96</v>
      </c>
      <c r="F438" s="49" t="s">
        <v>109</v>
      </c>
      <c r="G438" s="51">
        <v>169002695</v>
      </c>
      <c r="H438" s="52">
        <v>42</v>
      </c>
      <c r="I438" s="52">
        <f>L438+M438+N438</f>
        <v>36.4419</v>
      </c>
      <c r="J438" s="52">
        <f>O438+P438</f>
        <v>5.258100000000001</v>
      </c>
      <c r="K438" s="53">
        <f>IF(H438=I438+J438,0,W438)</f>
        <v>0.3</v>
      </c>
      <c r="L438" s="52">
        <v>9.8347</v>
      </c>
      <c r="M438" s="52">
        <v>26.6072</v>
      </c>
      <c r="N438" s="52">
        <v>0</v>
      </c>
      <c r="O438" s="52">
        <v>2.0653</v>
      </c>
      <c r="P438" s="52">
        <v>3.1928</v>
      </c>
      <c r="Q438" s="54">
        <v>36.4419</v>
      </c>
      <c r="R438" s="52">
        <v>41.7</v>
      </c>
      <c r="S438" s="52">
        <v>0</v>
      </c>
      <c r="T438" s="52">
        <v>0</v>
      </c>
      <c r="U438" s="52">
        <v>0</v>
      </c>
      <c r="V438" s="52">
        <v>0</v>
      </c>
      <c r="W438" s="52">
        <v>0.3</v>
      </c>
      <c r="X438" s="54">
        <v>50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46132.624398148146</v>
      </c>
      <c r="AH438" s="52">
        <v>28180</v>
      </c>
      <c r="AI438" s="52">
        <v>0</v>
      </c>
      <c r="AJ438" s="53">
        <f>AH438+AI438</f>
        <v>28180</v>
      </c>
      <c r="AK438" s="56">
        <v>0</v>
      </c>
    </row>
    <row r="439">
      <c r="A439" s="48">
        <v>46132.624872685185</v>
      </c>
      <c r="B439" s="49" t="s">
        <v>108</v>
      </c>
      <c r="C439" s="49" t="s">
        <v>113</v>
      </c>
      <c r="D439" s="49" t="s">
        <v>5</v>
      </c>
      <c r="E439" s="50">
        <v>96</v>
      </c>
      <c r="F439" s="49" t="s">
        <v>107</v>
      </c>
      <c r="G439" s="51">
        <v>166004765</v>
      </c>
      <c r="H439" s="52">
        <v>176.31</v>
      </c>
      <c r="I439" s="52">
        <f>L439+M439+N439</f>
        <v>157.4197</v>
      </c>
      <c r="J439" s="52">
        <f>O439+P439</f>
        <v>18.8903</v>
      </c>
      <c r="K439" s="53">
        <f>IF(H439=I439+J439,0,W439)</f>
        <v>0</v>
      </c>
      <c r="L439" s="52">
        <v>0</v>
      </c>
      <c r="M439" s="52">
        <v>157.4197</v>
      </c>
      <c r="N439" s="52">
        <v>0</v>
      </c>
      <c r="O439" s="52">
        <v>0</v>
      </c>
      <c r="P439" s="52">
        <v>18.8903</v>
      </c>
      <c r="Q439" s="54">
        <v>157.4197</v>
      </c>
      <c r="R439" s="52">
        <v>176.31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176.31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46132.624872685185</v>
      </c>
      <c r="AH439" s="52">
        <v>44481</v>
      </c>
      <c r="AI439" s="52">
        <v>0</v>
      </c>
      <c r="AJ439" s="53">
        <f>AH439+AI439</f>
        <v>44481</v>
      </c>
      <c r="AK439" s="56">
        <v>35.49</v>
      </c>
    </row>
    <row r="440">
      <c r="A440" s="48">
        <v>46132.624930555554</v>
      </c>
      <c r="B440" s="49" t="s">
        <v>108</v>
      </c>
      <c r="C440" s="49" t="s">
        <v>111</v>
      </c>
      <c r="D440" s="49" t="s">
        <v>5</v>
      </c>
      <c r="E440" s="50">
        <v>96</v>
      </c>
      <c r="F440" s="49" t="s">
        <v>109</v>
      </c>
      <c r="G440" s="51">
        <v>169002696</v>
      </c>
      <c r="H440" s="52">
        <v>242.33</v>
      </c>
      <c r="I440" s="52">
        <f>L440+M440+N440</f>
        <v>215.0444</v>
      </c>
      <c r="J440" s="52">
        <f>O440+P440</f>
        <v>27.285600000000002</v>
      </c>
      <c r="K440" s="53">
        <f>IF(H440=I440+J440,0,W440)</f>
        <v>0</v>
      </c>
      <c r="L440" s="52">
        <v>16.4463</v>
      </c>
      <c r="M440" s="52">
        <v>198.5981</v>
      </c>
      <c r="N440" s="52">
        <v>0</v>
      </c>
      <c r="O440" s="52">
        <v>3.4537</v>
      </c>
      <c r="P440" s="52">
        <v>23.8319</v>
      </c>
      <c r="Q440" s="54">
        <v>215.0444</v>
      </c>
      <c r="R440" s="52">
        <v>242.33</v>
      </c>
      <c r="S440" s="52">
        <v>0</v>
      </c>
      <c r="T440" s="52">
        <v>0</v>
      </c>
      <c r="U440" s="52">
        <v>0</v>
      </c>
      <c r="V440" s="52">
        <v>0</v>
      </c>
      <c r="W440" s="52">
        <v>0</v>
      </c>
      <c r="X440" s="54">
        <v>0</v>
      </c>
      <c r="Y440" s="52">
        <v>0</v>
      </c>
      <c r="Z440" s="52">
        <v>242.33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46132.624930555554</v>
      </c>
      <c r="AH440" s="52">
        <v>28180</v>
      </c>
      <c r="AI440" s="52">
        <v>0</v>
      </c>
      <c r="AJ440" s="53">
        <f>AH440+AI440</f>
        <v>28180</v>
      </c>
      <c r="AK440" s="56">
        <v>0</v>
      </c>
    </row>
    <row r="441">
      <c r="A441" s="48">
        <v>46132.625555555554</v>
      </c>
      <c r="B441" s="49" t="s">
        <v>108</v>
      </c>
      <c r="C441" s="49" t="s">
        <v>111</v>
      </c>
      <c r="D441" s="49" t="s">
        <v>5</v>
      </c>
      <c r="E441" s="50">
        <v>96</v>
      </c>
      <c r="F441" s="49" t="s">
        <v>109</v>
      </c>
      <c r="G441" s="51">
        <v>169002697</v>
      </c>
      <c r="H441" s="52">
        <v>78.7</v>
      </c>
      <c r="I441" s="52">
        <f>L441+M441+N441</f>
        <v>69.2119</v>
      </c>
      <c r="J441" s="52">
        <f>O441+P441</f>
        <v>9.4881</v>
      </c>
      <c r="K441" s="53">
        <f>IF(H441=I441+J441,0,W441)</f>
        <v>0</v>
      </c>
      <c r="L441" s="52">
        <v>13.1405</v>
      </c>
      <c r="M441" s="52">
        <v>56.0714</v>
      </c>
      <c r="N441" s="52">
        <v>0</v>
      </c>
      <c r="O441" s="52">
        <v>2.7595</v>
      </c>
      <c r="P441" s="52">
        <v>6.7286</v>
      </c>
      <c r="Q441" s="54">
        <v>69.2119</v>
      </c>
      <c r="R441" s="52">
        <v>78.7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78.7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46132.625555555554</v>
      </c>
      <c r="AH441" s="52">
        <v>28180</v>
      </c>
      <c r="AI441" s="52">
        <v>0</v>
      </c>
      <c r="AJ441" s="53">
        <f>AH441+AI441</f>
        <v>28180</v>
      </c>
      <c r="AK441" s="56">
        <v>0</v>
      </c>
    </row>
    <row r="442">
      <c r="A442" s="48">
        <v>46132.625706018516</v>
      </c>
      <c r="B442" s="49" t="s">
        <v>108</v>
      </c>
      <c r="C442" s="49" t="s">
        <v>113</v>
      </c>
      <c r="D442" s="49" t="s">
        <v>5</v>
      </c>
      <c r="E442" s="50">
        <v>96</v>
      </c>
      <c r="F442" s="49" t="s">
        <v>107</v>
      </c>
      <c r="G442" s="51">
        <v>166004766</v>
      </c>
      <c r="H442" s="52">
        <v>317.66</v>
      </c>
      <c r="I442" s="52">
        <f>L442+M442+N442</f>
        <v>265.7873</v>
      </c>
      <c r="J442" s="52">
        <f>O442+P442</f>
        <v>51.8727</v>
      </c>
      <c r="K442" s="53">
        <f>IF(H442=I442+J442,0,W442)</f>
        <v>0</v>
      </c>
      <c r="L442" s="52">
        <v>221.9837</v>
      </c>
      <c r="M442" s="52">
        <v>43.8036</v>
      </c>
      <c r="N442" s="52">
        <v>0</v>
      </c>
      <c r="O442" s="52">
        <v>46.6163</v>
      </c>
      <c r="P442" s="52">
        <v>5.2564</v>
      </c>
      <c r="Q442" s="54">
        <v>265.7873</v>
      </c>
      <c r="R442" s="52">
        <v>317.66</v>
      </c>
      <c r="S442" s="52">
        <v>0</v>
      </c>
      <c r="T442" s="52">
        <v>0</v>
      </c>
      <c r="U442" s="52">
        <v>0</v>
      </c>
      <c r="V442" s="52">
        <v>0</v>
      </c>
      <c r="W442" s="52">
        <v>0</v>
      </c>
      <c r="X442" s="54">
        <v>0</v>
      </c>
      <c r="Y442" s="52">
        <v>0</v>
      </c>
      <c r="Z442" s="52">
        <v>317.66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46132.625706018516</v>
      </c>
      <c r="AH442" s="52">
        <v>44481</v>
      </c>
      <c r="AI442" s="52">
        <v>0</v>
      </c>
      <c r="AJ442" s="53">
        <f>AH442+AI442</f>
        <v>44481</v>
      </c>
      <c r="AK442" s="56">
        <v>0</v>
      </c>
    </row>
    <row r="443">
      <c r="A443" s="48">
        <v>46132.62672453704</v>
      </c>
      <c r="B443" s="49" t="s">
        <v>108</v>
      </c>
      <c r="C443" s="49" t="s">
        <v>113</v>
      </c>
      <c r="D443" s="49" t="s">
        <v>5</v>
      </c>
      <c r="E443" s="50">
        <v>96</v>
      </c>
      <c r="F443" s="49" t="s">
        <v>107</v>
      </c>
      <c r="G443" s="51">
        <v>166004767</v>
      </c>
      <c r="H443" s="52">
        <v>352</v>
      </c>
      <c r="I443" s="52">
        <f>L443+M443+N443</f>
        <v>311.5029</v>
      </c>
      <c r="J443" s="52">
        <f>O443+P443</f>
        <v>40.4971</v>
      </c>
      <c r="K443" s="53">
        <f>IF(H443=I443+J443,0,W443)</f>
        <v>0</v>
      </c>
      <c r="L443" s="52">
        <v>34.6281</v>
      </c>
      <c r="M443" s="52">
        <v>276.8748</v>
      </c>
      <c r="N443" s="52">
        <v>0</v>
      </c>
      <c r="O443" s="52">
        <v>7.2719</v>
      </c>
      <c r="P443" s="52">
        <v>33.2252</v>
      </c>
      <c r="Q443" s="54">
        <v>311.5029</v>
      </c>
      <c r="R443" s="52">
        <v>352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352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46132.62672453704</v>
      </c>
      <c r="AH443" s="52">
        <v>44481</v>
      </c>
      <c r="AI443" s="52">
        <v>0</v>
      </c>
      <c r="AJ443" s="53">
        <f>AH443+AI443</f>
        <v>44481</v>
      </c>
      <c r="AK443" s="56">
        <v>0</v>
      </c>
    </row>
    <row r="444">
      <c r="A444" s="48">
        <v>46132.62770833333</v>
      </c>
      <c r="B444" s="49" t="s">
        <v>108</v>
      </c>
      <c r="C444" s="49" t="s">
        <v>100</v>
      </c>
      <c r="D444" s="49" t="s">
        <v>5</v>
      </c>
      <c r="E444" s="50">
        <v>96</v>
      </c>
      <c r="F444" s="49" t="s">
        <v>105</v>
      </c>
      <c r="G444" s="51">
        <v>161000369</v>
      </c>
      <c r="H444" s="52">
        <v>62.9</v>
      </c>
      <c r="I444" s="52">
        <f>L444+M444+N444</f>
        <v>56.16</v>
      </c>
      <c r="J444" s="52">
        <f>O444+P444</f>
        <v>6.74</v>
      </c>
      <c r="K444" s="53">
        <f>IF(H444=I444+J444,0,W444)</f>
        <v>0</v>
      </c>
      <c r="L444" s="52">
        <v>0</v>
      </c>
      <c r="M444" s="52">
        <v>56.16</v>
      </c>
      <c r="N444" s="52">
        <v>0</v>
      </c>
      <c r="O444" s="52">
        <v>0</v>
      </c>
      <c r="P444" s="52">
        <v>6.74</v>
      </c>
      <c r="Q444" s="54">
        <v>56.16</v>
      </c>
      <c r="R444" s="52">
        <v>62.9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62.9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46132.62770833333</v>
      </c>
      <c r="AH444" s="52">
        <v>0</v>
      </c>
      <c r="AI444" s="52">
        <v>0</v>
      </c>
      <c r="AJ444" s="53">
        <f>AH444+AI444</f>
        <v>0</v>
      </c>
      <c r="AK444" s="56">
        <v>0</v>
      </c>
    </row>
    <row r="445">
      <c r="A445" s="48">
        <v>46132.627962962964</v>
      </c>
      <c r="B445" s="49" t="s">
        <v>108</v>
      </c>
      <c r="C445" s="49" t="s">
        <v>100</v>
      </c>
      <c r="D445" s="49" t="s">
        <v>5</v>
      </c>
      <c r="E445" s="50">
        <v>96</v>
      </c>
      <c r="F445" s="49" t="s">
        <v>101</v>
      </c>
      <c r="G445" s="51">
        <v>163000344</v>
      </c>
      <c r="H445" s="52">
        <v>31.8</v>
      </c>
      <c r="I445" s="52">
        <f>L445+M445+N445</f>
        <v>26.28</v>
      </c>
      <c r="J445" s="52">
        <f>O445+P445</f>
        <v>5.52</v>
      </c>
      <c r="K445" s="53">
        <f>IF(H445=I445+J445,0,W445)</f>
        <v>0</v>
      </c>
      <c r="L445" s="52">
        <v>26.28</v>
      </c>
      <c r="M445" s="52">
        <v>0</v>
      </c>
      <c r="N445" s="52">
        <v>0</v>
      </c>
      <c r="O445" s="52">
        <v>5.52</v>
      </c>
      <c r="P445" s="52">
        <v>0</v>
      </c>
      <c r="Q445" s="54">
        <v>26.28</v>
      </c>
      <c r="R445" s="52">
        <v>31.8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31.8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46132.627962962964</v>
      </c>
      <c r="AH445" s="52">
        <v>0</v>
      </c>
      <c r="AI445" s="52">
        <v>0</v>
      </c>
      <c r="AJ445" s="53">
        <f>AH445+AI445</f>
        <v>0</v>
      </c>
      <c r="AK445" s="56">
        <v>0</v>
      </c>
    </row>
    <row r="446">
      <c r="A446" s="48">
        <v>46132.62873842593</v>
      </c>
      <c r="B446" s="49" t="s">
        <v>108</v>
      </c>
      <c r="C446" s="49" t="s">
        <v>113</v>
      </c>
      <c r="D446" s="49" t="s">
        <v>5</v>
      </c>
      <c r="E446" s="50">
        <v>96</v>
      </c>
      <c r="F446" s="49" t="s">
        <v>107</v>
      </c>
      <c r="G446" s="51">
        <v>166004768</v>
      </c>
      <c r="H446" s="52">
        <v>570.9</v>
      </c>
      <c r="I446" s="52">
        <f>L446+M446+N446</f>
        <v>493.7538</v>
      </c>
      <c r="J446" s="52">
        <f>O446+P446</f>
        <v>77.1462</v>
      </c>
      <c r="K446" s="53">
        <f>IF(H446=I446+J446,0,W446)</f>
        <v>0</v>
      </c>
      <c r="L446" s="52">
        <v>198.8429</v>
      </c>
      <c r="M446" s="52">
        <v>294.9109</v>
      </c>
      <c r="N446" s="52">
        <v>0</v>
      </c>
      <c r="O446" s="52">
        <v>41.7571</v>
      </c>
      <c r="P446" s="52">
        <v>35.3891</v>
      </c>
      <c r="Q446" s="54">
        <v>493.7538</v>
      </c>
      <c r="R446" s="52">
        <v>570.9</v>
      </c>
      <c r="S446" s="52">
        <v>0</v>
      </c>
      <c r="T446" s="52">
        <v>0</v>
      </c>
      <c r="U446" s="52">
        <v>0</v>
      </c>
      <c r="V446" s="52">
        <v>0</v>
      </c>
      <c r="W446" s="52">
        <v>0</v>
      </c>
      <c r="X446" s="54">
        <v>0</v>
      </c>
      <c r="Y446" s="52">
        <v>0</v>
      </c>
      <c r="Z446" s="52">
        <v>570.9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46132.62873842593</v>
      </c>
      <c r="AH446" s="52">
        <v>44481</v>
      </c>
      <c r="AI446" s="52">
        <v>0</v>
      </c>
      <c r="AJ446" s="53">
        <f>AH446+AI446</f>
        <v>44481</v>
      </c>
      <c r="AK446" s="56">
        <v>0</v>
      </c>
    </row>
    <row r="447">
      <c r="A447" s="48">
        <v>46132.629282407404</v>
      </c>
      <c r="B447" s="49" t="s">
        <v>108</v>
      </c>
      <c r="C447" s="49" t="s">
        <v>113</v>
      </c>
      <c r="D447" s="49" t="s">
        <v>5</v>
      </c>
      <c r="E447" s="50">
        <v>96</v>
      </c>
      <c r="F447" s="49" t="s">
        <v>107</v>
      </c>
      <c r="G447" s="51">
        <v>166004769</v>
      </c>
      <c r="H447" s="52">
        <v>68</v>
      </c>
      <c r="I447" s="52">
        <f>L447+M447+N447</f>
        <v>60.4465</v>
      </c>
      <c r="J447" s="52">
        <f>O447+P447</f>
        <v>7.2535</v>
      </c>
      <c r="K447" s="53">
        <f>IF(H447=I447+J447,0,W447)</f>
        <v>0.3</v>
      </c>
      <c r="L447" s="52">
        <v>0</v>
      </c>
      <c r="M447" s="52">
        <v>60.4465</v>
      </c>
      <c r="N447" s="52">
        <v>0</v>
      </c>
      <c r="O447" s="52">
        <v>0</v>
      </c>
      <c r="P447" s="52">
        <v>7.2535</v>
      </c>
      <c r="Q447" s="54">
        <v>60.4465</v>
      </c>
      <c r="R447" s="52">
        <v>67.7</v>
      </c>
      <c r="S447" s="52">
        <v>0</v>
      </c>
      <c r="T447" s="52">
        <v>0</v>
      </c>
      <c r="U447" s="52">
        <v>0</v>
      </c>
      <c r="V447" s="52">
        <v>0</v>
      </c>
      <c r="W447" s="52">
        <v>0.3</v>
      </c>
      <c r="X447" s="54">
        <v>70</v>
      </c>
      <c r="Y447" s="52">
        <v>0</v>
      </c>
      <c r="Z447" s="52">
        <v>0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46132.629282407404</v>
      </c>
      <c r="AH447" s="52">
        <v>44549</v>
      </c>
      <c r="AI447" s="52">
        <v>0</v>
      </c>
      <c r="AJ447" s="53">
        <f>AH447+AI447</f>
        <v>44549</v>
      </c>
      <c r="AK447" s="56">
        <v>0</v>
      </c>
    </row>
    <row r="448">
      <c r="A448" s="48">
        <v>46132.629525462966</v>
      </c>
      <c r="B448" s="49" t="s">
        <v>108</v>
      </c>
      <c r="C448" s="49" t="s">
        <v>100</v>
      </c>
      <c r="D448" s="49" t="s">
        <v>5</v>
      </c>
      <c r="E448" s="50">
        <v>96</v>
      </c>
      <c r="F448" s="49" t="s">
        <v>105</v>
      </c>
      <c r="G448" s="51">
        <v>161000370</v>
      </c>
      <c r="H448" s="52">
        <v>55.2</v>
      </c>
      <c r="I448" s="52">
        <f>L448+M448+N448</f>
        <v>49.28</v>
      </c>
      <c r="J448" s="52">
        <f>O448+P448</f>
        <v>5.92</v>
      </c>
      <c r="K448" s="53">
        <f>IF(H448=I448+J448,0,W448)</f>
        <v>0</v>
      </c>
      <c r="L448" s="52">
        <v>0</v>
      </c>
      <c r="M448" s="52">
        <v>49.28</v>
      </c>
      <c r="N448" s="52">
        <v>0</v>
      </c>
      <c r="O448" s="52">
        <v>0</v>
      </c>
      <c r="P448" s="52">
        <v>5.92</v>
      </c>
      <c r="Q448" s="54">
        <v>49.28</v>
      </c>
      <c r="R448" s="52">
        <v>55.2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55.2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46132.629525462966</v>
      </c>
      <c r="AH448" s="52">
        <v>0</v>
      </c>
      <c r="AI448" s="52">
        <v>0</v>
      </c>
      <c r="AJ448" s="53">
        <f>AH448+AI448</f>
        <v>0</v>
      </c>
      <c r="AK448" s="56">
        <v>0</v>
      </c>
    </row>
    <row r="449">
      <c r="A449" s="48">
        <v>46132.629965277774</v>
      </c>
      <c r="B449" s="49" t="s">
        <v>108</v>
      </c>
      <c r="C449" s="49" t="s">
        <v>113</v>
      </c>
      <c r="D449" s="49" t="s">
        <v>5</v>
      </c>
      <c r="E449" s="50">
        <v>96</v>
      </c>
      <c r="F449" s="49" t="s">
        <v>107</v>
      </c>
      <c r="G449" s="51">
        <v>166004770</v>
      </c>
      <c r="H449" s="52">
        <v>233</v>
      </c>
      <c r="I449" s="52">
        <f>L449+M449+N449</f>
        <v>205.5275</v>
      </c>
      <c r="J449" s="52">
        <f>O449+P449</f>
        <v>27.7725</v>
      </c>
      <c r="K449" s="53">
        <f>IF(H449=I449+J449,0,W449)</f>
        <v>-0.3</v>
      </c>
      <c r="L449" s="52">
        <v>34.5454</v>
      </c>
      <c r="M449" s="52">
        <v>170.9821</v>
      </c>
      <c r="N449" s="52">
        <v>0</v>
      </c>
      <c r="O449" s="52">
        <v>7.2546</v>
      </c>
      <c r="P449" s="52">
        <v>20.5179</v>
      </c>
      <c r="Q449" s="54">
        <v>205.5275</v>
      </c>
      <c r="R449" s="52">
        <v>233.3</v>
      </c>
      <c r="S449" s="52">
        <v>0</v>
      </c>
      <c r="T449" s="52">
        <v>0</v>
      </c>
      <c r="U449" s="52">
        <v>0</v>
      </c>
      <c r="V449" s="52">
        <v>0</v>
      </c>
      <c r="W449" s="52">
        <v>-0.3</v>
      </c>
      <c r="X449" s="54">
        <v>233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46132.629965277774</v>
      </c>
      <c r="AH449" s="52">
        <v>44782</v>
      </c>
      <c r="AI449" s="52">
        <v>0</v>
      </c>
      <c r="AJ449" s="53">
        <f>AH449+AI449</f>
        <v>44782</v>
      </c>
      <c r="AK449" s="56">
        <v>0</v>
      </c>
    </row>
    <row r="450">
      <c r="A450" s="48">
        <v>46132.63048611111</v>
      </c>
      <c r="B450" s="49" t="s">
        <v>108</v>
      </c>
      <c r="C450" s="49" t="s">
        <v>113</v>
      </c>
      <c r="D450" s="49" t="s">
        <v>5</v>
      </c>
      <c r="E450" s="50">
        <v>96</v>
      </c>
      <c r="F450" s="49" t="s">
        <v>107</v>
      </c>
      <c r="G450" s="51">
        <v>166004771</v>
      </c>
      <c r="H450" s="52">
        <v>150.3</v>
      </c>
      <c r="I450" s="52">
        <f>L450+M450+N450</f>
        <v>129.9727</v>
      </c>
      <c r="J450" s="52">
        <f>O450+P450</f>
        <v>20.3273</v>
      </c>
      <c r="K450" s="53">
        <f>IF(H450=I450+J450,0,W450)</f>
        <v>0</v>
      </c>
      <c r="L450" s="52">
        <v>52.562</v>
      </c>
      <c r="M450" s="52">
        <v>77.4107</v>
      </c>
      <c r="N450" s="52">
        <v>0</v>
      </c>
      <c r="O450" s="52">
        <v>11.038</v>
      </c>
      <c r="P450" s="52">
        <v>9.2893</v>
      </c>
      <c r="Q450" s="54">
        <v>129.9727</v>
      </c>
      <c r="R450" s="52">
        <v>150.3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150.3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46132.63048611111</v>
      </c>
      <c r="AH450" s="52">
        <v>44782</v>
      </c>
      <c r="AI450" s="52">
        <v>0</v>
      </c>
      <c r="AJ450" s="53">
        <f>AH450+AI450</f>
        <v>44782</v>
      </c>
      <c r="AK450" s="56">
        <v>0</v>
      </c>
    </row>
    <row r="451">
      <c r="A451" s="48">
        <v>46132.63195601852</v>
      </c>
      <c r="B451" s="49" t="s">
        <v>108</v>
      </c>
      <c r="C451" s="49" t="s">
        <v>113</v>
      </c>
      <c r="D451" s="49" t="s">
        <v>5</v>
      </c>
      <c r="E451" s="50">
        <v>96</v>
      </c>
      <c r="F451" s="49" t="s">
        <v>107</v>
      </c>
      <c r="G451" s="51">
        <v>166004772</v>
      </c>
      <c r="H451" s="52">
        <v>421</v>
      </c>
      <c r="I451" s="52">
        <f>L451+M451+N451</f>
        <v>368.55219999999997</v>
      </c>
      <c r="J451" s="52">
        <f>O451+P451</f>
        <v>52.147800000000004</v>
      </c>
      <c r="K451" s="53">
        <f>IF(H451=I451+J451,0,W451)</f>
        <v>0.3</v>
      </c>
      <c r="L451" s="52">
        <v>88.0164</v>
      </c>
      <c r="M451" s="52">
        <v>280.5358</v>
      </c>
      <c r="N451" s="52">
        <v>0</v>
      </c>
      <c r="O451" s="52">
        <v>18.4836</v>
      </c>
      <c r="P451" s="52">
        <v>33.6642</v>
      </c>
      <c r="Q451" s="54">
        <v>368.5522</v>
      </c>
      <c r="R451" s="52">
        <v>420.7</v>
      </c>
      <c r="S451" s="52">
        <v>0</v>
      </c>
      <c r="T451" s="52">
        <v>0</v>
      </c>
      <c r="U451" s="52">
        <v>0</v>
      </c>
      <c r="V451" s="52">
        <v>0</v>
      </c>
      <c r="W451" s="52">
        <v>0.3</v>
      </c>
      <c r="X451" s="54">
        <v>500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46132.63195601852</v>
      </c>
      <c r="AH451" s="52">
        <v>45203</v>
      </c>
      <c r="AI451" s="52">
        <v>0</v>
      </c>
      <c r="AJ451" s="53">
        <f>AH451+AI451</f>
        <v>45203</v>
      </c>
      <c r="AK451" s="56">
        <v>0</v>
      </c>
    </row>
    <row r="452">
      <c r="A452" s="48">
        <v>46132.632627314815</v>
      </c>
      <c r="B452" s="49" t="s">
        <v>108</v>
      </c>
      <c r="C452" s="49" t="s">
        <v>113</v>
      </c>
      <c r="D452" s="49" t="s">
        <v>5</v>
      </c>
      <c r="E452" s="50">
        <v>96</v>
      </c>
      <c r="F452" s="49" t="s">
        <v>107</v>
      </c>
      <c r="G452" s="51">
        <v>166004773</v>
      </c>
      <c r="H452" s="52">
        <v>59</v>
      </c>
      <c r="I452" s="52">
        <f>L452+M452+N452</f>
        <v>52.3751</v>
      </c>
      <c r="J452" s="52">
        <f>O452+P452</f>
        <v>6.2849</v>
      </c>
      <c r="K452" s="53">
        <f>IF(H452=I452+J452,0,W452)</f>
        <v>0.34</v>
      </c>
      <c r="L452" s="52">
        <v>0</v>
      </c>
      <c r="M452" s="52">
        <v>52.3751</v>
      </c>
      <c r="N452" s="52">
        <v>0</v>
      </c>
      <c r="O452" s="52">
        <v>0</v>
      </c>
      <c r="P452" s="52">
        <v>6.2849</v>
      </c>
      <c r="Q452" s="54">
        <v>52.3751</v>
      </c>
      <c r="R452" s="52">
        <v>58.66</v>
      </c>
      <c r="S452" s="52">
        <v>0</v>
      </c>
      <c r="T452" s="52">
        <v>0</v>
      </c>
      <c r="U452" s="52">
        <v>0</v>
      </c>
      <c r="V452" s="52">
        <v>0</v>
      </c>
      <c r="W452" s="52">
        <v>0.34</v>
      </c>
      <c r="X452" s="54">
        <v>59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46132.632627314815</v>
      </c>
      <c r="AH452" s="52">
        <v>45262</v>
      </c>
      <c r="AI452" s="52">
        <v>0</v>
      </c>
      <c r="AJ452" s="53">
        <f>AH452+AI452</f>
        <v>45262</v>
      </c>
      <c r="AK452" s="56">
        <v>0</v>
      </c>
    </row>
    <row r="453">
      <c r="A453" s="48">
        <v>46132.63292824074</v>
      </c>
      <c r="B453" s="49" t="s">
        <v>108</v>
      </c>
      <c r="C453" s="49" t="s">
        <v>113</v>
      </c>
      <c r="D453" s="49" t="s">
        <v>5</v>
      </c>
      <c r="E453" s="50">
        <v>96</v>
      </c>
      <c r="F453" s="49" t="s">
        <v>107</v>
      </c>
      <c r="G453" s="51">
        <v>166004774</v>
      </c>
      <c r="H453" s="52">
        <v>60</v>
      </c>
      <c r="I453" s="52">
        <f>L453+M453+N453</f>
        <v>51.73909999999999</v>
      </c>
      <c r="J453" s="52">
        <f>O453+P453</f>
        <v>8.0609</v>
      </c>
      <c r="K453" s="53">
        <f>IF(H453=I453+J453,0,W453)</f>
        <v>0.2</v>
      </c>
      <c r="L453" s="52">
        <v>20.5785</v>
      </c>
      <c r="M453" s="52">
        <v>31.1606</v>
      </c>
      <c r="N453" s="52">
        <v>0</v>
      </c>
      <c r="O453" s="52">
        <v>4.3215</v>
      </c>
      <c r="P453" s="52">
        <v>3.7394</v>
      </c>
      <c r="Q453" s="54">
        <v>51.7391</v>
      </c>
      <c r="R453" s="52">
        <v>59.8</v>
      </c>
      <c r="S453" s="52">
        <v>0</v>
      </c>
      <c r="T453" s="52">
        <v>0</v>
      </c>
      <c r="U453" s="52">
        <v>0</v>
      </c>
      <c r="V453" s="52">
        <v>0</v>
      </c>
      <c r="W453" s="52">
        <v>0.2</v>
      </c>
      <c r="X453" s="54">
        <v>200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46132.63292824074</v>
      </c>
      <c r="AH453" s="52">
        <v>45322</v>
      </c>
      <c r="AI453" s="52">
        <v>0</v>
      </c>
      <c r="AJ453" s="53">
        <f>AH453+AI453</f>
        <v>45322</v>
      </c>
      <c r="AK453" s="56">
        <v>0</v>
      </c>
    </row>
    <row r="454">
      <c r="A454" s="48">
        <v>46132.63328703704</v>
      </c>
      <c r="B454" s="49" t="s">
        <v>108</v>
      </c>
      <c r="C454" s="49" t="s">
        <v>111</v>
      </c>
      <c r="D454" s="49" t="s">
        <v>5</v>
      </c>
      <c r="E454" s="50">
        <v>96</v>
      </c>
      <c r="F454" s="49" t="s">
        <v>109</v>
      </c>
      <c r="G454" s="51">
        <v>169002698</v>
      </c>
      <c r="H454" s="52">
        <v>16</v>
      </c>
      <c r="I454" s="52">
        <f>L454+M454+N454</f>
        <v>14.1964</v>
      </c>
      <c r="J454" s="52">
        <f>O454+P454</f>
        <v>1.7036</v>
      </c>
      <c r="K454" s="53">
        <f>IF(H454=I454+J454,0,W454)</f>
        <v>0.1</v>
      </c>
      <c r="L454" s="52">
        <v>0</v>
      </c>
      <c r="M454" s="52">
        <v>14.1964</v>
      </c>
      <c r="N454" s="52">
        <v>0</v>
      </c>
      <c r="O454" s="52">
        <v>0</v>
      </c>
      <c r="P454" s="52">
        <v>1.7036</v>
      </c>
      <c r="Q454" s="54">
        <v>14.1964</v>
      </c>
      <c r="R454" s="52">
        <v>15.9</v>
      </c>
      <c r="S454" s="52">
        <v>0</v>
      </c>
      <c r="T454" s="52">
        <v>0</v>
      </c>
      <c r="U454" s="52">
        <v>0</v>
      </c>
      <c r="V454" s="52">
        <v>0</v>
      </c>
      <c r="W454" s="52">
        <v>0.1</v>
      </c>
      <c r="X454" s="54">
        <v>20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46132.63328703704</v>
      </c>
      <c r="AH454" s="52">
        <v>28196</v>
      </c>
      <c r="AI454" s="52">
        <v>0</v>
      </c>
      <c r="AJ454" s="53">
        <f>AH454+AI454</f>
        <v>28196</v>
      </c>
      <c r="AK454" s="56">
        <v>0</v>
      </c>
    </row>
    <row r="455">
      <c r="A455" s="48">
        <v>46132.63354166667</v>
      </c>
      <c r="B455" s="49" t="s">
        <v>108</v>
      </c>
      <c r="C455" s="49" t="s">
        <v>113</v>
      </c>
      <c r="D455" s="49" t="s">
        <v>5</v>
      </c>
      <c r="E455" s="50">
        <v>96</v>
      </c>
      <c r="F455" s="49" t="s">
        <v>107</v>
      </c>
      <c r="G455" s="51">
        <v>166004775</v>
      </c>
      <c r="H455" s="52">
        <v>190</v>
      </c>
      <c r="I455" s="52">
        <f>L455+M455+N455</f>
        <v>159.0031</v>
      </c>
      <c r="J455" s="52">
        <f>O455+P455</f>
        <v>31.1969</v>
      </c>
      <c r="K455" s="53">
        <f>IF(H455=I455+J455,0,W455)</f>
        <v>-0.2</v>
      </c>
      <c r="L455" s="52">
        <v>134.6281</v>
      </c>
      <c r="M455" s="52">
        <v>24.375</v>
      </c>
      <c r="N455" s="52">
        <v>0</v>
      </c>
      <c r="O455" s="52">
        <v>28.2719</v>
      </c>
      <c r="P455" s="52">
        <v>2.925</v>
      </c>
      <c r="Q455" s="54">
        <v>159.0031</v>
      </c>
      <c r="R455" s="52">
        <v>190.2</v>
      </c>
      <c r="S455" s="52">
        <v>0</v>
      </c>
      <c r="T455" s="52">
        <v>0</v>
      </c>
      <c r="U455" s="52">
        <v>0</v>
      </c>
      <c r="V455" s="52">
        <v>0</v>
      </c>
      <c r="W455" s="52">
        <v>-0.2</v>
      </c>
      <c r="X455" s="54">
        <v>200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46132.63354166667</v>
      </c>
      <c r="AH455" s="52">
        <v>45512</v>
      </c>
      <c r="AI455" s="52">
        <v>0</v>
      </c>
      <c r="AJ455" s="53">
        <f>AH455+AI455</f>
        <v>45512</v>
      </c>
      <c r="AK455" s="56">
        <v>0</v>
      </c>
    </row>
    <row r="456">
      <c r="A456" s="48">
        <v>46132.63376157408</v>
      </c>
      <c r="B456" s="49" t="s">
        <v>108</v>
      </c>
      <c r="C456" s="49" t="s">
        <v>111</v>
      </c>
      <c r="D456" s="49" t="s">
        <v>5</v>
      </c>
      <c r="E456" s="50">
        <v>96</v>
      </c>
      <c r="F456" s="49" t="s">
        <v>109</v>
      </c>
      <c r="G456" s="51">
        <v>169002699</v>
      </c>
      <c r="H456" s="52">
        <v>38</v>
      </c>
      <c r="I456" s="52">
        <f>L456+M456+N456</f>
        <v>33.6608</v>
      </c>
      <c r="J456" s="52">
        <f>O456+P456</f>
        <v>4.0392</v>
      </c>
      <c r="K456" s="53">
        <f>IF(H456=I456+J456,0,W456)</f>
        <v>0.3</v>
      </c>
      <c r="L456" s="52">
        <v>0</v>
      </c>
      <c r="M456" s="52">
        <v>33.6608</v>
      </c>
      <c r="N456" s="52">
        <v>0</v>
      </c>
      <c r="O456" s="52">
        <v>0</v>
      </c>
      <c r="P456" s="52">
        <v>4.0392</v>
      </c>
      <c r="Q456" s="54">
        <v>33.6608</v>
      </c>
      <c r="R456" s="52">
        <v>37.7</v>
      </c>
      <c r="S456" s="52">
        <v>0</v>
      </c>
      <c r="T456" s="52">
        <v>0</v>
      </c>
      <c r="U456" s="52">
        <v>0</v>
      </c>
      <c r="V456" s="52">
        <v>0</v>
      </c>
      <c r="W456" s="52">
        <v>0.3</v>
      </c>
      <c r="X456" s="54">
        <v>200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46132.63376157408</v>
      </c>
      <c r="AH456" s="52">
        <v>28234</v>
      </c>
      <c r="AI456" s="52">
        <v>0</v>
      </c>
      <c r="AJ456" s="53">
        <f>AH456+AI456</f>
        <v>28234</v>
      </c>
      <c r="AK456" s="56">
        <v>0</v>
      </c>
    </row>
    <row r="457">
      <c r="A457" s="48">
        <v>46132.63421296296</v>
      </c>
      <c r="B457" s="49" t="s">
        <v>108</v>
      </c>
      <c r="C457" s="49" t="s">
        <v>111</v>
      </c>
      <c r="D457" s="49" t="s">
        <v>5</v>
      </c>
      <c r="E457" s="50">
        <v>96</v>
      </c>
      <c r="F457" s="49" t="s">
        <v>109</v>
      </c>
      <c r="G457" s="51">
        <v>169002700</v>
      </c>
      <c r="H457" s="52">
        <v>172</v>
      </c>
      <c r="I457" s="52">
        <f>L457+M457+N457</f>
        <v>142.3967</v>
      </c>
      <c r="J457" s="52">
        <f>O457+P457</f>
        <v>29.9033</v>
      </c>
      <c r="K457" s="53">
        <f>IF(H457=I457+J457,0,W457)</f>
        <v>-0.3</v>
      </c>
      <c r="L457" s="52">
        <v>142.3967</v>
      </c>
      <c r="M457" s="52">
        <v>0</v>
      </c>
      <c r="N457" s="52">
        <v>0</v>
      </c>
      <c r="O457" s="52">
        <v>29.9033</v>
      </c>
      <c r="P457" s="52">
        <v>0</v>
      </c>
      <c r="Q457" s="54">
        <v>142.3967</v>
      </c>
      <c r="R457" s="52">
        <v>172.3</v>
      </c>
      <c r="S457" s="52">
        <v>0</v>
      </c>
      <c r="T457" s="52">
        <v>0</v>
      </c>
      <c r="U457" s="52">
        <v>0</v>
      </c>
      <c r="V457" s="52">
        <v>0</v>
      </c>
      <c r="W457" s="52">
        <v>-0.3</v>
      </c>
      <c r="X457" s="54">
        <v>202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46132.63421296296</v>
      </c>
      <c r="AH457" s="52">
        <v>28406</v>
      </c>
      <c r="AI457" s="52">
        <v>0</v>
      </c>
      <c r="AJ457" s="53">
        <f>AH457+AI457</f>
        <v>28406</v>
      </c>
      <c r="AK457" s="56">
        <v>0</v>
      </c>
    </row>
    <row r="458">
      <c r="A458" s="48">
        <v>46132.63460648148</v>
      </c>
      <c r="B458" s="49" t="s">
        <v>108</v>
      </c>
      <c r="C458" s="49" t="s">
        <v>111</v>
      </c>
      <c r="D458" s="49" t="s">
        <v>5</v>
      </c>
      <c r="E458" s="50">
        <v>96</v>
      </c>
      <c r="F458" s="49" t="s">
        <v>109</v>
      </c>
      <c r="G458" s="51">
        <v>169002701</v>
      </c>
      <c r="H458" s="52">
        <v>75.7</v>
      </c>
      <c r="I458" s="52">
        <f>L458+M458+N458</f>
        <v>62.5621</v>
      </c>
      <c r="J458" s="52">
        <f>O458+P458</f>
        <v>13.1379</v>
      </c>
      <c r="K458" s="53">
        <f>IF(H458=I458+J458,0,W458)</f>
        <v>0</v>
      </c>
      <c r="L458" s="52">
        <v>62.5621</v>
      </c>
      <c r="M458" s="52">
        <v>0</v>
      </c>
      <c r="N458" s="52">
        <v>0</v>
      </c>
      <c r="O458" s="52">
        <v>13.1379</v>
      </c>
      <c r="P458" s="52">
        <v>0</v>
      </c>
      <c r="Q458" s="54">
        <v>62.5621</v>
      </c>
      <c r="R458" s="52">
        <v>75.7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75.7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46132.63460648148</v>
      </c>
      <c r="AH458" s="52">
        <v>28406</v>
      </c>
      <c r="AI458" s="52">
        <v>0</v>
      </c>
      <c r="AJ458" s="53">
        <f>AH458+AI458</f>
        <v>28406</v>
      </c>
      <c r="AK458" s="56">
        <v>0</v>
      </c>
    </row>
    <row r="459">
      <c r="A459" s="48">
        <v>46132.63481481482</v>
      </c>
      <c r="B459" s="49" t="s">
        <v>108</v>
      </c>
      <c r="C459" s="49" t="s">
        <v>100</v>
      </c>
      <c r="D459" s="49" t="s">
        <v>5</v>
      </c>
      <c r="E459" s="50">
        <v>96</v>
      </c>
      <c r="F459" s="49" t="s">
        <v>105</v>
      </c>
      <c r="G459" s="51">
        <v>161000371</v>
      </c>
      <c r="H459" s="52">
        <v>33.8</v>
      </c>
      <c r="I459" s="52">
        <f>L459+M459+N459</f>
        <v>30.17</v>
      </c>
      <c r="J459" s="52">
        <f>O459+P459</f>
        <v>3.63</v>
      </c>
      <c r="K459" s="53">
        <f>IF(H459=I459+J459,0,W459)</f>
        <v>0</v>
      </c>
      <c r="L459" s="52">
        <v>0</v>
      </c>
      <c r="M459" s="52">
        <v>30.17</v>
      </c>
      <c r="N459" s="52">
        <v>0</v>
      </c>
      <c r="O459" s="52">
        <v>0</v>
      </c>
      <c r="P459" s="52">
        <v>3.63</v>
      </c>
      <c r="Q459" s="54">
        <v>30.17</v>
      </c>
      <c r="R459" s="52">
        <v>33.8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33.8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46132.63481481482</v>
      </c>
      <c r="AH459" s="52">
        <v>0</v>
      </c>
      <c r="AI459" s="52">
        <v>0</v>
      </c>
      <c r="AJ459" s="53">
        <f>AH459+AI459</f>
        <v>0</v>
      </c>
      <c r="AK459" s="56">
        <v>0</v>
      </c>
    </row>
    <row r="460">
      <c r="A460" s="48">
        <v>46132.635717592595</v>
      </c>
      <c r="B460" s="49" t="s">
        <v>108</v>
      </c>
      <c r="C460" s="49" t="s">
        <v>111</v>
      </c>
      <c r="D460" s="49" t="s">
        <v>5</v>
      </c>
      <c r="E460" s="50">
        <v>96</v>
      </c>
      <c r="F460" s="49" t="s">
        <v>109</v>
      </c>
      <c r="G460" s="51">
        <v>169002702</v>
      </c>
      <c r="H460" s="52">
        <v>503</v>
      </c>
      <c r="I460" s="52">
        <f>L460+M460+N460</f>
        <v>422.31820000000005</v>
      </c>
      <c r="J460" s="52">
        <f>O460+P460</f>
        <v>80.54180000000001</v>
      </c>
      <c r="K460" s="53">
        <f>IF(H460=I460+J460,0,W460)</f>
        <v>0.14</v>
      </c>
      <c r="L460" s="52">
        <v>331.8183</v>
      </c>
      <c r="M460" s="52">
        <v>90.4999</v>
      </c>
      <c r="N460" s="52">
        <v>0</v>
      </c>
      <c r="O460" s="52">
        <v>69.6817</v>
      </c>
      <c r="P460" s="52">
        <v>10.8601</v>
      </c>
      <c r="Q460" s="54">
        <v>422.3182</v>
      </c>
      <c r="R460" s="52">
        <v>502.86</v>
      </c>
      <c r="S460" s="52">
        <v>0</v>
      </c>
      <c r="T460" s="52">
        <v>0</v>
      </c>
      <c r="U460" s="52">
        <v>0</v>
      </c>
      <c r="V460" s="52">
        <v>0</v>
      </c>
      <c r="W460" s="52">
        <v>0.14</v>
      </c>
      <c r="X460" s="54">
        <v>503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46132.635717592595</v>
      </c>
      <c r="AH460" s="52">
        <v>28909</v>
      </c>
      <c r="AI460" s="52">
        <v>0</v>
      </c>
      <c r="AJ460" s="53">
        <f>AH460+AI460</f>
        <v>28909</v>
      </c>
      <c r="AK460" s="56">
        <v>0</v>
      </c>
    </row>
    <row r="461">
      <c r="A461" s="48">
        <v>46132.6358912037</v>
      </c>
      <c r="B461" s="49" t="s">
        <v>108</v>
      </c>
      <c r="C461" s="49" t="s">
        <v>113</v>
      </c>
      <c r="D461" s="49" t="s">
        <v>5</v>
      </c>
      <c r="E461" s="50">
        <v>96</v>
      </c>
      <c r="F461" s="49" t="s">
        <v>107</v>
      </c>
      <c r="G461" s="51">
        <v>166004776</v>
      </c>
      <c r="H461" s="52">
        <v>153</v>
      </c>
      <c r="I461" s="52">
        <f>L461+M461+N461</f>
        <v>136.25</v>
      </c>
      <c r="J461" s="52">
        <f>O461+P461</f>
        <v>16.35</v>
      </c>
      <c r="K461" s="53">
        <f>IF(H461=I461+J461,0,W461)</f>
        <v>0.4</v>
      </c>
      <c r="L461" s="52">
        <v>0</v>
      </c>
      <c r="M461" s="52">
        <v>136.25</v>
      </c>
      <c r="N461" s="52">
        <v>0</v>
      </c>
      <c r="O461" s="52">
        <v>0</v>
      </c>
      <c r="P461" s="52">
        <v>16.35</v>
      </c>
      <c r="Q461" s="54">
        <v>136.25</v>
      </c>
      <c r="R461" s="52">
        <v>152.6</v>
      </c>
      <c r="S461" s="52">
        <v>0</v>
      </c>
      <c r="T461" s="52">
        <v>0</v>
      </c>
      <c r="U461" s="52">
        <v>0</v>
      </c>
      <c r="V461" s="52">
        <v>0</v>
      </c>
      <c r="W461" s="52">
        <v>0.4</v>
      </c>
      <c r="X461" s="54">
        <v>155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46132.6358912037</v>
      </c>
      <c r="AH461" s="52">
        <v>45665</v>
      </c>
      <c r="AI461" s="52">
        <v>0</v>
      </c>
      <c r="AJ461" s="53">
        <f>AH461+AI461</f>
        <v>45665</v>
      </c>
      <c r="AK461" s="56">
        <v>0</v>
      </c>
    </row>
    <row r="462">
      <c r="A462" s="48">
        <v>46132.636967592596</v>
      </c>
      <c r="B462" s="49" t="s">
        <v>108</v>
      </c>
      <c r="C462" s="49" t="s">
        <v>113</v>
      </c>
      <c r="D462" s="49" t="s">
        <v>5</v>
      </c>
      <c r="E462" s="50">
        <v>96</v>
      </c>
      <c r="F462" s="49" t="s">
        <v>107</v>
      </c>
      <c r="G462" s="51">
        <v>166004777</v>
      </c>
      <c r="H462" s="52">
        <v>219.67</v>
      </c>
      <c r="I462" s="52">
        <f>L462+M462+N462</f>
        <v>196.1339</v>
      </c>
      <c r="J462" s="52">
        <f>O462+P462</f>
        <v>23.5361</v>
      </c>
      <c r="K462" s="53">
        <f>IF(H462=I462+J462,0,W462)</f>
        <v>0</v>
      </c>
      <c r="L462" s="52">
        <v>0</v>
      </c>
      <c r="M462" s="52">
        <v>196.1339</v>
      </c>
      <c r="N462" s="52">
        <v>0</v>
      </c>
      <c r="O462" s="52">
        <v>0</v>
      </c>
      <c r="P462" s="52">
        <v>23.5361</v>
      </c>
      <c r="Q462" s="54">
        <v>196.1339</v>
      </c>
      <c r="R462" s="52">
        <v>219.67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219.67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46132.636967592596</v>
      </c>
      <c r="AH462" s="52">
        <v>45665</v>
      </c>
      <c r="AI462" s="52">
        <v>0</v>
      </c>
      <c r="AJ462" s="53">
        <f>AH462+AI462</f>
        <v>45665</v>
      </c>
      <c r="AK462" s="56">
        <v>0</v>
      </c>
    </row>
    <row r="463">
      <c r="A463" s="48">
        <v>46132.63746527778</v>
      </c>
      <c r="B463" s="49" t="s">
        <v>108</v>
      </c>
      <c r="C463" s="49" t="s">
        <v>111</v>
      </c>
      <c r="D463" s="49" t="s">
        <v>5</v>
      </c>
      <c r="E463" s="50">
        <v>96</v>
      </c>
      <c r="F463" s="49" t="s">
        <v>109</v>
      </c>
      <c r="G463" s="51">
        <v>169002703</v>
      </c>
      <c r="H463" s="52">
        <v>739</v>
      </c>
      <c r="I463" s="52">
        <f>L463+M463+N463</f>
        <v>648.9508000000001</v>
      </c>
      <c r="J463" s="52">
        <f>O463+P463</f>
        <v>89.8492</v>
      </c>
      <c r="K463" s="53">
        <f>IF(H463=I463+J463,0,W463)</f>
        <v>0.2</v>
      </c>
      <c r="L463" s="52">
        <v>133.0579</v>
      </c>
      <c r="M463" s="52">
        <v>515.8929</v>
      </c>
      <c r="N463" s="52">
        <v>0</v>
      </c>
      <c r="O463" s="52">
        <v>27.9421</v>
      </c>
      <c r="P463" s="52">
        <v>61.9071</v>
      </c>
      <c r="Q463" s="54">
        <v>648.9508</v>
      </c>
      <c r="R463" s="52">
        <v>738.8</v>
      </c>
      <c r="S463" s="52">
        <v>0</v>
      </c>
      <c r="T463" s="52">
        <v>0</v>
      </c>
      <c r="U463" s="52">
        <v>0</v>
      </c>
      <c r="V463" s="52">
        <v>0</v>
      </c>
      <c r="W463" s="52">
        <v>0.2</v>
      </c>
      <c r="X463" s="54">
        <v>1009</v>
      </c>
      <c r="Y463" s="52">
        <v>0</v>
      </c>
      <c r="Z463" s="52">
        <v>0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46132.63746527778</v>
      </c>
      <c r="AH463" s="52">
        <v>29648</v>
      </c>
      <c r="AI463" s="52">
        <v>0</v>
      </c>
      <c r="AJ463" s="53">
        <f>AH463+AI463</f>
        <v>29648</v>
      </c>
      <c r="AK463" s="56">
        <v>29.6102</v>
      </c>
    </row>
    <row r="464">
      <c r="A464" s="48">
        <v>46132.638078703705</v>
      </c>
      <c r="B464" s="49" t="s">
        <v>108</v>
      </c>
      <c r="C464" s="49" t="s">
        <v>111</v>
      </c>
      <c r="D464" s="49" t="s">
        <v>5</v>
      </c>
      <c r="E464" s="50">
        <v>96</v>
      </c>
      <c r="F464" s="49" t="s">
        <v>109</v>
      </c>
      <c r="G464" s="51">
        <v>169002704</v>
      </c>
      <c r="H464" s="52">
        <v>179.3</v>
      </c>
      <c r="I464" s="52">
        <f>L464+M464+N464</f>
        <v>157.0889</v>
      </c>
      <c r="J464" s="52">
        <f>O464+P464</f>
        <v>22.211100000000002</v>
      </c>
      <c r="K464" s="53">
        <f>IF(H464=I464+J464,0,W464)</f>
        <v>0</v>
      </c>
      <c r="L464" s="52">
        <v>49.3389</v>
      </c>
      <c r="M464" s="52">
        <v>98.75</v>
      </c>
      <c r="N464" s="52">
        <v>9</v>
      </c>
      <c r="O464" s="52">
        <v>10.3611</v>
      </c>
      <c r="P464" s="52">
        <v>11.85</v>
      </c>
      <c r="Q464" s="54">
        <v>148.0889</v>
      </c>
      <c r="R464" s="52">
        <v>170.3</v>
      </c>
      <c r="S464" s="52">
        <v>0</v>
      </c>
      <c r="T464" s="52">
        <v>0</v>
      </c>
      <c r="U464" s="52">
        <v>9</v>
      </c>
      <c r="V464" s="52">
        <v>0</v>
      </c>
      <c r="W464" s="52">
        <v>0</v>
      </c>
      <c r="X464" s="54">
        <v>0</v>
      </c>
      <c r="Y464" s="52">
        <v>0</v>
      </c>
      <c r="Z464" s="52">
        <v>179.3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46132.638078703705</v>
      </c>
      <c r="AH464" s="52">
        <v>29648</v>
      </c>
      <c r="AI464" s="52">
        <v>0</v>
      </c>
      <c r="AJ464" s="53">
        <f>AH464+AI464</f>
        <v>29648</v>
      </c>
      <c r="AK464" s="56">
        <v>0</v>
      </c>
    </row>
    <row r="465">
      <c r="A465" s="48">
        <v>46132.63822916667</v>
      </c>
      <c r="B465" s="49" t="s">
        <v>108</v>
      </c>
      <c r="C465" s="49" t="s">
        <v>113</v>
      </c>
      <c r="D465" s="49" t="s">
        <v>5</v>
      </c>
      <c r="E465" s="50">
        <v>96</v>
      </c>
      <c r="F465" s="49" t="s">
        <v>107</v>
      </c>
      <c r="G465" s="51">
        <v>166004778</v>
      </c>
      <c r="H465" s="52">
        <v>705.07</v>
      </c>
      <c r="I465" s="52">
        <f>L465+M465+N465</f>
        <v>595.1327</v>
      </c>
      <c r="J465" s="52">
        <f>O465+P465</f>
        <v>109.9373</v>
      </c>
      <c r="K465" s="53">
        <f>IF(H465=I465+J465,0,W465)</f>
        <v>0</v>
      </c>
      <c r="L465" s="52">
        <v>428.0166</v>
      </c>
      <c r="M465" s="52">
        <v>167.1161</v>
      </c>
      <c r="N465" s="52">
        <v>0</v>
      </c>
      <c r="O465" s="52">
        <v>89.8834</v>
      </c>
      <c r="P465" s="52">
        <v>20.0539</v>
      </c>
      <c r="Q465" s="54">
        <v>595.1327</v>
      </c>
      <c r="R465" s="52">
        <v>705.07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0</v>
      </c>
      <c r="Y465" s="52">
        <v>0</v>
      </c>
      <c r="Z465" s="52">
        <v>705.07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46132.63822916667</v>
      </c>
      <c r="AH465" s="52">
        <v>45665</v>
      </c>
      <c r="AI465" s="52">
        <v>0</v>
      </c>
      <c r="AJ465" s="53">
        <f>AH465+AI465</f>
        <v>45665</v>
      </c>
      <c r="AK465" s="56">
        <v>0</v>
      </c>
    </row>
    <row r="466">
      <c r="A466" s="48">
        <v>46132.638553240744</v>
      </c>
      <c r="B466" s="49" t="s">
        <v>108</v>
      </c>
      <c r="C466" s="49" t="s">
        <v>113</v>
      </c>
      <c r="D466" s="49" t="s">
        <v>5</v>
      </c>
      <c r="E466" s="50">
        <v>96</v>
      </c>
      <c r="F466" s="49" t="s">
        <v>107</v>
      </c>
      <c r="G466" s="51">
        <v>166004779</v>
      </c>
      <c r="H466" s="52">
        <v>168.33</v>
      </c>
      <c r="I466" s="52">
        <f>L466+M466+N466</f>
        <v>150.2946</v>
      </c>
      <c r="J466" s="52">
        <f>O466+P466</f>
        <v>18.0354</v>
      </c>
      <c r="K466" s="53">
        <f>IF(H466=I466+J466,0,W466)</f>
        <v>0</v>
      </c>
      <c r="L466" s="52">
        <v>0</v>
      </c>
      <c r="M466" s="52">
        <v>150.2946</v>
      </c>
      <c r="N466" s="52">
        <v>0</v>
      </c>
      <c r="O466" s="52">
        <v>0</v>
      </c>
      <c r="P466" s="52">
        <v>18.0354</v>
      </c>
      <c r="Q466" s="54">
        <v>150.2946</v>
      </c>
      <c r="R466" s="52">
        <v>168.33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168.33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46132.638553240744</v>
      </c>
      <c r="AH466" s="52">
        <v>45665</v>
      </c>
      <c r="AI466" s="52">
        <v>0</v>
      </c>
      <c r="AJ466" s="53">
        <f>AH466+AI466</f>
        <v>45665</v>
      </c>
      <c r="AK466" s="56">
        <v>0</v>
      </c>
    </row>
    <row r="467">
      <c r="A467" s="48">
        <v>46132.63858796296</v>
      </c>
      <c r="B467" s="49" t="s">
        <v>108</v>
      </c>
      <c r="C467" s="49" t="s">
        <v>111</v>
      </c>
      <c r="D467" s="49" t="s">
        <v>5</v>
      </c>
      <c r="E467" s="50">
        <v>96</v>
      </c>
      <c r="F467" s="49" t="s">
        <v>109</v>
      </c>
      <c r="G467" s="51">
        <v>169002705</v>
      </c>
      <c r="H467" s="52">
        <v>323</v>
      </c>
      <c r="I467" s="52">
        <f>L467+M467+N467</f>
        <v>288.1251</v>
      </c>
      <c r="J467" s="52">
        <f>O467+P467</f>
        <v>34.5749</v>
      </c>
      <c r="K467" s="53">
        <f>IF(H467=I467+J467,0,W467)</f>
        <v>0.3</v>
      </c>
      <c r="L467" s="52">
        <v>0</v>
      </c>
      <c r="M467" s="52">
        <v>288.1251</v>
      </c>
      <c r="N467" s="52">
        <v>0</v>
      </c>
      <c r="O467" s="52">
        <v>0</v>
      </c>
      <c r="P467" s="52">
        <v>34.5749</v>
      </c>
      <c r="Q467" s="54">
        <v>288.1251</v>
      </c>
      <c r="R467" s="52">
        <v>322.7</v>
      </c>
      <c r="S467" s="52">
        <v>0</v>
      </c>
      <c r="T467" s="52">
        <v>0</v>
      </c>
      <c r="U467" s="52">
        <v>0</v>
      </c>
      <c r="V467" s="52">
        <v>0</v>
      </c>
      <c r="W467" s="52">
        <v>0.3</v>
      </c>
      <c r="X467" s="54">
        <v>524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46132.63858796296</v>
      </c>
      <c r="AH467" s="52">
        <v>29971</v>
      </c>
      <c r="AI467" s="52">
        <v>0</v>
      </c>
      <c r="AJ467" s="53">
        <f>AH467+AI467</f>
        <v>29971</v>
      </c>
      <c r="AK467" s="56">
        <v>0</v>
      </c>
    </row>
    <row r="468">
      <c r="A468" s="48">
        <v>46132.639398148145</v>
      </c>
      <c r="B468" s="49" t="s">
        <v>108</v>
      </c>
      <c r="C468" s="49" t="s">
        <v>113</v>
      </c>
      <c r="D468" s="49" t="s">
        <v>5</v>
      </c>
      <c r="E468" s="50">
        <v>96</v>
      </c>
      <c r="F468" s="49" t="s">
        <v>107</v>
      </c>
      <c r="G468" s="51">
        <v>166004780</v>
      </c>
      <c r="H468" s="52">
        <v>23</v>
      </c>
      <c r="I468" s="52">
        <f>L468+M468+N468</f>
        <v>20.4464</v>
      </c>
      <c r="J468" s="52">
        <f>O468+P468</f>
        <v>2.4536</v>
      </c>
      <c r="K468" s="53">
        <f>IF(H468=I468+J468,0,W468)</f>
        <v>0.1</v>
      </c>
      <c r="L468" s="52">
        <v>0</v>
      </c>
      <c r="M468" s="52">
        <v>20.4464</v>
      </c>
      <c r="N468" s="52">
        <v>0</v>
      </c>
      <c r="O468" s="52">
        <v>0</v>
      </c>
      <c r="P468" s="52">
        <v>2.4536</v>
      </c>
      <c r="Q468" s="54">
        <v>20.4464</v>
      </c>
      <c r="R468" s="52">
        <v>22.9</v>
      </c>
      <c r="S468" s="52">
        <v>0</v>
      </c>
      <c r="T468" s="52">
        <v>0</v>
      </c>
      <c r="U468" s="52">
        <v>0</v>
      </c>
      <c r="V468" s="52">
        <v>0</v>
      </c>
      <c r="W468" s="52">
        <v>0.1</v>
      </c>
      <c r="X468" s="54">
        <v>24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46132.639398148145</v>
      </c>
      <c r="AH468" s="52">
        <v>45688</v>
      </c>
      <c r="AI468" s="52">
        <v>0</v>
      </c>
      <c r="AJ468" s="53">
        <f>AH468+AI468</f>
        <v>45688</v>
      </c>
      <c r="AK468" s="56">
        <v>0</v>
      </c>
    </row>
    <row r="469">
      <c r="A469" s="48">
        <v>46132.63989583333</v>
      </c>
      <c r="B469" s="49" t="s">
        <v>108</v>
      </c>
      <c r="C469" s="49" t="s">
        <v>113</v>
      </c>
      <c r="D469" s="49" t="s">
        <v>5</v>
      </c>
      <c r="E469" s="50">
        <v>96</v>
      </c>
      <c r="F469" s="49" t="s">
        <v>107</v>
      </c>
      <c r="G469" s="51">
        <v>166004781</v>
      </c>
      <c r="H469" s="52">
        <v>91.6</v>
      </c>
      <c r="I469" s="52">
        <f>L469+M469+N469</f>
        <v>78.02019999999999</v>
      </c>
      <c r="J469" s="52">
        <f>O469+P469</f>
        <v>13.5798</v>
      </c>
      <c r="K469" s="53">
        <f>IF(H469=I469+J469,0,W469)</f>
        <v>0</v>
      </c>
      <c r="L469" s="52">
        <v>46.8595</v>
      </c>
      <c r="M469" s="52">
        <v>31.1607</v>
      </c>
      <c r="N469" s="52">
        <v>0</v>
      </c>
      <c r="O469" s="52">
        <v>9.8405</v>
      </c>
      <c r="P469" s="52">
        <v>3.7393</v>
      </c>
      <c r="Q469" s="54">
        <v>78.0202</v>
      </c>
      <c r="R469" s="52">
        <v>91.6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0</v>
      </c>
      <c r="Y469" s="52">
        <v>0</v>
      </c>
      <c r="Z469" s="52">
        <v>91.6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46132.63989583333</v>
      </c>
      <c r="AH469" s="52">
        <v>45688</v>
      </c>
      <c r="AI469" s="52">
        <v>0</v>
      </c>
      <c r="AJ469" s="53">
        <f>AH469+AI469</f>
        <v>45688</v>
      </c>
      <c r="AK469" s="56">
        <v>0</v>
      </c>
    </row>
    <row r="470">
      <c r="A470" s="48">
        <v>46132.640497685185</v>
      </c>
      <c r="B470" s="49" t="s">
        <v>108</v>
      </c>
      <c r="C470" s="49" t="s">
        <v>111</v>
      </c>
      <c r="D470" s="49" t="s">
        <v>5</v>
      </c>
      <c r="E470" s="50">
        <v>96</v>
      </c>
      <c r="F470" s="49" t="s">
        <v>109</v>
      </c>
      <c r="G470" s="51">
        <v>169002706</v>
      </c>
      <c r="H470" s="52">
        <v>98</v>
      </c>
      <c r="I470" s="52">
        <f>L470+M470+N470</f>
        <v>87.8572</v>
      </c>
      <c r="J470" s="52">
        <f>O470+P470</f>
        <v>10.5428</v>
      </c>
      <c r="K470" s="53">
        <f>IF(H470=I470+J470,0,W470)</f>
        <v>-0.4</v>
      </c>
      <c r="L470" s="52">
        <v>0</v>
      </c>
      <c r="M470" s="52">
        <v>87.8572</v>
      </c>
      <c r="N470" s="52">
        <v>0</v>
      </c>
      <c r="O470" s="52">
        <v>0</v>
      </c>
      <c r="P470" s="52">
        <v>10.5428</v>
      </c>
      <c r="Q470" s="54">
        <v>87.8572</v>
      </c>
      <c r="R470" s="52">
        <v>98.4</v>
      </c>
      <c r="S470" s="52">
        <v>0</v>
      </c>
      <c r="T470" s="52">
        <v>0</v>
      </c>
      <c r="U470" s="52">
        <v>0</v>
      </c>
      <c r="V470" s="52">
        <v>0</v>
      </c>
      <c r="W470" s="52">
        <v>-0.4</v>
      </c>
      <c r="X470" s="54">
        <v>100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46132.640497685185</v>
      </c>
      <c r="AH470" s="52">
        <v>30069</v>
      </c>
      <c r="AI470" s="52">
        <v>0</v>
      </c>
      <c r="AJ470" s="53">
        <f>AH470+AI470</f>
        <v>30069</v>
      </c>
      <c r="AK470" s="56">
        <v>0</v>
      </c>
    </row>
    <row r="471">
      <c r="A471" s="48">
        <v>46132.64077546296</v>
      </c>
      <c r="B471" s="49" t="s">
        <v>108</v>
      </c>
      <c r="C471" s="49" t="s">
        <v>100</v>
      </c>
      <c r="D471" s="49" t="s">
        <v>5</v>
      </c>
      <c r="E471" s="50">
        <v>96</v>
      </c>
      <c r="F471" s="49" t="s">
        <v>105</v>
      </c>
      <c r="G471" s="51">
        <v>161000372</v>
      </c>
      <c r="H471" s="52">
        <v>106.6</v>
      </c>
      <c r="I471" s="52">
        <f>L471+M471+N471</f>
        <v>95.16</v>
      </c>
      <c r="J471" s="52">
        <f>O471+P471</f>
        <v>11.44</v>
      </c>
      <c r="K471" s="53">
        <f>IF(H471=I471+J471,0,W471)</f>
        <v>0</v>
      </c>
      <c r="L471" s="52">
        <v>0</v>
      </c>
      <c r="M471" s="52">
        <v>95.16</v>
      </c>
      <c r="N471" s="52">
        <v>0</v>
      </c>
      <c r="O471" s="52">
        <v>0</v>
      </c>
      <c r="P471" s="52">
        <v>11.44</v>
      </c>
      <c r="Q471" s="54">
        <v>95.16</v>
      </c>
      <c r="R471" s="52">
        <v>106.6</v>
      </c>
      <c r="S471" s="52">
        <v>0</v>
      </c>
      <c r="T471" s="52">
        <v>0</v>
      </c>
      <c r="U471" s="52">
        <v>0</v>
      </c>
      <c r="V471" s="52">
        <v>0</v>
      </c>
      <c r="W471" s="52">
        <v>0</v>
      </c>
      <c r="X471" s="54">
        <v>0</v>
      </c>
      <c r="Y471" s="52">
        <v>0</v>
      </c>
      <c r="Z471" s="52">
        <v>106.6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46132.64077546296</v>
      </c>
      <c r="AH471" s="52">
        <v>0</v>
      </c>
      <c r="AI471" s="52">
        <v>0</v>
      </c>
      <c r="AJ471" s="53">
        <f>AH471+AI471</f>
        <v>0</v>
      </c>
      <c r="AK471" s="56">
        <v>0</v>
      </c>
    </row>
    <row r="472">
      <c r="A472" s="48">
        <v>46132.641747685186</v>
      </c>
      <c r="B472" s="49" t="s">
        <v>108</v>
      </c>
      <c r="C472" s="49" t="s">
        <v>113</v>
      </c>
      <c r="D472" s="49" t="s">
        <v>5</v>
      </c>
      <c r="E472" s="50">
        <v>96</v>
      </c>
      <c r="F472" s="49" t="s">
        <v>107</v>
      </c>
      <c r="G472" s="51">
        <v>166004782</v>
      </c>
      <c r="H472" s="52">
        <v>317.3</v>
      </c>
      <c r="I472" s="52">
        <f>L472+M472+N472</f>
        <v>274.9889</v>
      </c>
      <c r="J472" s="52">
        <f>O472+P472</f>
        <v>42.311099999999996</v>
      </c>
      <c r="K472" s="53">
        <f>IF(H472=I472+J472,0,W472)</f>
        <v>0</v>
      </c>
      <c r="L472" s="52">
        <v>103.471</v>
      </c>
      <c r="M472" s="52">
        <v>171.5179</v>
      </c>
      <c r="N472" s="52">
        <v>0</v>
      </c>
      <c r="O472" s="52">
        <v>21.729</v>
      </c>
      <c r="P472" s="52">
        <v>20.5821</v>
      </c>
      <c r="Q472" s="54">
        <v>274.9889</v>
      </c>
      <c r="R472" s="52">
        <v>317.3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317.3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46132.641747685186</v>
      </c>
      <c r="AH472" s="52">
        <v>45688</v>
      </c>
      <c r="AI472" s="52">
        <v>0</v>
      </c>
      <c r="AJ472" s="53">
        <f>AH472+AI472</f>
        <v>45688</v>
      </c>
      <c r="AK472" s="56">
        <v>14.5719</v>
      </c>
    </row>
    <row r="473">
      <c r="A473" s="48">
        <v>46132.641851851855</v>
      </c>
      <c r="B473" s="49" t="s">
        <v>108</v>
      </c>
      <c r="C473" s="49" t="s">
        <v>111</v>
      </c>
      <c r="D473" s="49" t="s">
        <v>5</v>
      </c>
      <c r="E473" s="50">
        <v>96</v>
      </c>
      <c r="F473" s="49" t="s">
        <v>109</v>
      </c>
      <c r="G473" s="51">
        <v>169002707</v>
      </c>
      <c r="H473" s="52">
        <v>132.7</v>
      </c>
      <c r="I473" s="52">
        <f>L473+M473+N473</f>
        <v>118.4822</v>
      </c>
      <c r="J473" s="52">
        <f>O473+P473</f>
        <v>14.2178</v>
      </c>
      <c r="K473" s="53">
        <f>IF(H473=I473+J473,0,W473)</f>
        <v>0</v>
      </c>
      <c r="L473" s="52">
        <v>0</v>
      </c>
      <c r="M473" s="52">
        <v>118.4822</v>
      </c>
      <c r="N473" s="52">
        <v>0</v>
      </c>
      <c r="O473" s="52">
        <v>0</v>
      </c>
      <c r="P473" s="52">
        <v>14.2178</v>
      </c>
      <c r="Q473" s="54">
        <v>118.4822</v>
      </c>
      <c r="R473" s="52">
        <v>132.7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132.7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46132.641851851855</v>
      </c>
      <c r="AH473" s="52">
        <v>30069</v>
      </c>
      <c r="AI473" s="52">
        <v>0</v>
      </c>
      <c r="AJ473" s="53">
        <f>AH473+AI473</f>
        <v>30069</v>
      </c>
      <c r="AK473" s="56">
        <v>0</v>
      </c>
    </row>
    <row r="474">
      <c r="A474" s="48">
        <v>46132.64230324074</v>
      </c>
      <c r="B474" s="49" t="s">
        <v>108</v>
      </c>
      <c r="C474" s="49" t="s">
        <v>111</v>
      </c>
      <c r="D474" s="49" t="s">
        <v>5</v>
      </c>
      <c r="E474" s="50">
        <v>96</v>
      </c>
      <c r="F474" s="49" t="s">
        <v>109</v>
      </c>
      <c r="G474" s="51">
        <v>169002708</v>
      </c>
      <c r="H474" s="52">
        <v>103.7</v>
      </c>
      <c r="I474" s="52">
        <f>L474+M474+N474</f>
        <v>88.75739999999999</v>
      </c>
      <c r="J474" s="52">
        <f>O474+P474</f>
        <v>14.942599999999999</v>
      </c>
      <c r="K474" s="53">
        <f>IF(H474=I474+J474,0,W474)</f>
        <v>0</v>
      </c>
      <c r="L474" s="52">
        <v>47.686</v>
      </c>
      <c r="M474" s="52">
        <v>41.0714</v>
      </c>
      <c r="N474" s="52">
        <v>0</v>
      </c>
      <c r="O474" s="52">
        <v>10.014</v>
      </c>
      <c r="P474" s="52">
        <v>4.9286</v>
      </c>
      <c r="Q474" s="54">
        <v>88.7574</v>
      </c>
      <c r="R474" s="52">
        <v>103.7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103.7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46132.64230324074</v>
      </c>
      <c r="AH474" s="52">
        <v>30069</v>
      </c>
      <c r="AI474" s="52">
        <v>0</v>
      </c>
      <c r="AJ474" s="53">
        <f>AH474+AI474</f>
        <v>30069</v>
      </c>
      <c r="AK474" s="56">
        <v>0</v>
      </c>
    </row>
    <row r="475">
      <c r="A475" s="48">
        <v>46132.64331018519</v>
      </c>
      <c r="B475" s="49" t="s">
        <v>108</v>
      </c>
      <c r="C475" s="49" t="s">
        <v>111</v>
      </c>
      <c r="D475" s="49" t="s">
        <v>5</v>
      </c>
      <c r="E475" s="50">
        <v>96</v>
      </c>
      <c r="F475" s="49" t="s">
        <v>109</v>
      </c>
      <c r="G475" s="51">
        <v>169002709</v>
      </c>
      <c r="H475" s="52">
        <v>84</v>
      </c>
      <c r="I475" s="52">
        <f>L475+M475+N475</f>
        <v>69.1735</v>
      </c>
      <c r="J475" s="52">
        <f>O475+P475</f>
        <v>14.5265</v>
      </c>
      <c r="K475" s="53">
        <f>IF(H475=I475+J475,0,W475)</f>
        <v>0.3</v>
      </c>
      <c r="L475" s="52">
        <v>69.1735</v>
      </c>
      <c r="M475" s="52">
        <v>0</v>
      </c>
      <c r="N475" s="52">
        <v>0</v>
      </c>
      <c r="O475" s="52">
        <v>14.5265</v>
      </c>
      <c r="P475" s="52">
        <v>0</v>
      </c>
      <c r="Q475" s="54">
        <v>69.1735</v>
      </c>
      <c r="R475" s="52">
        <v>83.7</v>
      </c>
      <c r="S475" s="52">
        <v>0</v>
      </c>
      <c r="T475" s="52">
        <v>0</v>
      </c>
      <c r="U475" s="52">
        <v>0</v>
      </c>
      <c r="V475" s="52">
        <v>0</v>
      </c>
      <c r="W475" s="52">
        <v>0.3</v>
      </c>
      <c r="X475" s="54">
        <v>200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46132.64331018519</v>
      </c>
      <c r="AH475" s="52">
        <v>30153</v>
      </c>
      <c r="AI475" s="52">
        <v>0</v>
      </c>
      <c r="AJ475" s="53">
        <f>AH475+AI475</f>
        <v>30153</v>
      </c>
      <c r="AK475" s="56">
        <v>0</v>
      </c>
    </row>
    <row r="476">
      <c r="A476" s="48">
        <v>46132.644583333335</v>
      </c>
      <c r="B476" s="49" t="s">
        <v>108</v>
      </c>
      <c r="C476" s="49" t="s">
        <v>111</v>
      </c>
      <c r="D476" s="49" t="s">
        <v>5</v>
      </c>
      <c r="E476" s="50">
        <v>96</v>
      </c>
      <c r="F476" s="49" t="s">
        <v>109</v>
      </c>
      <c r="G476" s="51">
        <v>169002710</v>
      </c>
      <c r="H476" s="52">
        <v>95.4</v>
      </c>
      <c r="I476" s="52">
        <f>L476+M476+N476</f>
        <v>78.843</v>
      </c>
      <c r="J476" s="52">
        <f>O476+P476</f>
        <v>16.557</v>
      </c>
      <c r="K476" s="53">
        <f>IF(H476=I476+J476,0,W476)</f>
        <v>0</v>
      </c>
      <c r="L476" s="52">
        <v>78.843</v>
      </c>
      <c r="M476" s="52">
        <v>0</v>
      </c>
      <c r="N476" s="52">
        <v>0</v>
      </c>
      <c r="O476" s="52">
        <v>16.557</v>
      </c>
      <c r="P476" s="52">
        <v>0</v>
      </c>
      <c r="Q476" s="54">
        <v>78.843</v>
      </c>
      <c r="R476" s="52">
        <v>95.4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95.4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46132.644583333335</v>
      </c>
      <c r="AH476" s="52">
        <v>30153</v>
      </c>
      <c r="AI476" s="52">
        <v>0</v>
      </c>
      <c r="AJ476" s="53">
        <f>AH476+AI476</f>
        <v>30153</v>
      </c>
      <c r="AK476" s="56">
        <v>0</v>
      </c>
    </row>
    <row r="477">
      <c r="A477" s="48">
        <v>46132.64540509259</v>
      </c>
      <c r="B477" s="49" t="s">
        <v>108</v>
      </c>
      <c r="C477" s="49" t="s">
        <v>111</v>
      </c>
      <c r="D477" s="49" t="s">
        <v>5</v>
      </c>
      <c r="E477" s="50">
        <v>96</v>
      </c>
      <c r="F477" s="49" t="s">
        <v>109</v>
      </c>
      <c r="G477" s="51">
        <v>169002711</v>
      </c>
      <c r="H477" s="52">
        <v>12</v>
      </c>
      <c r="I477" s="52">
        <f>L477+M477+N477</f>
        <v>10.625</v>
      </c>
      <c r="J477" s="52">
        <f>O477+P477</f>
        <v>1.275</v>
      </c>
      <c r="K477" s="53">
        <f>IF(H477=I477+J477,0,W477)</f>
        <v>0.1</v>
      </c>
      <c r="L477" s="52">
        <v>0</v>
      </c>
      <c r="M477" s="52">
        <v>10.625</v>
      </c>
      <c r="N477" s="52">
        <v>0</v>
      </c>
      <c r="O477" s="52">
        <v>0</v>
      </c>
      <c r="P477" s="52">
        <v>1.275</v>
      </c>
      <c r="Q477" s="54">
        <v>10.625</v>
      </c>
      <c r="R477" s="52">
        <v>11.9</v>
      </c>
      <c r="S477" s="52">
        <v>0</v>
      </c>
      <c r="T477" s="52">
        <v>0</v>
      </c>
      <c r="U477" s="52">
        <v>0</v>
      </c>
      <c r="V477" s="52">
        <v>0</v>
      </c>
      <c r="W477" s="52">
        <v>0.1</v>
      </c>
      <c r="X477" s="54">
        <v>12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46132.64540509259</v>
      </c>
      <c r="AH477" s="52">
        <v>30165</v>
      </c>
      <c r="AI477" s="52">
        <v>0</v>
      </c>
      <c r="AJ477" s="53">
        <f>AH477+AI477</f>
        <v>30165</v>
      </c>
      <c r="AK477" s="56">
        <v>0</v>
      </c>
    </row>
    <row r="478">
      <c r="A478" s="48">
        <v>46132.64576388889</v>
      </c>
      <c r="B478" s="49" t="s">
        <v>108</v>
      </c>
      <c r="C478" s="49" t="s">
        <v>100</v>
      </c>
      <c r="D478" s="49" t="s">
        <v>5</v>
      </c>
      <c r="E478" s="50">
        <v>96</v>
      </c>
      <c r="F478" s="49" t="s">
        <v>101</v>
      </c>
      <c r="G478" s="51">
        <v>163000345</v>
      </c>
      <c r="H478" s="52">
        <v>45.8</v>
      </c>
      <c r="I478" s="52">
        <f>L478+M478+N478</f>
        <v>39.03</v>
      </c>
      <c r="J478" s="52">
        <f>O478+P478</f>
        <v>6.77</v>
      </c>
      <c r="K478" s="53">
        <f>IF(H478=I478+J478,0,W478)</f>
        <v>0</v>
      </c>
      <c r="L478" s="52">
        <v>23.05</v>
      </c>
      <c r="M478" s="52">
        <v>15.98</v>
      </c>
      <c r="N478" s="52">
        <v>0</v>
      </c>
      <c r="O478" s="52">
        <v>4.85</v>
      </c>
      <c r="P478" s="52">
        <v>1.92</v>
      </c>
      <c r="Q478" s="54">
        <v>39.03</v>
      </c>
      <c r="R478" s="52">
        <v>45.8</v>
      </c>
      <c r="S478" s="52">
        <v>0</v>
      </c>
      <c r="T478" s="52">
        <v>0</v>
      </c>
      <c r="U478" s="52">
        <v>0</v>
      </c>
      <c r="V478" s="52">
        <v>0</v>
      </c>
      <c r="W478" s="52">
        <v>0</v>
      </c>
      <c r="X478" s="54">
        <v>0</v>
      </c>
      <c r="Y478" s="52">
        <v>0</v>
      </c>
      <c r="Z478" s="52">
        <v>45.8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46132.64576388889</v>
      </c>
      <c r="AH478" s="52">
        <v>0</v>
      </c>
      <c r="AI478" s="52">
        <v>0</v>
      </c>
      <c r="AJ478" s="53">
        <f>AH478+AI478</f>
        <v>0</v>
      </c>
      <c r="AK478" s="56">
        <v>0</v>
      </c>
    </row>
    <row r="479">
      <c r="A479" s="48">
        <v>46132.645902777775</v>
      </c>
      <c r="B479" s="49" t="s">
        <v>108</v>
      </c>
      <c r="C479" s="49" t="s">
        <v>111</v>
      </c>
      <c r="D479" s="49" t="s">
        <v>5</v>
      </c>
      <c r="E479" s="50">
        <v>96</v>
      </c>
      <c r="F479" s="49" t="s">
        <v>109</v>
      </c>
      <c r="G479" s="51">
        <v>169002712</v>
      </c>
      <c r="H479" s="52">
        <v>190.5</v>
      </c>
      <c r="I479" s="52">
        <f>L479+M479+N479</f>
        <v>167.4395</v>
      </c>
      <c r="J479" s="52">
        <f>O479+P479</f>
        <v>23.0605</v>
      </c>
      <c r="K479" s="53">
        <f>IF(H479=I479+J479,0,W479)</f>
        <v>0</v>
      </c>
      <c r="L479" s="52">
        <v>32.9752</v>
      </c>
      <c r="M479" s="52">
        <v>134.4643</v>
      </c>
      <c r="N479" s="52">
        <v>0</v>
      </c>
      <c r="O479" s="52">
        <v>6.9248</v>
      </c>
      <c r="P479" s="52">
        <v>16.1357</v>
      </c>
      <c r="Q479" s="54">
        <v>167.4395</v>
      </c>
      <c r="R479" s="52">
        <v>190.5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190.5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46132.645902777775</v>
      </c>
      <c r="AH479" s="52">
        <v>30165</v>
      </c>
      <c r="AI479" s="52">
        <v>0</v>
      </c>
      <c r="AJ479" s="53">
        <f>AH479+AI479</f>
        <v>30165</v>
      </c>
      <c r="AK479" s="56">
        <v>0</v>
      </c>
    </row>
    <row r="480">
      <c r="A480" s="48">
        <v>46132.646203703705</v>
      </c>
      <c r="B480" s="49" t="s">
        <v>108</v>
      </c>
      <c r="C480" s="49" t="s">
        <v>100</v>
      </c>
      <c r="D480" s="49" t="s">
        <v>5</v>
      </c>
      <c r="E480" s="50">
        <v>96</v>
      </c>
      <c r="F480" s="49" t="s">
        <v>105</v>
      </c>
      <c r="G480" s="51">
        <v>161000373</v>
      </c>
      <c r="H480" s="52">
        <v>167.2</v>
      </c>
      <c r="I480" s="52">
        <f>L480+M480+N480</f>
        <v>149.25</v>
      </c>
      <c r="J480" s="52">
        <f>O480+P480</f>
        <v>17.95</v>
      </c>
      <c r="K480" s="53">
        <f>IF(H480=I480+J480,0,W480)</f>
        <v>0</v>
      </c>
      <c r="L480" s="52">
        <v>0</v>
      </c>
      <c r="M480" s="52">
        <v>149.25</v>
      </c>
      <c r="N480" s="52">
        <v>0</v>
      </c>
      <c r="O480" s="52">
        <v>0</v>
      </c>
      <c r="P480" s="52">
        <v>17.95</v>
      </c>
      <c r="Q480" s="54">
        <v>149.25</v>
      </c>
      <c r="R480" s="52">
        <v>167.2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167.2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46132.646203703705</v>
      </c>
      <c r="AH480" s="52">
        <v>0</v>
      </c>
      <c r="AI480" s="52">
        <v>0</v>
      </c>
      <c r="AJ480" s="53">
        <f>AH480+AI480</f>
        <v>0</v>
      </c>
      <c r="AK480" s="56">
        <v>0</v>
      </c>
    </row>
    <row r="481">
      <c r="A481" s="48">
        <v>46132.64638888889</v>
      </c>
      <c r="B481" s="49" t="s">
        <v>108</v>
      </c>
      <c r="C481" s="49" t="s">
        <v>111</v>
      </c>
      <c r="D481" s="49" t="s">
        <v>5</v>
      </c>
      <c r="E481" s="50">
        <v>96</v>
      </c>
      <c r="F481" s="49" t="s">
        <v>109</v>
      </c>
      <c r="G481" s="51">
        <v>169002713</v>
      </c>
      <c r="H481" s="52">
        <v>328.3</v>
      </c>
      <c r="I481" s="52">
        <f>L481+M481+N481</f>
        <v>286.185</v>
      </c>
      <c r="J481" s="52">
        <f>O481+P481</f>
        <v>42.114999999999995</v>
      </c>
      <c r="K481" s="53">
        <f>IF(H481=I481+J481,0,W481)</f>
        <v>0</v>
      </c>
      <c r="L481" s="52">
        <v>86.3636</v>
      </c>
      <c r="M481" s="52">
        <v>199.8214</v>
      </c>
      <c r="N481" s="52">
        <v>0</v>
      </c>
      <c r="O481" s="52">
        <v>18.1364</v>
      </c>
      <c r="P481" s="52">
        <v>23.9786</v>
      </c>
      <c r="Q481" s="54">
        <v>286.185</v>
      </c>
      <c r="R481" s="52">
        <v>328.3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328.3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46132.64638888889</v>
      </c>
      <c r="AH481" s="52">
        <v>30165</v>
      </c>
      <c r="AI481" s="52">
        <v>0</v>
      </c>
      <c r="AJ481" s="53">
        <f>AH481+AI481</f>
        <v>30165</v>
      </c>
      <c r="AK481" s="56">
        <v>0</v>
      </c>
    </row>
    <row r="482">
      <c r="A482" s="48">
        <v>46132.648148148146</v>
      </c>
      <c r="B482" s="49" t="s">
        <v>108</v>
      </c>
      <c r="C482" s="49" t="s">
        <v>111</v>
      </c>
      <c r="D482" s="49" t="s">
        <v>5</v>
      </c>
      <c r="E482" s="50">
        <v>96</v>
      </c>
      <c r="F482" s="49" t="s">
        <v>109</v>
      </c>
      <c r="G482" s="51">
        <v>169002714</v>
      </c>
      <c r="H482" s="52">
        <v>185.85</v>
      </c>
      <c r="I482" s="52">
        <f>L482+M482+N482</f>
        <v>165.9375</v>
      </c>
      <c r="J482" s="52">
        <f>O482+P482</f>
        <v>19.9125</v>
      </c>
      <c r="K482" s="53">
        <f>IF(H482=I482+J482,0,W482)</f>
        <v>0</v>
      </c>
      <c r="L482" s="52">
        <v>0</v>
      </c>
      <c r="M482" s="52">
        <v>165.9375</v>
      </c>
      <c r="N482" s="52">
        <v>0</v>
      </c>
      <c r="O482" s="52">
        <v>0</v>
      </c>
      <c r="P482" s="52">
        <v>19.9125</v>
      </c>
      <c r="Q482" s="54">
        <v>165.9375</v>
      </c>
      <c r="R482" s="52">
        <v>185.85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185.85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46132.648148148146</v>
      </c>
      <c r="AH482" s="52">
        <v>30165</v>
      </c>
      <c r="AI482" s="52">
        <v>0</v>
      </c>
      <c r="AJ482" s="53">
        <f>AH482+AI482</f>
        <v>30165</v>
      </c>
      <c r="AK482" s="56">
        <v>0</v>
      </c>
    </row>
    <row r="483">
      <c r="A483" s="48">
        <v>46132.64849537037</v>
      </c>
      <c r="B483" s="49" t="s">
        <v>108</v>
      </c>
      <c r="C483" s="49" t="s">
        <v>111</v>
      </c>
      <c r="D483" s="49" t="s">
        <v>5</v>
      </c>
      <c r="E483" s="50">
        <v>96</v>
      </c>
      <c r="F483" s="49" t="s">
        <v>109</v>
      </c>
      <c r="G483" s="51">
        <v>169002715</v>
      </c>
      <c r="H483" s="52">
        <v>59</v>
      </c>
      <c r="I483" s="52">
        <f>L483+M483+N483</f>
        <v>52.5</v>
      </c>
      <c r="J483" s="52">
        <f>O483+P483</f>
        <v>6.3</v>
      </c>
      <c r="K483" s="53">
        <f>IF(H483=I483+J483,0,W483)</f>
        <v>0.2</v>
      </c>
      <c r="L483" s="52">
        <v>0</v>
      </c>
      <c r="M483" s="52">
        <v>52.5</v>
      </c>
      <c r="N483" s="52">
        <v>0</v>
      </c>
      <c r="O483" s="52">
        <v>0</v>
      </c>
      <c r="P483" s="52">
        <v>6.3</v>
      </c>
      <c r="Q483" s="54">
        <v>52.5</v>
      </c>
      <c r="R483" s="52">
        <v>58.8</v>
      </c>
      <c r="S483" s="52">
        <v>0</v>
      </c>
      <c r="T483" s="52">
        <v>0</v>
      </c>
      <c r="U483" s="52">
        <v>0</v>
      </c>
      <c r="V483" s="52">
        <v>0</v>
      </c>
      <c r="W483" s="52">
        <v>0.2</v>
      </c>
      <c r="X483" s="54">
        <v>500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46132.64849537037</v>
      </c>
      <c r="AH483" s="52">
        <v>30224</v>
      </c>
      <c r="AI483" s="52">
        <v>0</v>
      </c>
      <c r="AJ483" s="53">
        <f>AH483+AI483</f>
        <v>30224</v>
      </c>
      <c r="AK483" s="56">
        <v>0</v>
      </c>
    </row>
    <row r="484">
      <c r="A484" s="48">
        <v>46132.649039351854</v>
      </c>
      <c r="B484" s="49" t="s">
        <v>108</v>
      </c>
      <c r="C484" s="49" t="s">
        <v>111</v>
      </c>
      <c r="D484" s="49" t="s">
        <v>5</v>
      </c>
      <c r="E484" s="50">
        <v>96</v>
      </c>
      <c r="F484" s="49" t="s">
        <v>109</v>
      </c>
      <c r="G484" s="51">
        <v>169002716</v>
      </c>
      <c r="H484" s="52">
        <v>99.7</v>
      </c>
      <c r="I484" s="52">
        <f>L484+M484+N484</f>
        <v>86.76650000000001</v>
      </c>
      <c r="J484" s="52">
        <f>O484+P484</f>
        <v>12.933499999999999</v>
      </c>
      <c r="K484" s="53">
        <f>IF(H484=I484+J484,0,W484)</f>
        <v>0</v>
      </c>
      <c r="L484" s="52">
        <v>28.0165</v>
      </c>
      <c r="M484" s="52">
        <v>58.75</v>
      </c>
      <c r="N484" s="52">
        <v>0</v>
      </c>
      <c r="O484" s="52">
        <v>5.8835</v>
      </c>
      <c r="P484" s="52">
        <v>7.05</v>
      </c>
      <c r="Q484" s="54">
        <v>86.7665</v>
      </c>
      <c r="R484" s="52">
        <v>99.7</v>
      </c>
      <c r="S484" s="52">
        <v>0</v>
      </c>
      <c r="T484" s="52">
        <v>0</v>
      </c>
      <c r="U484" s="52">
        <v>0</v>
      </c>
      <c r="V484" s="52">
        <v>0</v>
      </c>
      <c r="W484" s="52">
        <v>0</v>
      </c>
      <c r="X484" s="54">
        <v>0</v>
      </c>
      <c r="Y484" s="52">
        <v>0</v>
      </c>
      <c r="Z484" s="52">
        <v>99.7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46132.649039351854</v>
      </c>
      <c r="AH484" s="52">
        <v>30224</v>
      </c>
      <c r="AI484" s="52">
        <v>0</v>
      </c>
      <c r="AJ484" s="53">
        <f>AH484+AI484</f>
        <v>30224</v>
      </c>
      <c r="AK484" s="56">
        <v>0</v>
      </c>
    </row>
    <row r="485">
      <c r="A485" s="48">
        <v>46132.649513888886</v>
      </c>
      <c r="B485" s="49" t="s">
        <v>108</v>
      </c>
      <c r="C485" s="49" t="s">
        <v>111</v>
      </c>
      <c r="D485" s="49" t="s">
        <v>5</v>
      </c>
      <c r="E485" s="50">
        <v>96</v>
      </c>
      <c r="F485" s="49" t="s">
        <v>109</v>
      </c>
      <c r="G485" s="51">
        <v>169002717</v>
      </c>
      <c r="H485" s="52">
        <v>175.6</v>
      </c>
      <c r="I485" s="52">
        <f>L485+M485+N485</f>
        <v>156.7859</v>
      </c>
      <c r="J485" s="52">
        <f>O485+P485</f>
        <v>18.8141</v>
      </c>
      <c r="K485" s="53">
        <f>IF(H485=I485+J485,0,W485)</f>
        <v>0</v>
      </c>
      <c r="L485" s="52">
        <v>0</v>
      </c>
      <c r="M485" s="52">
        <v>156.7859</v>
      </c>
      <c r="N485" s="52">
        <v>0</v>
      </c>
      <c r="O485" s="52">
        <v>0</v>
      </c>
      <c r="P485" s="52">
        <v>18.8141</v>
      </c>
      <c r="Q485" s="54">
        <v>156.7859</v>
      </c>
      <c r="R485" s="52">
        <v>175.6</v>
      </c>
      <c r="S485" s="52">
        <v>0</v>
      </c>
      <c r="T485" s="52">
        <v>0</v>
      </c>
      <c r="U485" s="52">
        <v>0</v>
      </c>
      <c r="V485" s="52">
        <v>0</v>
      </c>
      <c r="W485" s="52">
        <v>0</v>
      </c>
      <c r="X485" s="54">
        <v>0</v>
      </c>
      <c r="Y485" s="52">
        <v>0</v>
      </c>
      <c r="Z485" s="52">
        <v>175.6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46132.649513888886</v>
      </c>
      <c r="AH485" s="52">
        <v>30224</v>
      </c>
      <c r="AI485" s="52">
        <v>0</v>
      </c>
      <c r="AJ485" s="53">
        <f>AH485+AI485</f>
        <v>30224</v>
      </c>
      <c r="AK485" s="56">
        <v>0</v>
      </c>
    </row>
    <row r="486">
      <c r="A486" s="48">
        <v>46132.64996527778</v>
      </c>
      <c r="B486" s="49" t="s">
        <v>108</v>
      </c>
      <c r="C486" s="49" t="s">
        <v>111</v>
      </c>
      <c r="D486" s="49" t="s">
        <v>5</v>
      </c>
      <c r="E486" s="50">
        <v>96</v>
      </c>
      <c r="F486" s="49" t="s">
        <v>109</v>
      </c>
      <c r="G486" s="51">
        <v>169002718</v>
      </c>
      <c r="H486" s="52">
        <v>15.97</v>
      </c>
      <c r="I486" s="52">
        <f>L486+M486+N486</f>
        <v>14.2589</v>
      </c>
      <c r="J486" s="52">
        <f>O486+P486</f>
        <v>1.7111</v>
      </c>
      <c r="K486" s="53">
        <f>IF(H486=I486+J486,0,W486)</f>
        <v>0</v>
      </c>
      <c r="L486" s="52">
        <v>0</v>
      </c>
      <c r="M486" s="52">
        <v>14.2589</v>
      </c>
      <c r="N486" s="52">
        <v>0</v>
      </c>
      <c r="O486" s="52">
        <v>0</v>
      </c>
      <c r="P486" s="52">
        <v>1.7111</v>
      </c>
      <c r="Q486" s="54">
        <v>14.2589</v>
      </c>
      <c r="R486" s="52">
        <v>15.97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15.97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46132.64996527778</v>
      </c>
      <c r="AH486" s="52">
        <v>30224</v>
      </c>
      <c r="AI486" s="52">
        <v>0</v>
      </c>
      <c r="AJ486" s="53">
        <f>AH486+AI486</f>
        <v>30224</v>
      </c>
      <c r="AK486" s="56">
        <v>0</v>
      </c>
    </row>
    <row r="487">
      <c r="A487" s="48">
        <v>46132.65027777778</v>
      </c>
      <c r="B487" s="49" t="s">
        <v>108</v>
      </c>
      <c r="C487" s="49" t="s">
        <v>111</v>
      </c>
      <c r="D487" s="49" t="s">
        <v>5</v>
      </c>
      <c r="E487" s="50">
        <v>96</v>
      </c>
      <c r="F487" s="49" t="s">
        <v>109</v>
      </c>
      <c r="G487" s="51">
        <v>169002719</v>
      </c>
      <c r="H487" s="52">
        <v>160.2</v>
      </c>
      <c r="I487" s="52">
        <f>L487+M487+N487</f>
        <v>138.7536</v>
      </c>
      <c r="J487" s="52">
        <f>O487+P487</f>
        <v>21.446399999999997</v>
      </c>
      <c r="K487" s="53">
        <f>IF(H487=I487+J487,0,W487)</f>
        <v>0</v>
      </c>
      <c r="L487" s="52">
        <v>85.2893</v>
      </c>
      <c r="M487" s="52">
        <v>29.4643</v>
      </c>
      <c r="N487" s="52">
        <v>24</v>
      </c>
      <c r="O487" s="52">
        <v>17.9107</v>
      </c>
      <c r="P487" s="52">
        <v>3.5357</v>
      </c>
      <c r="Q487" s="54">
        <v>114.7536</v>
      </c>
      <c r="R487" s="52">
        <v>136.2</v>
      </c>
      <c r="S487" s="52">
        <v>0</v>
      </c>
      <c r="T487" s="52">
        <v>0</v>
      </c>
      <c r="U487" s="52">
        <v>24</v>
      </c>
      <c r="V487" s="52">
        <v>0</v>
      </c>
      <c r="W487" s="52">
        <v>0</v>
      </c>
      <c r="X487" s="54">
        <v>0</v>
      </c>
      <c r="Y487" s="52">
        <v>0</v>
      </c>
      <c r="Z487" s="52">
        <v>160.2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46132.65027777778</v>
      </c>
      <c r="AH487" s="52">
        <v>30224</v>
      </c>
      <c r="AI487" s="52">
        <v>0</v>
      </c>
      <c r="AJ487" s="53">
        <f>AH487+AI487</f>
        <v>30224</v>
      </c>
      <c r="AK487" s="56">
        <v>0</v>
      </c>
    </row>
    <row r="488">
      <c r="A488" s="48">
        <v>46132.65100694444</v>
      </c>
      <c r="B488" s="49" t="s">
        <v>108</v>
      </c>
      <c r="C488" s="49" t="s">
        <v>100</v>
      </c>
      <c r="D488" s="49" t="s">
        <v>5</v>
      </c>
      <c r="E488" s="50">
        <v>96</v>
      </c>
      <c r="F488" s="49" t="s">
        <v>101</v>
      </c>
      <c r="G488" s="51">
        <v>163000346</v>
      </c>
      <c r="H488" s="52">
        <v>51.67</v>
      </c>
      <c r="I488" s="52">
        <f>L488+M488+N488</f>
        <v>46.12</v>
      </c>
      <c r="J488" s="52">
        <f>O488+P488</f>
        <v>5.55</v>
      </c>
      <c r="K488" s="53">
        <f>IF(H488=I488+J488,0,W488)</f>
        <v>0</v>
      </c>
      <c r="L488" s="52">
        <v>0</v>
      </c>
      <c r="M488" s="52">
        <v>46.12</v>
      </c>
      <c r="N488" s="52">
        <v>0</v>
      </c>
      <c r="O488" s="52">
        <v>0</v>
      </c>
      <c r="P488" s="52">
        <v>5.55</v>
      </c>
      <c r="Q488" s="54">
        <v>46.12</v>
      </c>
      <c r="R488" s="52">
        <v>51.67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51.67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46132.65100694444</v>
      </c>
      <c r="AH488" s="52">
        <v>0</v>
      </c>
      <c r="AI488" s="52">
        <v>0</v>
      </c>
      <c r="AJ488" s="53">
        <f>AH488+AI488</f>
        <v>0</v>
      </c>
      <c r="AK488" s="56">
        <v>0</v>
      </c>
    </row>
    <row r="489">
      <c r="A489" s="48">
        <v>46132.65107638889</v>
      </c>
      <c r="B489" s="49" t="s">
        <v>108</v>
      </c>
      <c r="C489" s="49" t="s">
        <v>111</v>
      </c>
      <c r="D489" s="49" t="s">
        <v>5</v>
      </c>
      <c r="E489" s="50">
        <v>96</v>
      </c>
      <c r="F489" s="49" t="s">
        <v>109</v>
      </c>
      <c r="G489" s="51">
        <v>169002720</v>
      </c>
      <c r="H489" s="52">
        <v>126.3</v>
      </c>
      <c r="I489" s="52">
        <f>L489+M489+N489</f>
        <v>112.7678</v>
      </c>
      <c r="J489" s="52">
        <f>O489+P489</f>
        <v>13.5322</v>
      </c>
      <c r="K489" s="53">
        <f>IF(H489=I489+J489,0,W489)</f>
        <v>0</v>
      </c>
      <c r="L489" s="52">
        <v>0</v>
      </c>
      <c r="M489" s="52">
        <v>112.7678</v>
      </c>
      <c r="N489" s="52">
        <v>0</v>
      </c>
      <c r="O489" s="52">
        <v>0</v>
      </c>
      <c r="P489" s="52">
        <v>13.5322</v>
      </c>
      <c r="Q489" s="54">
        <v>112.7678</v>
      </c>
      <c r="R489" s="52">
        <v>126.3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126.3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46132.65107638889</v>
      </c>
      <c r="AH489" s="52">
        <v>30224</v>
      </c>
      <c r="AI489" s="52">
        <v>0</v>
      </c>
      <c r="AJ489" s="53">
        <f>AH489+AI489</f>
        <v>30224</v>
      </c>
      <c r="AK489" s="56">
        <v>0</v>
      </c>
    </row>
    <row r="490">
      <c r="A490" s="48">
        <v>46132.65210648148</v>
      </c>
      <c r="B490" s="49" t="s">
        <v>108</v>
      </c>
      <c r="C490" s="49" t="s">
        <v>100</v>
      </c>
      <c r="D490" s="49" t="s">
        <v>5</v>
      </c>
      <c r="E490" s="50">
        <v>96</v>
      </c>
      <c r="F490" s="49" t="s">
        <v>105</v>
      </c>
      <c r="G490" s="51">
        <v>161000374</v>
      </c>
      <c r="H490" s="52">
        <v>91.8</v>
      </c>
      <c r="I490" s="52">
        <f>L490+M490+N490</f>
        <v>79.64</v>
      </c>
      <c r="J490" s="52">
        <f>O490+P490</f>
        <v>12.16</v>
      </c>
      <c r="K490" s="53">
        <f>IF(H490=I490+J490,0,W490)</f>
        <v>0</v>
      </c>
      <c r="L490" s="52">
        <v>28.84</v>
      </c>
      <c r="M490" s="52">
        <v>50.8</v>
      </c>
      <c r="N490" s="52">
        <v>0</v>
      </c>
      <c r="O490" s="52">
        <v>6.06</v>
      </c>
      <c r="P490" s="52">
        <v>6.1</v>
      </c>
      <c r="Q490" s="54">
        <v>79.64</v>
      </c>
      <c r="R490" s="52">
        <v>91.8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91.8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46132.65210648148</v>
      </c>
      <c r="AH490" s="52">
        <v>0</v>
      </c>
      <c r="AI490" s="52">
        <v>0</v>
      </c>
      <c r="AJ490" s="53">
        <f>AH490+AI490</f>
        <v>0</v>
      </c>
      <c r="AK490" s="56">
        <v>0</v>
      </c>
    </row>
    <row r="491">
      <c r="A491" s="48">
        <v>46132.652233796296</v>
      </c>
      <c r="B491" s="49" t="s">
        <v>108</v>
      </c>
      <c r="C491" s="49" t="s">
        <v>113</v>
      </c>
      <c r="D491" s="49" t="s">
        <v>5</v>
      </c>
      <c r="E491" s="50">
        <v>96</v>
      </c>
      <c r="F491" s="49" t="s">
        <v>107</v>
      </c>
      <c r="G491" s="51">
        <v>166004783</v>
      </c>
      <c r="H491" s="52">
        <v>483</v>
      </c>
      <c r="I491" s="52">
        <f>L491+M491+N491</f>
        <v>399.3391</v>
      </c>
      <c r="J491" s="52">
        <f>O491+P491</f>
        <v>83.8609</v>
      </c>
      <c r="K491" s="53">
        <f>IF(H491=I491+J491,0,W491)</f>
        <v>-0.2</v>
      </c>
      <c r="L491" s="52">
        <v>399.3391</v>
      </c>
      <c r="M491" s="52">
        <v>0</v>
      </c>
      <c r="N491" s="52">
        <v>0</v>
      </c>
      <c r="O491" s="52">
        <v>83.8609</v>
      </c>
      <c r="P491" s="52">
        <v>0</v>
      </c>
      <c r="Q491" s="54">
        <v>399.3391</v>
      </c>
      <c r="R491" s="52">
        <v>483.2</v>
      </c>
      <c r="S491" s="52">
        <v>0</v>
      </c>
      <c r="T491" s="52">
        <v>0</v>
      </c>
      <c r="U491" s="52">
        <v>0</v>
      </c>
      <c r="V491" s="52">
        <v>0</v>
      </c>
      <c r="W491" s="52">
        <v>-0.2</v>
      </c>
      <c r="X491" s="54">
        <v>500</v>
      </c>
      <c r="Y491" s="52">
        <v>0</v>
      </c>
      <c r="Z491" s="52">
        <v>0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46132.652233796296</v>
      </c>
      <c r="AH491" s="52">
        <v>46171</v>
      </c>
      <c r="AI491" s="52">
        <v>0</v>
      </c>
      <c r="AJ491" s="53">
        <f>AH491+AI491</f>
        <v>46171</v>
      </c>
      <c r="AK491" s="56">
        <v>0</v>
      </c>
    </row>
    <row r="492">
      <c r="A492" s="48">
        <v>46132.65261574074</v>
      </c>
      <c r="B492" s="49" t="s">
        <v>108</v>
      </c>
      <c r="C492" s="49" t="s">
        <v>100</v>
      </c>
      <c r="D492" s="49" t="s">
        <v>5</v>
      </c>
      <c r="E492" s="50">
        <v>96</v>
      </c>
      <c r="F492" s="49" t="s">
        <v>101</v>
      </c>
      <c r="G492" s="51">
        <v>163000347</v>
      </c>
      <c r="H492" s="52">
        <v>8.12</v>
      </c>
      <c r="I492" s="52">
        <f>L492+M492+N492</f>
        <v>7.25</v>
      </c>
      <c r="J492" s="52">
        <f>O492+P492</f>
        <v>0.87</v>
      </c>
      <c r="K492" s="53">
        <f>IF(H492=I492+J492,0,W492)</f>
        <v>0</v>
      </c>
      <c r="L492" s="52">
        <v>0</v>
      </c>
      <c r="M492" s="52">
        <v>7.25</v>
      </c>
      <c r="N492" s="52">
        <v>0</v>
      </c>
      <c r="O492" s="52">
        <v>0</v>
      </c>
      <c r="P492" s="52">
        <v>0.87</v>
      </c>
      <c r="Q492" s="54">
        <v>7.25</v>
      </c>
      <c r="R492" s="52">
        <v>8.12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8.12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46132.65261574074</v>
      </c>
      <c r="AH492" s="52">
        <v>0</v>
      </c>
      <c r="AI492" s="52">
        <v>0</v>
      </c>
      <c r="AJ492" s="53">
        <f>AH492+AI492</f>
        <v>0</v>
      </c>
      <c r="AK492" s="56">
        <v>0</v>
      </c>
    </row>
    <row r="493">
      <c r="A493" s="48">
        <v>46132.65287037037</v>
      </c>
      <c r="B493" s="49" t="s">
        <v>108</v>
      </c>
      <c r="C493" s="49" t="s">
        <v>111</v>
      </c>
      <c r="D493" s="49" t="s">
        <v>5</v>
      </c>
      <c r="E493" s="50">
        <v>96</v>
      </c>
      <c r="F493" s="49" t="s">
        <v>109</v>
      </c>
      <c r="G493" s="51">
        <v>169002721</v>
      </c>
      <c r="H493" s="52">
        <v>407.86</v>
      </c>
      <c r="I493" s="52">
        <f>L493+M493+N493</f>
        <v>357.6793</v>
      </c>
      <c r="J493" s="52">
        <f>O493+P493</f>
        <v>50.1807</v>
      </c>
      <c r="K493" s="53">
        <f>IF(H493=I493+J493,0,W493)</f>
        <v>0</v>
      </c>
      <c r="L493" s="52">
        <v>80.6612</v>
      </c>
      <c r="M493" s="52">
        <v>277.0181</v>
      </c>
      <c r="N493" s="52">
        <v>0</v>
      </c>
      <c r="O493" s="52">
        <v>16.9388</v>
      </c>
      <c r="P493" s="52">
        <v>33.2419</v>
      </c>
      <c r="Q493" s="54">
        <v>357.6793</v>
      </c>
      <c r="R493" s="52">
        <v>407.86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407.86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46132.65287037037</v>
      </c>
      <c r="AH493" s="52">
        <v>30224</v>
      </c>
      <c r="AI493" s="52">
        <v>0</v>
      </c>
      <c r="AJ493" s="53">
        <f>AH493+AI493</f>
        <v>30224</v>
      </c>
      <c r="AK493" s="56">
        <v>0</v>
      </c>
    </row>
    <row r="494">
      <c r="A494" s="48">
        <v>46132.65353009259</v>
      </c>
      <c r="B494" s="49" t="s">
        <v>108</v>
      </c>
      <c r="C494" s="49" t="s">
        <v>111</v>
      </c>
      <c r="D494" s="49" t="s">
        <v>5</v>
      </c>
      <c r="E494" s="50">
        <v>96</v>
      </c>
      <c r="F494" s="49" t="s">
        <v>109</v>
      </c>
      <c r="G494" s="51">
        <v>169002722</v>
      </c>
      <c r="H494" s="52">
        <v>83.2</v>
      </c>
      <c r="I494" s="52">
        <f>L494+M494+N494</f>
        <v>74.2858</v>
      </c>
      <c r="J494" s="52">
        <f>O494+P494</f>
        <v>8.9142</v>
      </c>
      <c r="K494" s="53">
        <f>IF(H494=I494+J494,0,W494)</f>
        <v>0</v>
      </c>
      <c r="L494" s="52">
        <v>0</v>
      </c>
      <c r="M494" s="52">
        <v>74.2858</v>
      </c>
      <c r="N494" s="52">
        <v>0</v>
      </c>
      <c r="O494" s="52">
        <v>0</v>
      </c>
      <c r="P494" s="52">
        <v>8.9142</v>
      </c>
      <c r="Q494" s="54">
        <v>74.2858</v>
      </c>
      <c r="R494" s="52">
        <v>83.2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83.2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46132.65353009259</v>
      </c>
      <c r="AH494" s="52">
        <v>30224</v>
      </c>
      <c r="AI494" s="52">
        <v>0</v>
      </c>
      <c r="AJ494" s="53">
        <f>AH494+AI494</f>
        <v>30224</v>
      </c>
      <c r="AK494" s="56">
        <v>0</v>
      </c>
    </row>
    <row r="495">
      <c r="A495" s="48">
        <v>46132.653657407405</v>
      </c>
      <c r="B495" s="49" t="s">
        <v>108</v>
      </c>
      <c r="C495" s="49" t="s">
        <v>111</v>
      </c>
      <c r="D495" s="49" t="s">
        <v>5</v>
      </c>
      <c r="E495" s="50">
        <v>96</v>
      </c>
      <c r="F495" s="49" t="s">
        <v>109</v>
      </c>
      <c r="G495" s="51">
        <v>169002723</v>
      </c>
      <c r="H495" s="52">
        <v>10</v>
      </c>
      <c r="I495" s="52">
        <f>L495+M495+N495</f>
        <v>8.8393</v>
      </c>
      <c r="J495" s="52">
        <f>O495+P495</f>
        <v>1.0607</v>
      </c>
      <c r="K495" s="53">
        <f>IF(H495=I495+J495,0,W495)</f>
        <v>0.1</v>
      </c>
      <c r="L495" s="52">
        <v>0</v>
      </c>
      <c r="M495" s="52">
        <v>8.8393</v>
      </c>
      <c r="N495" s="52">
        <v>0</v>
      </c>
      <c r="O495" s="52">
        <v>0</v>
      </c>
      <c r="P495" s="52">
        <v>1.0607</v>
      </c>
      <c r="Q495" s="54">
        <v>8.8393</v>
      </c>
      <c r="R495" s="52">
        <v>9.9</v>
      </c>
      <c r="S495" s="52">
        <v>0</v>
      </c>
      <c r="T495" s="52">
        <v>0</v>
      </c>
      <c r="U495" s="52">
        <v>0</v>
      </c>
      <c r="V495" s="52">
        <v>0</v>
      </c>
      <c r="W495" s="52">
        <v>0.1</v>
      </c>
      <c r="X495" s="54">
        <v>10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46132.653657407405</v>
      </c>
      <c r="AH495" s="52">
        <v>30234</v>
      </c>
      <c r="AI495" s="52">
        <v>0</v>
      </c>
      <c r="AJ495" s="53">
        <f>AH495+AI495</f>
        <v>30234</v>
      </c>
      <c r="AK495" s="56">
        <v>0</v>
      </c>
    </row>
    <row r="496">
      <c r="A496" s="48">
        <v>46132.65392361111</v>
      </c>
      <c r="B496" s="49" t="s">
        <v>108</v>
      </c>
      <c r="C496" s="49" t="s">
        <v>113</v>
      </c>
      <c r="D496" s="49" t="s">
        <v>5</v>
      </c>
      <c r="E496" s="50">
        <v>96</v>
      </c>
      <c r="F496" s="49" t="s">
        <v>107</v>
      </c>
      <c r="G496" s="51">
        <v>166004784</v>
      </c>
      <c r="H496" s="52">
        <v>148</v>
      </c>
      <c r="I496" s="52">
        <f>L496+M496+N496</f>
        <v>131.7857</v>
      </c>
      <c r="J496" s="52">
        <f>O496+P496</f>
        <v>15.8143</v>
      </c>
      <c r="K496" s="53">
        <f>IF(H496=I496+J496,0,W496)</f>
        <v>0.4</v>
      </c>
      <c r="L496" s="52">
        <v>0</v>
      </c>
      <c r="M496" s="52">
        <v>131.7857</v>
      </c>
      <c r="N496" s="52">
        <v>0</v>
      </c>
      <c r="O496" s="52">
        <v>0</v>
      </c>
      <c r="P496" s="52">
        <v>15.8143</v>
      </c>
      <c r="Q496" s="54">
        <v>131.7857</v>
      </c>
      <c r="R496" s="52">
        <v>147.6</v>
      </c>
      <c r="S496" s="52">
        <v>0</v>
      </c>
      <c r="T496" s="52">
        <v>0</v>
      </c>
      <c r="U496" s="52">
        <v>0</v>
      </c>
      <c r="V496" s="52">
        <v>0</v>
      </c>
      <c r="W496" s="52">
        <v>0.4</v>
      </c>
      <c r="X496" s="54">
        <v>1050</v>
      </c>
      <c r="Y496" s="52">
        <v>0</v>
      </c>
      <c r="Z496" s="52">
        <v>0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46132.65392361111</v>
      </c>
      <c r="AH496" s="52">
        <v>46319</v>
      </c>
      <c r="AI496" s="52">
        <v>0</v>
      </c>
      <c r="AJ496" s="53">
        <f>AH496+AI496</f>
        <v>46319</v>
      </c>
      <c r="AK496" s="56">
        <v>0</v>
      </c>
    </row>
    <row r="497">
      <c r="A497" s="48">
        <v>46132.65524305555</v>
      </c>
      <c r="B497" s="49" t="s">
        <v>108</v>
      </c>
      <c r="C497" s="49" t="s">
        <v>113</v>
      </c>
      <c r="D497" s="49" t="s">
        <v>5</v>
      </c>
      <c r="E497" s="50">
        <v>96</v>
      </c>
      <c r="F497" s="49" t="s">
        <v>107</v>
      </c>
      <c r="G497" s="51">
        <v>166004785</v>
      </c>
      <c r="H497" s="52">
        <v>90</v>
      </c>
      <c r="I497" s="52">
        <f>L497+M497+N497</f>
        <v>77.2308</v>
      </c>
      <c r="J497" s="52">
        <f>O497+P497</f>
        <v>12.979199999999999</v>
      </c>
      <c r="K497" s="53">
        <f>IF(H497=I497+J497,0,W497)</f>
        <v>-0.21</v>
      </c>
      <c r="L497" s="52">
        <v>41.2397</v>
      </c>
      <c r="M497" s="52">
        <v>35.9911</v>
      </c>
      <c r="N497" s="52">
        <v>0</v>
      </c>
      <c r="O497" s="52">
        <v>8.6603</v>
      </c>
      <c r="P497" s="52">
        <v>4.3189</v>
      </c>
      <c r="Q497" s="54">
        <v>77.2308</v>
      </c>
      <c r="R497" s="52">
        <v>90.21</v>
      </c>
      <c r="S497" s="52">
        <v>0</v>
      </c>
      <c r="T497" s="52">
        <v>0</v>
      </c>
      <c r="U497" s="52">
        <v>0</v>
      </c>
      <c r="V497" s="52">
        <v>0</v>
      </c>
      <c r="W497" s="52">
        <v>-0.21</v>
      </c>
      <c r="X497" s="54">
        <v>90</v>
      </c>
      <c r="Y497" s="52">
        <v>0</v>
      </c>
      <c r="Z497" s="52">
        <v>0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46132.65524305555</v>
      </c>
      <c r="AH497" s="52">
        <v>46409</v>
      </c>
      <c r="AI497" s="52">
        <v>0</v>
      </c>
      <c r="AJ497" s="53">
        <f>AH497+AI497</f>
        <v>46409</v>
      </c>
      <c r="AK497" s="56">
        <v>0</v>
      </c>
    </row>
    <row r="498">
      <c r="A498" s="48">
        <v>46132.65541666667</v>
      </c>
      <c r="B498" s="49" t="s">
        <v>108</v>
      </c>
      <c r="C498" s="49" t="s">
        <v>100</v>
      </c>
      <c r="D498" s="49" t="s">
        <v>5</v>
      </c>
      <c r="E498" s="50">
        <v>96</v>
      </c>
      <c r="F498" s="49" t="s">
        <v>101</v>
      </c>
      <c r="G498" s="51">
        <v>163000348</v>
      </c>
      <c r="H498" s="52">
        <v>99.6</v>
      </c>
      <c r="I498" s="52">
        <f>L498+M498+N498</f>
        <v>87.87</v>
      </c>
      <c r="J498" s="52">
        <f>O498+P498</f>
        <v>11.73</v>
      </c>
      <c r="K498" s="53">
        <f>IF(H498=I498+J498,0,W498)</f>
        <v>0</v>
      </c>
      <c r="L498" s="52">
        <v>13.14</v>
      </c>
      <c r="M498" s="52">
        <v>74.73</v>
      </c>
      <c r="N498" s="52">
        <v>0</v>
      </c>
      <c r="O498" s="52">
        <v>2.76</v>
      </c>
      <c r="P498" s="52">
        <v>8.97</v>
      </c>
      <c r="Q498" s="54">
        <v>87.87</v>
      </c>
      <c r="R498" s="52">
        <v>99.6</v>
      </c>
      <c r="S498" s="52">
        <v>0</v>
      </c>
      <c r="T498" s="52">
        <v>0</v>
      </c>
      <c r="U498" s="52">
        <v>0</v>
      </c>
      <c r="V498" s="52">
        <v>0</v>
      </c>
      <c r="W498" s="52">
        <v>0</v>
      </c>
      <c r="X498" s="54">
        <v>0</v>
      </c>
      <c r="Y498" s="52">
        <v>0</v>
      </c>
      <c r="Z498" s="52">
        <v>99.6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46132.65541666667</v>
      </c>
      <c r="AH498" s="52">
        <v>0</v>
      </c>
      <c r="AI498" s="52">
        <v>0</v>
      </c>
      <c r="AJ498" s="53">
        <f>AH498+AI498</f>
        <v>0</v>
      </c>
      <c r="AK498" s="56">
        <v>0</v>
      </c>
    </row>
    <row r="499">
      <c r="A499" s="48">
        <v>46132.655486111114</v>
      </c>
      <c r="B499" s="49" t="s">
        <v>108</v>
      </c>
      <c r="C499" s="49" t="s">
        <v>113</v>
      </c>
      <c r="D499" s="49" t="s">
        <v>5</v>
      </c>
      <c r="E499" s="50">
        <v>96</v>
      </c>
      <c r="F499" s="49" t="s">
        <v>107</v>
      </c>
      <c r="G499" s="51">
        <v>166004786</v>
      </c>
      <c r="H499" s="52">
        <v>26</v>
      </c>
      <c r="I499" s="52">
        <f>L499+M499+N499</f>
        <v>22.725099999999998</v>
      </c>
      <c r="J499" s="52">
        <f>O499+P499</f>
        <v>3.5749</v>
      </c>
      <c r="K499" s="53">
        <f>IF(H499=I499+J499,0,W499)</f>
        <v>-0.3</v>
      </c>
      <c r="L499" s="52">
        <v>9.4215</v>
      </c>
      <c r="M499" s="52">
        <v>13.3036</v>
      </c>
      <c r="N499" s="52">
        <v>0</v>
      </c>
      <c r="O499" s="52">
        <v>1.9785</v>
      </c>
      <c r="P499" s="52">
        <v>1.5964</v>
      </c>
      <c r="Q499" s="54">
        <v>22.7251</v>
      </c>
      <c r="R499" s="52">
        <v>26.3</v>
      </c>
      <c r="S499" s="52">
        <v>0</v>
      </c>
      <c r="T499" s="52">
        <v>0</v>
      </c>
      <c r="U499" s="52">
        <v>0</v>
      </c>
      <c r="V499" s="52">
        <v>0</v>
      </c>
      <c r="W499" s="52">
        <v>-0.3</v>
      </c>
      <c r="X499" s="54">
        <v>30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46132.655486111114</v>
      </c>
      <c r="AH499" s="52">
        <v>46435</v>
      </c>
      <c r="AI499" s="52">
        <v>0</v>
      </c>
      <c r="AJ499" s="53">
        <f>AH499+AI499</f>
        <v>46435</v>
      </c>
      <c r="AK499" s="56">
        <v>0</v>
      </c>
    </row>
    <row r="500">
      <c r="A500" s="48">
        <v>46132.655706018515</v>
      </c>
      <c r="B500" s="49" t="s">
        <v>108</v>
      </c>
      <c r="C500" s="49" t="s">
        <v>113</v>
      </c>
      <c r="D500" s="49" t="s">
        <v>5</v>
      </c>
      <c r="E500" s="50">
        <v>96</v>
      </c>
      <c r="F500" s="49" t="s">
        <v>107</v>
      </c>
      <c r="G500" s="51">
        <v>166004787</v>
      </c>
      <c r="H500" s="52">
        <v>15</v>
      </c>
      <c r="I500" s="52">
        <f>L500+M500+N500</f>
        <v>13.3036</v>
      </c>
      <c r="J500" s="52">
        <f>O500+P500</f>
        <v>1.5964</v>
      </c>
      <c r="K500" s="53">
        <f>IF(H500=I500+J500,0,W500)</f>
        <v>0.1</v>
      </c>
      <c r="L500" s="52">
        <v>0</v>
      </c>
      <c r="M500" s="52">
        <v>13.3036</v>
      </c>
      <c r="N500" s="52">
        <v>0</v>
      </c>
      <c r="O500" s="52">
        <v>0</v>
      </c>
      <c r="P500" s="52">
        <v>1.5964</v>
      </c>
      <c r="Q500" s="54">
        <v>13.3036</v>
      </c>
      <c r="R500" s="52">
        <v>14.9</v>
      </c>
      <c r="S500" s="52">
        <v>0</v>
      </c>
      <c r="T500" s="52">
        <v>0</v>
      </c>
      <c r="U500" s="52">
        <v>0</v>
      </c>
      <c r="V500" s="52">
        <v>0</v>
      </c>
      <c r="W500" s="52">
        <v>0.1</v>
      </c>
      <c r="X500" s="54">
        <v>15</v>
      </c>
      <c r="Y500" s="52">
        <v>0</v>
      </c>
      <c r="Z500" s="52">
        <v>0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46132.655706018515</v>
      </c>
      <c r="AH500" s="52">
        <v>46450</v>
      </c>
      <c r="AI500" s="52">
        <v>0</v>
      </c>
      <c r="AJ500" s="53">
        <f>AH500+AI500</f>
        <v>46450</v>
      </c>
      <c r="AK500" s="56">
        <v>0</v>
      </c>
    </row>
    <row r="501">
      <c r="A501" s="48">
        <v>46132.65594907408</v>
      </c>
      <c r="B501" s="49" t="s">
        <v>108</v>
      </c>
      <c r="C501" s="49" t="s">
        <v>113</v>
      </c>
      <c r="D501" s="49" t="s">
        <v>5</v>
      </c>
      <c r="E501" s="50">
        <v>96</v>
      </c>
      <c r="F501" s="49" t="s">
        <v>107</v>
      </c>
      <c r="G501" s="51">
        <v>166004788</v>
      </c>
      <c r="H501" s="52">
        <v>66</v>
      </c>
      <c r="I501" s="52">
        <f>L501+M501+N501</f>
        <v>55.9659</v>
      </c>
      <c r="J501" s="52">
        <f>O501+P501</f>
        <v>10.2341</v>
      </c>
      <c r="K501" s="53">
        <f>IF(H501=I501+J501,0,W501)</f>
        <v>-0.2</v>
      </c>
      <c r="L501" s="52">
        <v>39.0909</v>
      </c>
      <c r="M501" s="52">
        <v>16.875</v>
      </c>
      <c r="N501" s="52">
        <v>0</v>
      </c>
      <c r="O501" s="52">
        <v>8.2091</v>
      </c>
      <c r="P501" s="52">
        <v>2.025</v>
      </c>
      <c r="Q501" s="54">
        <v>55.9659</v>
      </c>
      <c r="R501" s="52">
        <v>66.2</v>
      </c>
      <c r="S501" s="52">
        <v>0</v>
      </c>
      <c r="T501" s="52">
        <v>0</v>
      </c>
      <c r="U501" s="52">
        <v>0</v>
      </c>
      <c r="V501" s="52">
        <v>0</v>
      </c>
      <c r="W501" s="52">
        <v>-0.2</v>
      </c>
      <c r="X501" s="54">
        <v>70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46132.65594907408</v>
      </c>
      <c r="AH501" s="52">
        <v>46516</v>
      </c>
      <c r="AI501" s="52">
        <v>0</v>
      </c>
      <c r="AJ501" s="53">
        <f>AH501+AI501</f>
        <v>46516</v>
      </c>
      <c r="AK501" s="56">
        <v>0</v>
      </c>
    </row>
    <row r="502">
      <c r="A502" s="48">
        <v>46132.656168981484</v>
      </c>
      <c r="B502" s="49" t="s">
        <v>108</v>
      </c>
      <c r="C502" s="49" t="s">
        <v>111</v>
      </c>
      <c r="D502" s="49" t="s">
        <v>5</v>
      </c>
      <c r="E502" s="50">
        <v>96</v>
      </c>
      <c r="F502" s="49" t="s">
        <v>109</v>
      </c>
      <c r="G502" s="51">
        <v>169002724</v>
      </c>
      <c r="H502" s="52">
        <v>42</v>
      </c>
      <c r="I502" s="52">
        <f>L502+M502+N502</f>
        <v>36.5311</v>
      </c>
      <c r="J502" s="52">
        <f>O502+P502</f>
        <v>5.2689</v>
      </c>
      <c r="K502" s="53">
        <f>IF(H502=I502+J502,0,W502)</f>
        <v>0.2</v>
      </c>
      <c r="L502" s="52">
        <v>9.8347</v>
      </c>
      <c r="M502" s="52">
        <v>26.6964</v>
      </c>
      <c r="N502" s="52">
        <v>0</v>
      </c>
      <c r="O502" s="52">
        <v>2.0653</v>
      </c>
      <c r="P502" s="52">
        <v>3.2036</v>
      </c>
      <c r="Q502" s="54">
        <v>36.5311</v>
      </c>
      <c r="R502" s="52">
        <v>41.8</v>
      </c>
      <c r="S502" s="52">
        <v>0</v>
      </c>
      <c r="T502" s="52">
        <v>0</v>
      </c>
      <c r="U502" s="52">
        <v>0</v>
      </c>
      <c r="V502" s="52">
        <v>0</v>
      </c>
      <c r="W502" s="52">
        <v>0.2</v>
      </c>
      <c r="X502" s="54">
        <v>50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46132.656168981484</v>
      </c>
      <c r="AH502" s="52">
        <v>30276</v>
      </c>
      <c r="AI502" s="52">
        <v>0</v>
      </c>
      <c r="AJ502" s="53">
        <f>AH502+AI502</f>
        <v>30276</v>
      </c>
      <c r="AK502" s="56">
        <v>0</v>
      </c>
    </row>
    <row r="503">
      <c r="A503" s="48">
        <v>46132.6562037037</v>
      </c>
      <c r="B503" s="49" t="s">
        <v>108</v>
      </c>
      <c r="C503" s="49" t="s">
        <v>100</v>
      </c>
      <c r="D503" s="49" t="s">
        <v>5</v>
      </c>
      <c r="E503" s="50">
        <v>96</v>
      </c>
      <c r="F503" s="49" t="s">
        <v>105</v>
      </c>
      <c r="G503" s="51">
        <v>161000375</v>
      </c>
      <c r="H503" s="52">
        <v>271.44</v>
      </c>
      <c r="I503" s="52">
        <f>L503+M503+N503</f>
        <v>240.60999999999999</v>
      </c>
      <c r="J503" s="52">
        <f>O503+P503</f>
        <v>30.83</v>
      </c>
      <c r="K503" s="53">
        <f>IF(H503=I503+J503,0,W503)</f>
        <v>0</v>
      </c>
      <c r="L503" s="52">
        <v>20.57</v>
      </c>
      <c r="M503" s="52">
        <v>220.04</v>
      </c>
      <c r="N503" s="52">
        <v>0</v>
      </c>
      <c r="O503" s="52">
        <v>4.33</v>
      </c>
      <c r="P503" s="52">
        <v>26.5</v>
      </c>
      <c r="Q503" s="54">
        <v>240.61</v>
      </c>
      <c r="R503" s="52">
        <v>271.44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271.44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46132.6562037037</v>
      </c>
      <c r="AH503" s="52">
        <v>0</v>
      </c>
      <c r="AI503" s="52">
        <v>0</v>
      </c>
      <c r="AJ503" s="53">
        <f>AH503+AI503</f>
        <v>0</v>
      </c>
      <c r="AK503" s="56">
        <v>0</v>
      </c>
    </row>
    <row r="504">
      <c r="A504" s="48">
        <v>46132.657534722224</v>
      </c>
      <c r="B504" s="49" t="s">
        <v>108</v>
      </c>
      <c r="C504" s="49" t="s">
        <v>111</v>
      </c>
      <c r="D504" s="49" t="s">
        <v>5</v>
      </c>
      <c r="E504" s="50">
        <v>96</v>
      </c>
      <c r="F504" s="49" t="s">
        <v>109</v>
      </c>
      <c r="G504" s="51">
        <v>169002725</v>
      </c>
      <c r="H504" s="52">
        <v>127.88</v>
      </c>
      <c r="I504" s="52">
        <f>L504+M504+N504</f>
        <v>110.2803</v>
      </c>
      <c r="J504" s="52">
        <f>O504+P504</f>
        <v>17.5997</v>
      </c>
      <c r="K504" s="53">
        <f>IF(H504=I504+J504,0,W504)</f>
        <v>0</v>
      </c>
      <c r="L504" s="52">
        <v>48.5124</v>
      </c>
      <c r="M504" s="52">
        <v>61.7679</v>
      </c>
      <c r="N504" s="52">
        <v>0</v>
      </c>
      <c r="O504" s="52">
        <v>10.1876</v>
      </c>
      <c r="P504" s="52">
        <v>7.4121</v>
      </c>
      <c r="Q504" s="54">
        <v>110.2803</v>
      </c>
      <c r="R504" s="52">
        <v>127.88</v>
      </c>
      <c r="S504" s="52">
        <v>0</v>
      </c>
      <c r="T504" s="52">
        <v>0</v>
      </c>
      <c r="U504" s="52">
        <v>0</v>
      </c>
      <c r="V504" s="52">
        <v>0</v>
      </c>
      <c r="W504" s="52">
        <v>0</v>
      </c>
      <c r="X504" s="54">
        <v>0</v>
      </c>
      <c r="Y504" s="52">
        <v>0</v>
      </c>
      <c r="Z504" s="52">
        <v>127.88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46132.657534722224</v>
      </c>
      <c r="AH504" s="52">
        <v>30276</v>
      </c>
      <c r="AI504" s="52">
        <v>0</v>
      </c>
      <c r="AJ504" s="53">
        <f>AH504+AI504</f>
        <v>30276</v>
      </c>
      <c r="AK504" s="56">
        <v>0</v>
      </c>
    </row>
    <row r="505">
      <c r="A505" s="48">
        <v>46132.65820601852</v>
      </c>
      <c r="B505" s="49" t="s">
        <v>108</v>
      </c>
      <c r="C505" s="49" t="s">
        <v>111</v>
      </c>
      <c r="D505" s="49" t="s">
        <v>5</v>
      </c>
      <c r="E505" s="50">
        <v>96</v>
      </c>
      <c r="F505" s="49" t="s">
        <v>109</v>
      </c>
      <c r="G505" s="51">
        <v>169002726</v>
      </c>
      <c r="H505" s="52">
        <v>206</v>
      </c>
      <c r="I505" s="52">
        <f>L505+M505+N505</f>
        <v>177.7806</v>
      </c>
      <c r="J505" s="52">
        <f>O505+P505</f>
        <v>28.4294</v>
      </c>
      <c r="K505" s="53">
        <f>IF(H505=I505+J505,0,W505)</f>
        <v>-0.21</v>
      </c>
      <c r="L505" s="52">
        <v>78.843</v>
      </c>
      <c r="M505" s="52">
        <v>98.9376</v>
      </c>
      <c r="N505" s="52">
        <v>0</v>
      </c>
      <c r="O505" s="52">
        <v>16.557</v>
      </c>
      <c r="P505" s="52">
        <v>11.8724</v>
      </c>
      <c r="Q505" s="54">
        <v>177.7806</v>
      </c>
      <c r="R505" s="52">
        <v>206.21</v>
      </c>
      <c r="S505" s="52">
        <v>0</v>
      </c>
      <c r="T505" s="52">
        <v>0</v>
      </c>
      <c r="U505" s="52">
        <v>0</v>
      </c>
      <c r="V505" s="52">
        <v>0</v>
      </c>
      <c r="W505" s="52">
        <v>-0.21</v>
      </c>
      <c r="X505" s="54">
        <v>207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46132.65820601852</v>
      </c>
      <c r="AH505" s="52">
        <v>30482</v>
      </c>
      <c r="AI505" s="52">
        <v>0</v>
      </c>
      <c r="AJ505" s="53">
        <f>AH505+AI505</f>
        <v>30482</v>
      </c>
      <c r="AK505" s="56">
        <v>0</v>
      </c>
    </row>
    <row r="506">
      <c r="A506" s="48">
        <v>46132.6583912037</v>
      </c>
      <c r="B506" s="49" t="s">
        <v>108</v>
      </c>
      <c r="C506" s="49" t="s">
        <v>100</v>
      </c>
      <c r="D506" s="49" t="s">
        <v>5</v>
      </c>
      <c r="E506" s="50">
        <v>96</v>
      </c>
      <c r="F506" s="49" t="s">
        <v>105</v>
      </c>
      <c r="G506" s="51">
        <v>161000376</v>
      </c>
      <c r="H506" s="52">
        <v>47.6</v>
      </c>
      <c r="I506" s="52">
        <f>L506+M506+N506</f>
        <v>42.5</v>
      </c>
      <c r="J506" s="52">
        <f>O506+P506</f>
        <v>5.1</v>
      </c>
      <c r="K506" s="53">
        <f>IF(H506=I506+J506,0,W506)</f>
        <v>0</v>
      </c>
      <c r="L506" s="52">
        <v>0</v>
      </c>
      <c r="M506" s="52">
        <v>42.5</v>
      </c>
      <c r="N506" s="52">
        <v>0</v>
      </c>
      <c r="O506" s="52">
        <v>0</v>
      </c>
      <c r="P506" s="52">
        <v>5.1</v>
      </c>
      <c r="Q506" s="54">
        <v>42.5</v>
      </c>
      <c r="R506" s="52">
        <v>47.6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47.6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46132.6583912037</v>
      </c>
      <c r="AH506" s="52">
        <v>0</v>
      </c>
      <c r="AI506" s="52">
        <v>0</v>
      </c>
      <c r="AJ506" s="53">
        <f>AH506+AI506</f>
        <v>0</v>
      </c>
      <c r="AK506" s="56">
        <v>0</v>
      </c>
    </row>
    <row r="507">
      <c r="A507" s="48">
        <v>46132.65875</v>
      </c>
      <c r="B507" s="49" t="s">
        <v>108</v>
      </c>
      <c r="C507" s="49" t="s">
        <v>100</v>
      </c>
      <c r="D507" s="49" t="s">
        <v>5</v>
      </c>
      <c r="E507" s="50">
        <v>96</v>
      </c>
      <c r="F507" s="49" t="s">
        <v>101</v>
      </c>
      <c r="G507" s="51">
        <v>163000349</v>
      </c>
      <c r="H507" s="52">
        <v>24.9</v>
      </c>
      <c r="I507" s="52">
        <f>L507+M507+N507</f>
        <v>20.57</v>
      </c>
      <c r="J507" s="52">
        <f>O507+P507</f>
        <v>4.33</v>
      </c>
      <c r="K507" s="53">
        <f>IF(H507=I507+J507,0,W507)</f>
        <v>0</v>
      </c>
      <c r="L507" s="52">
        <v>20.57</v>
      </c>
      <c r="M507" s="52">
        <v>0</v>
      </c>
      <c r="N507" s="52">
        <v>0</v>
      </c>
      <c r="O507" s="52">
        <v>4.33</v>
      </c>
      <c r="P507" s="52">
        <v>0</v>
      </c>
      <c r="Q507" s="54">
        <v>20.57</v>
      </c>
      <c r="R507" s="52">
        <v>24.9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24.9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46132.65875</v>
      </c>
      <c r="AH507" s="52">
        <v>0</v>
      </c>
      <c r="AI507" s="52">
        <v>0</v>
      </c>
      <c r="AJ507" s="53">
        <f>AH507+AI507</f>
        <v>0</v>
      </c>
      <c r="AK507" s="56">
        <v>0</v>
      </c>
    </row>
    <row r="508">
      <c r="A508" s="48">
        <v>46132.659004629626</v>
      </c>
      <c r="B508" s="49" t="s">
        <v>108</v>
      </c>
      <c r="C508" s="49" t="s">
        <v>111</v>
      </c>
      <c r="D508" s="49" t="s">
        <v>5</v>
      </c>
      <c r="E508" s="50">
        <v>96</v>
      </c>
      <c r="F508" s="49" t="s">
        <v>109</v>
      </c>
      <c r="G508" s="51">
        <v>169002727</v>
      </c>
      <c r="H508" s="52">
        <v>339.36</v>
      </c>
      <c r="I508" s="52">
        <f>L508+M508+N508</f>
        <v>296.6644</v>
      </c>
      <c r="J508" s="52">
        <f>O508+P508</f>
        <v>42.6956</v>
      </c>
      <c r="K508" s="53">
        <f>IF(H508=I508+J508,0,W508)</f>
        <v>0</v>
      </c>
      <c r="L508" s="52">
        <v>78.843</v>
      </c>
      <c r="M508" s="52">
        <v>217.8214</v>
      </c>
      <c r="N508" s="52">
        <v>0</v>
      </c>
      <c r="O508" s="52">
        <v>16.557</v>
      </c>
      <c r="P508" s="52">
        <v>26.1386</v>
      </c>
      <c r="Q508" s="54">
        <v>296.6644</v>
      </c>
      <c r="R508" s="52">
        <v>339.36</v>
      </c>
      <c r="S508" s="52">
        <v>0</v>
      </c>
      <c r="T508" s="52">
        <v>0</v>
      </c>
      <c r="U508" s="52">
        <v>0</v>
      </c>
      <c r="V508" s="52">
        <v>0</v>
      </c>
      <c r="W508" s="52">
        <v>0</v>
      </c>
      <c r="X508" s="54">
        <v>0</v>
      </c>
      <c r="Y508" s="52">
        <v>0</v>
      </c>
      <c r="Z508" s="52">
        <v>339.36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46132.659004629626</v>
      </c>
      <c r="AH508" s="52">
        <v>30482</v>
      </c>
      <c r="AI508" s="52">
        <v>0</v>
      </c>
      <c r="AJ508" s="53">
        <f>AH508+AI508</f>
        <v>30482</v>
      </c>
      <c r="AK508" s="56">
        <v>0</v>
      </c>
    </row>
    <row r="509">
      <c r="A509" s="48">
        <v>46132.659907407404</v>
      </c>
      <c r="B509" s="49" t="s">
        <v>108</v>
      </c>
      <c r="C509" s="49" t="s">
        <v>111</v>
      </c>
      <c r="D509" s="49" t="s">
        <v>5</v>
      </c>
      <c r="E509" s="50">
        <v>96</v>
      </c>
      <c r="F509" s="49" t="s">
        <v>109</v>
      </c>
      <c r="G509" s="51">
        <v>169002728</v>
      </c>
      <c r="H509" s="52">
        <v>214.78</v>
      </c>
      <c r="I509" s="52">
        <f>L509+M509+N509</f>
        <v>191.7678</v>
      </c>
      <c r="J509" s="52">
        <f>O509+P509</f>
        <v>23.0122</v>
      </c>
      <c r="K509" s="53">
        <f>IF(H509=I509+J509,0,W509)</f>
        <v>0</v>
      </c>
      <c r="L509" s="52">
        <v>0</v>
      </c>
      <c r="M509" s="52">
        <v>191.7678</v>
      </c>
      <c r="N509" s="52">
        <v>0</v>
      </c>
      <c r="O509" s="52">
        <v>0</v>
      </c>
      <c r="P509" s="52">
        <v>23.0122</v>
      </c>
      <c r="Q509" s="54">
        <v>191.7678</v>
      </c>
      <c r="R509" s="52">
        <v>214.78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0</v>
      </c>
      <c r="Y509" s="52">
        <v>0</v>
      </c>
      <c r="Z509" s="52">
        <v>214.78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46132.659907407404</v>
      </c>
      <c r="AH509" s="52">
        <v>30482</v>
      </c>
      <c r="AI509" s="52">
        <v>0</v>
      </c>
      <c r="AJ509" s="53">
        <f>AH509+AI509</f>
        <v>30482</v>
      </c>
      <c r="AK509" s="56">
        <v>35.34</v>
      </c>
    </row>
    <row r="510">
      <c r="A510" s="48">
        <v>46132.66019675926</v>
      </c>
      <c r="B510" s="49" t="s">
        <v>108</v>
      </c>
      <c r="C510" s="49" t="s">
        <v>111</v>
      </c>
      <c r="D510" s="49" t="s">
        <v>5</v>
      </c>
      <c r="E510" s="50">
        <v>96</v>
      </c>
      <c r="F510" s="49" t="s">
        <v>109</v>
      </c>
      <c r="G510" s="51">
        <v>169002729</v>
      </c>
      <c r="H510" s="52">
        <v>92</v>
      </c>
      <c r="I510" s="52">
        <f>L510+M510+N510</f>
        <v>77.7851</v>
      </c>
      <c r="J510" s="52">
        <f>O510+P510</f>
        <v>13.8149</v>
      </c>
      <c r="K510" s="53">
        <f>IF(H510=I510+J510,0,W510)</f>
        <v>0.4</v>
      </c>
      <c r="L510" s="52">
        <v>65.7851</v>
      </c>
      <c r="M510" s="52">
        <v>0</v>
      </c>
      <c r="N510" s="52">
        <v>12</v>
      </c>
      <c r="O510" s="52">
        <v>13.8149</v>
      </c>
      <c r="P510" s="52">
        <v>0</v>
      </c>
      <c r="Q510" s="54">
        <v>65.7851</v>
      </c>
      <c r="R510" s="52">
        <v>79.6</v>
      </c>
      <c r="S510" s="52">
        <v>0</v>
      </c>
      <c r="T510" s="52">
        <v>0</v>
      </c>
      <c r="U510" s="52">
        <v>12</v>
      </c>
      <c r="V510" s="52">
        <v>0</v>
      </c>
      <c r="W510" s="52">
        <v>0.4</v>
      </c>
      <c r="X510" s="54">
        <v>1002</v>
      </c>
      <c r="Y510" s="52">
        <v>0</v>
      </c>
      <c r="Z510" s="52">
        <v>0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46132.66019675926</v>
      </c>
      <c r="AH510" s="52">
        <v>30574</v>
      </c>
      <c r="AI510" s="52">
        <v>0</v>
      </c>
      <c r="AJ510" s="53">
        <f>AH510+AI510</f>
        <v>30574</v>
      </c>
      <c r="AK510" s="56">
        <v>0</v>
      </c>
    </row>
    <row r="511">
      <c r="A511" s="48">
        <v>46132.66075231481</v>
      </c>
      <c r="B511" s="49" t="s">
        <v>108</v>
      </c>
      <c r="C511" s="49" t="s">
        <v>111</v>
      </c>
      <c r="D511" s="49" t="s">
        <v>5</v>
      </c>
      <c r="E511" s="50">
        <v>96</v>
      </c>
      <c r="F511" s="49" t="s">
        <v>109</v>
      </c>
      <c r="G511" s="51">
        <v>169002730</v>
      </c>
      <c r="H511" s="52">
        <v>58.48</v>
      </c>
      <c r="I511" s="52">
        <f>L511+M511+N511</f>
        <v>52.2143</v>
      </c>
      <c r="J511" s="52">
        <f>O511+P511</f>
        <v>6.2657</v>
      </c>
      <c r="K511" s="53">
        <f>IF(H511=I511+J511,0,W511)</f>
        <v>0</v>
      </c>
      <c r="L511" s="52">
        <v>0</v>
      </c>
      <c r="M511" s="52">
        <v>52.2143</v>
      </c>
      <c r="N511" s="52">
        <v>0</v>
      </c>
      <c r="O511" s="52">
        <v>0</v>
      </c>
      <c r="P511" s="52">
        <v>6.2657</v>
      </c>
      <c r="Q511" s="54">
        <v>52.2143</v>
      </c>
      <c r="R511" s="52">
        <v>58.48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>
        <v>0</v>
      </c>
      <c r="Y511" s="52">
        <v>0</v>
      </c>
      <c r="Z511" s="52">
        <v>58.48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46132.66075231481</v>
      </c>
      <c r="AH511" s="52">
        <v>30574</v>
      </c>
      <c r="AI511" s="52">
        <v>0</v>
      </c>
      <c r="AJ511" s="53">
        <f>AH511+AI511</f>
        <v>30574</v>
      </c>
      <c r="AK511" s="56">
        <v>17.6072</v>
      </c>
    </row>
    <row r="512">
      <c r="A512" s="48">
        <v>46132.66149305556</v>
      </c>
      <c r="B512" s="49" t="s">
        <v>108</v>
      </c>
      <c r="C512" s="49" t="s">
        <v>111</v>
      </c>
      <c r="D512" s="49" t="s">
        <v>5</v>
      </c>
      <c r="E512" s="50">
        <v>96</v>
      </c>
      <c r="F512" s="49" t="s">
        <v>109</v>
      </c>
      <c r="G512" s="51">
        <v>169002731</v>
      </c>
      <c r="H512" s="52">
        <v>102.79</v>
      </c>
      <c r="I512" s="52">
        <f>L512+M512+N512</f>
        <v>91.7767</v>
      </c>
      <c r="J512" s="52">
        <f>O512+P512</f>
        <v>11.0133</v>
      </c>
      <c r="K512" s="53">
        <f>IF(H512=I512+J512,0,W512)</f>
        <v>0</v>
      </c>
      <c r="L512" s="52">
        <v>0</v>
      </c>
      <c r="M512" s="52">
        <v>91.7767</v>
      </c>
      <c r="N512" s="52">
        <v>0</v>
      </c>
      <c r="O512" s="52">
        <v>0</v>
      </c>
      <c r="P512" s="52">
        <v>11.0133</v>
      </c>
      <c r="Q512" s="54">
        <v>91.7767</v>
      </c>
      <c r="R512" s="52">
        <v>102.79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>
        <v>0</v>
      </c>
      <c r="Y512" s="52">
        <v>0</v>
      </c>
      <c r="Z512" s="52">
        <v>102.79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46132.66149305556</v>
      </c>
      <c r="AH512" s="52">
        <v>30574</v>
      </c>
      <c r="AI512" s="52">
        <v>0</v>
      </c>
      <c r="AJ512" s="53">
        <f>AH512+AI512</f>
        <v>30574</v>
      </c>
      <c r="AK512" s="56">
        <v>6.1526</v>
      </c>
    </row>
    <row r="513">
      <c r="A513" s="48">
        <v>46132.661875</v>
      </c>
      <c r="B513" s="49" t="s">
        <v>108</v>
      </c>
      <c r="C513" s="49" t="s">
        <v>111</v>
      </c>
      <c r="D513" s="49" t="s">
        <v>5</v>
      </c>
      <c r="E513" s="50">
        <v>96</v>
      </c>
      <c r="F513" s="49" t="s">
        <v>109</v>
      </c>
      <c r="G513" s="51">
        <v>169002732</v>
      </c>
      <c r="H513" s="52">
        <v>189.2</v>
      </c>
      <c r="I513" s="52">
        <f>L513+M513+N513</f>
        <v>164.4392</v>
      </c>
      <c r="J513" s="52">
        <f>O513+P513</f>
        <v>24.760800000000003</v>
      </c>
      <c r="K513" s="53">
        <f>IF(H513=I513+J513,0,W513)</f>
        <v>0</v>
      </c>
      <c r="L513" s="52">
        <v>55.8678</v>
      </c>
      <c r="M513" s="52">
        <v>108.5714</v>
      </c>
      <c r="N513" s="52">
        <v>0</v>
      </c>
      <c r="O513" s="52">
        <v>11.7322</v>
      </c>
      <c r="P513" s="52">
        <v>13.0286</v>
      </c>
      <c r="Q513" s="54">
        <v>164.4392</v>
      </c>
      <c r="R513" s="52">
        <v>189.2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189.2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46132.661875</v>
      </c>
      <c r="AH513" s="52">
        <v>30574</v>
      </c>
      <c r="AI513" s="52">
        <v>0</v>
      </c>
      <c r="AJ513" s="53">
        <f>AH513+AI513</f>
        <v>30574</v>
      </c>
      <c r="AK513" s="56">
        <v>0</v>
      </c>
    </row>
    <row r="514">
      <c r="A514" s="48">
        <v>46132.662141203706</v>
      </c>
      <c r="B514" s="49" t="s">
        <v>108</v>
      </c>
      <c r="C514" s="49" t="s">
        <v>111</v>
      </c>
      <c r="D514" s="49" t="s">
        <v>5</v>
      </c>
      <c r="E514" s="50">
        <v>96</v>
      </c>
      <c r="F514" s="49" t="s">
        <v>109</v>
      </c>
      <c r="G514" s="51">
        <v>169002733</v>
      </c>
      <c r="H514" s="52">
        <v>19</v>
      </c>
      <c r="I514" s="52">
        <f>L514+M514+N514</f>
        <v>16.7857</v>
      </c>
      <c r="J514" s="52">
        <f>O514+P514</f>
        <v>2.0143</v>
      </c>
      <c r="K514" s="53">
        <f>IF(H514=I514+J514,0,W514)</f>
        <v>0.2</v>
      </c>
      <c r="L514" s="52">
        <v>0</v>
      </c>
      <c r="M514" s="52">
        <v>16.7857</v>
      </c>
      <c r="N514" s="52">
        <v>0</v>
      </c>
      <c r="O514" s="52">
        <v>0</v>
      </c>
      <c r="P514" s="52">
        <v>2.0143</v>
      </c>
      <c r="Q514" s="54">
        <v>16.7857</v>
      </c>
      <c r="R514" s="52">
        <v>18.8</v>
      </c>
      <c r="S514" s="52">
        <v>0</v>
      </c>
      <c r="T514" s="52">
        <v>0</v>
      </c>
      <c r="U514" s="52">
        <v>0</v>
      </c>
      <c r="V514" s="52">
        <v>0</v>
      </c>
      <c r="W514" s="52">
        <v>0.2</v>
      </c>
      <c r="X514" s="54">
        <v>20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46132.662141203706</v>
      </c>
      <c r="AH514" s="52">
        <v>30593</v>
      </c>
      <c r="AI514" s="52">
        <v>0</v>
      </c>
      <c r="AJ514" s="53">
        <f>AH514+AI514</f>
        <v>30593</v>
      </c>
      <c r="AK514" s="56">
        <v>0</v>
      </c>
    </row>
    <row r="515">
      <c r="A515" s="48">
        <v>46132.662465277775</v>
      </c>
      <c r="B515" s="49" t="s">
        <v>108</v>
      </c>
      <c r="C515" s="49" t="s">
        <v>111</v>
      </c>
      <c r="D515" s="49" t="s">
        <v>5</v>
      </c>
      <c r="E515" s="50">
        <v>96</v>
      </c>
      <c r="F515" s="49" t="s">
        <v>109</v>
      </c>
      <c r="G515" s="51">
        <v>169002734</v>
      </c>
      <c r="H515" s="52">
        <v>40</v>
      </c>
      <c r="I515" s="52">
        <f>L515+M515+N515</f>
        <v>35.625</v>
      </c>
      <c r="J515" s="52">
        <f>O515+P515</f>
        <v>4.275</v>
      </c>
      <c r="K515" s="53">
        <f>IF(H515=I515+J515,0,W515)</f>
        <v>0.1</v>
      </c>
      <c r="L515" s="52">
        <v>0</v>
      </c>
      <c r="M515" s="52">
        <v>35.625</v>
      </c>
      <c r="N515" s="52">
        <v>0</v>
      </c>
      <c r="O515" s="52">
        <v>0</v>
      </c>
      <c r="P515" s="52">
        <v>4.275</v>
      </c>
      <c r="Q515" s="54">
        <v>35.625</v>
      </c>
      <c r="R515" s="52">
        <v>39.9</v>
      </c>
      <c r="S515" s="52">
        <v>0</v>
      </c>
      <c r="T515" s="52">
        <v>0</v>
      </c>
      <c r="U515" s="52">
        <v>0</v>
      </c>
      <c r="V515" s="52">
        <v>0</v>
      </c>
      <c r="W515" s="52">
        <v>0.1</v>
      </c>
      <c r="X515" s="54">
        <v>40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46132.662465277775</v>
      </c>
      <c r="AH515" s="52">
        <v>30633</v>
      </c>
      <c r="AI515" s="52">
        <v>0</v>
      </c>
      <c r="AJ515" s="53">
        <f>AH515+AI515</f>
        <v>30633</v>
      </c>
      <c r="AK515" s="56">
        <v>0</v>
      </c>
    </row>
    <row r="516">
      <c r="A516" s="48">
        <v>46132.662986111114</v>
      </c>
      <c r="B516" s="49" t="s">
        <v>108</v>
      </c>
      <c r="C516" s="49" t="s">
        <v>111</v>
      </c>
      <c r="D516" s="49" t="s">
        <v>5</v>
      </c>
      <c r="E516" s="50">
        <v>96</v>
      </c>
      <c r="F516" s="49" t="s">
        <v>109</v>
      </c>
      <c r="G516" s="51">
        <v>169002735</v>
      </c>
      <c r="H516" s="52">
        <v>161</v>
      </c>
      <c r="I516" s="52">
        <f>L516+M516+N516</f>
        <v>133.0579</v>
      </c>
      <c r="J516" s="52">
        <f>O516+P516</f>
        <v>27.9421</v>
      </c>
      <c r="K516" s="53">
        <f>IF(H516=I516+J516,0,W516)</f>
        <v>0</v>
      </c>
      <c r="L516" s="52">
        <v>133.0579</v>
      </c>
      <c r="M516" s="52">
        <v>0</v>
      </c>
      <c r="N516" s="52">
        <v>0</v>
      </c>
      <c r="O516" s="52">
        <v>27.9421</v>
      </c>
      <c r="P516" s="52">
        <v>0</v>
      </c>
      <c r="Q516" s="54">
        <v>133.0579</v>
      </c>
      <c r="R516" s="52">
        <v>161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161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46132.662986111114</v>
      </c>
      <c r="AH516" s="52">
        <v>30633</v>
      </c>
      <c r="AI516" s="52">
        <v>0</v>
      </c>
      <c r="AJ516" s="53">
        <f>AH516+AI516</f>
        <v>30633</v>
      </c>
      <c r="AK516" s="56">
        <v>0</v>
      </c>
    </row>
    <row r="517">
      <c r="A517" s="48">
        <v>46132.66412037037</v>
      </c>
      <c r="B517" s="49" t="s">
        <v>108</v>
      </c>
      <c r="C517" s="49" t="s">
        <v>111</v>
      </c>
      <c r="D517" s="49" t="s">
        <v>5</v>
      </c>
      <c r="E517" s="50">
        <v>96</v>
      </c>
      <c r="F517" s="49" t="s">
        <v>109</v>
      </c>
      <c r="G517" s="51">
        <v>169002736</v>
      </c>
      <c r="H517" s="52">
        <v>38.92</v>
      </c>
      <c r="I517" s="52">
        <f>L517+M517+N517</f>
        <v>34.7499</v>
      </c>
      <c r="J517" s="52">
        <f>O517+P517</f>
        <v>4.1701</v>
      </c>
      <c r="K517" s="53">
        <f>IF(H517=I517+J517,0,W517)</f>
        <v>0</v>
      </c>
      <c r="L517" s="52">
        <v>0</v>
      </c>
      <c r="M517" s="52">
        <v>34.7499</v>
      </c>
      <c r="N517" s="52">
        <v>0</v>
      </c>
      <c r="O517" s="52">
        <v>0</v>
      </c>
      <c r="P517" s="52">
        <v>4.1701</v>
      </c>
      <c r="Q517" s="54">
        <v>34.7499</v>
      </c>
      <c r="R517" s="52">
        <v>38.92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38.92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46132.66412037037</v>
      </c>
      <c r="AH517" s="52">
        <v>30633</v>
      </c>
      <c r="AI517" s="52">
        <v>0</v>
      </c>
      <c r="AJ517" s="53">
        <f>AH517+AI517</f>
        <v>30633</v>
      </c>
      <c r="AK517" s="56">
        <v>0</v>
      </c>
    </row>
    <row r="518">
      <c r="A518" s="48">
        <v>46132.664722222224</v>
      </c>
      <c r="B518" s="49" t="s">
        <v>108</v>
      </c>
      <c r="C518" s="49" t="s">
        <v>111</v>
      </c>
      <c r="D518" s="49" t="s">
        <v>5</v>
      </c>
      <c r="E518" s="50">
        <v>96</v>
      </c>
      <c r="F518" s="49" t="s">
        <v>109</v>
      </c>
      <c r="G518" s="51">
        <v>169002737</v>
      </c>
      <c r="H518" s="52">
        <v>122</v>
      </c>
      <c r="I518" s="52">
        <f>L518+M518+N518</f>
        <v>107.4256</v>
      </c>
      <c r="J518" s="52">
        <f>O518+P518</f>
        <v>14.5944</v>
      </c>
      <c r="K518" s="53">
        <f>IF(H518=I518+J518,0,W518)</f>
        <v>-0.02</v>
      </c>
      <c r="L518" s="52">
        <v>18.9256</v>
      </c>
      <c r="M518" s="52">
        <v>88.5</v>
      </c>
      <c r="N518" s="52">
        <v>0</v>
      </c>
      <c r="O518" s="52">
        <v>3.9744</v>
      </c>
      <c r="P518" s="52">
        <v>10.62</v>
      </c>
      <c r="Q518" s="54">
        <v>107.4256</v>
      </c>
      <c r="R518" s="52">
        <v>122.02</v>
      </c>
      <c r="S518" s="52">
        <v>0</v>
      </c>
      <c r="T518" s="52">
        <v>0</v>
      </c>
      <c r="U518" s="52">
        <v>0</v>
      </c>
      <c r="V518" s="52">
        <v>0</v>
      </c>
      <c r="W518" s="52">
        <v>-0.02</v>
      </c>
      <c r="X518" s="54">
        <v>122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46132.664722222224</v>
      </c>
      <c r="AH518" s="52">
        <v>30755</v>
      </c>
      <c r="AI518" s="52">
        <v>0</v>
      </c>
      <c r="AJ518" s="53">
        <f>AH518+AI518</f>
        <v>30755</v>
      </c>
      <c r="AK518" s="56">
        <v>0</v>
      </c>
    </row>
    <row r="519">
      <c r="A519" s="48">
        <v>46132.665555555555</v>
      </c>
      <c r="B519" s="49" t="s">
        <v>108</v>
      </c>
      <c r="C519" s="49" t="s">
        <v>111</v>
      </c>
      <c r="D519" s="49" t="s">
        <v>5</v>
      </c>
      <c r="E519" s="50">
        <v>96</v>
      </c>
      <c r="F519" s="49" t="s">
        <v>109</v>
      </c>
      <c r="G519" s="51">
        <v>169002738</v>
      </c>
      <c r="H519" s="52">
        <v>4</v>
      </c>
      <c r="I519" s="52">
        <f>L519+M519+N519</f>
        <v>3.9643</v>
      </c>
      <c r="J519" s="52">
        <f>O519+P519</f>
        <v>0.4757</v>
      </c>
      <c r="K519" s="53">
        <f>IF(H519=I519+J519,0,W519)</f>
        <v>-0.44</v>
      </c>
      <c r="L519" s="52">
        <v>0</v>
      </c>
      <c r="M519" s="52">
        <v>3.9643</v>
      </c>
      <c r="N519" s="52">
        <v>0</v>
      </c>
      <c r="O519" s="52">
        <v>0</v>
      </c>
      <c r="P519" s="52">
        <v>0.4757</v>
      </c>
      <c r="Q519" s="54">
        <v>3.9643</v>
      </c>
      <c r="R519" s="52">
        <v>4.44</v>
      </c>
      <c r="S519" s="52">
        <v>0</v>
      </c>
      <c r="T519" s="52">
        <v>0</v>
      </c>
      <c r="U519" s="52">
        <v>0</v>
      </c>
      <c r="V519" s="52">
        <v>0</v>
      </c>
      <c r="W519" s="52">
        <v>-0.44</v>
      </c>
      <c r="X519" s="54">
        <v>4</v>
      </c>
      <c r="Y519" s="52">
        <v>0</v>
      </c>
      <c r="Z519" s="52">
        <v>0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46132.665555555555</v>
      </c>
      <c r="AH519" s="52">
        <v>30759</v>
      </c>
      <c r="AI519" s="52">
        <v>0</v>
      </c>
      <c r="AJ519" s="53">
        <f>AH519+AI519</f>
        <v>30759</v>
      </c>
      <c r="AK519" s="56">
        <v>0</v>
      </c>
    </row>
    <row r="520">
      <c r="A520" s="48">
        <v>46132.66684027778</v>
      </c>
      <c r="B520" s="49" t="s">
        <v>108</v>
      </c>
      <c r="C520" s="49" t="s">
        <v>111</v>
      </c>
      <c r="D520" s="49" t="s">
        <v>5</v>
      </c>
      <c r="E520" s="50">
        <v>96</v>
      </c>
      <c r="F520" s="49" t="s">
        <v>109</v>
      </c>
      <c r="G520" s="51">
        <v>169002739</v>
      </c>
      <c r="H520" s="52">
        <v>91</v>
      </c>
      <c r="I520" s="52">
        <f>L520+M520+N520</f>
        <v>81.1518</v>
      </c>
      <c r="J520" s="52">
        <f>O520+P520</f>
        <v>9.7382</v>
      </c>
      <c r="K520" s="53">
        <f>IF(H520=I520+J520,0,W520)</f>
        <v>0.11</v>
      </c>
      <c r="L520" s="52">
        <v>0</v>
      </c>
      <c r="M520" s="52">
        <v>81.1518</v>
      </c>
      <c r="N520" s="52">
        <v>0</v>
      </c>
      <c r="O520" s="52">
        <v>0</v>
      </c>
      <c r="P520" s="52">
        <v>9.7382</v>
      </c>
      <c r="Q520" s="54">
        <v>81.1518</v>
      </c>
      <c r="R520" s="52">
        <v>90.89</v>
      </c>
      <c r="S520" s="52">
        <v>0</v>
      </c>
      <c r="T520" s="52">
        <v>0</v>
      </c>
      <c r="U520" s="52">
        <v>0</v>
      </c>
      <c r="V520" s="52">
        <v>0</v>
      </c>
      <c r="W520" s="52">
        <v>0.11</v>
      </c>
      <c r="X520" s="54">
        <v>201</v>
      </c>
      <c r="Y520" s="52">
        <v>0</v>
      </c>
      <c r="Z520" s="52">
        <v>0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46132.66684027778</v>
      </c>
      <c r="AH520" s="52">
        <v>30850</v>
      </c>
      <c r="AI520" s="52">
        <v>0</v>
      </c>
      <c r="AJ520" s="53">
        <f>AH520+AI520</f>
        <v>30850</v>
      </c>
      <c r="AK520" s="56">
        <v>0</v>
      </c>
    </row>
    <row r="521">
      <c r="A521" s="48">
        <v>46132.667291666665</v>
      </c>
      <c r="B521" s="49" t="s">
        <v>108</v>
      </c>
      <c r="C521" s="49" t="s">
        <v>100</v>
      </c>
      <c r="D521" s="49" t="s">
        <v>5</v>
      </c>
      <c r="E521" s="50">
        <v>96</v>
      </c>
      <c r="F521" s="49" t="s">
        <v>105</v>
      </c>
      <c r="G521" s="51">
        <v>161000377</v>
      </c>
      <c r="H521" s="52">
        <v>18.44</v>
      </c>
      <c r="I521" s="52">
        <f>L521+M521+N521</f>
        <v>16.46</v>
      </c>
      <c r="J521" s="52">
        <f>O521+P521</f>
        <v>1.98</v>
      </c>
      <c r="K521" s="53">
        <f>IF(H521=I521+J521,0,W521)</f>
        <v>0</v>
      </c>
      <c r="L521" s="52">
        <v>0</v>
      </c>
      <c r="M521" s="52">
        <v>16.46</v>
      </c>
      <c r="N521" s="52">
        <v>0</v>
      </c>
      <c r="O521" s="52">
        <v>0</v>
      </c>
      <c r="P521" s="52">
        <v>1.98</v>
      </c>
      <c r="Q521" s="54">
        <v>16.46</v>
      </c>
      <c r="R521" s="52">
        <v>18.44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18.44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46132.667291666665</v>
      </c>
      <c r="AH521" s="52">
        <v>0</v>
      </c>
      <c r="AI521" s="52">
        <v>0</v>
      </c>
      <c r="AJ521" s="53">
        <f>AH521+AI521</f>
        <v>0</v>
      </c>
      <c r="AK521" s="56">
        <v>0</v>
      </c>
    </row>
    <row r="522">
      <c r="A522" s="48">
        <v>46132.66814814815</v>
      </c>
      <c r="B522" s="49" t="s">
        <v>108</v>
      </c>
      <c r="C522" s="49" t="s">
        <v>111</v>
      </c>
      <c r="D522" s="49" t="s">
        <v>5</v>
      </c>
      <c r="E522" s="50">
        <v>96</v>
      </c>
      <c r="F522" s="49" t="s">
        <v>109</v>
      </c>
      <c r="G522" s="51">
        <v>169002740</v>
      </c>
      <c r="H522" s="52">
        <v>218</v>
      </c>
      <c r="I522" s="52">
        <f>L522+M522+N522</f>
        <v>193.2321</v>
      </c>
      <c r="J522" s="52">
        <f>O522+P522</f>
        <v>24.667900000000003</v>
      </c>
      <c r="K522" s="53">
        <f>IF(H522=I522+J522,0,W522)</f>
        <v>0.1</v>
      </c>
      <c r="L522" s="52">
        <v>16.4463</v>
      </c>
      <c r="M522" s="52">
        <v>176.7858</v>
      </c>
      <c r="N522" s="52">
        <v>0</v>
      </c>
      <c r="O522" s="52">
        <v>3.4537</v>
      </c>
      <c r="P522" s="52">
        <v>21.2142</v>
      </c>
      <c r="Q522" s="54">
        <v>193.2321</v>
      </c>
      <c r="R522" s="52">
        <v>217.9</v>
      </c>
      <c r="S522" s="52">
        <v>0</v>
      </c>
      <c r="T522" s="52">
        <v>0</v>
      </c>
      <c r="U522" s="52">
        <v>0</v>
      </c>
      <c r="V522" s="52">
        <v>0</v>
      </c>
      <c r="W522" s="52">
        <v>0.1</v>
      </c>
      <c r="X522" s="54">
        <v>518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46132.66814814815</v>
      </c>
      <c r="AH522" s="52">
        <v>31068</v>
      </c>
      <c r="AI522" s="52">
        <v>0</v>
      </c>
      <c r="AJ522" s="53">
        <f>AH522+AI522</f>
        <v>31068</v>
      </c>
      <c r="AK522" s="56">
        <v>0</v>
      </c>
    </row>
    <row r="523">
      <c r="A523" s="48">
        <v>46132.66840277778</v>
      </c>
      <c r="B523" s="49" t="s">
        <v>108</v>
      </c>
      <c r="C523" s="49" t="s">
        <v>111</v>
      </c>
      <c r="D523" s="49" t="s">
        <v>5</v>
      </c>
      <c r="E523" s="50">
        <v>96</v>
      </c>
      <c r="F523" s="49" t="s">
        <v>109</v>
      </c>
      <c r="G523" s="51">
        <v>169002741</v>
      </c>
      <c r="H523" s="52">
        <v>26</v>
      </c>
      <c r="I523" s="52">
        <f>L523+M523+N523</f>
        <v>23.4107</v>
      </c>
      <c r="J523" s="52">
        <f>O523+P523</f>
        <v>2.8093</v>
      </c>
      <c r="K523" s="53">
        <f>IF(H523=I523+J523,0,W523)</f>
        <v>-0.22</v>
      </c>
      <c r="L523" s="52">
        <v>0</v>
      </c>
      <c r="M523" s="52">
        <v>23.4107</v>
      </c>
      <c r="N523" s="52">
        <v>0</v>
      </c>
      <c r="O523" s="52">
        <v>0</v>
      </c>
      <c r="P523" s="52">
        <v>2.8093</v>
      </c>
      <c r="Q523" s="54">
        <v>23.4107</v>
      </c>
      <c r="R523" s="52">
        <v>26.22</v>
      </c>
      <c r="S523" s="52">
        <v>0</v>
      </c>
      <c r="T523" s="52">
        <v>0</v>
      </c>
      <c r="U523" s="52">
        <v>0</v>
      </c>
      <c r="V523" s="52">
        <v>0</v>
      </c>
      <c r="W523" s="52">
        <v>-0.22</v>
      </c>
      <c r="X523" s="54">
        <v>40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46132.66840277778</v>
      </c>
      <c r="AH523" s="52">
        <v>31094</v>
      </c>
      <c r="AI523" s="52">
        <v>0</v>
      </c>
      <c r="AJ523" s="53">
        <f>AH523+AI523</f>
        <v>31094</v>
      </c>
      <c r="AK523" s="56">
        <v>0</v>
      </c>
    </row>
    <row r="524">
      <c r="A524" s="48">
        <v>46132.668969907405</v>
      </c>
      <c r="B524" s="49" t="s">
        <v>108</v>
      </c>
      <c r="C524" s="49" t="s">
        <v>111</v>
      </c>
      <c r="D524" s="49" t="s">
        <v>5</v>
      </c>
      <c r="E524" s="50">
        <v>96</v>
      </c>
      <c r="F524" s="49" t="s">
        <v>109</v>
      </c>
      <c r="G524" s="51">
        <v>169002742</v>
      </c>
      <c r="H524" s="52">
        <v>265.74</v>
      </c>
      <c r="I524" s="52">
        <f>L524+M524+N524</f>
        <v>237.1418</v>
      </c>
      <c r="J524" s="52">
        <f>O524+P524</f>
        <v>28.5982</v>
      </c>
      <c r="K524" s="53">
        <f>IF(H524=I524+J524,0,W524)</f>
        <v>0</v>
      </c>
      <c r="L524" s="52">
        <v>1.5702</v>
      </c>
      <c r="M524" s="52">
        <v>235.5716</v>
      </c>
      <c r="N524" s="52">
        <v>0</v>
      </c>
      <c r="O524" s="52">
        <v>0.3298</v>
      </c>
      <c r="P524" s="52">
        <v>28.2684</v>
      </c>
      <c r="Q524" s="54">
        <v>237.1418</v>
      </c>
      <c r="R524" s="52">
        <v>265.74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>
        <v>0</v>
      </c>
      <c r="Y524" s="52">
        <v>0</v>
      </c>
      <c r="Z524" s="52">
        <v>265.74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46132.668969907405</v>
      </c>
      <c r="AH524" s="52">
        <v>31094</v>
      </c>
      <c r="AI524" s="52">
        <v>0</v>
      </c>
      <c r="AJ524" s="53">
        <f>AH524+AI524</f>
        <v>31094</v>
      </c>
      <c r="AK524" s="56">
        <v>0</v>
      </c>
    </row>
    <row r="525">
      <c r="A525" s="48">
        <v>46132.671064814815</v>
      </c>
      <c r="B525" s="49" t="s">
        <v>108</v>
      </c>
      <c r="C525" s="49" t="s">
        <v>111</v>
      </c>
      <c r="D525" s="49" t="s">
        <v>5</v>
      </c>
      <c r="E525" s="50">
        <v>96</v>
      </c>
      <c r="F525" s="49" t="s">
        <v>109</v>
      </c>
      <c r="G525" s="51">
        <v>169002743</v>
      </c>
      <c r="H525" s="52">
        <v>63.6</v>
      </c>
      <c r="I525" s="52">
        <f>L525+M525+N525</f>
        <v>54.6448</v>
      </c>
      <c r="J525" s="52">
        <f>O525+P525</f>
        <v>8.9552</v>
      </c>
      <c r="K525" s="53">
        <f>IF(H525=I525+J525,0,W525)</f>
        <v>0</v>
      </c>
      <c r="L525" s="52">
        <v>42.6448</v>
      </c>
      <c r="M525" s="52">
        <v>0</v>
      </c>
      <c r="N525" s="52">
        <v>12</v>
      </c>
      <c r="O525" s="52">
        <v>8.9552</v>
      </c>
      <c r="P525" s="52">
        <v>0</v>
      </c>
      <c r="Q525" s="54">
        <v>42.6448</v>
      </c>
      <c r="R525" s="52">
        <v>51.6</v>
      </c>
      <c r="S525" s="52">
        <v>0</v>
      </c>
      <c r="T525" s="52">
        <v>0</v>
      </c>
      <c r="U525" s="52">
        <v>12</v>
      </c>
      <c r="V525" s="52">
        <v>0</v>
      </c>
      <c r="W525" s="52">
        <v>0</v>
      </c>
      <c r="X525" s="54">
        <v>0</v>
      </c>
      <c r="Y525" s="52">
        <v>0</v>
      </c>
      <c r="Z525" s="52">
        <v>63.6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46132.671064814815</v>
      </c>
      <c r="AH525" s="52">
        <v>31094</v>
      </c>
      <c r="AI525" s="52">
        <v>0</v>
      </c>
      <c r="AJ525" s="53">
        <f>AH525+AI525</f>
        <v>31094</v>
      </c>
      <c r="AK525" s="56">
        <v>0</v>
      </c>
    </row>
    <row r="526">
      <c r="A526" s="48">
        <v>46132.672060185185</v>
      </c>
      <c r="B526" s="49" t="s">
        <v>108</v>
      </c>
      <c r="C526" s="49" t="s">
        <v>111</v>
      </c>
      <c r="D526" s="49" t="s">
        <v>5</v>
      </c>
      <c r="E526" s="50">
        <v>96</v>
      </c>
      <c r="F526" s="49" t="s">
        <v>109</v>
      </c>
      <c r="G526" s="51">
        <v>169002744</v>
      </c>
      <c r="H526" s="52">
        <v>496</v>
      </c>
      <c r="I526" s="52">
        <f>L526+M526+N526</f>
        <v>415.3942</v>
      </c>
      <c r="J526" s="52">
        <f>O526+P526</f>
        <v>80.3058</v>
      </c>
      <c r="K526" s="53">
        <f>IF(H526=I526+J526,0,W526)</f>
        <v>0.3</v>
      </c>
      <c r="L526" s="52">
        <v>338.4298</v>
      </c>
      <c r="M526" s="52">
        <v>76.9644</v>
      </c>
      <c r="N526" s="52">
        <v>0</v>
      </c>
      <c r="O526" s="52">
        <v>71.0702</v>
      </c>
      <c r="P526" s="52">
        <v>9.2356</v>
      </c>
      <c r="Q526" s="54">
        <v>415.3942</v>
      </c>
      <c r="R526" s="52">
        <v>495.7</v>
      </c>
      <c r="S526" s="52">
        <v>0</v>
      </c>
      <c r="T526" s="52">
        <v>0</v>
      </c>
      <c r="U526" s="52">
        <v>0</v>
      </c>
      <c r="V526" s="52">
        <v>0</v>
      </c>
      <c r="W526" s="52">
        <v>0.3</v>
      </c>
      <c r="X526" s="54">
        <v>2000</v>
      </c>
      <c r="Y526" s="52">
        <v>0</v>
      </c>
      <c r="Z526" s="52">
        <v>0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46132.672060185185</v>
      </c>
      <c r="AH526" s="52">
        <v>31590</v>
      </c>
      <c r="AI526" s="52">
        <v>0</v>
      </c>
      <c r="AJ526" s="53">
        <f>AH526+AI526</f>
        <v>31590</v>
      </c>
      <c r="AK526" s="56">
        <v>0</v>
      </c>
    </row>
    <row r="527">
      <c r="A527" s="48">
        <v>46132.67273148148</v>
      </c>
      <c r="B527" s="49" t="s">
        <v>108</v>
      </c>
      <c r="C527" s="49" t="s">
        <v>111</v>
      </c>
      <c r="D527" s="49" t="s">
        <v>5</v>
      </c>
      <c r="E527" s="50">
        <v>96</v>
      </c>
      <c r="F527" s="49" t="s">
        <v>109</v>
      </c>
      <c r="G527" s="51">
        <v>169002745</v>
      </c>
      <c r="H527" s="52">
        <v>87.9</v>
      </c>
      <c r="I527" s="52">
        <f>L527+M527+N527</f>
        <v>72.6446</v>
      </c>
      <c r="J527" s="52">
        <f>O527+P527</f>
        <v>15.2554</v>
      </c>
      <c r="K527" s="53">
        <f>IF(H527=I527+J527,0,W527)</f>
        <v>0</v>
      </c>
      <c r="L527" s="52">
        <v>72.6446</v>
      </c>
      <c r="M527" s="52">
        <v>0</v>
      </c>
      <c r="N527" s="52">
        <v>0</v>
      </c>
      <c r="O527" s="52">
        <v>15.2554</v>
      </c>
      <c r="P527" s="52">
        <v>0</v>
      </c>
      <c r="Q527" s="54">
        <v>72.6446</v>
      </c>
      <c r="R527" s="52">
        <v>87.9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87.9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46132.67273148148</v>
      </c>
      <c r="AH527" s="52">
        <v>31590</v>
      </c>
      <c r="AI527" s="52">
        <v>0</v>
      </c>
      <c r="AJ527" s="53">
        <f>AH527+AI527</f>
        <v>31590</v>
      </c>
      <c r="AK527" s="56">
        <v>0</v>
      </c>
    </row>
    <row r="528">
      <c r="A528" s="48">
        <v>46132.673530092594</v>
      </c>
      <c r="B528" s="49" t="s">
        <v>108</v>
      </c>
      <c r="C528" s="49" t="s">
        <v>111</v>
      </c>
      <c r="D528" s="49" t="s">
        <v>5</v>
      </c>
      <c r="E528" s="50">
        <v>96</v>
      </c>
      <c r="F528" s="49" t="s">
        <v>109</v>
      </c>
      <c r="G528" s="51">
        <v>169002746</v>
      </c>
      <c r="H528" s="52">
        <v>227</v>
      </c>
      <c r="I528" s="52">
        <f>L528+M528+N528</f>
        <v>202.8572</v>
      </c>
      <c r="J528" s="52">
        <f>O528+P528</f>
        <v>24.3428</v>
      </c>
      <c r="K528" s="53">
        <f>IF(H528=I528+J528,0,W528)</f>
        <v>-0.2</v>
      </c>
      <c r="L528" s="52">
        <v>0</v>
      </c>
      <c r="M528" s="52">
        <v>202.8572</v>
      </c>
      <c r="N528" s="52">
        <v>0</v>
      </c>
      <c r="O528" s="52">
        <v>0</v>
      </c>
      <c r="P528" s="52">
        <v>24.3428</v>
      </c>
      <c r="Q528" s="54">
        <v>202.8572</v>
      </c>
      <c r="R528" s="52">
        <v>227.2</v>
      </c>
      <c r="S528" s="52">
        <v>0</v>
      </c>
      <c r="T528" s="52">
        <v>0</v>
      </c>
      <c r="U528" s="52">
        <v>0</v>
      </c>
      <c r="V528" s="52">
        <v>0</v>
      </c>
      <c r="W528" s="52">
        <v>-0.2</v>
      </c>
      <c r="X528" s="54">
        <v>300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46132.673530092594</v>
      </c>
      <c r="AH528" s="52">
        <v>31817</v>
      </c>
      <c r="AI528" s="52">
        <v>0</v>
      </c>
      <c r="AJ528" s="53">
        <f>AH528+AI528</f>
        <v>31817</v>
      </c>
      <c r="AK528" s="56">
        <v>0</v>
      </c>
    </row>
    <row r="529">
      <c r="A529" s="48">
        <v>46132.673946759256</v>
      </c>
      <c r="B529" s="49" t="s">
        <v>108</v>
      </c>
      <c r="C529" s="49" t="s">
        <v>111</v>
      </c>
      <c r="D529" s="49" t="s">
        <v>5</v>
      </c>
      <c r="E529" s="50">
        <v>96</v>
      </c>
      <c r="F529" s="49" t="s">
        <v>109</v>
      </c>
      <c r="G529" s="51">
        <v>169002747</v>
      </c>
      <c r="H529" s="52">
        <v>33</v>
      </c>
      <c r="I529" s="52">
        <f>L529+M529+N529</f>
        <v>29.4018</v>
      </c>
      <c r="J529" s="52">
        <f>O529+P529</f>
        <v>3.5282</v>
      </c>
      <c r="K529" s="53">
        <f>IF(H529=I529+J529,0,W529)</f>
        <v>0.07</v>
      </c>
      <c r="L529" s="52">
        <v>0</v>
      </c>
      <c r="M529" s="52">
        <v>29.4018</v>
      </c>
      <c r="N529" s="52">
        <v>0</v>
      </c>
      <c r="O529" s="52">
        <v>0</v>
      </c>
      <c r="P529" s="52">
        <v>3.5282</v>
      </c>
      <c r="Q529" s="54">
        <v>29.4018</v>
      </c>
      <c r="R529" s="52">
        <v>32.93</v>
      </c>
      <c r="S529" s="52">
        <v>0</v>
      </c>
      <c r="T529" s="52">
        <v>0</v>
      </c>
      <c r="U529" s="52">
        <v>0</v>
      </c>
      <c r="V529" s="52">
        <v>0</v>
      </c>
      <c r="W529" s="52">
        <v>0.07</v>
      </c>
      <c r="X529" s="54">
        <v>33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46132.673946759256</v>
      </c>
      <c r="AH529" s="52">
        <v>31850</v>
      </c>
      <c r="AI529" s="52">
        <v>0</v>
      </c>
      <c r="AJ529" s="53">
        <f>AH529+AI529</f>
        <v>31850</v>
      </c>
      <c r="AK529" s="56">
        <v>14.1137</v>
      </c>
    </row>
    <row r="530">
      <c r="A530" s="48">
        <v>46132.674166666664</v>
      </c>
      <c r="B530" s="49" t="s">
        <v>108</v>
      </c>
      <c r="C530" s="49" t="s">
        <v>111</v>
      </c>
      <c r="D530" s="49" t="s">
        <v>5</v>
      </c>
      <c r="E530" s="50">
        <v>96</v>
      </c>
      <c r="F530" s="49" t="s">
        <v>109</v>
      </c>
      <c r="G530" s="51">
        <v>169002748</v>
      </c>
      <c r="H530" s="52">
        <v>17</v>
      </c>
      <c r="I530" s="52">
        <f>L530+M530+N530</f>
        <v>15.0893</v>
      </c>
      <c r="J530" s="52">
        <f>O530+P530</f>
        <v>1.8107</v>
      </c>
      <c r="K530" s="53">
        <f>IF(H530=I530+J530,0,W530)</f>
        <v>0.1</v>
      </c>
      <c r="L530" s="52">
        <v>0</v>
      </c>
      <c r="M530" s="52">
        <v>15.0893</v>
      </c>
      <c r="N530" s="52">
        <v>0</v>
      </c>
      <c r="O530" s="52">
        <v>0</v>
      </c>
      <c r="P530" s="52">
        <v>1.8107</v>
      </c>
      <c r="Q530" s="54">
        <v>15.0893</v>
      </c>
      <c r="R530" s="52">
        <v>16.9</v>
      </c>
      <c r="S530" s="52">
        <v>0</v>
      </c>
      <c r="T530" s="52">
        <v>0</v>
      </c>
      <c r="U530" s="52">
        <v>0</v>
      </c>
      <c r="V530" s="52">
        <v>0</v>
      </c>
      <c r="W530" s="52">
        <v>0.1</v>
      </c>
      <c r="X530" s="54">
        <v>200</v>
      </c>
      <c r="Y530" s="52">
        <v>0</v>
      </c>
      <c r="Z530" s="52">
        <v>0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46132.674166666664</v>
      </c>
      <c r="AH530" s="52">
        <v>31867</v>
      </c>
      <c r="AI530" s="52">
        <v>0</v>
      </c>
      <c r="AJ530" s="53">
        <f>AH530+AI530</f>
        <v>31867</v>
      </c>
      <c r="AK530" s="56">
        <v>0</v>
      </c>
    </row>
    <row r="531">
      <c r="A531" s="48">
        <v>46132.67525462963</v>
      </c>
      <c r="B531" s="49" t="s">
        <v>108</v>
      </c>
      <c r="C531" s="49" t="s">
        <v>111</v>
      </c>
      <c r="D531" s="49" t="s">
        <v>5</v>
      </c>
      <c r="E531" s="50">
        <v>96</v>
      </c>
      <c r="F531" s="49" t="s">
        <v>109</v>
      </c>
      <c r="G531" s="51">
        <v>169002749</v>
      </c>
      <c r="H531" s="52">
        <v>115</v>
      </c>
      <c r="I531" s="52">
        <f>L531+M531+N531</f>
        <v>102.4376</v>
      </c>
      <c r="J531" s="52">
        <f>O531+P531</f>
        <v>12.2924</v>
      </c>
      <c r="K531" s="53">
        <f>IF(H531=I531+J531,0,W531)</f>
        <v>0.27</v>
      </c>
      <c r="L531" s="52">
        <v>0</v>
      </c>
      <c r="M531" s="52">
        <v>102.4376</v>
      </c>
      <c r="N531" s="52">
        <v>0</v>
      </c>
      <c r="O531" s="52">
        <v>0</v>
      </c>
      <c r="P531" s="52">
        <v>12.2924</v>
      </c>
      <c r="Q531" s="54">
        <v>102.4376</v>
      </c>
      <c r="R531" s="52">
        <v>114.73</v>
      </c>
      <c r="S531" s="52">
        <v>0</v>
      </c>
      <c r="T531" s="52">
        <v>0</v>
      </c>
      <c r="U531" s="52">
        <v>0</v>
      </c>
      <c r="V531" s="52">
        <v>0</v>
      </c>
      <c r="W531" s="52">
        <v>0.27</v>
      </c>
      <c r="X531" s="54">
        <v>500</v>
      </c>
      <c r="Y531" s="52">
        <v>0</v>
      </c>
      <c r="Z531" s="52">
        <v>0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46132.67525462963</v>
      </c>
      <c r="AH531" s="52">
        <v>31982</v>
      </c>
      <c r="AI531" s="52">
        <v>0</v>
      </c>
      <c r="AJ531" s="53">
        <f>AH531+AI531</f>
        <v>31982</v>
      </c>
      <c r="AK531" s="56">
        <v>5.07</v>
      </c>
    </row>
    <row r="532">
      <c r="A532" s="48">
        <v>46132.67633101852</v>
      </c>
      <c r="B532" s="49" t="s">
        <v>108</v>
      </c>
      <c r="C532" s="49" t="s">
        <v>111</v>
      </c>
      <c r="D532" s="49" t="s">
        <v>5</v>
      </c>
      <c r="E532" s="50">
        <v>96</v>
      </c>
      <c r="F532" s="49" t="s">
        <v>109</v>
      </c>
      <c r="G532" s="51">
        <v>169002750</v>
      </c>
      <c r="H532" s="52">
        <v>39.6</v>
      </c>
      <c r="I532" s="52">
        <f>L532+M532+N532</f>
        <v>35.3571</v>
      </c>
      <c r="J532" s="52">
        <f>O532+P532</f>
        <v>4.2429</v>
      </c>
      <c r="K532" s="53">
        <f>IF(H532=I532+J532,0,W532)</f>
        <v>0</v>
      </c>
      <c r="L532" s="52">
        <v>0</v>
      </c>
      <c r="M532" s="52">
        <v>35.3571</v>
      </c>
      <c r="N532" s="52">
        <v>0</v>
      </c>
      <c r="O532" s="52">
        <v>0</v>
      </c>
      <c r="P532" s="52">
        <v>4.2429</v>
      </c>
      <c r="Q532" s="54">
        <v>35.3571</v>
      </c>
      <c r="R532" s="52">
        <v>39.6</v>
      </c>
      <c r="S532" s="52">
        <v>0</v>
      </c>
      <c r="T532" s="52">
        <v>0</v>
      </c>
      <c r="U532" s="52">
        <v>0</v>
      </c>
      <c r="V532" s="52">
        <v>0</v>
      </c>
      <c r="W532" s="52">
        <v>0</v>
      </c>
      <c r="X532" s="54">
        <v>0</v>
      </c>
      <c r="Y532" s="52">
        <v>0</v>
      </c>
      <c r="Z532" s="52">
        <v>39.6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46132.67633101852</v>
      </c>
      <c r="AH532" s="52">
        <v>31982</v>
      </c>
      <c r="AI532" s="52">
        <v>0</v>
      </c>
      <c r="AJ532" s="53">
        <f>AH532+AI532</f>
        <v>31982</v>
      </c>
      <c r="AK532" s="56">
        <v>0</v>
      </c>
    </row>
    <row r="533">
      <c r="A533" s="48">
        <v>46132.67659722222</v>
      </c>
      <c r="B533" s="49" t="s">
        <v>108</v>
      </c>
      <c r="C533" s="49" t="s">
        <v>111</v>
      </c>
      <c r="D533" s="49" t="s">
        <v>5</v>
      </c>
      <c r="E533" s="50">
        <v>96</v>
      </c>
      <c r="F533" s="49" t="s">
        <v>109</v>
      </c>
      <c r="G533" s="51">
        <v>169002751</v>
      </c>
      <c r="H533" s="52">
        <v>29.9</v>
      </c>
      <c r="I533" s="52">
        <f>L533+M533+N533</f>
        <v>24.7107</v>
      </c>
      <c r="J533" s="52">
        <f>O533+P533</f>
        <v>5.1893</v>
      </c>
      <c r="K533" s="53">
        <f>IF(H533=I533+J533,0,W533)</f>
        <v>0</v>
      </c>
      <c r="L533" s="52">
        <v>24.7107</v>
      </c>
      <c r="M533" s="52">
        <v>0</v>
      </c>
      <c r="N533" s="52">
        <v>0</v>
      </c>
      <c r="O533" s="52">
        <v>5.1893</v>
      </c>
      <c r="P533" s="52">
        <v>0</v>
      </c>
      <c r="Q533" s="54">
        <v>24.7107</v>
      </c>
      <c r="R533" s="52">
        <v>29.9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29.9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46132.67659722222</v>
      </c>
      <c r="AH533" s="52">
        <v>31982</v>
      </c>
      <c r="AI533" s="52">
        <v>0</v>
      </c>
      <c r="AJ533" s="53">
        <f>AH533+AI533</f>
        <v>31982</v>
      </c>
      <c r="AK533" s="56">
        <v>0</v>
      </c>
    </row>
    <row r="534">
      <c r="A534" s="48">
        <v>46132.677453703705</v>
      </c>
      <c r="B534" s="49" t="s">
        <v>108</v>
      </c>
      <c r="C534" s="49" t="s">
        <v>111</v>
      </c>
      <c r="D534" s="49" t="s">
        <v>5</v>
      </c>
      <c r="E534" s="50">
        <v>96</v>
      </c>
      <c r="F534" s="49" t="s">
        <v>109</v>
      </c>
      <c r="G534" s="51">
        <v>169002752</v>
      </c>
      <c r="H534" s="52">
        <v>242.67</v>
      </c>
      <c r="I534" s="52">
        <f>L534+M534+N534</f>
        <v>209.504</v>
      </c>
      <c r="J534" s="52">
        <f>O534+P534</f>
        <v>33.166000000000004</v>
      </c>
      <c r="K534" s="53">
        <f>IF(H534=I534+J534,0,W534)</f>
        <v>0</v>
      </c>
      <c r="L534" s="52">
        <v>89.1736</v>
      </c>
      <c r="M534" s="52">
        <v>120.3304</v>
      </c>
      <c r="N534" s="52">
        <v>0</v>
      </c>
      <c r="O534" s="52">
        <v>18.7264</v>
      </c>
      <c r="P534" s="52">
        <v>14.4396</v>
      </c>
      <c r="Q534" s="54">
        <v>209.504</v>
      </c>
      <c r="R534" s="52">
        <v>242.67</v>
      </c>
      <c r="S534" s="52">
        <v>0</v>
      </c>
      <c r="T534" s="52">
        <v>0</v>
      </c>
      <c r="U534" s="52">
        <v>0</v>
      </c>
      <c r="V534" s="52">
        <v>0</v>
      </c>
      <c r="W534" s="52">
        <v>0</v>
      </c>
      <c r="X534" s="54">
        <v>0</v>
      </c>
      <c r="Y534" s="52">
        <v>0</v>
      </c>
      <c r="Z534" s="52">
        <v>242.67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46132.677453703705</v>
      </c>
      <c r="AH534" s="52">
        <v>31982</v>
      </c>
      <c r="AI534" s="52">
        <v>0</v>
      </c>
      <c r="AJ534" s="53">
        <f>AH534+AI534</f>
        <v>31982</v>
      </c>
      <c r="AK534" s="56">
        <v>0</v>
      </c>
    </row>
    <row r="535">
      <c r="A535" s="48">
        <v>46132.67828703704</v>
      </c>
      <c r="B535" s="49" t="s">
        <v>108</v>
      </c>
      <c r="C535" s="49" t="s">
        <v>111</v>
      </c>
      <c r="D535" s="49" t="s">
        <v>5</v>
      </c>
      <c r="E535" s="50">
        <v>96</v>
      </c>
      <c r="F535" s="49" t="s">
        <v>109</v>
      </c>
      <c r="G535" s="51">
        <v>169002753</v>
      </c>
      <c r="H535" s="52">
        <v>31.32</v>
      </c>
      <c r="I535" s="52">
        <f>L535+M535+N535</f>
        <v>26.6427</v>
      </c>
      <c r="J535" s="52">
        <f>O535+P535</f>
        <v>4.6773</v>
      </c>
      <c r="K535" s="53">
        <f>IF(H535=I535+J535,0,W535)</f>
        <v>0</v>
      </c>
      <c r="L535" s="52">
        <v>16.4463</v>
      </c>
      <c r="M535" s="52">
        <v>10.1964</v>
      </c>
      <c r="N535" s="52">
        <v>0</v>
      </c>
      <c r="O535" s="52">
        <v>3.4537</v>
      </c>
      <c r="P535" s="52">
        <v>1.2236</v>
      </c>
      <c r="Q535" s="54">
        <v>26.6427</v>
      </c>
      <c r="R535" s="52">
        <v>31.32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31.32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46132.67828703704</v>
      </c>
      <c r="AH535" s="52">
        <v>31982</v>
      </c>
      <c r="AI535" s="52">
        <v>0</v>
      </c>
      <c r="AJ535" s="53">
        <f>AH535+AI535</f>
        <v>31982</v>
      </c>
      <c r="AK535" s="56">
        <v>0</v>
      </c>
    </row>
    <row r="536">
      <c r="A536" s="48">
        <v>46132.678622685184</v>
      </c>
      <c r="B536" s="49" t="s">
        <v>108</v>
      </c>
      <c r="C536" s="49" t="s">
        <v>111</v>
      </c>
      <c r="D536" s="49" t="s">
        <v>5</v>
      </c>
      <c r="E536" s="50">
        <v>96</v>
      </c>
      <c r="F536" s="49" t="s">
        <v>109</v>
      </c>
      <c r="G536" s="51">
        <v>169002754</v>
      </c>
      <c r="H536" s="52">
        <v>92</v>
      </c>
      <c r="I536" s="52">
        <f>L536+M536+N536</f>
        <v>81.8751</v>
      </c>
      <c r="J536" s="52">
        <f>O536+P536</f>
        <v>9.8249</v>
      </c>
      <c r="K536" s="53">
        <f>IF(H536=I536+J536,0,W536)</f>
        <v>0.3</v>
      </c>
      <c r="L536" s="52">
        <v>0</v>
      </c>
      <c r="M536" s="52">
        <v>81.8751</v>
      </c>
      <c r="N536" s="52">
        <v>0</v>
      </c>
      <c r="O536" s="52">
        <v>0</v>
      </c>
      <c r="P536" s="52">
        <v>9.8249</v>
      </c>
      <c r="Q536" s="54">
        <v>81.8751</v>
      </c>
      <c r="R536" s="52">
        <v>91.7</v>
      </c>
      <c r="S536" s="52">
        <v>0</v>
      </c>
      <c r="T536" s="52">
        <v>0</v>
      </c>
      <c r="U536" s="52">
        <v>0</v>
      </c>
      <c r="V536" s="52">
        <v>0</v>
      </c>
      <c r="W536" s="52">
        <v>0.3</v>
      </c>
      <c r="X536" s="54">
        <v>100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46132.678622685184</v>
      </c>
      <c r="AH536" s="52">
        <v>32074</v>
      </c>
      <c r="AI536" s="52">
        <v>0</v>
      </c>
      <c r="AJ536" s="53">
        <f>AH536+AI536</f>
        <v>32074</v>
      </c>
      <c r="AK536" s="56">
        <v>0</v>
      </c>
    </row>
    <row r="537">
      <c r="A537" s="48">
        <v>46132.680497685185</v>
      </c>
      <c r="B537" s="49" t="s">
        <v>108</v>
      </c>
      <c r="C537" s="49" t="s">
        <v>100</v>
      </c>
      <c r="D537" s="49" t="s">
        <v>5</v>
      </c>
      <c r="E537" s="50">
        <v>96</v>
      </c>
      <c r="F537" s="49" t="s">
        <v>101</v>
      </c>
      <c r="G537" s="51">
        <v>163000350</v>
      </c>
      <c r="H537" s="52">
        <v>171.4</v>
      </c>
      <c r="I537" s="52">
        <f>L537+M537+N537</f>
        <v>151.43</v>
      </c>
      <c r="J537" s="52">
        <f>O537+P537</f>
        <v>19.97</v>
      </c>
      <c r="K537" s="53">
        <f>IF(H537=I537+J537,0,W537)</f>
        <v>0</v>
      </c>
      <c r="L537" s="52">
        <v>19.75</v>
      </c>
      <c r="M537" s="52">
        <v>131.68</v>
      </c>
      <c r="N537" s="52">
        <v>0</v>
      </c>
      <c r="O537" s="52">
        <v>4.15</v>
      </c>
      <c r="P537" s="52">
        <v>15.82</v>
      </c>
      <c r="Q537" s="54">
        <v>151.43</v>
      </c>
      <c r="R537" s="52">
        <v>171.4</v>
      </c>
      <c r="S537" s="52">
        <v>0</v>
      </c>
      <c r="T537" s="52">
        <v>0</v>
      </c>
      <c r="U537" s="52">
        <v>0</v>
      </c>
      <c r="V537" s="52">
        <v>0</v>
      </c>
      <c r="W537" s="52">
        <v>0</v>
      </c>
      <c r="X537" s="54">
        <v>0</v>
      </c>
      <c r="Y537" s="52">
        <v>0</v>
      </c>
      <c r="Z537" s="52">
        <v>171.4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46132.680497685185</v>
      </c>
      <c r="AH537" s="52">
        <v>0</v>
      </c>
      <c r="AI537" s="52">
        <v>0</v>
      </c>
      <c r="AJ537" s="53">
        <f>AH537+AI537</f>
        <v>0</v>
      </c>
      <c r="AK537" s="56">
        <v>0</v>
      </c>
    </row>
    <row r="538">
      <c r="A538" s="48">
        <v>46132.68059027778</v>
      </c>
      <c r="B538" s="49" t="s">
        <v>108</v>
      </c>
      <c r="C538" s="49" t="s">
        <v>111</v>
      </c>
      <c r="D538" s="49" t="s">
        <v>5</v>
      </c>
      <c r="E538" s="50">
        <v>96</v>
      </c>
      <c r="F538" s="49" t="s">
        <v>109</v>
      </c>
      <c r="G538" s="51">
        <v>169002755</v>
      </c>
      <c r="H538" s="52">
        <v>47</v>
      </c>
      <c r="I538" s="52">
        <f>L538+M538+N538</f>
        <v>41.6965</v>
      </c>
      <c r="J538" s="52">
        <f>O538+P538</f>
        <v>5.0035</v>
      </c>
      <c r="K538" s="53">
        <f>IF(H538=I538+J538,0,W538)</f>
        <v>0.3</v>
      </c>
      <c r="L538" s="52">
        <v>0</v>
      </c>
      <c r="M538" s="52">
        <v>41.6965</v>
      </c>
      <c r="N538" s="52">
        <v>0</v>
      </c>
      <c r="O538" s="52">
        <v>0</v>
      </c>
      <c r="P538" s="52">
        <v>5.0035</v>
      </c>
      <c r="Q538" s="54">
        <v>41.6965</v>
      </c>
      <c r="R538" s="52">
        <v>46.7</v>
      </c>
      <c r="S538" s="52">
        <v>0</v>
      </c>
      <c r="T538" s="52">
        <v>0</v>
      </c>
      <c r="U538" s="52">
        <v>0</v>
      </c>
      <c r="V538" s="52">
        <v>0</v>
      </c>
      <c r="W538" s="52">
        <v>0.3</v>
      </c>
      <c r="X538" s="54">
        <v>500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46132.68059027778</v>
      </c>
      <c r="AH538" s="52">
        <v>32121</v>
      </c>
      <c r="AI538" s="52">
        <v>0</v>
      </c>
      <c r="AJ538" s="53">
        <f>AH538+AI538</f>
        <v>32121</v>
      </c>
      <c r="AK538" s="56">
        <v>0</v>
      </c>
    </row>
    <row r="539">
      <c r="A539" s="48">
        <v>46132.68106481482</v>
      </c>
      <c r="B539" s="49" t="s">
        <v>108</v>
      </c>
      <c r="C539" s="49" t="s">
        <v>111</v>
      </c>
      <c r="D539" s="49" t="s">
        <v>5</v>
      </c>
      <c r="E539" s="50">
        <v>96</v>
      </c>
      <c r="F539" s="49" t="s">
        <v>109</v>
      </c>
      <c r="G539" s="51">
        <v>169002756</v>
      </c>
      <c r="H539" s="52">
        <v>34</v>
      </c>
      <c r="I539" s="52">
        <f>L539+M539+N539</f>
        <v>30.2679</v>
      </c>
      <c r="J539" s="52">
        <f>O539+P539</f>
        <v>3.6321</v>
      </c>
      <c r="K539" s="53">
        <f>IF(H539=I539+J539,0,W539)</f>
        <v>0.1</v>
      </c>
      <c r="L539" s="52">
        <v>0</v>
      </c>
      <c r="M539" s="52">
        <v>30.2679</v>
      </c>
      <c r="N539" s="52">
        <v>0</v>
      </c>
      <c r="O539" s="52">
        <v>0</v>
      </c>
      <c r="P539" s="52">
        <v>3.6321</v>
      </c>
      <c r="Q539" s="54">
        <v>30.2679</v>
      </c>
      <c r="R539" s="52">
        <v>33.9</v>
      </c>
      <c r="S539" s="52">
        <v>0</v>
      </c>
      <c r="T539" s="52">
        <v>0</v>
      </c>
      <c r="U539" s="52">
        <v>0</v>
      </c>
      <c r="V539" s="52">
        <v>0</v>
      </c>
      <c r="W539" s="52">
        <v>0.1</v>
      </c>
      <c r="X539" s="54">
        <v>34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46132.68106481482</v>
      </c>
      <c r="AH539" s="52">
        <v>32155</v>
      </c>
      <c r="AI539" s="52">
        <v>0</v>
      </c>
      <c r="AJ539" s="53">
        <f>AH539+AI539</f>
        <v>32155</v>
      </c>
      <c r="AK539" s="56">
        <v>0</v>
      </c>
    </row>
    <row r="540">
      <c r="A540" s="48">
        <v>46132.6821875</v>
      </c>
      <c r="B540" s="49" t="s">
        <v>108</v>
      </c>
      <c r="C540" s="49" t="s">
        <v>111</v>
      </c>
      <c r="D540" s="49" t="s">
        <v>5</v>
      </c>
      <c r="E540" s="50">
        <v>96</v>
      </c>
      <c r="F540" s="49" t="s">
        <v>109</v>
      </c>
      <c r="G540" s="51">
        <v>169002757</v>
      </c>
      <c r="H540" s="52">
        <v>278</v>
      </c>
      <c r="I540" s="52">
        <f>L540+M540+N540</f>
        <v>238.6909</v>
      </c>
      <c r="J540" s="52">
        <f>O540+P540</f>
        <v>39.3091</v>
      </c>
      <c r="K540" s="53">
        <f>IF(H540=I540+J540,0,W540)</f>
        <v>0</v>
      </c>
      <c r="L540" s="52">
        <v>118.5124</v>
      </c>
      <c r="M540" s="52">
        <v>120.1785</v>
      </c>
      <c r="N540" s="52">
        <v>0</v>
      </c>
      <c r="O540" s="52">
        <v>24.8876</v>
      </c>
      <c r="P540" s="52">
        <v>14.4215</v>
      </c>
      <c r="Q540" s="54">
        <v>238.6909</v>
      </c>
      <c r="R540" s="52">
        <v>278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278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46132.6821875</v>
      </c>
      <c r="AH540" s="52">
        <v>32155</v>
      </c>
      <c r="AI540" s="52">
        <v>0</v>
      </c>
      <c r="AJ540" s="53">
        <f>AH540+AI540</f>
        <v>32155</v>
      </c>
      <c r="AK540" s="56">
        <v>0</v>
      </c>
    </row>
    <row r="541">
      <c r="A541" s="48">
        <v>46132.682337962964</v>
      </c>
      <c r="B541" s="49" t="s">
        <v>108</v>
      </c>
      <c r="C541" s="49" t="s">
        <v>111</v>
      </c>
      <c r="D541" s="49" t="s">
        <v>5</v>
      </c>
      <c r="E541" s="50">
        <v>96</v>
      </c>
      <c r="F541" s="49" t="s">
        <v>109</v>
      </c>
      <c r="G541" s="51">
        <v>169002758</v>
      </c>
      <c r="H541" s="52">
        <v>88</v>
      </c>
      <c r="I541" s="52">
        <f>L541+M541+N541</f>
        <v>78.2143</v>
      </c>
      <c r="J541" s="52">
        <f>O541+P541</f>
        <v>9.3857</v>
      </c>
      <c r="K541" s="53">
        <f>IF(H541=I541+J541,0,W541)</f>
        <v>0.4</v>
      </c>
      <c r="L541" s="52">
        <v>0</v>
      </c>
      <c r="M541" s="52">
        <v>78.2143</v>
      </c>
      <c r="N541" s="52">
        <v>0</v>
      </c>
      <c r="O541" s="52">
        <v>0</v>
      </c>
      <c r="P541" s="52">
        <v>9.3857</v>
      </c>
      <c r="Q541" s="54">
        <v>78.2143</v>
      </c>
      <c r="R541" s="52">
        <v>87.6</v>
      </c>
      <c r="S541" s="52">
        <v>0</v>
      </c>
      <c r="T541" s="52">
        <v>0</v>
      </c>
      <c r="U541" s="52">
        <v>0</v>
      </c>
      <c r="V541" s="52">
        <v>0</v>
      </c>
      <c r="W541" s="52">
        <v>0.4</v>
      </c>
      <c r="X541" s="54">
        <v>100</v>
      </c>
      <c r="Y541" s="52">
        <v>0</v>
      </c>
      <c r="Z541" s="52">
        <v>0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46132.682337962964</v>
      </c>
      <c r="AH541" s="52">
        <v>32243</v>
      </c>
      <c r="AI541" s="52">
        <v>0</v>
      </c>
      <c r="AJ541" s="53">
        <f>AH541+AI541</f>
        <v>32243</v>
      </c>
      <c r="AK541" s="56">
        <v>0</v>
      </c>
    </row>
    <row r="542">
      <c r="A542" s="48">
        <v>46132.682800925926</v>
      </c>
      <c r="B542" s="49" t="s">
        <v>108</v>
      </c>
      <c r="C542" s="49" t="s">
        <v>111</v>
      </c>
      <c r="D542" s="49" t="s">
        <v>5</v>
      </c>
      <c r="E542" s="50">
        <v>96</v>
      </c>
      <c r="F542" s="49" t="s">
        <v>109</v>
      </c>
      <c r="G542" s="51">
        <v>169002759</v>
      </c>
      <c r="H542" s="52">
        <v>59.7</v>
      </c>
      <c r="I542" s="52">
        <f>L542+M542+N542</f>
        <v>53.3035</v>
      </c>
      <c r="J542" s="52">
        <f>O542+P542</f>
        <v>6.3965</v>
      </c>
      <c r="K542" s="53">
        <f>IF(H542=I542+J542,0,W542)</f>
        <v>0</v>
      </c>
      <c r="L542" s="52">
        <v>0</v>
      </c>
      <c r="M542" s="52">
        <v>53.3035</v>
      </c>
      <c r="N542" s="52">
        <v>0</v>
      </c>
      <c r="O542" s="52">
        <v>0</v>
      </c>
      <c r="P542" s="52">
        <v>6.3965</v>
      </c>
      <c r="Q542" s="54">
        <v>53.3035</v>
      </c>
      <c r="R542" s="52">
        <v>59.7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59.7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46132.682800925926</v>
      </c>
      <c r="AH542" s="52">
        <v>32243</v>
      </c>
      <c r="AI542" s="52">
        <v>0</v>
      </c>
      <c r="AJ542" s="53">
        <f>AH542+AI542</f>
        <v>32243</v>
      </c>
      <c r="AK542" s="56">
        <v>0</v>
      </c>
    </row>
    <row r="543">
      <c r="A543" s="48">
        <v>46132.68300925926</v>
      </c>
      <c r="B543" s="49" t="s">
        <v>108</v>
      </c>
      <c r="C543" s="49" t="s">
        <v>111</v>
      </c>
      <c r="D543" s="49" t="s">
        <v>5</v>
      </c>
      <c r="E543" s="50">
        <v>96</v>
      </c>
      <c r="F543" s="49" t="s">
        <v>109</v>
      </c>
      <c r="G543" s="51">
        <v>169002760</v>
      </c>
      <c r="H543" s="52">
        <v>80</v>
      </c>
      <c r="I543" s="52">
        <f>L543+M543+N543</f>
        <v>66.0331</v>
      </c>
      <c r="J543" s="52">
        <f>O543+P543</f>
        <v>13.8669</v>
      </c>
      <c r="K543" s="53">
        <f>IF(H543=I543+J543,0,W543)</f>
        <v>0.1</v>
      </c>
      <c r="L543" s="52">
        <v>66.0331</v>
      </c>
      <c r="M543" s="52">
        <v>0</v>
      </c>
      <c r="N543" s="52">
        <v>0</v>
      </c>
      <c r="O543" s="52">
        <v>13.8669</v>
      </c>
      <c r="P543" s="52">
        <v>0</v>
      </c>
      <c r="Q543" s="54">
        <v>66.0331</v>
      </c>
      <c r="R543" s="52">
        <v>79.9</v>
      </c>
      <c r="S543" s="52">
        <v>0</v>
      </c>
      <c r="T543" s="52">
        <v>0</v>
      </c>
      <c r="U543" s="52">
        <v>0</v>
      </c>
      <c r="V543" s="52">
        <v>0</v>
      </c>
      <c r="W543" s="52">
        <v>0.1</v>
      </c>
      <c r="X543" s="54">
        <v>90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46132.68300925926</v>
      </c>
      <c r="AH543" s="52">
        <v>32323</v>
      </c>
      <c r="AI543" s="52">
        <v>0</v>
      </c>
      <c r="AJ543" s="53">
        <f>AH543+AI543</f>
        <v>32323</v>
      </c>
      <c r="AK543" s="56">
        <v>0</v>
      </c>
    </row>
    <row r="544">
      <c r="A544" s="48">
        <v>46132.683287037034</v>
      </c>
      <c r="B544" s="49" t="s">
        <v>108</v>
      </c>
      <c r="C544" s="49" t="s">
        <v>111</v>
      </c>
      <c r="D544" s="49" t="s">
        <v>5</v>
      </c>
      <c r="E544" s="50">
        <v>96</v>
      </c>
      <c r="F544" s="49" t="s">
        <v>109</v>
      </c>
      <c r="G544" s="51">
        <v>169002761</v>
      </c>
      <c r="H544" s="52">
        <v>16</v>
      </c>
      <c r="I544" s="52">
        <f>L544+M544+N544</f>
        <v>14.1071</v>
      </c>
      <c r="J544" s="52">
        <f>O544+P544</f>
        <v>1.6929</v>
      </c>
      <c r="K544" s="53">
        <f>IF(H544=I544+J544,0,W544)</f>
        <v>0.2</v>
      </c>
      <c r="L544" s="52">
        <v>0</v>
      </c>
      <c r="M544" s="52">
        <v>14.1071</v>
      </c>
      <c r="N544" s="52">
        <v>0</v>
      </c>
      <c r="O544" s="52">
        <v>0</v>
      </c>
      <c r="P544" s="52">
        <v>1.6929</v>
      </c>
      <c r="Q544" s="54">
        <v>14.1071</v>
      </c>
      <c r="R544" s="52">
        <v>15.8</v>
      </c>
      <c r="S544" s="52">
        <v>0</v>
      </c>
      <c r="T544" s="52">
        <v>0</v>
      </c>
      <c r="U544" s="52">
        <v>0</v>
      </c>
      <c r="V544" s="52">
        <v>0</v>
      </c>
      <c r="W544" s="52">
        <v>0.2</v>
      </c>
      <c r="X544" s="54">
        <v>100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46132.683287037034</v>
      </c>
      <c r="AH544" s="52">
        <v>32339</v>
      </c>
      <c r="AI544" s="52">
        <v>0</v>
      </c>
      <c r="AJ544" s="53">
        <f>AH544+AI544</f>
        <v>32339</v>
      </c>
      <c r="AK544" s="56">
        <v>0</v>
      </c>
    </row>
    <row r="545">
      <c r="A545" s="48">
        <v>46132.68450231481</v>
      </c>
      <c r="B545" s="49" t="s">
        <v>108</v>
      </c>
      <c r="C545" s="49" t="s">
        <v>111</v>
      </c>
      <c r="D545" s="49" t="s">
        <v>5</v>
      </c>
      <c r="E545" s="50">
        <v>96</v>
      </c>
      <c r="F545" s="49" t="s">
        <v>109</v>
      </c>
      <c r="G545" s="51">
        <v>169002762</v>
      </c>
      <c r="H545" s="52">
        <v>19</v>
      </c>
      <c r="I545" s="52">
        <f>L545+M545+N545</f>
        <v>17.2768</v>
      </c>
      <c r="J545" s="52">
        <f>O545+P545</f>
        <v>2.0732</v>
      </c>
      <c r="K545" s="53">
        <f>IF(H545=I545+J545,0,W545)</f>
        <v>-0.35</v>
      </c>
      <c r="L545" s="52">
        <v>0</v>
      </c>
      <c r="M545" s="52">
        <v>17.2768</v>
      </c>
      <c r="N545" s="52">
        <v>0</v>
      </c>
      <c r="O545" s="52">
        <v>0</v>
      </c>
      <c r="P545" s="52">
        <v>2.0732</v>
      </c>
      <c r="Q545" s="54">
        <v>17.2768</v>
      </c>
      <c r="R545" s="52">
        <v>19.35</v>
      </c>
      <c r="S545" s="52">
        <v>0</v>
      </c>
      <c r="T545" s="52">
        <v>0</v>
      </c>
      <c r="U545" s="52">
        <v>0</v>
      </c>
      <c r="V545" s="52">
        <v>0</v>
      </c>
      <c r="W545" s="52">
        <v>-0.35</v>
      </c>
      <c r="X545" s="54">
        <v>20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46132.68450231481</v>
      </c>
      <c r="AH545" s="52">
        <v>32358</v>
      </c>
      <c r="AI545" s="52">
        <v>0</v>
      </c>
      <c r="AJ545" s="53">
        <f>AH545+AI545</f>
        <v>32358</v>
      </c>
      <c r="AK545" s="56">
        <v>0</v>
      </c>
    </row>
    <row r="546">
      <c r="A546" s="48">
        <v>46132.68546296296</v>
      </c>
      <c r="B546" s="49" t="s">
        <v>108</v>
      </c>
      <c r="C546" s="49" t="s">
        <v>111</v>
      </c>
      <c r="D546" s="49" t="s">
        <v>5</v>
      </c>
      <c r="E546" s="50">
        <v>96</v>
      </c>
      <c r="F546" s="49" t="s">
        <v>109</v>
      </c>
      <c r="G546" s="51">
        <v>169002763</v>
      </c>
      <c r="H546" s="52">
        <v>81</v>
      </c>
      <c r="I546" s="52">
        <f>L546+M546+N546</f>
        <v>72.4375</v>
      </c>
      <c r="J546" s="52">
        <f>O546+P546</f>
        <v>8.6925</v>
      </c>
      <c r="K546" s="53">
        <f>IF(H546=I546+J546,0,W546)</f>
        <v>-0.13</v>
      </c>
      <c r="L546" s="52">
        <v>0</v>
      </c>
      <c r="M546" s="52">
        <v>72.4375</v>
      </c>
      <c r="N546" s="52">
        <v>0</v>
      </c>
      <c r="O546" s="52">
        <v>0</v>
      </c>
      <c r="P546" s="52">
        <v>8.6925</v>
      </c>
      <c r="Q546" s="54">
        <v>72.4375</v>
      </c>
      <c r="R546" s="52">
        <v>81.13</v>
      </c>
      <c r="S546" s="52">
        <v>0</v>
      </c>
      <c r="T546" s="52">
        <v>0</v>
      </c>
      <c r="U546" s="52">
        <v>0</v>
      </c>
      <c r="V546" s="52">
        <v>0</v>
      </c>
      <c r="W546" s="52">
        <v>-0.13</v>
      </c>
      <c r="X546" s="54">
        <v>101</v>
      </c>
      <c r="Y546" s="52">
        <v>0</v>
      </c>
      <c r="Z546" s="52">
        <v>0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46132.68546296296</v>
      </c>
      <c r="AH546" s="52">
        <v>32439</v>
      </c>
      <c r="AI546" s="52">
        <v>0</v>
      </c>
      <c r="AJ546" s="53">
        <f>AH546+AI546</f>
        <v>32439</v>
      </c>
      <c r="AK546" s="56">
        <v>0</v>
      </c>
    </row>
    <row r="547">
      <c r="A547" s="48">
        <v>46132.68585648148</v>
      </c>
      <c r="B547" s="49" t="s">
        <v>108</v>
      </c>
      <c r="C547" s="49" t="s">
        <v>111</v>
      </c>
      <c r="D547" s="49" t="s">
        <v>5</v>
      </c>
      <c r="E547" s="50">
        <v>96</v>
      </c>
      <c r="F547" s="49" t="s">
        <v>109</v>
      </c>
      <c r="G547" s="51">
        <v>169002764</v>
      </c>
      <c r="H547" s="52">
        <v>75.8</v>
      </c>
      <c r="I547" s="52">
        <f>L547+M547+N547</f>
        <v>67.6786</v>
      </c>
      <c r="J547" s="52">
        <f>O547+P547</f>
        <v>8.1214</v>
      </c>
      <c r="K547" s="53">
        <f>IF(H547=I547+J547,0,W547)</f>
        <v>0</v>
      </c>
      <c r="L547" s="52">
        <v>0</v>
      </c>
      <c r="M547" s="52">
        <v>67.6786</v>
      </c>
      <c r="N547" s="52">
        <v>0</v>
      </c>
      <c r="O547" s="52">
        <v>0</v>
      </c>
      <c r="P547" s="52">
        <v>8.1214</v>
      </c>
      <c r="Q547" s="54">
        <v>67.6786</v>
      </c>
      <c r="R547" s="52">
        <v>75.8</v>
      </c>
      <c r="S547" s="52">
        <v>0</v>
      </c>
      <c r="T547" s="52">
        <v>0</v>
      </c>
      <c r="U547" s="52">
        <v>0</v>
      </c>
      <c r="V547" s="52">
        <v>0</v>
      </c>
      <c r="W547" s="52">
        <v>0</v>
      </c>
      <c r="X547" s="54">
        <v>0</v>
      </c>
      <c r="Y547" s="52">
        <v>0</v>
      </c>
      <c r="Z547" s="52">
        <v>75.8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46132.68585648148</v>
      </c>
      <c r="AH547" s="52">
        <v>32439</v>
      </c>
      <c r="AI547" s="52">
        <v>0</v>
      </c>
      <c r="AJ547" s="53">
        <f>AH547+AI547</f>
        <v>32439</v>
      </c>
      <c r="AK547" s="56">
        <v>0</v>
      </c>
    </row>
    <row r="548">
      <c r="A548" s="48">
        <v>46132.686111111114</v>
      </c>
      <c r="B548" s="49" t="s">
        <v>108</v>
      </c>
      <c r="C548" s="49" t="s">
        <v>111</v>
      </c>
      <c r="D548" s="49" t="s">
        <v>5</v>
      </c>
      <c r="E548" s="50">
        <v>96</v>
      </c>
      <c r="F548" s="49" t="s">
        <v>109</v>
      </c>
      <c r="G548" s="51">
        <v>169002765</v>
      </c>
      <c r="H548" s="52">
        <v>76</v>
      </c>
      <c r="I548" s="52">
        <f>L548+M548+N548</f>
        <v>67.5</v>
      </c>
      <c r="J548" s="52">
        <f>O548+P548</f>
        <v>8.1</v>
      </c>
      <c r="K548" s="53">
        <f>IF(H548=I548+J548,0,W548)</f>
        <v>0.4</v>
      </c>
      <c r="L548" s="52">
        <v>0</v>
      </c>
      <c r="M548" s="52">
        <v>67.5</v>
      </c>
      <c r="N548" s="52">
        <v>0</v>
      </c>
      <c r="O548" s="52">
        <v>0</v>
      </c>
      <c r="P548" s="52">
        <v>8.1</v>
      </c>
      <c r="Q548" s="54">
        <v>67.5</v>
      </c>
      <c r="R548" s="52">
        <v>75.6</v>
      </c>
      <c r="S548" s="52">
        <v>0</v>
      </c>
      <c r="T548" s="52">
        <v>0</v>
      </c>
      <c r="U548" s="52">
        <v>0</v>
      </c>
      <c r="V548" s="52">
        <v>0</v>
      </c>
      <c r="W548" s="52">
        <v>0.4</v>
      </c>
      <c r="X548" s="54">
        <v>100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46132.686111111114</v>
      </c>
      <c r="AH548" s="52">
        <v>32515</v>
      </c>
      <c r="AI548" s="52">
        <v>0</v>
      </c>
      <c r="AJ548" s="53">
        <f>AH548+AI548</f>
        <v>32515</v>
      </c>
      <c r="AK548" s="56">
        <v>0</v>
      </c>
    </row>
    <row r="549">
      <c r="A549" s="48">
        <v>46132.68659722222</v>
      </c>
      <c r="B549" s="49" t="s">
        <v>108</v>
      </c>
      <c r="C549" s="49" t="s">
        <v>111</v>
      </c>
      <c r="D549" s="49" t="s">
        <v>5</v>
      </c>
      <c r="E549" s="50">
        <v>96</v>
      </c>
      <c r="F549" s="49" t="s">
        <v>109</v>
      </c>
      <c r="G549" s="51">
        <v>169002766</v>
      </c>
      <c r="H549" s="52">
        <v>103</v>
      </c>
      <c r="I549" s="52">
        <f>L549+M549+N549</f>
        <v>91.9285</v>
      </c>
      <c r="J549" s="52">
        <f>O549+P549</f>
        <v>11.0315</v>
      </c>
      <c r="K549" s="53">
        <f>IF(H549=I549+J549,0,W549)</f>
        <v>0.04</v>
      </c>
      <c r="L549" s="52">
        <v>0</v>
      </c>
      <c r="M549" s="52">
        <v>91.9285</v>
      </c>
      <c r="N549" s="52">
        <v>0</v>
      </c>
      <c r="O549" s="52">
        <v>0</v>
      </c>
      <c r="P549" s="52">
        <v>11.0315</v>
      </c>
      <c r="Q549" s="54">
        <v>91.9285</v>
      </c>
      <c r="R549" s="52">
        <v>102.96</v>
      </c>
      <c r="S549" s="52">
        <v>0</v>
      </c>
      <c r="T549" s="52">
        <v>0</v>
      </c>
      <c r="U549" s="52">
        <v>0</v>
      </c>
      <c r="V549" s="52">
        <v>0</v>
      </c>
      <c r="W549" s="52">
        <v>0.04</v>
      </c>
      <c r="X549" s="54">
        <v>205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46132.68659722222</v>
      </c>
      <c r="AH549" s="52">
        <v>32618</v>
      </c>
      <c r="AI549" s="52">
        <v>0</v>
      </c>
      <c r="AJ549" s="53">
        <f>AH549+AI549</f>
        <v>32618</v>
      </c>
      <c r="AK549" s="56">
        <v>16.7307</v>
      </c>
    </row>
    <row r="550">
      <c r="A550" s="48">
        <v>46132.68730324074</v>
      </c>
      <c r="B550" s="49" t="s">
        <v>108</v>
      </c>
      <c r="C550" s="49" t="s">
        <v>111</v>
      </c>
      <c r="D550" s="49" t="s">
        <v>5</v>
      </c>
      <c r="E550" s="50">
        <v>96</v>
      </c>
      <c r="F550" s="49" t="s">
        <v>109</v>
      </c>
      <c r="G550" s="51">
        <v>169002767</v>
      </c>
      <c r="H550" s="52">
        <v>92.7</v>
      </c>
      <c r="I550" s="52">
        <f>L550+M550+N550</f>
        <v>76.6116</v>
      </c>
      <c r="J550" s="52">
        <f>O550+P550</f>
        <v>16.0884</v>
      </c>
      <c r="K550" s="53">
        <f>IF(H550=I550+J550,0,W550)</f>
        <v>0</v>
      </c>
      <c r="L550" s="52">
        <v>76.6116</v>
      </c>
      <c r="M550" s="52">
        <v>0</v>
      </c>
      <c r="N550" s="52">
        <v>0</v>
      </c>
      <c r="O550" s="52">
        <v>16.0884</v>
      </c>
      <c r="P550" s="52">
        <v>0</v>
      </c>
      <c r="Q550" s="54">
        <v>76.6116</v>
      </c>
      <c r="R550" s="52">
        <v>92.7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92.7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46132.68730324074</v>
      </c>
      <c r="AH550" s="52">
        <v>32618</v>
      </c>
      <c r="AI550" s="52">
        <v>0</v>
      </c>
      <c r="AJ550" s="53">
        <f>AH550+AI550</f>
        <v>32618</v>
      </c>
      <c r="AK550" s="56">
        <v>0</v>
      </c>
    </row>
    <row r="551">
      <c r="A551" s="48">
        <v>46132.68835648148</v>
      </c>
      <c r="B551" s="49" t="s">
        <v>108</v>
      </c>
      <c r="C551" s="49" t="s">
        <v>111</v>
      </c>
      <c r="D551" s="49" t="s">
        <v>5</v>
      </c>
      <c r="E551" s="50">
        <v>96</v>
      </c>
      <c r="F551" s="49" t="s">
        <v>109</v>
      </c>
      <c r="G551" s="51">
        <v>169002768</v>
      </c>
      <c r="H551" s="52">
        <v>508</v>
      </c>
      <c r="I551" s="52">
        <f>L551+M551+N551</f>
        <v>427.6562</v>
      </c>
      <c r="J551" s="52">
        <f>O551+P551</f>
        <v>79.8438</v>
      </c>
      <c r="K551" s="53">
        <f>IF(H551=I551+J551,0,W551)</f>
        <v>0.5</v>
      </c>
      <c r="L551" s="52">
        <v>316.942</v>
      </c>
      <c r="M551" s="52">
        <v>110.7142</v>
      </c>
      <c r="N551" s="52">
        <v>0</v>
      </c>
      <c r="O551" s="52">
        <v>66.558</v>
      </c>
      <c r="P551" s="52">
        <v>13.2858</v>
      </c>
      <c r="Q551" s="54">
        <v>427.6562</v>
      </c>
      <c r="R551" s="52">
        <v>507.5</v>
      </c>
      <c r="S551" s="52">
        <v>0</v>
      </c>
      <c r="T551" s="52">
        <v>0</v>
      </c>
      <c r="U551" s="52">
        <v>0</v>
      </c>
      <c r="V551" s="52">
        <v>0</v>
      </c>
      <c r="W551" s="52">
        <v>0.5</v>
      </c>
      <c r="X551" s="54">
        <v>520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46132.68835648148</v>
      </c>
      <c r="AH551" s="52">
        <v>33126</v>
      </c>
      <c r="AI551" s="52">
        <v>0</v>
      </c>
      <c r="AJ551" s="53">
        <f>AH551+AI551</f>
        <v>33126</v>
      </c>
      <c r="AK551" s="56">
        <v>0</v>
      </c>
    </row>
    <row r="552">
      <c r="A552" s="48">
        <v>46132.68855324074</v>
      </c>
      <c r="B552" s="49" t="s">
        <v>108</v>
      </c>
      <c r="C552" s="49" t="s">
        <v>111</v>
      </c>
      <c r="D552" s="49" t="s">
        <v>5</v>
      </c>
      <c r="E552" s="50">
        <v>96</v>
      </c>
      <c r="F552" s="49" t="s">
        <v>109</v>
      </c>
      <c r="G552" s="51">
        <v>169002769</v>
      </c>
      <c r="H552" s="52">
        <v>48</v>
      </c>
      <c r="I552" s="52">
        <f>L552+M552+N552</f>
        <v>42.7679</v>
      </c>
      <c r="J552" s="52">
        <f>O552+P552</f>
        <v>5.1321</v>
      </c>
      <c r="K552" s="53">
        <f>IF(H552=I552+J552,0,W552)</f>
        <v>0.1</v>
      </c>
      <c r="L552" s="52">
        <v>0</v>
      </c>
      <c r="M552" s="52">
        <v>42.7679</v>
      </c>
      <c r="N552" s="52">
        <v>0</v>
      </c>
      <c r="O552" s="52">
        <v>0</v>
      </c>
      <c r="P552" s="52">
        <v>5.1321</v>
      </c>
      <c r="Q552" s="54">
        <v>42.7679</v>
      </c>
      <c r="R552" s="52">
        <v>47.9</v>
      </c>
      <c r="S552" s="52">
        <v>0</v>
      </c>
      <c r="T552" s="52">
        <v>0</v>
      </c>
      <c r="U552" s="52">
        <v>0</v>
      </c>
      <c r="V552" s="52">
        <v>0</v>
      </c>
      <c r="W552" s="52">
        <v>0.1</v>
      </c>
      <c r="X552" s="54">
        <v>50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46132.68855324074</v>
      </c>
      <c r="AH552" s="52">
        <v>33174</v>
      </c>
      <c r="AI552" s="52">
        <v>0</v>
      </c>
      <c r="AJ552" s="53">
        <f>AH552+AI552</f>
        <v>33174</v>
      </c>
      <c r="AK552" s="56">
        <v>0</v>
      </c>
    </row>
    <row r="553">
      <c r="A553" s="48">
        <v>46132.6890162037</v>
      </c>
      <c r="B553" s="49" t="s">
        <v>108</v>
      </c>
      <c r="C553" s="49" t="s">
        <v>111</v>
      </c>
      <c r="D553" s="49" t="s">
        <v>5</v>
      </c>
      <c r="E553" s="50">
        <v>96</v>
      </c>
      <c r="F553" s="49" t="s">
        <v>109</v>
      </c>
      <c r="G553" s="51">
        <v>169002770</v>
      </c>
      <c r="H553" s="52">
        <v>49</v>
      </c>
      <c r="I553" s="52">
        <f>L553+M553+N553</f>
        <v>43.5714</v>
      </c>
      <c r="J553" s="52">
        <f>O553+P553</f>
        <v>5.2286</v>
      </c>
      <c r="K553" s="53">
        <f>IF(H553=I553+J553,0,W553)</f>
        <v>0.2</v>
      </c>
      <c r="L553" s="52">
        <v>0</v>
      </c>
      <c r="M553" s="52">
        <v>43.5714</v>
      </c>
      <c r="N553" s="52">
        <v>0</v>
      </c>
      <c r="O553" s="52">
        <v>0</v>
      </c>
      <c r="P553" s="52">
        <v>5.2286</v>
      </c>
      <c r="Q553" s="54">
        <v>43.5714</v>
      </c>
      <c r="R553" s="52">
        <v>48.8</v>
      </c>
      <c r="S553" s="52">
        <v>0</v>
      </c>
      <c r="T553" s="52">
        <v>0</v>
      </c>
      <c r="U553" s="52">
        <v>0</v>
      </c>
      <c r="V553" s="52">
        <v>0</v>
      </c>
      <c r="W553" s="52">
        <v>0.2</v>
      </c>
      <c r="X553" s="54">
        <v>50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46132.6890162037</v>
      </c>
      <c r="AH553" s="52">
        <v>33223</v>
      </c>
      <c r="AI553" s="52">
        <v>0</v>
      </c>
      <c r="AJ553" s="53">
        <f>AH553+AI553</f>
        <v>33223</v>
      </c>
      <c r="AK553" s="56">
        <v>0</v>
      </c>
    </row>
    <row r="554">
      <c r="A554" s="48">
        <v>46132.689039351855</v>
      </c>
      <c r="B554" s="49" t="s">
        <v>108</v>
      </c>
      <c r="C554" s="49" t="s">
        <v>100</v>
      </c>
      <c r="D554" s="49" t="s">
        <v>5</v>
      </c>
      <c r="E554" s="50">
        <v>96</v>
      </c>
      <c r="F554" s="49" t="s">
        <v>105</v>
      </c>
      <c r="G554" s="51">
        <v>161000378</v>
      </c>
      <c r="H554" s="52">
        <v>197.96</v>
      </c>
      <c r="I554" s="52">
        <f>L554+M554+N554</f>
        <v>172.07999999999998</v>
      </c>
      <c r="J554" s="52">
        <f>O554+P554</f>
        <v>25.880000000000003</v>
      </c>
      <c r="K554" s="53">
        <f>IF(H554=I554+J554,0,W554)</f>
        <v>0</v>
      </c>
      <c r="L554" s="52">
        <v>57.76</v>
      </c>
      <c r="M554" s="52">
        <v>114.32</v>
      </c>
      <c r="N554" s="52">
        <v>0</v>
      </c>
      <c r="O554" s="52">
        <v>12.14</v>
      </c>
      <c r="P554" s="52">
        <v>13.74</v>
      </c>
      <c r="Q554" s="54">
        <v>172.08</v>
      </c>
      <c r="R554" s="52">
        <v>197.96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197.96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46132.689039351855</v>
      </c>
      <c r="AH554" s="52">
        <v>0</v>
      </c>
      <c r="AI554" s="52">
        <v>0</v>
      </c>
      <c r="AJ554" s="53">
        <f>AH554+AI554</f>
        <v>0</v>
      </c>
      <c r="AK554" s="56">
        <v>0</v>
      </c>
    </row>
    <row r="555">
      <c r="A555" s="48">
        <v>46132.68950231482</v>
      </c>
      <c r="B555" s="49" t="s">
        <v>108</v>
      </c>
      <c r="C555" s="49" t="s">
        <v>111</v>
      </c>
      <c r="D555" s="49" t="s">
        <v>5</v>
      </c>
      <c r="E555" s="50">
        <v>96</v>
      </c>
      <c r="F555" s="49" t="s">
        <v>109</v>
      </c>
      <c r="G555" s="51">
        <v>169002771</v>
      </c>
      <c r="H555" s="52">
        <v>33</v>
      </c>
      <c r="I555" s="52">
        <f>L555+M555+N555</f>
        <v>27.964199999999998</v>
      </c>
      <c r="J555" s="52">
        <f>O555+P555</f>
        <v>4.8358</v>
      </c>
      <c r="K555" s="53">
        <f>IF(H555=I555+J555,0,W555)</f>
        <v>0.2</v>
      </c>
      <c r="L555" s="52">
        <v>16.4463</v>
      </c>
      <c r="M555" s="52">
        <v>11.5179</v>
      </c>
      <c r="N555" s="52">
        <v>0</v>
      </c>
      <c r="O555" s="52">
        <v>3.4537</v>
      </c>
      <c r="P555" s="52">
        <v>1.3821</v>
      </c>
      <c r="Q555" s="54">
        <v>27.9642</v>
      </c>
      <c r="R555" s="52">
        <v>32.8</v>
      </c>
      <c r="S555" s="52">
        <v>0</v>
      </c>
      <c r="T555" s="52">
        <v>0</v>
      </c>
      <c r="U555" s="52">
        <v>0</v>
      </c>
      <c r="V555" s="52">
        <v>0</v>
      </c>
      <c r="W555" s="52">
        <v>0.2</v>
      </c>
      <c r="X555" s="54">
        <v>33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46132.68950231482</v>
      </c>
      <c r="AH555" s="52">
        <v>33256</v>
      </c>
      <c r="AI555" s="52">
        <v>0</v>
      </c>
      <c r="AJ555" s="53">
        <f>AH555+AI555</f>
        <v>33256</v>
      </c>
      <c r="AK555" s="56">
        <v>0</v>
      </c>
    </row>
    <row r="556">
      <c r="A556" s="48">
        <v>46132.6896412037</v>
      </c>
      <c r="B556" s="49" t="s">
        <v>108</v>
      </c>
      <c r="C556" s="49" t="s">
        <v>111</v>
      </c>
      <c r="D556" s="49" t="s">
        <v>5</v>
      </c>
      <c r="E556" s="50">
        <v>96</v>
      </c>
      <c r="F556" s="49" t="s">
        <v>109</v>
      </c>
      <c r="G556" s="51">
        <v>169002772</v>
      </c>
      <c r="H556" s="52">
        <v>30</v>
      </c>
      <c r="I556" s="52">
        <f>L556+M556+N556</f>
        <v>24.7107</v>
      </c>
      <c r="J556" s="52">
        <f>O556+P556</f>
        <v>5.1893</v>
      </c>
      <c r="K556" s="53">
        <f>IF(H556=I556+J556,0,W556)</f>
        <v>0.1</v>
      </c>
      <c r="L556" s="52">
        <v>24.7107</v>
      </c>
      <c r="M556" s="52">
        <v>0</v>
      </c>
      <c r="N556" s="52">
        <v>0</v>
      </c>
      <c r="O556" s="52">
        <v>5.1893</v>
      </c>
      <c r="P556" s="52">
        <v>0</v>
      </c>
      <c r="Q556" s="54">
        <v>24.7107</v>
      </c>
      <c r="R556" s="52">
        <v>29.9</v>
      </c>
      <c r="S556" s="52">
        <v>0</v>
      </c>
      <c r="T556" s="52">
        <v>0</v>
      </c>
      <c r="U556" s="52">
        <v>0</v>
      </c>
      <c r="V556" s="52">
        <v>0</v>
      </c>
      <c r="W556" s="52">
        <v>0.1</v>
      </c>
      <c r="X556" s="54">
        <v>30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46132.6896412037</v>
      </c>
      <c r="AH556" s="52">
        <v>33286</v>
      </c>
      <c r="AI556" s="52">
        <v>0</v>
      </c>
      <c r="AJ556" s="53">
        <f>AH556+AI556</f>
        <v>33286</v>
      </c>
      <c r="AK556" s="56">
        <v>0</v>
      </c>
    </row>
    <row r="557">
      <c r="A557" s="48">
        <v>46132.68996527778</v>
      </c>
      <c r="B557" s="49" t="s">
        <v>108</v>
      </c>
      <c r="C557" s="49" t="s">
        <v>111</v>
      </c>
      <c r="D557" s="49" t="s">
        <v>5</v>
      </c>
      <c r="E557" s="50">
        <v>96</v>
      </c>
      <c r="F557" s="49" t="s">
        <v>109</v>
      </c>
      <c r="G557" s="51">
        <v>169002773</v>
      </c>
      <c r="H557" s="52">
        <v>145.3</v>
      </c>
      <c r="I557" s="52">
        <f>L557+M557+N557</f>
        <v>123.3966</v>
      </c>
      <c r="J557" s="52">
        <f>O557+P557</f>
        <v>21.903399999999998</v>
      </c>
      <c r="K557" s="53">
        <f>IF(H557=I557+J557,0,W557)</f>
        <v>0</v>
      </c>
      <c r="L557" s="52">
        <v>78.843</v>
      </c>
      <c r="M557" s="52">
        <v>44.5536</v>
      </c>
      <c r="N557" s="52">
        <v>0</v>
      </c>
      <c r="O557" s="52">
        <v>16.557</v>
      </c>
      <c r="P557" s="52">
        <v>5.3464</v>
      </c>
      <c r="Q557" s="54">
        <v>123.3966</v>
      </c>
      <c r="R557" s="52">
        <v>145.3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145.3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46132.68996527778</v>
      </c>
      <c r="AH557" s="52">
        <v>33286</v>
      </c>
      <c r="AI557" s="52">
        <v>0</v>
      </c>
      <c r="AJ557" s="53">
        <f>AH557+AI557</f>
        <v>33286</v>
      </c>
      <c r="AK557" s="56">
        <v>0</v>
      </c>
    </row>
    <row r="558">
      <c r="A558" s="48">
        <v>46132.69023148148</v>
      </c>
      <c r="B558" s="49" t="s">
        <v>108</v>
      </c>
      <c r="C558" s="49" t="s">
        <v>111</v>
      </c>
      <c r="D558" s="49" t="s">
        <v>5</v>
      </c>
      <c r="E558" s="50">
        <v>96</v>
      </c>
      <c r="F558" s="49" t="s">
        <v>109</v>
      </c>
      <c r="G558" s="51">
        <v>169002774</v>
      </c>
      <c r="H558" s="52">
        <v>37</v>
      </c>
      <c r="I558" s="52">
        <f>L558+M558+N558</f>
        <v>31.6019</v>
      </c>
      <c r="J558" s="52">
        <f>O558+P558</f>
        <v>5.1981</v>
      </c>
      <c r="K558" s="53">
        <f>IF(H558=I558+J558,0,W558)</f>
        <v>0.2</v>
      </c>
      <c r="L558" s="52">
        <v>15.6198</v>
      </c>
      <c r="M558" s="52">
        <v>15.9821</v>
      </c>
      <c r="N558" s="52">
        <v>0</v>
      </c>
      <c r="O558" s="52">
        <v>3.2802</v>
      </c>
      <c r="P558" s="52">
        <v>1.9179</v>
      </c>
      <c r="Q558" s="54">
        <v>31.6019</v>
      </c>
      <c r="R558" s="52">
        <v>36.8</v>
      </c>
      <c r="S558" s="52">
        <v>0</v>
      </c>
      <c r="T558" s="52">
        <v>0</v>
      </c>
      <c r="U558" s="52">
        <v>0</v>
      </c>
      <c r="V558" s="52">
        <v>0</v>
      </c>
      <c r="W558" s="52">
        <v>0.2</v>
      </c>
      <c r="X558" s="54">
        <v>100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46132.69023148148</v>
      </c>
      <c r="AH558" s="52">
        <v>33323</v>
      </c>
      <c r="AI558" s="52">
        <v>0</v>
      </c>
      <c r="AJ558" s="53">
        <f>AH558+AI558</f>
        <v>33323</v>
      </c>
      <c r="AK558" s="56">
        <v>0</v>
      </c>
    </row>
    <row r="559">
      <c r="A559" s="48">
        <v>46132.69119212963</v>
      </c>
      <c r="B559" s="49" t="s">
        <v>108</v>
      </c>
      <c r="C559" s="49" t="s">
        <v>111</v>
      </c>
      <c r="D559" s="49" t="s">
        <v>5</v>
      </c>
      <c r="E559" s="50">
        <v>96</v>
      </c>
      <c r="F559" s="49" t="s">
        <v>109</v>
      </c>
      <c r="G559" s="51">
        <v>169002775</v>
      </c>
      <c r="H559" s="52">
        <v>362.2</v>
      </c>
      <c r="I559" s="52">
        <f>L559+M559+N559</f>
        <v>323.393</v>
      </c>
      <c r="J559" s="52">
        <f>O559+P559</f>
        <v>38.807</v>
      </c>
      <c r="K559" s="53">
        <f>IF(H559=I559+J559,0,W559)</f>
        <v>0</v>
      </c>
      <c r="L559" s="52">
        <v>0</v>
      </c>
      <c r="M559" s="52">
        <v>323.393</v>
      </c>
      <c r="N559" s="52">
        <v>0</v>
      </c>
      <c r="O559" s="52">
        <v>0</v>
      </c>
      <c r="P559" s="52">
        <v>38.807</v>
      </c>
      <c r="Q559" s="54">
        <v>323.393</v>
      </c>
      <c r="R559" s="52">
        <v>362.2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362.2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46132.69119212963</v>
      </c>
      <c r="AH559" s="52">
        <v>33323</v>
      </c>
      <c r="AI559" s="52">
        <v>0</v>
      </c>
      <c r="AJ559" s="53">
        <f>AH559+AI559</f>
        <v>33323</v>
      </c>
      <c r="AK559" s="56">
        <v>0</v>
      </c>
    </row>
    <row r="560">
      <c r="A560" s="48">
        <v>46132.69164351852</v>
      </c>
      <c r="B560" s="49" t="s">
        <v>108</v>
      </c>
      <c r="C560" s="49" t="s">
        <v>111</v>
      </c>
      <c r="D560" s="49" t="s">
        <v>5</v>
      </c>
      <c r="E560" s="50">
        <v>96</v>
      </c>
      <c r="F560" s="49" t="s">
        <v>109</v>
      </c>
      <c r="G560" s="51">
        <v>169002776</v>
      </c>
      <c r="H560" s="52">
        <v>55.6</v>
      </c>
      <c r="I560" s="52">
        <f>L560+M560+N560</f>
        <v>49.643</v>
      </c>
      <c r="J560" s="52">
        <f>O560+P560</f>
        <v>5.957</v>
      </c>
      <c r="K560" s="53">
        <f>IF(H560=I560+J560,0,W560)</f>
        <v>0</v>
      </c>
      <c r="L560" s="52">
        <v>0</v>
      </c>
      <c r="M560" s="52">
        <v>49.643</v>
      </c>
      <c r="N560" s="52">
        <v>0</v>
      </c>
      <c r="O560" s="52">
        <v>0</v>
      </c>
      <c r="P560" s="52">
        <v>5.957</v>
      </c>
      <c r="Q560" s="54">
        <v>49.643</v>
      </c>
      <c r="R560" s="52">
        <v>55.6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55.6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46132.69164351852</v>
      </c>
      <c r="AH560" s="52">
        <v>33323</v>
      </c>
      <c r="AI560" s="52">
        <v>0</v>
      </c>
      <c r="AJ560" s="53">
        <f>AH560+AI560</f>
        <v>33323</v>
      </c>
      <c r="AK560" s="56">
        <v>0</v>
      </c>
    </row>
    <row r="561">
      <c r="A561" s="48">
        <v>46132.69304398148</v>
      </c>
      <c r="B561" s="49" t="s">
        <v>108</v>
      </c>
      <c r="C561" s="49" t="s">
        <v>111</v>
      </c>
      <c r="D561" s="49" t="s">
        <v>5</v>
      </c>
      <c r="E561" s="50">
        <v>96</v>
      </c>
      <c r="F561" s="49" t="s">
        <v>109</v>
      </c>
      <c r="G561" s="51">
        <v>169002777</v>
      </c>
      <c r="H561" s="52">
        <v>162.9</v>
      </c>
      <c r="I561" s="52">
        <f>L561+M561+N561</f>
        <v>145.4464</v>
      </c>
      <c r="J561" s="52">
        <f>O561+P561</f>
        <v>17.4536</v>
      </c>
      <c r="K561" s="53">
        <f>IF(H561=I561+J561,0,W561)</f>
        <v>0</v>
      </c>
      <c r="L561" s="52">
        <v>0</v>
      </c>
      <c r="M561" s="52">
        <v>145.4464</v>
      </c>
      <c r="N561" s="52">
        <v>0</v>
      </c>
      <c r="O561" s="52">
        <v>0</v>
      </c>
      <c r="P561" s="52">
        <v>17.4536</v>
      </c>
      <c r="Q561" s="54">
        <v>145.4464</v>
      </c>
      <c r="R561" s="52">
        <v>162.9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162.9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46132.69304398148</v>
      </c>
      <c r="AH561" s="52">
        <v>33323</v>
      </c>
      <c r="AI561" s="52">
        <v>0</v>
      </c>
      <c r="AJ561" s="53">
        <f>AH561+AI561</f>
        <v>33323</v>
      </c>
      <c r="AK561" s="56">
        <v>0</v>
      </c>
    </row>
    <row r="562">
      <c r="A562" s="48">
        <v>46132.69349537037</v>
      </c>
      <c r="B562" s="49" t="s">
        <v>108</v>
      </c>
      <c r="C562" s="49" t="s">
        <v>111</v>
      </c>
      <c r="D562" s="49" t="s">
        <v>5</v>
      </c>
      <c r="E562" s="50">
        <v>96</v>
      </c>
      <c r="F562" s="49" t="s">
        <v>109</v>
      </c>
      <c r="G562" s="51">
        <v>169002778</v>
      </c>
      <c r="H562" s="52">
        <v>86</v>
      </c>
      <c r="I562" s="52">
        <f>L562+M562+N562</f>
        <v>77.1429</v>
      </c>
      <c r="J562" s="52">
        <f>O562+P562</f>
        <v>9.2571</v>
      </c>
      <c r="K562" s="53">
        <f>IF(H562=I562+J562,0,W562)</f>
        <v>-0.4</v>
      </c>
      <c r="L562" s="52">
        <v>0</v>
      </c>
      <c r="M562" s="52">
        <v>77.1429</v>
      </c>
      <c r="N562" s="52">
        <v>0</v>
      </c>
      <c r="O562" s="52">
        <v>0</v>
      </c>
      <c r="P562" s="52">
        <v>9.2571</v>
      </c>
      <c r="Q562" s="54">
        <v>77.1429</v>
      </c>
      <c r="R562" s="52">
        <v>86.4</v>
      </c>
      <c r="S562" s="52">
        <v>0</v>
      </c>
      <c r="T562" s="52">
        <v>0</v>
      </c>
      <c r="U562" s="52">
        <v>0</v>
      </c>
      <c r="V562" s="52">
        <v>0</v>
      </c>
      <c r="W562" s="52">
        <v>-0.4</v>
      </c>
      <c r="X562" s="54">
        <v>100</v>
      </c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46132.69349537037</v>
      </c>
      <c r="AH562" s="52">
        <v>33409</v>
      </c>
      <c r="AI562" s="52">
        <v>0</v>
      </c>
      <c r="AJ562" s="53">
        <f>AH562+AI562</f>
        <v>33409</v>
      </c>
      <c r="AK562" s="56">
        <v>0</v>
      </c>
    </row>
    <row r="563">
      <c r="A563" s="48">
        <v>46132.693923611114</v>
      </c>
      <c r="B563" s="49" t="s">
        <v>108</v>
      </c>
      <c r="C563" s="49" t="s">
        <v>100</v>
      </c>
      <c r="D563" s="49" t="s">
        <v>5</v>
      </c>
      <c r="E563" s="50">
        <v>96</v>
      </c>
      <c r="F563" s="49" t="s">
        <v>105</v>
      </c>
      <c r="G563" s="51">
        <v>161000379</v>
      </c>
      <c r="H563" s="52">
        <v>324.1</v>
      </c>
      <c r="I563" s="52">
        <f>L563+M563+N563</f>
        <v>289.34</v>
      </c>
      <c r="J563" s="52">
        <f>O563+P563</f>
        <v>34.76</v>
      </c>
      <c r="K563" s="53">
        <f>IF(H563=I563+J563,0,W563)</f>
        <v>0</v>
      </c>
      <c r="L563" s="52">
        <v>0</v>
      </c>
      <c r="M563" s="52">
        <v>289.34</v>
      </c>
      <c r="N563" s="52">
        <v>0</v>
      </c>
      <c r="O563" s="52">
        <v>0</v>
      </c>
      <c r="P563" s="52">
        <v>34.76</v>
      </c>
      <c r="Q563" s="54">
        <v>289.34</v>
      </c>
      <c r="R563" s="52">
        <v>324.1</v>
      </c>
      <c r="S563" s="52">
        <v>0</v>
      </c>
      <c r="T563" s="52">
        <v>0</v>
      </c>
      <c r="U563" s="52">
        <v>0</v>
      </c>
      <c r="V563" s="52">
        <v>0</v>
      </c>
      <c r="W563" s="52">
        <v>0</v>
      </c>
      <c r="X563" s="54">
        <v>0</v>
      </c>
      <c r="Y563" s="52">
        <v>0</v>
      </c>
      <c r="Z563" s="52">
        <v>324.1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46132.693923611114</v>
      </c>
      <c r="AH563" s="52">
        <v>0</v>
      </c>
      <c r="AI563" s="52">
        <v>0</v>
      </c>
      <c r="AJ563" s="53">
        <f>AH563+AI563</f>
        <v>0</v>
      </c>
      <c r="AK563" s="56">
        <v>0</v>
      </c>
    </row>
    <row r="564">
      <c r="A564" s="48">
        <v>46132.694131944445</v>
      </c>
      <c r="B564" s="49" t="s">
        <v>108</v>
      </c>
      <c r="C564" s="49" t="s">
        <v>111</v>
      </c>
      <c r="D564" s="49" t="s">
        <v>5</v>
      </c>
      <c r="E564" s="50">
        <v>96</v>
      </c>
      <c r="F564" s="49" t="s">
        <v>109</v>
      </c>
      <c r="G564" s="51">
        <v>169002779</v>
      </c>
      <c r="H564" s="52">
        <v>148</v>
      </c>
      <c r="I564" s="52">
        <f>L564+M564+N564</f>
        <v>129.3134</v>
      </c>
      <c r="J564" s="52">
        <f>O564+P564</f>
        <v>18.3366</v>
      </c>
      <c r="K564" s="53">
        <f>IF(H564=I564+J564,0,W564)</f>
        <v>0.35</v>
      </c>
      <c r="L564" s="52">
        <v>31.3223</v>
      </c>
      <c r="M564" s="52">
        <v>97.9911</v>
      </c>
      <c r="N564" s="52">
        <v>0</v>
      </c>
      <c r="O564" s="52">
        <v>6.5777</v>
      </c>
      <c r="P564" s="52">
        <v>11.7589</v>
      </c>
      <c r="Q564" s="54">
        <v>129.3134</v>
      </c>
      <c r="R564" s="52">
        <v>147.65</v>
      </c>
      <c r="S564" s="52">
        <v>0</v>
      </c>
      <c r="T564" s="52">
        <v>0</v>
      </c>
      <c r="U564" s="52">
        <v>0</v>
      </c>
      <c r="V564" s="52">
        <v>0</v>
      </c>
      <c r="W564" s="52">
        <v>0.35</v>
      </c>
      <c r="X564" s="54">
        <v>200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46132.694131944445</v>
      </c>
      <c r="AH564" s="52">
        <v>33557</v>
      </c>
      <c r="AI564" s="52">
        <v>0</v>
      </c>
      <c r="AJ564" s="53">
        <f>AH564+AI564</f>
        <v>33557</v>
      </c>
      <c r="AK564" s="56">
        <v>0</v>
      </c>
    </row>
    <row r="565">
      <c r="A565" s="48">
        <v>46132.69497685185</v>
      </c>
      <c r="B565" s="49" t="s">
        <v>108</v>
      </c>
      <c r="C565" s="49" t="s">
        <v>111</v>
      </c>
      <c r="D565" s="49" t="s">
        <v>5</v>
      </c>
      <c r="E565" s="50">
        <v>96</v>
      </c>
      <c r="F565" s="49" t="s">
        <v>109</v>
      </c>
      <c r="G565" s="51">
        <v>169002780</v>
      </c>
      <c r="H565" s="52">
        <v>100</v>
      </c>
      <c r="I565" s="52">
        <f>L565+M565+N565</f>
        <v>89.1964</v>
      </c>
      <c r="J565" s="52">
        <f>O565+P565</f>
        <v>10.7036</v>
      </c>
      <c r="K565" s="53">
        <f>IF(H565=I565+J565,0,W565)</f>
        <v>0.1</v>
      </c>
      <c r="L565" s="52">
        <v>0</v>
      </c>
      <c r="M565" s="52">
        <v>89.1964</v>
      </c>
      <c r="N565" s="52">
        <v>0</v>
      </c>
      <c r="O565" s="52">
        <v>0</v>
      </c>
      <c r="P565" s="52">
        <v>10.7036</v>
      </c>
      <c r="Q565" s="54">
        <v>89.1964</v>
      </c>
      <c r="R565" s="52">
        <v>99.9</v>
      </c>
      <c r="S565" s="52">
        <v>0</v>
      </c>
      <c r="T565" s="52">
        <v>0</v>
      </c>
      <c r="U565" s="52">
        <v>0</v>
      </c>
      <c r="V565" s="52">
        <v>0</v>
      </c>
      <c r="W565" s="52">
        <v>0.1</v>
      </c>
      <c r="X565" s="54">
        <v>100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46132.69497685185</v>
      </c>
      <c r="AH565" s="52">
        <v>33657</v>
      </c>
      <c r="AI565" s="52">
        <v>0</v>
      </c>
      <c r="AJ565" s="53">
        <f>AH565+AI565</f>
        <v>33657</v>
      </c>
      <c r="AK565" s="56">
        <v>0</v>
      </c>
    </row>
    <row r="566">
      <c r="A566" s="48">
        <v>46132.69525462963</v>
      </c>
      <c r="B566" s="49" t="s">
        <v>108</v>
      </c>
      <c r="C566" s="49" t="s">
        <v>100</v>
      </c>
      <c r="D566" s="49" t="s">
        <v>5</v>
      </c>
      <c r="E566" s="50">
        <v>96</v>
      </c>
      <c r="F566" s="49" t="s">
        <v>101</v>
      </c>
      <c r="G566" s="51">
        <v>163000351</v>
      </c>
      <c r="H566" s="52">
        <v>241.8</v>
      </c>
      <c r="I566" s="52">
        <f>L566+M566+N566</f>
        <v>215.73</v>
      </c>
      <c r="J566" s="52">
        <f>O566+P566</f>
        <v>26.069999999999997</v>
      </c>
      <c r="K566" s="53">
        <f>IF(H566=I566+J566,0,W566)</f>
        <v>0</v>
      </c>
      <c r="L566" s="52">
        <v>1.57</v>
      </c>
      <c r="M566" s="52">
        <v>214.16</v>
      </c>
      <c r="N566" s="52">
        <v>0</v>
      </c>
      <c r="O566" s="52">
        <v>0.33</v>
      </c>
      <c r="P566" s="52">
        <v>25.74</v>
      </c>
      <c r="Q566" s="54">
        <v>215.73</v>
      </c>
      <c r="R566" s="52">
        <v>241.8</v>
      </c>
      <c r="S566" s="52">
        <v>0</v>
      </c>
      <c r="T566" s="52">
        <v>0</v>
      </c>
      <c r="U566" s="52">
        <v>0</v>
      </c>
      <c r="V566" s="52">
        <v>0</v>
      </c>
      <c r="W566" s="52">
        <v>0</v>
      </c>
      <c r="X566" s="54">
        <v>0</v>
      </c>
      <c r="Y566" s="52">
        <v>0</v>
      </c>
      <c r="Z566" s="52">
        <v>241.8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46132.69525462963</v>
      </c>
      <c r="AH566" s="52">
        <v>0</v>
      </c>
      <c r="AI566" s="52">
        <v>0</v>
      </c>
      <c r="AJ566" s="53">
        <f>AH566+AI566</f>
        <v>0</v>
      </c>
      <c r="AK566" s="56">
        <v>0</v>
      </c>
    </row>
    <row r="567">
      <c r="A567" s="48">
        <v>46132.697071759256</v>
      </c>
      <c r="B567" s="49" t="s">
        <v>108</v>
      </c>
      <c r="C567" s="49" t="s">
        <v>111</v>
      </c>
      <c r="D567" s="49" t="s">
        <v>5</v>
      </c>
      <c r="E567" s="50">
        <v>96</v>
      </c>
      <c r="F567" s="49" t="s">
        <v>109</v>
      </c>
      <c r="G567" s="51">
        <v>169002781</v>
      </c>
      <c r="H567" s="52">
        <v>31</v>
      </c>
      <c r="I567" s="52">
        <f>L567+M567+N567</f>
        <v>26.4958</v>
      </c>
      <c r="J567" s="52">
        <f>O567+P567</f>
        <v>4.3042</v>
      </c>
      <c r="K567" s="53">
        <f>IF(H567=I567+J567,0,W567)</f>
        <v>0.2</v>
      </c>
      <c r="L567" s="52">
        <v>20.4958</v>
      </c>
      <c r="M567" s="52">
        <v>0</v>
      </c>
      <c r="N567" s="52">
        <v>6</v>
      </c>
      <c r="O567" s="52">
        <v>4.3042</v>
      </c>
      <c r="P567" s="52">
        <v>0</v>
      </c>
      <c r="Q567" s="54">
        <v>20.4958</v>
      </c>
      <c r="R567" s="52">
        <v>24.8</v>
      </c>
      <c r="S567" s="52">
        <v>0</v>
      </c>
      <c r="T567" s="52">
        <v>0</v>
      </c>
      <c r="U567" s="52">
        <v>6</v>
      </c>
      <c r="V567" s="52">
        <v>0</v>
      </c>
      <c r="W567" s="52">
        <v>0.2</v>
      </c>
      <c r="X567" s="54">
        <v>51</v>
      </c>
      <c r="Y567" s="52">
        <v>0</v>
      </c>
      <c r="Z567" s="52">
        <v>0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46132.697071759256</v>
      </c>
      <c r="AH567" s="52">
        <v>33688</v>
      </c>
      <c r="AI567" s="52">
        <v>0</v>
      </c>
      <c r="AJ567" s="53">
        <f>AH567+AI567</f>
        <v>33688</v>
      </c>
      <c r="AK567" s="56">
        <v>0</v>
      </c>
    </row>
    <row r="568">
      <c r="A568" s="48">
        <v>46132.69767361111</v>
      </c>
      <c r="B568" s="49" t="s">
        <v>108</v>
      </c>
      <c r="C568" s="49" t="s">
        <v>111</v>
      </c>
      <c r="D568" s="49" t="s">
        <v>5</v>
      </c>
      <c r="E568" s="50">
        <v>96</v>
      </c>
      <c r="F568" s="49" t="s">
        <v>109</v>
      </c>
      <c r="G568" s="51">
        <v>169002782</v>
      </c>
      <c r="H568" s="52">
        <v>179</v>
      </c>
      <c r="I568" s="52">
        <f>L568+M568+N568</f>
        <v>147.9339</v>
      </c>
      <c r="J568" s="52">
        <f>O568+P568</f>
        <v>31.0661</v>
      </c>
      <c r="K568" s="53">
        <f>IF(H568=I568+J568,0,W568)</f>
        <v>0</v>
      </c>
      <c r="L568" s="52">
        <v>147.9339</v>
      </c>
      <c r="M568" s="52">
        <v>0</v>
      </c>
      <c r="N568" s="52">
        <v>0</v>
      </c>
      <c r="O568" s="52">
        <v>31.0661</v>
      </c>
      <c r="P568" s="52">
        <v>0</v>
      </c>
      <c r="Q568" s="54">
        <v>147.9339</v>
      </c>
      <c r="R568" s="52">
        <v>179</v>
      </c>
      <c r="S568" s="52">
        <v>0</v>
      </c>
      <c r="T568" s="52">
        <v>0</v>
      </c>
      <c r="U568" s="52">
        <v>0</v>
      </c>
      <c r="V568" s="52">
        <v>0</v>
      </c>
      <c r="W568" s="52">
        <v>0</v>
      </c>
      <c r="X568" s="54">
        <v>0</v>
      </c>
      <c r="Y568" s="52">
        <v>0</v>
      </c>
      <c r="Z568" s="52">
        <v>179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46132.69767361111</v>
      </c>
      <c r="AH568" s="52">
        <v>33688</v>
      </c>
      <c r="AI568" s="52">
        <v>0</v>
      </c>
      <c r="AJ568" s="53">
        <f>AH568+AI568</f>
        <v>33688</v>
      </c>
      <c r="AK568" s="56">
        <v>0</v>
      </c>
    </row>
    <row r="569">
      <c r="A569" s="48">
        <v>46132.697962962964</v>
      </c>
      <c r="B569" s="49" t="s">
        <v>108</v>
      </c>
      <c r="C569" s="49" t="s">
        <v>100</v>
      </c>
      <c r="D569" s="49" t="s">
        <v>5</v>
      </c>
      <c r="E569" s="50">
        <v>96</v>
      </c>
      <c r="F569" s="49" t="s">
        <v>105</v>
      </c>
      <c r="G569" s="51">
        <v>161000380</v>
      </c>
      <c r="H569" s="52">
        <v>16.9</v>
      </c>
      <c r="I569" s="52">
        <f>L569+M569+N569</f>
        <v>15.08</v>
      </c>
      <c r="J569" s="52">
        <f>O569+P569</f>
        <v>1.82</v>
      </c>
      <c r="K569" s="53">
        <f>IF(H569=I569+J569,0,W569)</f>
        <v>0</v>
      </c>
      <c r="L569" s="52">
        <v>0</v>
      </c>
      <c r="M569" s="52">
        <v>15.08</v>
      </c>
      <c r="N569" s="52">
        <v>0</v>
      </c>
      <c r="O569" s="52">
        <v>0</v>
      </c>
      <c r="P569" s="52">
        <v>1.82</v>
      </c>
      <c r="Q569" s="54">
        <v>15.08</v>
      </c>
      <c r="R569" s="52">
        <v>16.9</v>
      </c>
      <c r="S569" s="52">
        <v>0</v>
      </c>
      <c r="T569" s="52">
        <v>0</v>
      </c>
      <c r="U569" s="52">
        <v>0</v>
      </c>
      <c r="V569" s="52">
        <v>0</v>
      </c>
      <c r="W569" s="52">
        <v>0</v>
      </c>
      <c r="X569" s="54">
        <v>0</v>
      </c>
      <c r="Y569" s="52">
        <v>0</v>
      </c>
      <c r="Z569" s="52">
        <v>16.9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46132.697962962964</v>
      </c>
      <c r="AH569" s="52">
        <v>0</v>
      </c>
      <c r="AI569" s="52">
        <v>0</v>
      </c>
      <c r="AJ569" s="53">
        <f>AH569+AI569</f>
        <v>0</v>
      </c>
      <c r="AK569" s="56">
        <v>0</v>
      </c>
    </row>
    <row r="570">
      <c r="A570" s="48">
        <v>46132.69873842593</v>
      </c>
      <c r="B570" s="49" t="s">
        <v>108</v>
      </c>
      <c r="C570" s="49" t="s">
        <v>100</v>
      </c>
      <c r="D570" s="49" t="s">
        <v>5</v>
      </c>
      <c r="E570" s="50">
        <v>96</v>
      </c>
      <c r="F570" s="49" t="s">
        <v>105</v>
      </c>
      <c r="G570" s="51">
        <v>161000381</v>
      </c>
      <c r="H570" s="52">
        <v>22.9</v>
      </c>
      <c r="I570" s="52">
        <f>L570+M570+N570</f>
        <v>18.92</v>
      </c>
      <c r="J570" s="52">
        <f>O570+P570</f>
        <v>3.98</v>
      </c>
      <c r="K570" s="53">
        <f>IF(H570=I570+J570,0,W570)</f>
        <v>0</v>
      </c>
      <c r="L570" s="52">
        <v>18.92</v>
      </c>
      <c r="M570" s="52">
        <v>0</v>
      </c>
      <c r="N570" s="52">
        <v>0</v>
      </c>
      <c r="O570" s="52">
        <v>3.98</v>
      </c>
      <c r="P570" s="52">
        <v>0</v>
      </c>
      <c r="Q570" s="54">
        <v>18.92</v>
      </c>
      <c r="R570" s="52">
        <v>22.9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22.9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46132.69873842593</v>
      </c>
      <c r="AH570" s="52">
        <v>0</v>
      </c>
      <c r="AI570" s="52">
        <v>0</v>
      </c>
      <c r="AJ570" s="53">
        <f>AH570+AI570</f>
        <v>0</v>
      </c>
      <c r="AK570" s="56">
        <v>0</v>
      </c>
    </row>
    <row r="571">
      <c r="A571" s="48">
        <v>46132.698854166665</v>
      </c>
      <c r="B571" s="49" t="s">
        <v>108</v>
      </c>
      <c r="C571" s="49" t="s">
        <v>111</v>
      </c>
      <c r="D571" s="49" t="s">
        <v>5</v>
      </c>
      <c r="E571" s="50">
        <v>96</v>
      </c>
      <c r="F571" s="49" t="s">
        <v>109</v>
      </c>
      <c r="G571" s="51">
        <v>169002783</v>
      </c>
      <c r="H571" s="52">
        <v>32</v>
      </c>
      <c r="I571" s="52">
        <f>L571+M571+N571</f>
        <v>28.3929</v>
      </c>
      <c r="J571" s="52">
        <f>O571+P571</f>
        <v>3.4071</v>
      </c>
      <c r="K571" s="53">
        <f>IF(H571=I571+J571,0,W571)</f>
        <v>0.2</v>
      </c>
      <c r="L571" s="52">
        <v>0</v>
      </c>
      <c r="M571" s="52">
        <v>28.3929</v>
      </c>
      <c r="N571" s="52">
        <v>0</v>
      </c>
      <c r="O571" s="52">
        <v>0</v>
      </c>
      <c r="P571" s="52">
        <v>3.4071</v>
      </c>
      <c r="Q571" s="54">
        <v>28.3929</v>
      </c>
      <c r="R571" s="52">
        <v>31.8</v>
      </c>
      <c r="S571" s="52">
        <v>0</v>
      </c>
      <c r="T571" s="52">
        <v>0</v>
      </c>
      <c r="U571" s="52">
        <v>0</v>
      </c>
      <c r="V571" s="52">
        <v>0</v>
      </c>
      <c r="W571" s="52">
        <v>0.2</v>
      </c>
      <c r="X571" s="54">
        <v>40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46132.698854166665</v>
      </c>
      <c r="AH571" s="52">
        <v>33720</v>
      </c>
      <c r="AI571" s="52">
        <v>0</v>
      </c>
      <c r="AJ571" s="53">
        <f>AH571+AI571</f>
        <v>33720</v>
      </c>
      <c r="AK571" s="56">
        <v>0</v>
      </c>
    </row>
    <row r="572">
      <c r="A572" s="48">
        <v>46132.69923611111</v>
      </c>
      <c r="B572" s="49" t="s">
        <v>108</v>
      </c>
      <c r="C572" s="49" t="s">
        <v>111</v>
      </c>
      <c r="D572" s="49" t="s">
        <v>5</v>
      </c>
      <c r="E572" s="50">
        <v>96</v>
      </c>
      <c r="F572" s="49" t="s">
        <v>109</v>
      </c>
      <c r="G572" s="51">
        <v>169002784</v>
      </c>
      <c r="H572" s="52">
        <v>14</v>
      </c>
      <c r="I572" s="52">
        <f>L572+M572+N572</f>
        <v>12.8571</v>
      </c>
      <c r="J572" s="52">
        <f>O572+P572</f>
        <v>1.5429</v>
      </c>
      <c r="K572" s="53">
        <f>IF(H572=I572+J572,0,W572)</f>
        <v>-0.4</v>
      </c>
      <c r="L572" s="52">
        <v>0</v>
      </c>
      <c r="M572" s="52">
        <v>12.8571</v>
      </c>
      <c r="N572" s="52">
        <v>0</v>
      </c>
      <c r="O572" s="52">
        <v>0</v>
      </c>
      <c r="P572" s="52">
        <v>1.5429</v>
      </c>
      <c r="Q572" s="54">
        <v>12.8571</v>
      </c>
      <c r="R572" s="52">
        <v>14.4</v>
      </c>
      <c r="S572" s="52">
        <v>0</v>
      </c>
      <c r="T572" s="52">
        <v>0</v>
      </c>
      <c r="U572" s="52">
        <v>0</v>
      </c>
      <c r="V572" s="52">
        <v>0</v>
      </c>
      <c r="W572" s="52">
        <v>-0.4</v>
      </c>
      <c r="X572" s="54">
        <v>14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46132.69923611111</v>
      </c>
      <c r="AH572" s="52">
        <v>33734</v>
      </c>
      <c r="AI572" s="52">
        <v>0</v>
      </c>
      <c r="AJ572" s="53">
        <f>AH572+AI572</f>
        <v>33734</v>
      </c>
      <c r="AK572" s="56">
        <v>0</v>
      </c>
    </row>
    <row r="573">
      <c r="A573" s="48">
        <v>46132.69934027778</v>
      </c>
      <c r="B573" s="49" t="s">
        <v>108</v>
      </c>
      <c r="C573" s="49" t="s">
        <v>100</v>
      </c>
      <c r="D573" s="49" t="s">
        <v>5</v>
      </c>
      <c r="E573" s="50">
        <v>96</v>
      </c>
      <c r="F573" s="49" t="s">
        <v>101</v>
      </c>
      <c r="G573" s="51">
        <v>163000352</v>
      </c>
      <c r="H573" s="52">
        <v>185.47</v>
      </c>
      <c r="I573" s="52">
        <f>L573+M573+N573</f>
        <v>161.07</v>
      </c>
      <c r="J573" s="52">
        <f>O573+P573</f>
        <v>24.4</v>
      </c>
      <c r="K573" s="53">
        <f>IF(H573=I573+J573,0,W573)</f>
        <v>0</v>
      </c>
      <c r="L573" s="52">
        <v>55.94</v>
      </c>
      <c r="M573" s="52">
        <v>105.13</v>
      </c>
      <c r="N573" s="52">
        <v>0</v>
      </c>
      <c r="O573" s="52">
        <v>11.76</v>
      </c>
      <c r="P573" s="52">
        <v>12.64</v>
      </c>
      <c r="Q573" s="54">
        <v>161.07</v>
      </c>
      <c r="R573" s="52">
        <v>185.47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>
        <v>0</v>
      </c>
      <c r="Y573" s="52">
        <v>0</v>
      </c>
      <c r="Z573" s="52">
        <v>185.47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46132.69934027778</v>
      </c>
      <c r="AH573" s="52">
        <v>0</v>
      </c>
      <c r="AI573" s="52">
        <v>0</v>
      </c>
      <c r="AJ573" s="53">
        <f>AH573+AI573</f>
        <v>0</v>
      </c>
      <c r="AK573" s="56">
        <v>0</v>
      </c>
    </row>
    <row r="574">
      <c r="A574" s="48">
        <v>46132.70024305556</v>
      </c>
      <c r="B574" s="49" t="s">
        <v>108</v>
      </c>
      <c r="C574" s="49" t="s">
        <v>111</v>
      </c>
      <c r="D574" s="49" t="s">
        <v>5</v>
      </c>
      <c r="E574" s="50">
        <v>96</v>
      </c>
      <c r="F574" s="49" t="s">
        <v>109</v>
      </c>
      <c r="G574" s="51">
        <v>169002785</v>
      </c>
      <c r="H574" s="52">
        <v>222</v>
      </c>
      <c r="I574" s="52">
        <f>L574+M574+N574</f>
        <v>198.2322</v>
      </c>
      <c r="J574" s="52">
        <f>O574+P574</f>
        <v>23.7878</v>
      </c>
      <c r="K574" s="53">
        <f>IF(H574=I574+J574,0,W574)</f>
        <v>-0.02</v>
      </c>
      <c r="L574" s="52">
        <v>0</v>
      </c>
      <c r="M574" s="52">
        <v>198.2322</v>
      </c>
      <c r="N574" s="52">
        <v>0</v>
      </c>
      <c r="O574" s="52">
        <v>0</v>
      </c>
      <c r="P574" s="52">
        <v>23.7878</v>
      </c>
      <c r="Q574" s="54">
        <v>198.2322</v>
      </c>
      <c r="R574" s="52">
        <v>222.02</v>
      </c>
      <c r="S574" s="52">
        <v>0</v>
      </c>
      <c r="T574" s="52">
        <v>0</v>
      </c>
      <c r="U574" s="52">
        <v>0</v>
      </c>
      <c r="V574" s="52">
        <v>0</v>
      </c>
      <c r="W574" s="52">
        <v>-0.02</v>
      </c>
      <c r="X574" s="54">
        <v>222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46132.70024305556</v>
      </c>
      <c r="AH574" s="52">
        <v>33956</v>
      </c>
      <c r="AI574" s="52">
        <v>0</v>
      </c>
      <c r="AJ574" s="53">
        <f>AH574+AI574</f>
        <v>33956</v>
      </c>
      <c r="AK574" s="56">
        <v>14.0224</v>
      </c>
    </row>
    <row r="575">
      <c r="A575" s="48">
        <v>46132.70097222222</v>
      </c>
      <c r="B575" s="49" t="s">
        <v>108</v>
      </c>
      <c r="C575" s="49" t="s">
        <v>111</v>
      </c>
      <c r="D575" s="49" t="s">
        <v>5</v>
      </c>
      <c r="E575" s="50">
        <v>96</v>
      </c>
      <c r="F575" s="49" t="s">
        <v>109</v>
      </c>
      <c r="G575" s="51">
        <v>169002786</v>
      </c>
      <c r="H575" s="52">
        <v>71.6</v>
      </c>
      <c r="I575" s="52">
        <f>L575+M575+N575</f>
        <v>63.9285</v>
      </c>
      <c r="J575" s="52">
        <f>O575+P575</f>
        <v>7.6715</v>
      </c>
      <c r="K575" s="53">
        <f>IF(H575=I575+J575,0,W575)</f>
        <v>0</v>
      </c>
      <c r="L575" s="52">
        <v>0</v>
      </c>
      <c r="M575" s="52">
        <v>63.9285</v>
      </c>
      <c r="N575" s="52">
        <v>0</v>
      </c>
      <c r="O575" s="52">
        <v>0</v>
      </c>
      <c r="P575" s="52">
        <v>7.6715</v>
      </c>
      <c r="Q575" s="54">
        <v>63.9285</v>
      </c>
      <c r="R575" s="52">
        <v>71.6</v>
      </c>
      <c r="S575" s="52">
        <v>0</v>
      </c>
      <c r="T575" s="52">
        <v>0</v>
      </c>
      <c r="U575" s="52">
        <v>0</v>
      </c>
      <c r="V575" s="52">
        <v>0</v>
      </c>
      <c r="W575" s="52">
        <v>0</v>
      </c>
      <c r="X575" s="54">
        <v>0</v>
      </c>
      <c r="Y575" s="52">
        <v>0</v>
      </c>
      <c r="Z575" s="52">
        <v>71.6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46132.70097222222</v>
      </c>
      <c r="AH575" s="52">
        <v>33956</v>
      </c>
      <c r="AI575" s="52">
        <v>0</v>
      </c>
      <c r="AJ575" s="53">
        <f>AH575+AI575</f>
        <v>33956</v>
      </c>
      <c r="AK575" s="56">
        <v>0</v>
      </c>
    </row>
    <row r="576">
      <c r="A576" s="48">
        <v>46132.701319444444</v>
      </c>
      <c r="B576" s="49" t="s">
        <v>108</v>
      </c>
      <c r="C576" s="49" t="s">
        <v>111</v>
      </c>
      <c r="D576" s="49" t="s">
        <v>5</v>
      </c>
      <c r="E576" s="50">
        <v>96</v>
      </c>
      <c r="F576" s="49" t="s">
        <v>109</v>
      </c>
      <c r="G576" s="51">
        <v>169002787</v>
      </c>
      <c r="H576" s="52">
        <v>180</v>
      </c>
      <c r="I576" s="52">
        <f>L576+M576+N576</f>
        <v>149.9993</v>
      </c>
      <c r="J576" s="52">
        <f>O576+P576</f>
        <v>29.9007</v>
      </c>
      <c r="K576" s="53">
        <f>IF(H576=I576+J576,0,W576)</f>
        <v>0.1</v>
      </c>
      <c r="L576" s="52">
        <v>132.2314</v>
      </c>
      <c r="M576" s="52">
        <v>17.7679</v>
      </c>
      <c r="N576" s="52">
        <v>0</v>
      </c>
      <c r="O576" s="52">
        <v>27.7686</v>
      </c>
      <c r="P576" s="52">
        <v>2.1321</v>
      </c>
      <c r="Q576" s="54">
        <v>149.9993</v>
      </c>
      <c r="R576" s="52">
        <v>179.9</v>
      </c>
      <c r="S576" s="52">
        <v>0</v>
      </c>
      <c r="T576" s="52">
        <v>0</v>
      </c>
      <c r="U576" s="52">
        <v>0</v>
      </c>
      <c r="V576" s="52">
        <v>0</v>
      </c>
      <c r="W576" s="52">
        <v>0.1</v>
      </c>
      <c r="X576" s="54">
        <v>500</v>
      </c>
      <c r="Y576" s="52">
        <v>0</v>
      </c>
      <c r="Z576" s="52">
        <v>0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46132.701319444444</v>
      </c>
      <c r="AH576" s="52">
        <v>34136</v>
      </c>
      <c r="AI576" s="52">
        <v>0</v>
      </c>
      <c r="AJ576" s="53">
        <f>AH576+AI576</f>
        <v>34136</v>
      </c>
      <c r="AK576" s="56">
        <v>0</v>
      </c>
    </row>
    <row r="577">
      <c r="A577" s="48">
        <v>46132.702569444446</v>
      </c>
      <c r="B577" s="49" t="s">
        <v>108</v>
      </c>
      <c r="C577" s="49" t="s">
        <v>100</v>
      </c>
      <c r="D577" s="49" t="s">
        <v>5</v>
      </c>
      <c r="E577" s="50">
        <v>96</v>
      </c>
      <c r="F577" s="49" t="s">
        <v>105</v>
      </c>
      <c r="G577" s="51">
        <v>161000382</v>
      </c>
      <c r="H577" s="52">
        <v>22.9</v>
      </c>
      <c r="I577" s="52">
        <f>L577+M577+N577</f>
        <v>18.92</v>
      </c>
      <c r="J577" s="52">
        <f>O577+P577</f>
        <v>3.98</v>
      </c>
      <c r="K577" s="53">
        <f>IF(H577=I577+J577,0,W577)</f>
        <v>0</v>
      </c>
      <c r="L577" s="52">
        <v>18.92</v>
      </c>
      <c r="M577" s="52">
        <v>0</v>
      </c>
      <c r="N577" s="52">
        <v>0</v>
      </c>
      <c r="O577" s="52">
        <v>3.98</v>
      </c>
      <c r="P577" s="52">
        <v>0</v>
      </c>
      <c r="Q577" s="54">
        <v>18.92</v>
      </c>
      <c r="R577" s="52">
        <v>22.9</v>
      </c>
      <c r="S577" s="52">
        <v>0</v>
      </c>
      <c r="T577" s="52">
        <v>0</v>
      </c>
      <c r="U577" s="52">
        <v>0</v>
      </c>
      <c r="V577" s="52">
        <v>0</v>
      </c>
      <c r="W577" s="52">
        <v>0</v>
      </c>
      <c r="X577" s="54">
        <v>0</v>
      </c>
      <c r="Y577" s="52">
        <v>0</v>
      </c>
      <c r="Z577" s="52">
        <v>22.9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46132.702569444446</v>
      </c>
      <c r="AH577" s="52">
        <v>0</v>
      </c>
      <c r="AI577" s="52">
        <v>0</v>
      </c>
      <c r="AJ577" s="53">
        <f>AH577+AI577</f>
        <v>0</v>
      </c>
      <c r="AK577" s="56">
        <v>0</v>
      </c>
    </row>
    <row r="578">
      <c r="A578" s="48">
        <v>46132.70270833333</v>
      </c>
      <c r="B578" s="49" t="s">
        <v>108</v>
      </c>
      <c r="C578" s="49" t="s">
        <v>111</v>
      </c>
      <c r="D578" s="49" t="s">
        <v>5</v>
      </c>
      <c r="E578" s="50">
        <v>96</v>
      </c>
      <c r="F578" s="49" t="s">
        <v>109</v>
      </c>
      <c r="G578" s="51">
        <v>169002788</v>
      </c>
      <c r="H578" s="52">
        <v>21</v>
      </c>
      <c r="I578" s="52">
        <f>L578+M578+N578</f>
        <v>18.8303</v>
      </c>
      <c r="J578" s="52">
        <f>O578+P578</f>
        <v>2.2597</v>
      </c>
      <c r="K578" s="53">
        <f>IF(H578=I578+J578,0,W578)</f>
        <v>-0.09</v>
      </c>
      <c r="L578" s="52">
        <v>0</v>
      </c>
      <c r="M578" s="52">
        <v>18.8303</v>
      </c>
      <c r="N578" s="52">
        <v>0</v>
      </c>
      <c r="O578" s="52">
        <v>0</v>
      </c>
      <c r="P578" s="52">
        <v>2.2597</v>
      </c>
      <c r="Q578" s="54">
        <v>18.8303</v>
      </c>
      <c r="R578" s="52">
        <v>21.09</v>
      </c>
      <c r="S578" s="52">
        <v>0</v>
      </c>
      <c r="T578" s="52">
        <v>0</v>
      </c>
      <c r="U578" s="52">
        <v>0</v>
      </c>
      <c r="V578" s="52">
        <v>0</v>
      </c>
      <c r="W578" s="52">
        <v>-0.09</v>
      </c>
      <c r="X578" s="54">
        <v>21</v>
      </c>
      <c r="Y578" s="52">
        <v>0</v>
      </c>
      <c r="Z578" s="52">
        <v>0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46132.70270833333</v>
      </c>
      <c r="AH578" s="52">
        <v>34157</v>
      </c>
      <c r="AI578" s="52">
        <v>0</v>
      </c>
      <c r="AJ578" s="53">
        <f>AH578+AI578</f>
        <v>34157</v>
      </c>
      <c r="AK578" s="56">
        <v>0</v>
      </c>
    </row>
    <row r="579">
      <c r="A579" s="48">
        <v>46132.70322916667</v>
      </c>
      <c r="B579" s="49" t="s">
        <v>108</v>
      </c>
      <c r="C579" s="49" t="s">
        <v>111</v>
      </c>
      <c r="D579" s="49" t="s">
        <v>5</v>
      </c>
      <c r="E579" s="50">
        <v>96</v>
      </c>
      <c r="F579" s="49" t="s">
        <v>109</v>
      </c>
      <c r="G579" s="51">
        <v>169002789</v>
      </c>
      <c r="H579" s="52">
        <v>161</v>
      </c>
      <c r="I579" s="52">
        <f>L579+M579+N579</f>
        <v>133.0579</v>
      </c>
      <c r="J579" s="52">
        <f>O579+P579</f>
        <v>27.9421</v>
      </c>
      <c r="K579" s="53">
        <f>IF(H579=I579+J579,0,W579)</f>
        <v>0</v>
      </c>
      <c r="L579" s="52">
        <v>133.0579</v>
      </c>
      <c r="M579" s="52">
        <v>0</v>
      </c>
      <c r="N579" s="52">
        <v>0</v>
      </c>
      <c r="O579" s="52">
        <v>27.9421</v>
      </c>
      <c r="P579" s="52">
        <v>0</v>
      </c>
      <c r="Q579" s="54">
        <v>133.0579</v>
      </c>
      <c r="R579" s="52">
        <v>161</v>
      </c>
      <c r="S579" s="52">
        <v>0</v>
      </c>
      <c r="T579" s="52">
        <v>0</v>
      </c>
      <c r="U579" s="52">
        <v>0</v>
      </c>
      <c r="V579" s="52">
        <v>0</v>
      </c>
      <c r="W579" s="52">
        <v>0</v>
      </c>
      <c r="X579" s="54">
        <v>201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46132.70322916667</v>
      </c>
      <c r="AH579" s="52">
        <v>34318</v>
      </c>
      <c r="AI579" s="52">
        <v>0</v>
      </c>
      <c r="AJ579" s="53">
        <f>AH579+AI579</f>
        <v>34318</v>
      </c>
      <c r="AK579" s="56">
        <v>0</v>
      </c>
    </row>
    <row r="580">
      <c r="A580" s="48">
        <v>46132.70369212963</v>
      </c>
      <c r="B580" s="49" t="s">
        <v>108</v>
      </c>
      <c r="C580" s="49" t="s">
        <v>111</v>
      </c>
      <c r="D580" s="49" t="s">
        <v>5</v>
      </c>
      <c r="E580" s="50">
        <v>96</v>
      </c>
      <c r="F580" s="49" t="s">
        <v>109</v>
      </c>
      <c r="G580" s="51">
        <v>169002790</v>
      </c>
      <c r="H580" s="52">
        <v>123.7</v>
      </c>
      <c r="I580" s="52">
        <f>L580+M580+N580</f>
        <v>110.4464</v>
      </c>
      <c r="J580" s="52">
        <f>O580+P580</f>
        <v>13.2536</v>
      </c>
      <c r="K580" s="53">
        <f>IF(H580=I580+J580,0,W580)</f>
        <v>0</v>
      </c>
      <c r="L580" s="52">
        <v>0</v>
      </c>
      <c r="M580" s="52">
        <v>110.4464</v>
      </c>
      <c r="N580" s="52">
        <v>0</v>
      </c>
      <c r="O580" s="52">
        <v>0</v>
      </c>
      <c r="P580" s="52">
        <v>13.2536</v>
      </c>
      <c r="Q580" s="54">
        <v>110.4464</v>
      </c>
      <c r="R580" s="52">
        <v>123.7</v>
      </c>
      <c r="S580" s="52">
        <v>0</v>
      </c>
      <c r="T580" s="52">
        <v>0</v>
      </c>
      <c r="U580" s="52">
        <v>0</v>
      </c>
      <c r="V580" s="52">
        <v>0</v>
      </c>
      <c r="W580" s="52">
        <v>0</v>
      </c>
      <c r="X580" s="54">
        <v>0</v>
      </c>
      <c r="Y580" s="52">
        <v>0</v>
      </c>
      <c r="Z580" s="52">
        <v>123.7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46132.70369212963</v>
      </c>
      <c r="AH580" s="52">
        <v>34318</v>
      </c>
      <c r="AI580" s="52">
        <v>0</v>
      </c>
      <c r="AJ580" s="53">
        <f>AH580+AI580</f>
        <v>34318</v>
      </c>
      <c r="AK580" s="56">
        <v>0</v>
      </c>
    </row>
    <row r="581">
      <c r="A581" s="48">
        <v>46132.703993055555</v>
      </c>
      <c r="B581" s="49" t="s">
        <v>108</v>
      </c>
      <c r="C581" s="49" t="s">
        <v>111</v>
      </c>
      <c r="D581" s="49" t="s">
        <v>5</v>
      </c>
      <c r="E581" s="50">
        <v>96</v>
      </c>
      <c r="F581" s="49" t="s">
        <v>109</v>
      </c>
      <c r="G581" s="51">
        <v>169002791</v>
      </c>
      <c r="H581" s="52">
        <v>23.8</v>
      </c>
      <c r="I581" s="52">
        <f>L581+M581+N581</f>
        <v>21.25</v>
      </c>
      <c r="J581" s="52">
        <f>O581+P581</f>
        <v>2.55</v>
      </c>
      <c r="K581" s="53">
        <f>IF(H581=I581+J581,0,W581)</f>
        <v>0</v>
      </c>
      <c r="L581" s="52">
        <v>0</v>
      </c>
      <c r="M581" s="52">
        <v>21.25</v>
      </c>
      <c r="N581" s="52">
        <v>0</v>
      </c>
      <c r="O581" s="52">
        <v>0</v>
      </c>
      <c r="P581" s="52">
        <v>2.55</v>
      </c>
      <c r="Q581" s="54">
        <v>21.25</v>
      </c>
      <c r="R581" s="52">
        <v>23.8</v>
      </c>
      <c r="S581" s="52">
        <v>0</v>
      </c>
      <c r="T581" s="52">
        <v>0</v>
      </c>
      <c r="U581" s="52">
        <v>0</v>
      </c>
      <c r="V581" s="52">
        <v>0</v>
      </c>
      <c r="W581" s="52">
        <v>0</v>
      </c>
      <c r="X581" s="54">
        <v>0</v>
      </c>
      <c r="Y581" s="52">
        <v>0</v>
      </c>
      <c r="Z581" s="52">
        <v>23.8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46132.703993055555</v>
      </c>
      <c r="AH581" s="52">
        <v>34318</v>
      </c>
      <c r="AI581" s="52">
        <v>0</v>
      </c>
      <c r="AJ581" s="53">
        <f>AH581+AI581</f>
        <v>34318</v>
      </c>
      <c r="AK581" s="56">
        <v>0</v>
      </c>
    </row>
    <row r="582">
      <c r="A582" s="48">
        <v>46132.70553240741</v>
      </c>
      <c r="B582" s="49" t="s">
        <v>108</v>
      </c>
      <c r="C582" s="49" t="s">
        <v>113</v>
      </c>
      <c r="D582" s="49" t="s">
        <v>5</v>
      </c>
      <c r="E582" s="50">
        <v>96</v>
      </c>
      <c r="F582" s="49" t="s">
        <v>107</v>
      </c>
      <c r="G582" s="51">
        <v>166004789</v>
      </c>
      <c r="H582" s="52">
        <v>46</v>
      </c>
      <c r="I582" s="52">
        <f>L582+M582+N582</f>
        <v>40.8928</v>
      </c>
      <c r="J582" s="52">
        <f>O582+P582</f>
        <v>4.9072</v>
      </c>
      <c r="K582" s="53">
        <f>IF(H582=I582+J582,0,W582)</f>
        <v>0.2</v>
      </c>
      <c r="L582" s="52">
        <v>0</v>
      </c>
      <c r="M582" s="52">
        <v>40.8928</v>
      </c>
      <c r="N582" s="52">
        <v>0</v>
      </c>
      <c r="O582" s="52">
        <v>0</v>
      </c>
      <c r="P582" s="52">
        <v>4.9072</v>
      </c>
      <c r="Q582" s="54">
        <v>40.8928</v>
      </c>
      <c r="R582" s="52">
        <v>45.8</v>
      </c>
      <c r="S582" s="52">
        <v>0</v>
      </c>
      <c r="T582" s="52">
        <v>0</v>
      </c>
      <c r="U582" s="52">
        <v>0</v>
      </c>
      <c r="V582" s="52">
        <v>0</v>
      </c>
      <c r="W582" s="52">
        <v>0.2</v>
      </c>
      <c r="X582" s="54">
        <v>50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46132.70553240741</v>
      </c>
      <c r="AH582" s="52">
        <v>46562</v>
      </c>
      <c r="AI582" s="52">
        <v>0</v>
      </c>
      <c r="AJ582" s="53">
        <f>AH582+AI582</f>
        <v>46562</v>
      </c>
      <c r="AK582" s="56">
        <v>0</v>
      </c>
    </row>
    <row r="583">
      <c r="A583" s="48">
        <v>46132.705659722225</v>
      </c>
      <c r="B583" s="49" t="s">
        <v>108</v>
      </c>
      <c r="C583" s="49" t="s">
        <v>111</v>
      </c>
      <c r="D583" s="49" t="s">
        <v>5</v>
      </c>
      <c r="E583" s="50">
        <v>96</v>
      </c>
      <c r="F583" s="49" t="s">
        <v>109</v>
      </c>
      <c r="G583" s="51">
        <v>169002792</v>
      </c>
      <c r="H583" s="52">
        <v>20</v>
      </c>
      <c r="I583" s="52">
        <f>L583+M583+N583</f>
        <v>17.7679</v>
      </c>
      <c r="J583" s="52">
        <f>O583+P583</f>
        <v>2.1321</v>
      </c>
      <c r="K583" s="53">
        <f>IF(H583=I583+J583,0,W583)</f>
        <v>0.1</v>
      </c>
      <c r="L583" s="52">
        <v>0</v>
      </c>
      <c r="M583" s="52">
        <v>17.7679</v>
      </c>
      <c r="N583" s="52">
        <v>0</v>
      </c>
      <c r="O583" s="52">
        <v>0</v>
      </c>
      <c r="P583" s="52">
        <v>2.1321</v>
      </c>
      <c r="Q583" s="54">
        <v>17.7679</v>
      </c>
      <c r="R583" s="52">
        <v>19.9</v>
      </c>
      <c r="S583" s="52">
        <v>0</v>
      </c>
      <c r="T583" s="52">
        <v>0</v>
      </c>
      <c r="U583" s="52">
        <v>0</v>
      </c>
      <c r="V583" s="52">
        <v>0</v>
      </c>
      <c r="W583" s="52">
        <v>0.1</v>
      </c>
      <c r="X583" s="54">
        <v>20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46132.705659722225</v>
      </c>
      <c r="AH583" s="52">
        <v>34338</v>
      </c>
      <c r="AI583" s="52">
        <v>0</v>
      </c>
      <c r="AJ583" s="53">
        <f>AH583+AI583</f>
        <v>34338</v>
      </c>
      <c r="AK583" s="56">
        <v>0</v>
      </c>
    </row>
    <row r="584">
      <c r="A584" s="48">
        <v>46132.70568287037</v>
      </c>
      <c r="B584" s="49" t="s">
        <v>108</v>
      </c>
      <c r="C584" s="49" t="s">
        <v>100</v>
      </c>
      <c r="D584" s="49" t="s">
        <v>5</v>
      </c>
      <c r="E584" s="50">
        <v>96</v>
      </c>
      <c r="F584" s="49" t="s">
        <v>105</v>
      </c>
      <c r="G584" s="51">
        <v>161000383</v>
      </c>
      <c r="H584" s="52">
        <v>143.3</v>
      </c>
      <c r="I584" s="52">
        <f>L584+M584+N584</f>
        <v>127.92</v>
      </c>
      <c r="J584" s="52">
        <f>O584+P584</f>
        <v>15.38</v>
      </c>
      <c r="K584" s="53">
        <f>IF(H584=I584+J584,0,W584)</f>
        <v>0</v>
      </c>
      <c r="L584" s="52">
        <v>0</v>
      </c>
      <c r="M584" s="52">
        <v>127.92</v>
      </c>
      <c r="N584" s="52">
        <v>0</v>
      </c>
      <c r="O584" s="52">
        <v>0</v>
      </c>
      <c r="P584" s="52">
        <v>15.38</v>
      </c>
      <c r="Q584" s="54">
        <v>127.92</v>
      </c>
      <c r="R584" s="52">
        <v>143.3</v>
      </c>
      <c r="S584" s="52">
        <v>0</v>
      </c>
      <c r="T584" s="52">
        <v>0</v>
      </c>
      <c r="U584" s="52">
        <v>0</v>
      </c>
      <c r="V584" s="52">
        <v>0</v>
      </c>
      <c r="W584" s="52">
        <v>0</v>
      </c>
      <c r="X584" s="54">
        <v>0</v>
      </c>
      <c r="Y584" s="52">
        <v>0</v>
      </c>
      <c r="Z584" s="52">
        <v>143.3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46132.70568287037</v>
      </c>
      <c r="AH584" s="52">
        <v>0</v>
      </c>
      <c r="AI584" s="52">
        <v>0</v>
      </c>
      <c r="AJ584" s="53">
        <f>AH584+AI584</f>
        <v>0</v>
      </c>
      <c r="AK584" s="56">
        <v>0</v>
      </c>
    </row>
    <row r="585">
      <c r="A585" s="48">
        <v>46132.70611111111</v>
      </c>
      <c r="B585" s="49" t="s">
        <v>108</v>
      </c>
      <c r="C585" s="49" t="s">
        <v>113</v>
      </c>
      <c r="D585" s="49" t="s">
        <v>5</v>
      </c>
      <c r="E585" s="50">
        <v>96</v>
      </c>
      <c r="F585" s="49" t="s">
        <v>107</v>
      </c>
      <c r="G585" s="51">
        <v>166004790</v>
      </c>
      <c r="H585" s="52">
        <v>32.65</v>
      </c>
      <c r="I585" s="52">
        <f>L585+M585+N585</f>
        <v>29.1518</v>
      </c>
      <c r="J585" s="52">
        <f>O585+P585</f>
        <v>3.4982</v>
      </c>
      <c r="K585" s="53">
        <f>IF(H585=I585+J585,0,W585)</f>
        <v>0</v>
      </c>
      <c r="L585" s="52">
        <v>0</v>
      </c>
      <c r="M585" s="52">
        <v>29.1518</v>
      </c>
      <c r="N585" s="52">
        <v>0</v>
      </c>
      <c r="O585" s="52">
        <v>0</v>
      </c>
      <c r="P585" s="52">
        <v>3.4982</v>
      </c>
      <c r="Q585" s="54">
        <v>29.1518</v>
      </c>
      <c r="R585" s="52">
        <v>32.65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32.65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46132.70611111111</v>
      </c>
      <c r="AH585" s="52">
        <v>46562</v>
      </c>
      <c r="AI585" s="52">
        <v>0</v>
      </c>
      <c r="AJ585" s="53">
        <f>AH585+AI585</f>
        <v>46562</v>
      </c>
      <c r="AK585" s="56">
        <v>0</v>
      </c>
    </row>
    <row r="586">
      <c r="A586" s="48">
        <v>46132.70616898148</v>
      </c>
      <c r="B586" s="49" t="s">
        <v>108</v>
      </c>
      <c r="C586" s="49" t="s">
        <v>111</v>
      </c>
      <c r="D586" s="49" t="s">
        <v>5</v>
      </c>
      <c r="E586" s="50">
        <v>96</v>
      </c>
      <c r="F586" s="49" t="s">
        <v>109</v>
      </c>
      <c r="G586" s="51">
        <v>169002793</v>
      </c>
      <c r="H586" s="52">
        <v>92.7</v>
      </c>
      <c r="I586" s="52">
        <f>L586+M586+N586</f>
        <v>82.7678</v>
      </c>
      <c r="J586" s="52">
        <f>O586+P586</f>
        <v>9.9322</v>
      </c>
      <c r="K586" s="53">
        <f>IF(H586=I586+J586,0,W586)</f>
        <v>0</v>
      </c>
      <c r="L586" s="52">
        <v>0</v>
      </c>
      <c r="M586" s="52">
        <v>82.7678</v>
      </c>
      <c r="N586" s="52">
        <v>0</v>
      </c>
      <c r="O586" s="52">
        <v>0</v>
      </c>
      <c r="P586" s="52">
        <v>9.9322</v>
      </c>
      <c r="Q586" s="54">
        <v>82.7678</v>
      </c>
      <c r="R586" s="52">
        <v>92.7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92.7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46132.70616898148</v>
      </c>
      <c r="AH586" s="52">
        <v>34338</v>
      </c>
      <c r="AI586" s="52">
        <v>0</v>
      </c>
      <c r="AJ586" s="53">
        <f>AH586+AI586</f>
        <v>34338</v>
      </c>
      <c r="AK586" s="56">
        <v>0</v>
      </c>
    </row>
    <row r="587">
      <c r="A587" s="48">
        <v>46132.70622685185</v>
      </c>
      <c r="B587" s="49" t="s">
        <v>108</v>
      </c>
      <c r="C587" s="49" t="s">
        <v>113</v>
      </c>
      <c r="D587" s="49" t="s">
        <v>5</v>
      </c>
      <c r="E587" s="50">
        <v>96</v>
      </c>
      <c r="F587" s="49" t="s">
        <v>107</v>
      </c>
      <c r="G587" s="51">
        <v>166004791</v>
      </c>
      <c r="H587" s="52">
        <v>28</v>
      </c>
      <c r="I587" s="52">
        <f>L587+M587+N587</f>
        <v>23.0579</v>
      </c>
      <c r="J587" s="52">
        <f>O587+P587</f>
        <v>4.8421</v>
      </c>
      <c r="K587" s="53">
        <f>IF(H587=I587+J587,0,W587)</f>
        <v>0.1</v>
      </c>
      <c r="L587" s="52">
        <v>23.0579</v>
      </c>
      <c r="M587" s="52">
        <v>0</v>
      </c>
      <c r="N587" s="52">
        <v>0</v>
      </c>
      <c r="O587" s="52">
        <v>4.8421</v>
      </c>
      <c r="P587" s="52">
        <v>0</v>
      </c>
      <c r="Q587" s="54">
        <v>23.0579</v>
      </c>
      <c r="R587" s="52">
        <v>27.9</v>
      </c>
      <c r="S587" s="52">
        <v>0</v>
      </c>
      <c r="T587" s="52">
        <v>0</v>
      </c>
      <c r="U587" s="52">
        <v>0</v>
      </c>
      <c r="V587" s="52">
        <v>0</v>
      </c>
      <c r="W587" s="52">
        <v>0.1</v>
      </c>
      <c r="X587" s="54">
        <v>40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46132.70622685185</v>
      </c>
      <c r="AH587" s="52">
        <v>46590</v>
      </c>
      <c r="AI587" s="52">
        <v>0</v>
      </c>
      <c r="AJ587" s="53">
        <f>AH587+AI587</f>
        <v>46590</v>
      </c>
      <c r="AK587" s="56">
        <v>0</v>
      </c>
    </row>
    <row r="588">
      <c r="A588" s="48">
        <v>46132.70642361111</v>
      </c>
      <c r="B588" s="49" t="s">
        <v>108</v>
      </c>
      <c r="C588" s="49" t="s">
        <v>113</v>
      </c>
      <c r="D588" s="49" t="s">
        <v>5</v>
      </c>
      <c r="E588" s="50">
        <v>96</v>
      </c>
      <c r="F588" s="49" t="s">
        <v>107</v>
      </c>
      <c r="G588" s="51">
        <v>166004792</v>
      </c>
      <c r="H588" s="52">
        <v>28</v>
      </c>
      <c r="I588" s="52">
        <f>L588+M588+N588</f>
        <v>25.2678</v>
      </c>
      <c r="J588" s="52">
        <f>O588+P588</f>
        <v>3.0322</v>
      </c>
      <c r="K588" s="53">
        <f>IF(H588=I588+J588,0,W588)</f>
        <v>-0.3</v>
      </c>
      <c r="L588" s="52">
        <v>0</v>
      </c>
      <c r="M588" s="52">
        <v>25.2678</v>
      </c>
      <c r="N588" s="52">
        <v>0</v>
      </c>
      <c r="O588" s="52">
        <v>0</v>
      </c>
      <c r="P588" s="52">
        <v>3.0322</v>
      </c>
      <c r="Q588" s="54">
        <v>25.2678</v>
      </c>
      <c r="R588" s="52">
        <v>28.3</v>
      </c>
      <c r="S588" s="52">
        <v>0</v>
      </c>
      <c r="T588" s="52">
        <v>0</v>
      </c>
      <c r="U588" s="52">
        <v>0</v>
      </c>
      <c r="V588" s="52">
        <v>0</v>
      </c>
      <c r="W588" s="52">
        <v>-0.3</v>
      </c>
      <c r="X588" s="54">
        <v>30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46132.70642361111</v>
      </c>
      <c r="AH588" s="52">
        <v>46618</v>
      </c>
      <c r="AI588" s="52">
        <v>0</v>
      </c>
      <c r="AJ588" s="53">
        <f>AH588+AI588</f>
        <v>46618</v>
      </c>
      <c r="AK588" s="56">
        <v>0</v>
      </c>
    </row>
    <row r="589">
      <c r="A589" s="48">
        <v>46132.70662037037</v>
      </c>
      <c r="B589" s="49" t="s">
        <v>108</v>
      </c>
      <c r="C589" s="49" t="s">
        <v>111</v>
      </c>
      <c r="D589" s="49" t="s">
        <v>5</v>
      </c>
      <c r="E589" s="50">
        <v>96</v>
      </c>
      <c r="F589" s="49" t="s">
        <v>109</v>
      </c>
      <c r="G589" s="51">
        <v>169002794</v>
      </c>
      <c r="H589" s="52">
        <v>145.1</v>
      </c>
      <c r="I589" s="52">
        <f>L589+M589+N589</f>
        <v>126.5119</v>
      </c>
      <c r="J589" s="52">
        <f>O589+P589</f>
        <v>18.5881</v>
      </c>
      <c r="K589" s="53">
        <f>IF(H589=I589+J589,0,W589)</f>
        <v>0</v>
      </c>
      <c r="L589" s="52">
        <v>37.8512</v>
      </c>
      <c r="M589" s="52">
        <v>88.6607</v>
      </c>
      <c r="N589" s="52">
        <v>0</v>
      </c>
      <c r="O589" s="52">
        <v>7.9488</v>
      </c>
      <c r="P589" s="52">
        <v>10.6393</v>
      </c>
      <c r="Q589" s="54">
        <v>126.5119</v>
      </c>
      <c r="R589" s="52">
        <v>145.1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4">
        <v>0</v>
      </c>
      <c r="Y589" s="52">
        <v>0</v>
      </c>
      <c r="Z589" s="52">
        <v>145.1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46132.70662037037</v>
      </c>
      <c r="AH589" s="52">
        <v>34338</v>
      </c>
      <c r="AI589" s="52">
        <v>0</v>
      </c>
      <c r="AJ589" s="53">
        <f>AH589+AI589</f>
        <v>34338</v>
      </c>
      <c r="AK589" s="56">
        <v>0</v>
      </c>
    </row>
    <row r="590">
      <c r="A590" s="48">
        <v>46132.70688657407</v>
      </c>
      <c r="B590" s="49" t="s">
        <v>108</v>
      </c>
      <c r="C590" s="49" t="s">
        <v>113</v>
      </c>
      <c r="D590" s="49" t="s">
        <v>5</v>
      </c>
      <c r="E590" s="50">
        <v>96</v>
      </c>
      <c r="F590" s="49" t="s">
        <v>107</v>
      </c>
      <c r="G590" s="51">
        <v>166004793</v>
      </c>
      <c r="H590" s="52">
        <v>295</v>
      </c>
      <c r="I590" s="52">
        <f>L590+M590+N590</f>
        <v>250.2708</v>
      </c>
      <c r="J590" s="52">
        <f>O590+P590</f>
        <v>44.5292</v>
      </c>
      <c r="K590" s="53">
        <f>IF(H590=I590+J590,0,W590)</f>
        <v>0.2</v>
      </c>
      <c r="L590" s="52">
        <v>161.0744</v>
      </c>
      <c r="M590" s="52">
        <v>89.1964</v>
      </c>
      <c r="N590" s="52">
        <v>0</v>
      </c>
      <c r="O590" s="52">
        <v>33.8256</v>
      </c>
      <c r="P590" s="52">
        <v>10.7036</v>
      </c>
      <c r="Q590" s="54">
        <v>250.2708</v>
      </c>
      <c r="R590" s="52">
        <v>294.8</v>
      </c>
      <c r="S590" s="52">
        <v>0</v>
      </c>
      <c r="T590" s="52">
        <v>0</v>
      </c>
      <c r="U590" s="52">
        <v>0</v>
      </c>
      <c r="V590" s="52">
        <v>0</v>
      </c>
      <c r="W590" s="52">
        <v>0.2</v>
      </c>
      <c r="X590" s="54">
        <v>300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46132.70688657407</v>
      </c>
      <c r="AH590" s="52">
        <v>46913</v>
      </c>
      <c r="AI590" s="52">
        <v>0</v>
      </c>
      <c r="AJ590" s="53">
        <f>AH590+AI590</f>
        <v>46913</v>
      </c>
      <c r="AK590" s="56">
        <v>0</v>
      </c>
    </row>
    <row r="591">
      <c r="A591" s="48">
        <v>46132.707083333335</v>
      </c>
      <c r="B591" s="49" t="s">
        <v>108</v>
      </c>
      <c r="C591" s="49" t="s">
        <v>111</v>
      </c>
      <c r="D591" s="49" t="s">
        <v>5</v>
      </c>
      <c r="E591" s="50">
        <v>96</v>
      </c>
      <c r="F591" s="49" t="s">
        <v>109</v>
      </c>
      <c r="G591" s="51">
        <v>169002795</v>
      </c>
      <c r="H591" s="52">
        <v>213.8</v>
      </c>
      <c r="I591" s="52">
        <f>L591+M591+N591</f>
        <v>181.861</v>
      </c>
      <c r="J591" s="52">
        <f>O591+P591</f>
        <v>31.939</v>
      </c>
      <c r="K591" s="53">
        <f>IF(H591=I591+J591,0,W591)</f>
        <v>0</v>
      </c>
      <c r="L591" s="52">
        <v>112.3967</v>
      </c>
      <c r="M591" s="52">
        <v>69.4643</v>
      </c>
      <c r="N591" s="52">
        <v>0</v>
      </c>
      <c r="O591" s="52">
        <v>23.6033</v>
      </c>
      <c r="P591" s="52">
        <v>8.3357</v>
      </c>
      <c r="Q591" s="54">
        <v>181.861</v>
      </c>
      <c r="R591" s="52">
        <v>213.8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213.8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46132.707083333335</v>
      </c>
      <c r="AH591" s="52">
        <v>34338</v>
      </c>
      <c r="AI591" s="52">
        <v>0</v>
      </c>
      <c r="AJ591" s="53">
        <f>AH591+AI591</f>
        <v>34338</v>
      </c>
      <c r="AK591" s="56">
        <v>0</v>
      </c>
    </row>
    <row r="592">
      <c r="A592" s="48">
        <v>46132.707291666666</v>
      </c>
      <c r="B592" s="49" t="s">
        <v>108</v>
      </c>
      <c r="C592" s="49" t="s">
        <v>100</v>
      </c>
      <c r="D592" s="49" t="s">
        <v>5</v>
      </c>
      <c r="E592" s="50">
        <v>96</v>
      </c>
      <c r="F592" s="49" t="s">
        <v>105</v>
      </c>
      <c r="G592" s="51">
        <v>161000384</v>
      </c>
      <c r="H592" s="52">
        <v>44.7</v>
      </c>
      <c r="I592" s="52">
        <f>L592+M592+N592</f>
        <v>39.89</v>
      </c>
      <c r="J592" s="52">
        <f>O592+P592</f>
        <v>4.81</v>
      </c>
      <c r="K592" s="53">
        <f>IF(H592=I592+J592,0,W592)</f>
        <v>0</v>
      </c>
      <c r="L592" s="52">
        <v>0</v>
      </c>
      <c r="M592" s="52">
        <v>39.89</v>
      </c>
      <c r="N592" s="52">
        <v>0</v>
      </c>
      <c r="O592" s="52">
        <v>0</v>
      </c>
      <c r="P592" s="52">
        <v>4.81</v>
      </c>
      <c r="Q592" s="54">
        <v>39.89</v>
      </c>
      <c r="R592" s="52">
        <v>44.7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44.7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46132.707291666666</v>
      </c>
      <c r="AH592" s="52">
        <v>0</v>
      </c>
      <c r="AI592" s="52">
        <v>0</v>
      </c>
      <c r="AJ592" s="53">
        <f>AH592+AI592</f>
        <v>0</v>
      </c>
      <c r="AK592" s="56">
        <v>0</v>
      </c>
    </row>
    <row r="593">
      <c r="A593" s="48">
        <v>46132.707407407404</v>
      </c>
      <c r="B593" s="49" t="s">
        <v>108</v>
      </c>
      <c r="C593" s="49" t="s">
        <v>111</v>
      </c>
      <c r="D593" s="49" t="s">
        <v>5</v>
      </c>
      <c r="E593" s="50">
        <v>96</v>
      </c>
      <c r="F593" s="49" t="s">
        <v>109</v>
      </c>
      <c r="G593" s="51">
        <v>169002796</v>
      </c>
      <c r="H593" s="52">
        <v>105.9</v>
      </c>
      <c r="I593" s="52">
        <f>L593+M593+N593</f>
        <v>94.5535</v>
      </c>
      <c r="J593" s="52">
        <f>O593+P593</f>
        <v>11.3465</v>
      </c>
      <c r="K593" s="53">
        <f>IF(H593=I593+J593,0,W593)</f>
        <v>0</v>
      </c>
      <c r="L593" s="52">
        <v>0</v>
      </c>
      <c r="M593" s="52">
        <v>94.5535</v>
      </c>
      <c r="N593" s="52">
        <v>0</v>
      </c>
      <c r="O593" s="52">
        <v>0</v>
      </c>
      <c r="P593" s="52">
        <v>11.3465</v>
      </c>
      <c r="Q593" s="54">
        <v>94.5535</v>
      </c>
      <c r="R593" s="52">
        <v>105.9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105.9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46132.707407407404</v>
      </c>
      <c r="AH593" s="52">
        <v>34338</v>
      </c>
      <c r="AI593" s="52">
        <v>0</v>
      </c>
      <c r="AJ593" s="53">
        <f>AH593+AI593</f>
        <v>34338</v>
      </c>
      <c r="AK593" s="56">
        <v>0</v>
      </c>
    </row>
    <row r="594">
      <c r="A594" s="48">
        <v>46132.7075462963</v>
      </c>
      <c r="B594" s="49" t="s">
        <v>108</v>
      </c>
      <c r="C594" s="49" t="s">
        <v>100</v>
      </c>
      <c r="D594" s="49" t="s">
        <v>5</v>
      </c>
      <c r="E594" s="50">
        <v>96</v>
      </c>
      <c r="F594" s="49" t="s">
        <v>101</v>
      </c>
      <c r="G594" s="51">
        <v>163000353</v>
      </c>
      <c r="H594" s="52">
        <v>85.65</v>
      </c>
      <c r="I594" s="52">
        <f>L594+M594+N594</f>
        <v>76.46</v>
      </c>
      <c r="J594" s="52">
        <f>O594+P594</f>
        <v>9.19</v>
      </c>
      <c r="K594" s="53">
        <f>IF(H594=I594+J594,0,W594)</f>
        <v>0</v>
      </c>
      <c r="L594" s="52">
        <v>0</v>
      </c>
      <c r="M594" s="52">
        <v>76.46</v>
      </c>
      <c r="N594" s="52">
        <v>0</v>
      </c>
      <c r="O594" s="52">
        <v>0</v>
      </c>
      <c r="P594" s="52">
        <v>9.19</v>
      </c>
      <c r="Q594" s="54">
        <v>76.46</v>
      </c>
      <c r="R594" s="52">
        <v>85.65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85.65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46132.7075462963</v>
      </c>
      <c r="AH594" s="52">
        <v>0</v>
      </c>
      <c r="AI594" s="52">
        <v>0</v>
      </c>
      <c r="AJ594" s="53">
        <f>AH594+AI594</f>
        <v>0</v>
      </c>
      <c r="AK594" s="56">
        <v>0</v>
      </c>
    </row>
    <row r="595">
      <c r="A595" s="48">
        <v>46132.70774305556</v>
      </c>
      <c r="B595" s="49" t="s">
        <v>108</v>
      </c>
      <c r="C595" s="49" t="s">
        <v>113</v>
      </c>
      <c r="D595" s="49" t="s">
        <v>5</v>
      </c>
      <c r="E595" s="50">
        <v>96</v>
      </c>
      <c r="F595" s="49" t="s">
        <v>107</v>
      </c>
      <c r="G595" s="51">
        <v>166004794</v>
      </c>
      <c r="H595" s="52">
        <v>213.6</v>
      </c>
      <c r="I595" s="52">
        <f>L595+M595+N595</f>
        <v>190.5881</v>
      </c>
      <c r="J595" s="52">
        <f>O595+P595</f>
        <v>23.011899999999997</v>
      </c>
      <c r="K595" s="53">
        <f>IF(H595=I595+J595,0,W595)</f>
        <v>0</v>
      </c>
      <c r="L595" s="52">
        <v>1.5702</v>
      </c>
      <c r="M595" s="52">
        <v>189.0179</v>
      </c>
      <c r="N595" s="52">
        <v>0</v>
      </c>
      <c r="O595" s="52">
        <v>0.3298</v>
      </c>
      <c r="P595" s="52">
        <v>22.6821</v>
      </c>
      <c r="Q595" s="54">
        <v>190.5881</v>
      </c>
      <c r="R595" s="52">
        <v>213.6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213.6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46132.70774305556</v>
      </c>
      <c r="AH595" s="52">
        <v>46913</v>
      </c>
      <c r="AI595" s="52">
        <v>0</v>
      </c>
      <c r="AJ595" s="53">
        <f>AH595+AI595</f>
        <v>46913</v>
      </c>
      <c r="AK595" s="56">
        <v>0</v>
      </c>
    </row>
    <row r="596">
      <c r="A596" s="48">
        <v>46132.707766203705</v>
      </c>
      <c r="B596" s="49" t="s">
        <v>108</v>
      </c>
      <c r="C596" s="49" t="s">
        <v>111</v>
      </c>
      <c r="D596" s="49" t="s">
        <v>5</v>
      </c>
      <c r="E596" s="50">
        <v>96</v>
      </c>
      <c r="F596" s="49" t="s">
        <v>109</v>
      </c>
      <c r="G596" s="51">
        <v>169002797</v>
      </c>
      <c r="H596" s="52">
        <v>94.6</v>
      </c>
      <c r="I596" s="52">
        <f>L596+M596+N596</f>
        <v>84.4642</v>
      </c>
      <c r="J596" s="52">
        <f>O596+P596</f>
        <v>10.1358</v>
      </c>
      <c r="K596" s="53">
        <f>IF(H596=I596+J596,0,W596)</f>
        <v>0</v>
      </c>
      <c r="L596" s="52">
        <v>0</v>
      </c>
      <c r="M596" s="52">
        <v>84.4642</v>
      </c>
      <c r="N596" s="52">
        <v>0</v>
      </c>
      <c r="O596" s="52">
        <v>0</v>
      </c>
      <c r="P596" s="52">
        <v>10.1358</v>
      </c>
      <c r="Q596" s="54">
        <v>84.4642</v>
      </c>
      <c r="R596" s="52">
        <v>94.6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0</v>
      </c>
      <c r="Y596" s="52">
        <v>0</v>
      </c>
      <c r="Z596" s="52">
        <v>94.6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46132.707766203705</v>
      </c>
      <c r="AH596" s="52">
        <v>34338</v>
      </c>
      <c r="AI596" s="52">
        <v>0</v>
      </c>
      <c r="AJ596" s="53">
        <f>AH596+AI596</f>
        <v>34338</v>
      </c>
      <c r="AK596" s="56">
        <v>0</v>
      </c>
    </row>
    <row r="597">
      <c r="A597" s="48">
        <v>46132.708125</v>
      </c>
      <c r="B597" s="49" t="s">
        <v>108</v>
      </c>
      <c r="C597" s="49" t="s">
        <v>113</v>
      </c>
      <c r="D597" s="49" t="s">
        <v>5</v>
      </c>
      <c r="E597" s="50">
        <v>96</v>
      </c>
      <c r="F597" s="49" t="s">
        <v>107</v>
      </c>
      <c r="G597" s="51">
        <v>166004795</v>
      </c>
      <c r="H597" s="52">
        <v>121.81</v>
      </c>
      <c r="I597" s="52">
        <f>L597+M597+N597</f>
        <v>108.759</v>
      </c>
      <c r="J597" s="52">
        <f>O597+P597</f>
        <v>13.051</v>
      </c>
      <c r="K597" s="53">
        <f>IF(H597=I597+J597,0,W597)</f>
        <v>0</v>
      </c>
      <c r="L597" s="52">
        <v>0</v>
      </c>
      <c r="M597" s="52">
        <v>108.759</v>
      </c>
      <c r="N597" s="52">
        <v>0</v>
      </c>
      <c r="O597" s="52">
        <v>0</v>
      </c>
      <c r="P597" s="52">
        <v>13.051</v>
      </c>
      <c r="Q597" s="54">
        <v>108.759</v>
      </c>
      <c r="R597" s="52">
        <v>121.81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121.81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46132.708125</v>
      </c>
      <c r="AH597" s="52">
        <v>46913</v>
      </c>
      <c r="AI597" s="52">
        <v>0</v>
      </c>
      <c r="AJ597" s="53">
        <f>AH597+AI597</f>
        <v>46913</v>
      </c>
      <c r="AK597" s="56">
        <v>0</v>
      </c>
    </row>
    <row r="598">
      <c r="A598" s="48">
        <v>46132.708182870374</v>
      </c>
      <c r="B598" s="49" t="s">
        <v>108</v>
      </c>
      <c r="C598" s="49" t="s">
        <v>111</v>
      </c>
      <c r="D598" s="49" t="s">
        <v>5</v>
      </c>
      <c r="E598" s="50">
        <v>96</v>
      </c>
      <c r="F598" s="49" t="s">
        <v>109</v>
      </c>
      <c r="G598" s="51">
        <v>169002798</v>
      </c>
      <c r="H598" s="52">
        <v>170.5</v>
      </c>
      <c r="I598" s="52">
        <f>L598+M598+N598</f>
        <v>152.2321</v>
      </c>
      <c r="J598" s="52">
        <f>O598+P598</f>
        <v>18.2679</v>
      </c>
      <c r="K598" s="53">
        <f>IF(H598=I598+J598,0,W598)</f>
        <v>0</v>
      </c>
      <c r="L598" s="52">
        <v>0</v>
      </c>
      <c r="M598" s="52">
        <v>152.2321</v>
      </c>
      <c r="N598" s="52">
        <v>0</v>
      </c>
      <c r="O598" s="52">
        <v>0</v>
      </c>
      <c r="P598" s="52">
        <v>18.2679</v>
      </c>
      <c r="Q598" s="54">
        <v>152.2321</v>
      </c>
      <c r="R598" s="52">
        <v>170.5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170.5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46132.708182870374</v>
      </c>
      <c r="AH598" s="52">
        <v>34338</v>
      </c>
      <c r="AI598" s="52">
        <v>0</v>
      </c>
      <c r="AJ598" s="53">
        <f>AH598+AI598</f>
        <v>34338</v>
      </c>
      <c r="AK598" s="56">
        <v>0</v>
      </c>
    </row>
    <row r="599">
      <c r="A599" s="48">
        <v>46132.70842592593</v>
      </c>
      <c r="B599" s="49" t="s">
        <v>108</v>
      </c>
      <c r="C599" s="49" t="s">
        <v>111</v>
      </c>
      <c r="D599" s="49" t="s">
        <v>5</v>
      </c>
      <c r="E599" s="50">
        <v>96</v>
      </c>
      <c r="F599" s="49" t="s">
        <v>109</v>
      </c>
      <c r="G599" s="51">
        <v>169002799</v>
      </c>
      <c r="H599" s="52">
        <v>40</v>
      </c>
      <c r="I599" s="52">
        <f>L599+M599+N599</f>
        <v>35.625</v>
      </c>
      <c r="J599" s="52">
        <f>O599+P599</f>
        <v>4.275</v>
      </c>
      <c r="K599" s="53">
        <f>IF(H599=I599+J599,0,W599)</f>
        <v>0.1</v>
      </c>
      <c r="L599" s="52">
        <v>0</v>
      </c>
      <c r="M599" s="52">
        <v>35.625</v>
      </c>
      <c r="N599" s="52">
        <v>0</v>
      </c>
      <c r="O599" s="52">
        <v>0</v>
      </c>
      <c r="P599" s="52">
        <v>4.275</v>
      </c>
      <c r="Q599" s="54">
        <v>35.625</v>
      </c>
      <c r="R599" s="52">
        <v>39.9</v>
      </c>
      <c r="S599" s="52">
        <v>0</v>
      </c>
      <c r="T599" s="52">
        <v>0</v>
      </c>
      <c r="U599" s="52">
        <v>0</v>
      </c>
      <c r="V599" s="52">
        <v>0</v>
      </c>
      <c r="W599" s="52">
        <v>0.1</v>
      </c>
      <c r="X599" s="54">
        <v>40</v>
      </c>
      <c r="Y599" s="52">
        <v>0</v>
      </c>
      <c r="Z599" s="52">
        <v>0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46132.70842592593</v>
      </c>
      <c r="AH599" s="52">
        <v>34378</v>
      </c>
      <c r="AI599" s="52">
        <v>0</v>
      </c>
      <c r="AJ599" s="53">
        <f>AH599+AI599</f>
        <v>34378</v>
      </c>
      <c r="AK599" s="56">
        <v>0</v>
      </c>
    </row>
    <row r="600">
      <c r="A600" s="48">
        <v>46132.70846064815</v>
      </c>
      <c r="B600" s="49" t="s">
        <v>108</v>
      </c>
      <c r="C600" s="49" t="s">
        <v>113</v>
      </c>
      <c r="D600" s="49" t="s">
        <v>5</v>
      </c>
      <c r="E600" s="50">
        <v>96</v>
      </c>
      <c r="F600" s="49" t="s">
        <v>107</v>
      </c>
      <c r="G600" s="51">
        <v>166004796</v>
      </c>
      <c r="H600" s="52">
        <v>268</v>
      </c>
      <c r="I600" s="52">
        <f>L600+M600+N600</f>
        <v>223.2846</v>
      </c>
      <c r="J600" s="52">
        <f>O600+P600</f>
        <v>44.9354</v>
      </c>
      <c r="K600" s="53">
        <f>IF(H600=I600+J600,0,W600)</f>
        <v>-0.22</v>
      </c>
      <c r="L600" s="52">
        <v>201.5703</v>
      </c>
      <c r="M600" s="52">
        <v>21.7143</v>
      </c>
      <c r="N600" s="52">
        <v>0</v>
      </c>
      <c r="O600" s="52">
        <v>42.3297</v>
      </c>
      <c r="P600" s="52">
        <v>2.6057</v>
      </c>
      <c r="Q600" s="54">
        <v>223.2846</v>
      </c>
      <c r="R600" s="52">
        <v>268.22</v>
      </c>
      <c r="S600" s="52">
        <v>0</v>
      </c>
      <c r="T600" s="52">
        <v>0</v>
      </c>
      <c r="U600" s="52">
        <v>0</v>
      </c>
      <c r="V600" s="52">
        <v>0</v>
      </c>
      <c r="W600" s="52">
        <v>-0.22</v>
      </c>
      <c r="X600" s="54">
        <v>1000</v>
      </c>
      <c r="Y600" s="52">
        <v>0</v>
      </c>
      <c r="Z600" s="52">
        <v>0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46132.70846064815</v>
      </c>
      <c r="AH600" s="52">
        <v>47181</v>
      </c>
      <c r="AI600" s="52">
        <v>0</v>
      </c>
      <c r="AJ600" s="53">
        <f>AH600+AI600</f>
        <v>47181</v>
      </c>
      <c r="AK600" s="56">
        <v>0</v>
      </c>
    </row>
    <row r="601">
      <c r="A601" s="48">
        <v>46132.709027777775</v>
      </c>
      <c r="B601" s="49" t="s">
        <v>108</v>
      </c>
      <c r="C601" s="49" t="s">
        <v>113</v>
      </c>
      <c r="D601" s="49" t="s">
        <v>5</v>
      </c>
      <c r="E601" s="50">
        <v>96</v>
      </c>
      <c r="F601" s="49" t="s">
        <v>107</v>
      </c>
      <c r="G601" s="51">
        <v>166004797</v>
      </c>
      <c r="H601" s="52">
        <v>89</v>
      </c>
      <c r="I601" s="52">
        <f>L601+M601+N601</f>
        <v>77.27940000000001</v>
      </c>
      <c r="J601" s="52">
        <f>O601+P601</f>
        <v>11.720600000000001</v>
      </c>
      <c r="K601" s="53">
        <f>IF(H601=I601+J601,0,W601)</f>
        <v>0</v>
      </c>
      <c r="L601" s="52">
        <v>27.1901</v>
      </c>
      <c r="M601" s="52">
        <v>50.0893</v>
      </c>
      <c r="N601" s="52">
        <v>0</v>
      </c>
      <c r="O601" s="52">
        <v>5.7099</v>
      </c>
      <c r="P601" s="52">
        <v>6.0107</v>
      </c>
      <c r="Q601" s="54">
        <v>77.2794</v>
      </c>
      <c r="R601" s="52">
        <v>89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200</v>
      </c>
      <c r="Y601" s="52">
        <v>0</v>
      </c>
      <c r="Z601" s="52">
        <v>0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46132.709027777775</v>
      </c>
      <c r="AH601" s="52">
        <v>47270</v>
      </c>
      <c r="AI601" s="52">
        <v>0</v>
      </c>
      <c r="AJ601" s="53">
        <f>AH601+AI601</f>
        <v>47270</v>
      </c>
      <c r="AK601" s="56">
        <v>0</v>
      </c>
    </row>
    <row r="602">
      <c r="A602" s="48">
        <v>46132.709444444445</v>
      </c>
      <c r="B602" s="49" t="s">
        <v>108</v>
      </c>
      <c r="C602" s="49" t="s">
        <v>113</v>
      </c>
      <c r="D602" s="49" t="s">
        <v>5</v>
      </c>
      <c r="E602" s="50">
        <v>96</v>
      </c>
      <c r="F602" s="49" t="s">
        <v>107</v>
      </c>
      <c r="G602" s="51">
        <v>166004798</v>
      </c>
      <c r="H602" s="52">
        <v>53.8</v>
      </c>
      <c r="I602" s="52">
        <f>L602+M602+N602</f>
        <v>46.847</v>
      </c>
      <c r="J602" s="52">
        <f>O602+P602</f>
        <v>6.952999999999999</v>
      </c>
      <c r="K602" s="53">
        <f>IF(H602=I602+J602,0,W602)</f>
        <v>0</v>
      </c>
      <c r="L602" s="52">
        <v>14.7934</v>
      </c>
      <c r="M602" s="52">
        <v>32.0536</v>
      </c>
      <c r="N602" s="52">
        <v>0</v>
      </c>
      <c r="O602" s="52">
        <v>3.1066</v>
      </c>
      <c r="P602" s="52">
        <v>3.8464</v>
      </c>
      <c r="Q602" s="54">
        <v>46.847</v>
      </c>
      <c r="R602" s="52">
        <v>53.8</v>
      </c>
      <c r="S602" s="52">
        <v>0</v>
      </c>
      <c r="T602" s="52">
        <v>0</v>
      </c>
      <c r="U602" s="52">
        <v>0</v>
      </c>
      <c r="V602" s="52">
        <v>0</v>
      </c>
      <c r="W602" s="52">
        <v>0</v>
      </c>
      <c r="X602" s="54">
        <v>0</v>
      </c>
      <c r="Y602" s="52">
        <v>0</v>
      </c>
      <c r="Z602" s="52">
        <v>53.8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46132.709444444445</v>
      </c>
      <c r="AH602" s="52">
        <v>47270</v>
      </c>
      <c r="AI602" s="52">
        <v>0</v>
      </c>
      <c r="AJ602" s="53">
        <f>AH602+AI602</f>
        <v>47270</v>
      </c>
      <c r="AK602" s="56">
        <v>0</v>
      </c>
    </row>
    <row r="603">
      <c r="A603" s="48">
        <v>46132.70995370371</v>
      </c>
      <c r="B603" s="49" t="s">
        <v>108</v>
      </c>
      <c r="C603" s="49" t="s">
        <v>113</v>
      </c>
      <c r="D603" s="49" t="s">
        <v>5</v>
      </c>
      <c r="E603" s="50">
        <v>96</v>
      </c>
      <c r="F603" s="49" t="s">
        <v>107</v>
      </c>
      <c r="G603" s="51">
        <v>166004799</v>
      </c>
      <c r="H603" s="52">
        <v>112.4</v>
      </c>
      <c r="I603" s="52">
        <f>L603+M603+N603</f>
        <v>97.7074</v>
      </c>
      <c r="J603" s="52">
        <f>O603+P603</f>
        <v>14.6926</v>
      </c>
      <c r="K603" s="53">
        <f>IF(H603=I603+J603,0,W603)</f>
        <v>0</v>
      </c>
      <c r="L603" s="52">
        <v>32.9752</v>
      </c>
      <c r="M603" s="52">
        <v>64.7322</v>
      </c>
      <c r="N603" s="52">
        <v>0</v>
      </c>
      <c r="O603" s="52">
        <v>6.9248</v>
      </c>
      <c r="P603" s="52">
        <v>7.7678</v>
      </c>
      <c r="Q603" s="54">
        <v>97.7074</v>
      </c>
      <c r="R603" s="52">
        <v>112.4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112.4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46132.70995370371</v>
      </c>
      <c r="AH603" s="52">
        <v>47270</v>
      </c>
      <c r="AI603" s="52">
        <v>0</v>
      </c>
      <c r="AJ603" s="53">
        <f>AH603+AI603</f>
        <v>47270</v>
      </c>
      <c r="AK603" s="56">
        <v>0</v>
      </c>
    </row>
    <row r="604">
      <c r="A604" s="48">
        <v>46132.71003472222</v>
      </c>
      <c r="B604" s="49" t="s">
        <v>108</v>
      </c>
      <c r="C604" s="49" t="s">
        <v>111</v>
      </c>
      <c r="D604" s="49" t="s">
        <v>5</v>
      </c>
      <c r="E604" s="50">
        <v>96</v>
      </c>
      <c r="F604" s="49" t="s">
        <v>109</v>
      </c>
      <c r="G604" s="51">
        <v>169002800</v>
      </c>
      <c r="H604" s="52">
        <v>119.54</v>
      </c>
      <c r="I604" s="52">
        <f>L604+M604+N604</f>
        <v>106.7323</v>
      </c>
      <c r="J604" s="52">
        <f>O604+P604</f>
        <v>12.8077</v>
      </c>
      <c r="K604" s="53">
        <f>IF(H604=I604+J604,0,W604)</f>
        <v>0</v>
      </c>
      <c r="L604" s="52">
        <v>0</v>
      </c>
      <c r="M604" s="52">
        <v>106.7323</v>
      </c>
      <c r="N604" s="52">
        <v>0</v>
      </c>
      <c r="O604" s="52">
        <v>0</v>
      </c>
      <c r="P604" s="52">
        <v>12.8077</v>
      </c>
      <c r="Q604" s="54">
        <v>106.7323</v>
      </c>
      <c r="R604" s="52">
        <v>119.54</v>
      </c>
      <c r="S604" s="52">
        <v>0</v>
      </c>
      <c r="T604" s="52">
        <v>0</v>
      </c>
      <c r="U604" s="52">
        <v>0</v>
      </c>
      <c r="V604" s="52">
        <v>0</v>
      </c>
      <c r="W604" s="52">
        <v>0</v>
      </c>
      <c r="X604" s="54">
        <v>0</v>
      </c>
      <c r="Y604" s="52">
        <v>0</v>
      </c>
      <c r="Z604" s="52">
        <v>119.54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46132.71003472222</v>
      </c>
      <c r="AH604" s="52">
        <v>34378</v>
      </c>
      <c r="AI604" s="52">
        <v>0</v>
      </c>
      <c r="AJ604" s="53">
        <f>AH604+AI604</f>
        <v>34378</v>
      </c>
      <c r="AK604" s="56">
        <v>0</v>
      </c>
    </row>
    <row r="605">
      <c r="A605" s="48">
        <v>46132.71030092592</v>
      </c>
      <c r="B605" s="49" t="s">
        <v>108</v>
      </c>
      <c r="C605" s="49" t="s">
        <v>111</v>
      </c>
      <c r="D605" s="49" t="s">
        <v>5</v>
      </c>
      <c r="E605" s="50">
        <v>96</v>
      </c>
      <c r="F605" s="49" t="s">
        <v>109</v>
      </c>
      <c r="G605" s="51">
        <v>169002801</v>
      </c>
      <c r="H605" s="52">
        <v>39.95</v>
      </c>
      <c r="I605" s="52">
        <f>L605+M605+N605</f>
        <v>35.6696</v>
      </c>
      <c r="J605" s="52">
        <f>O605+P605</f>
        <v>4.2804</v>
      </c>
      <c r="K605" s="53">
        <f>IF(H605=I605+J605,0,W605)</f>
        <v>0</v>
      </c>
      <c r="L605" s="52">
        <v>0</v>
      </c>
      <c r="M605" s="52">
        <v>35.6696</v>
      </c>
      <c r="N605" s="52">
        <v>0</v>
      </c>
      <c r="O605" s="52">
        <v>0</v>
      </c>
      <c r="P605" s="52">
        <v>4.2804</v>
      </c>
      <c r="Q605" s="54">
        <v>35.6696</v>
      </c>
      <c r="R605" s="52">
        <v>39.95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39.95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46132.71030092592</v>
      </c>
      <c r="AH605" s="52">
        <v>34378</v>
      </c>
      <c r="AI605" s="52">
        <v>0</v>
      </c>
      <c r="AJ605" s="53">
        <f>AH605+AI605</f>
        <v>34378</v>
      </c>
      <c r="AK605" s="56">
        <v>0</v>
      </c>
    </row>
    <row r="606">
      <c r="A606" s="48">
        <v>46132.71047453704</v>
      </c>
      <c r="B606" s="49" t="s">
        <v>108</v>
      </c>
      <c r="C606" s="49" t="s">
        <v>113</v>
      </c>
      <c r="D606" s="49" t="s">
        <v>5</v>
      </c>
      <c r="E606" s="50">
        <v>96</v>
      </c>
      <c r="F606" s="49" t="s">
        <v>107</v>
      </c>
      <c r="G606" s="51">
        <v>166004800</v>
      </c>
      <c r="H606" s="52">
        <v>381.6</v>
      </c>
      <c r="I606" s="52">
        <f>L606+M606+N606</f>
        <v>315.3719</v>
      </c>
      <c r="J606" s="52">
        <f>O606+P606</f>
        <v>66.2281</v>
      </c>
      <c r="K606" s="53">
        <f>IF(H606=I606+J606,0,W606)</f>
        <v>0</v>
      </c>
      <c r="L606" s="52">
        <v>315.3719</v>
      </c>
      <c r="M606" s="52">
        <v>0</v>
      </c>
      <c r="N606" s="52">
        <v>0</v>
      </c>
      <c r="O606" s="52">
        <v>66.2281</v>
      </c>
      <c r="P606" s="52">
        <v>0</v>
      </c>
      <c r="Q606" s="54">
        <v>315.3719</v>
      </c>
      <c r="R606" s="52">
        <v>381.6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381.6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46132.71047453704</v>
      </c>
      <c r="AH606" s="52">
        <v>47270</v>
      </c>
      <c r="AI606" s="52">
        <v>0</v>
      </c>
      <c r="AJ606" s="53">
        <f>AH606+AI606</f>
        <v>47270</v>
      </c>
      <c r="AK606" s="56">
        <v>0</v>
      </c>
    </row>
    <row r="607">
      <c r="A607" s="48">
        <v>46132.710625</v>
      </c>
      <c r="B607" s="49" t="s">
        <v>108</v>
      </c>
      <c r="C607" s="49" t="s">
        <v>111</v>
      </c>
      <c r="D607" s="49" t="s">
        <v>5</v>
      </c>
      <c r="E607" s="50">
        <v>96</v>
      </c>
      <c r="F607" s="49" t="s">
        <v>109</v>
      </c>
      <c r="G607" s="51">
        <v>169002802</v>
      </c>
      <c r="H607" s="52">
        <v>17.35</v>
      </c>
      <c r="I607" s="52">
        <f>L607+M607+N607</f>
        <v>15.4911</v>
      </c>
      <c r="J607" s="52">
        <f>O607+P607</f>
        <v>1.8589</v>
      </c>
      <c r="K607" s="53">
        <f>IF(H607=I607+J607,0,W607)</f>
        <v>0</v>
      </c>
      <c r="L607" s="52">
        <v>0</v>
      </c>
      <c r="M607" s="52">
        <v>15.4911</v>
      </c>
      <c r="N607" s="52">
        <v>0</v>
      </c>
      <c r="O607" s="52">
        <v>0</v>
      </c>
      <c r="P607" s="52">
        <v>1.8589</v>
      </c>
      <c r="Q607" s="54">
        <v>15.4911</v>
      </c>
      <c r="R607" s="52">
        <v>17.35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17.35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46132.710625</v>
      </c>
      <c r="AH607" s="52">
        <v>34378</v>
      </c>
      <c r="AI607" s="52">
        <v>0</v>
      </c>
      <c r="AJ607" s="53">
        <f>AH607+AI607</f>
        <v>34378</v>
      </c>
      <c r="AK607" s="56">
        <v>0</v>
      </c>
    </row>
    <row r="608">
      <c r="A608" s="48">
        <v>46132.71166666667</v>
      </c>
      <c r="B608" s="49" t="s">
        <v>108</v>
      </c>
      <c r="C608" s="49" t="s">
        <v>111</v>
      </c>
      <c r="D608" s="49" t="s">
        <v>5</v>
      </c>
      <c r="E608" s="50">
        <v>96</v>
      </c>
      <c r="F608" s="49" t="s">
        <v>109</v>
      </c>
      <c r="G608" s="51">
        <v>169002803</v>
      </c>
      <c r="H608" s="52">
        <v>46</v>
      </c>
      <c r="I608" s="52">
        <f>L608+M608+N608</f>
        <v>40.9821</v>
      </c>
      <c r="J608" s="52">
        <f>O608+P608</f>
        <v>4.9179</v>
      </c>
      <c r="K608" s="53">
        <f>IF(H608=I608+J608,0,W608)</f>
        <v>0.1</v>
      </c>
      <c r="L608" s="52">
        <v>0</v>
      </c>
      <c r="M608" s="52">
        <v>40.9821</v>
      </c>
      <c r="N608" s="52">
        <v>0</v>
      </c>
      <c r="O608" s="52">
        <v>0</v>
      </c>
      <c r="P608" s="52">
        <v>4.9179</v>
      </c>
      <c r="Q608" s="54">
        <v>40.9821</v>
      </c>
      <c r="R608" s="52">
        <v>45.9</v>
      </c>
      <c r="S608" s="52">
        <v>0</v>
      </c>
      <c r="T608" s="52">
        <v>0</v>
      </c>
      <c r="U608" s="52">
        <v>0</v>
      </c>
      <c r="V608" s="52">
        <v>0</v>
      </c>
      <c r="W608" s="52">
        <v>0.1</v>
      </c>
      <c r="X608" s="54">
        <v>200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46132.71166666667</v>
      </c>
      <c r="AH608" s="52">
        <v>34424</v>
      </c>
      <c r="AI608" s="52">
        <v>0</v>
      </c>
      <c r="AJ608" s="53">
        <f>AH608+AI608</f>
        <v>34424</v>
      </c>
      <c r="AK608" s="56">
        <v>0</v>
      </c>
    </row>
    <row r="609">
      <c r="A609" s="48">
        <v>46132.712060185186</v>
      </c>
      <c r="B609" s="49" t="s">
        <v>108</v>
      </c>
      <c r="C609" s="49" t="s">
        <v>111</v>
      </c>
      <c r="D609" s="49" t="s">
        <v>5</v>
      </c>
      <c r="E609" s="50">
        <v>96</v>
      </c>
      <c r="F609" s="49" t="s">
        <v>109</v>
      </c>
      <c r="G609" s="51">
        <v>169002804</v>
      </c>
      <c r="H609" s="52">
        <v>29.9</v>
      </c>
      <c r="I609" s="52">
        <f>L609+M609+N609</f>
        <v>26.6964</v>
      </c>
      <c r="J609" s="52">
        <f>O609+P609</f>
        <v>3.2036</v>
      </c>
      <c r="K609" s="53">
        <f>IF(H609=I609+J609,0,W609)</f>
        <v>0</v>
      </c>
      <c r="L609" s="52">
        <v>0</v>
      </c>
      <c r="M609" s="52">
        <v>26.6964</v>
      </c>
      <c r="N609" s="52">
        <v>0</v>
      </c>
      <c r="O609" s="52">
        <v>0</v>
      </c>
      <c r="P609" s="52">
        <v>3.2036</v>
      </c>
      <c r="Q609" s="54">
        <v>26.6964</v>
      </c>
      <c r="R609" s="52">
        <v>29.9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29.9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46132.712060185186</v>
      </c>
      <c r="AH609" s="52">
        <v>34424</v>
      </c>
      <c r="AI609" s="52">
        <v>0</v>
      </c>
      <c r="AJ609" s="53">
        <f>AH609+AI609</f>
        <v>34424</v>
      </c>
      <c r="AK609" s="56">
        <v>0</v>
      </c>
    </row>
    <row r="610">
      <c r="A610" s="48">
        <v>46132.7127662037</v>
      </c>
      <c r="B610" s="49" t="s">
        <v>108</v>
      </c>
      <c r="C610" s="49" t="s">
        <v>111</v>
      </c>
      <c r="D610" s="49" t="s">
        <v>5</v>
      </c>
      <c r="E610" s="50">
        <v>96</v>
      </c>
      <c r="F610" s="49" t="s">
        <v>109</v>
      </c>
      <c r="G610" s="51">
        <v>169002805</v>
      </c>
      <c r="H610" s="52">
        <v>209</v>
      </c>
      <c r="I610" s="52">
        <f>L610+M610+N610</f>
        <v>172.562</v>
      </c>
      <c r="J610" s="52">
        <f>O610+P610</f>
        <v>36.238</v>
      </c>
      <c r="K610" s="53">
        <f>IF(H610=I610+J610,0,W610)</f>
        <v>0.2</v>
      </c>
      <c r="L610" s="52">
        <v>172.562</v>
      </c>
      <c r="M610" s="52">
        <v>0</v>
      </c>
      <c r="N610" s="52">
        <v>0</v>
      </c>
      <c r="O610" s="52">
        <v>36.238</v>
      </c>
      <c r="P610" s="52">
        <v>0</v>
      </c>
      <c r="Q610" s="54">
        <v>172.562</v>
      </c>
      <c r="R610" s="52">
        <v>208.8</v>
      </c>
      <c r="S610" s="52">
        <v>0</v>
      </c>
      <c r="T610" s="52">
        <v>0</v>
      </c>
      <c r="U610" s="52">
        <v>0</v>
      </c>
      <c r="V610" s="52">
        <v>0</v>
      </c>
      <c r="W610" s="52">
        <v>0.2</v>
      </c>
      <c r="X610" s="54">
        <v>209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46132.7127662037</v>
      </c>
      <c r="AH610" s="52">
        <v>34633</v>
      </c>
      <c r="AI610" s="52">
        <v>0</v>
      </c>
      <c r="AJ610" s="53">
        <f>AH610+AI610</f>
        <v>34633</v>
      </c>
      <c r="AK610" s="56">
        <v>0</v>
      </c>
    </row>
    <row r="611">
      <c r="A611" s="48">
        <v>46132.713483796295</v>
      </c>
      <c r="B611" s="49" t="s">
        <v>108</v>
      </c>
      <c r="C611" s="49" t="s">
        <v>111</v>
      </c>
      <c r="D611" s="49" t="s">
        <v>5</v>
      </c>
      <c r="E611" s="50">
        <v>96</v>
      </c>
      <c r="F611" s="49" t="s">
        <v>109</v>
      </c>
      <c r="G611" s="51">
        <v>169002806</v>
      </c>
      <c r="H611" s="52">
        <v>40.8</v>
      </c>
      <c r="I611" s="52">
        <f>L611+M611+N611</f>
        <v>34.1109</v>
      </c>
      <c r="J611" s="52">
        <f>O611+P611</f>
        <v>6.689100000000001</v>
      </c>
      <c r="K611" s="53">
        <f>IF(H611=I611+J611,0,W611)</f>
        <v>0</v>
      </c>
      <c r="L611" s="52">
        <v>28.843</v>
      </c>
      <c r="M611" s="52">
        <v>5.2679</v>
      </c>
      <c r="N611" s="52">
        <v>0</v>
      </c>
      <c r="O611" s="52">
        <v>6.057</v>
      </c>
      <c r="P611" s="52">
        <v>0.6321</v>
      </c>
      <c r="Q611" s="54">
        <v>34.1109</v>
      </c>
      <c r="R611" s="52">
        <v>40.8</v>
      </c>
      <c r="S611" s="52">
        <v>0</v>
      </c>
      <c r="T611" s="52">
        <v>0</v>
      </c>
      <c r="U611" s="52">
        <v>0</v>
      </c>
      <c r="V611" s="52">
        <v>0</v>
      </c>
      <c r="W611" s="52">
        <v>0</v>
      </c>
      <c r="X611" s="54">
        <v>0</v>
      </c>
      <c r="Y611" s="52">
        <v>0</v>
      </c>
      <c r="Z611" s="52">
        <v>40.8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46132.713483796295</v>
      </c>
      <c r="AH611" s="52">
        <v>34633</v>
      </c>
      <c r="AI611" s="52">
        <v>0</v>
      </c>
      <c r="AJ611" s="53">
        <f>AH611+AI611</f>
        <v>34633</v>
      </c>
      <c r="AK611" s="56">
        <v>0</v>
      </c>
    </row>
    <row r="612">
      <c r="A612" s="48">
        <v>46132.7153587963</v>
      </c>
      <c r="B612" s="49" t="s">
        <v>108</v>
      </c>
      <c r="C612" s="49" t="s">
        <v>111</v>
      </c>
      <c r="D612" s="49" t="s">
        <v>5</v>
      </c>
      <c r="E612" s="50">
        <v>96</v>
      </c>
      <c r="F612" s="49" t="s">
        <v>109</v>
      </c>
      <c r="G612" s="51">
        <v>169002807</v>
      </c>
      <c r="H612" s="52">
        <v>64.8</v>
      </c>
      <c r="I612" s="52">
        <f>L612+M612+N612</f>
        <v>57.8571</v>
      </c>
      <c r="J612" s="52">
        <f>O612+P612</f>
        <v>6.9429</v>
      </c>
      <c r="K612" s="53">
        <f>IF(H612=I612+J612,0,W612)</f>
        <v>0</v>
      </c>
      <c r="L612" s="52">
        <v>0</v>
      </c>
      <c r="M612" s="52">
        <v>57.8571</v>
      </c>
      <c r="N612" s="52">
        <v>0</v>
      </c>
      <c r="O612" s="52">
        <v>0</v>
      </c>
      <c r="P612" s="52">
        <v>6.9429</v>
      </c>
      <c r="Q612" s="54">
        <v>57.8571</v>
      </c>
      <c r="R612" s="52">
        <v>64.8</v>
      </c>
      <c r="S612" s="52">
        <v>0</v>
      </c>
      <c r="T612" s="52">
        <v>0</v>
      </c>
      <c r="U612" s="52">
        <v>0</v>
      </c>
      <c r="V612" s="52">
        <v>0</v>
      </c>
      <c r="W612" s="52">
        <v>0</v>
      </c>
      <c r="X612" s="54">
        <v>0</v>
      </c>
      <c r="Y612" s="52">
        <v>0</v>
      </c>
      <c r="Z612" s="52">
        <v>64.8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46132.7153587963</v>
      </c>
      <c r="AH612" s="52">
        <v>34633</v>
      </c>
      <c r="AI612" s="52">
        <v>0</v>
      </c>
      <c r="AJ612" s="53">
        <f>AH612+AI612</f>
        <v>34633</v>
      </c>
      <c r="AK612" s="56">
        <v>0</v>
      </c>
    </row>
    <row r="613">
      <c r="A613" s="48">
        <v>46132.71662037037</v>
      </c>
      <c r="B613" s="49" t="s">
        <v>108</v>
      </c>
      <c r="C613" s="49" t="s">
        <v>100</v>
      </c>
      <c r="D613" s="49" t="s">
        <v>5</v>
      </c>
      <c r="E613" s="50">
        <v>96</v>
      </c>
      <c r="F613" s="49" t="s">
        <v>105</v>
      </c>
      <c r="G613" s="51">
        <v>161000385</v>
      </c>
      <c r="H613" s="52">
        <v>95.8</v>
      </c>
      <c r="I613" s="52">
        <f>L613+M613+N613</f>
        <v>82.21</v>
      </c>
      <c r="J613" s="52">
        <f>O613+P613</f>
        <v>13.59</v>
      </c>
      <c r="K613" s="53">
        <f>IF(H613=I613+J613,0,W613)</f>
        <v>0</v>
      </c>
      <c r="L613" s="52">
        <v>41.23</v>
      </c>
      <c r="M613" s="52">
        <v>40.98</v>
      </c>
      <c r="N613" s="52">
        <v>0</v>
      </c>
      <c r="O613" s="52">
        <v>8.67</v>
      </c>
      <c r="P613" s="52">
        <v>4.92</v>
      </c>
      <c r="Q613" s="54">
        <v>82.21</v>
      </c>
      <c r="R613" s="52">
        <v>95.8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95.8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46132.71662037037</v>
      </c>
      <c r="AH613" s="52">
        <v>0</v>
      </c>
      <c r="AI613" s="52">
        <v>0</v>
      </c>
      <c r="AJ613" s="53">
        <f>AH613+AI613</f>
        <v>0</v>
      </c>
      <c r="AK613" s="56">
        <v>0</v>
      </c>
    </row>
    <row r="614">
      <c r="A614" s="48">
        <v>46132.71690972222</v>
      </c>
      <c r="B614" s="49" t="s">
        <v>108</v>
      </c>
      <c r="C614" s="49" t="s">
        <v>111</v>
      </c>
      <c r="D614" s="49" t="s">
        <v>5</v>
      </c>
      <c r="E614" s="50">
        <v>96</v>
      </c>
      <c r="F614" s="49" t="s">
        <v>109</v>
      </c>
      <c r="G614" s="51">
        <v>169002808</v>
      </c>
      <c r="H614" s="52">
        <v>189.4</v>
      </c>
      <c r="I614" s="52">
        <f>L614+M614+N614</f>
        <v>169.1072</v>
      </c>
      <c r="J614" s="52">
        <f>O614+P614</f>
        <v>20.2928</v>
      </c>
      <c r="K614" s="53">
        <f>IF(H614=I614+J614,0,W614)</f>
        <v>0</v>
      </c>
      <c r="L614" s="52">
        <v>0</v>
      </c>
      <c r="M614" s="52">
        <v>169.1072</v>
      </c>
      <c r="N614" s="52">
        <v>0</v>
      </c>
      <c r="O614" s="52">
        <v>0</v>
      </c>
      <c r="P614" s="52">
        <v>20.2928</v>
      </c>
      <c r="Q614" s="54">
        <v>169.1072</v>
      </c>
      <c r="R614" s="52">
        <v>189.4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189.4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46132.71690972222</v>
      </c>
      <c r="AH614" s="52">
        <v>34633</v>
      </c>
      <c r="AI614" s="52">
        <v>0</v>
      </c>
      <c r="AJ614" s="53">
        <f>AH614+AI614</f>
        <v>34633</v>
      </c>
      <c r="AK614" s="56">
        <v>0</v>
      </c>
    </row>
    <row r="615">
      <c r="A615" s="48">
        <v>46132.71789351852</v>
      </c>
      <c r="B615" s="49" t="s">
        <v>108</v>
      </c>
      <c r="C615" s="49" t="s">
        <v>111</v>
      </c>
      <c r="D615" s="49" t="s">
        <v>5</v>
      </c>
      <c r="E615" s="50">
        <v>96</v>
      </c>
      <c r="F615" s="49" t="s">
        <v>109</v>
      </c>
      <c r="G615" s="51">
        <v>169002809</v>
      </c>
      <c r="H615" s="52">
        <v>32</v>
      </c>
      <c r="I615" s="52">
        <f>L615+M615+N615</f>
        <v>26.3636</v>
      </c>
      <c r="J615" s="52">
        <f>O615+P615</f>
        <v>5.5364</v>
      </c>
      <c r="K615" s="53">
        <f>IF(H615=I615+J615,0,W615)</f>
        <v>0.1</v>
      </c>
      <c r="L615" s="52">
        <v>26.3636</v>
      </c>
      <c r="M615" s="52">
        <v>0</v>
      </c>
      <c r="N615" s="52">
        <v>0</v>
      </c>
      <c r="O615" s="52">
        <v>5.5364</v>
      </c>
      <c r="P615" s="52">
        <v>0</v>
      </c>
      <c r="Q615" s="54">
        <v>26.3636</v>
      </c>
      <c r="R615" s="52">
        <v>31.9</v>
      </c>
      <c r="S615" s="52">
        <v>0</v>
      </c>
      <c r="T615" s="52">
        <v>0</v>
      </c>
      <c r="U615" s="52">
        <v>0</v>
      </c>
      <c r="V615" s="52">
        <v>0</v>
      </c>
      <c r="W615" s="52">
        <v>0.1</v>
      </c>
      <c r="X615" s="54">
        <v>40</v>
      </c>
      <c r="Y615" s="52">
        <v>0</v>
      </c>
      <c r="Z615" s="52">
        <v>0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46132.71789351852</v>
      </c>
      <c r="AH615" s="52">
        <v>34665</v>
      </c>
      <c r="AI615" s="52">
        <v>0</v>
      </c>
      <c r="AJ615" s="53">
        <f>AH615+AI615</f>
        <v>34665</v>
      </c>
      <c r="AK615" s="56">
        <v>0</v>
      </c>
    </row>
    <row r="616">
      <c r="A616" s="48">
        <v>46132.71863425926</v>
      </c>
      <c r="B616" s="49" t="s">
        <v>108</v>
      </c>
      <c r="C616" s="49" t="s">
        <v>111</v>
      </c>
      <c r="D616" s="49" t="s">
        <v>5</v>
      </c>
      <c r="E616" s="50">
        <v>96</v>
      </c>
      <c r="F616" s="49" t="s">
        <v>109</v>
      </c>
      <c r="G616" s="51">
        <v>169002810</v>
      </c>
      <c r="H616" s="52">
        <v>153.5</v>
      </c>
      <c r="I616" s="52">
        <f>L616+M616+N616</f>
        <v>137.0536</v>
      </c>
      <c r="J616" s="52">
        <f>O616+P616</f>
        <v>16.4464</v>
      </c>
      <c r="K616" s="53">
        <f>IF(H616=I616+J616,0,W616)</f>
        <v>0</v>
      </c>
      <c r="L616" s="52">
        <v>0</v>
      </c>
      <c r="M616" s="52">
        <v>137.0536</v>
      </c>
      <c r="N616" s="52">
        <v>0</v>
      </c>
      <c r="O616" s="52">
        <v>0</v>
      </c>
      <c r="P616" s="52">
        <v>16.4464</v>
      </c>
      <c r="Q616" s="54">
        <v>137.0536</v>
      </c>
      <c r="R616" s="52">
        <v>153.5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153.5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46132.71863425926</v>
      </c>
      <c r="AH616" s="52">
        <v>34665</v>
      </c>
      <c r="AI616" s="52">
        <v>0</v>
      </c>
      <c r="AJ616" s="53">
        <f>AH616+AI616</f>
        <v>34665</v>
      </c>
      <c r="AK616" s="56">
        <v>0</v>
      </c>
    </row>
    <row r="617">
      <c r="A617" s="48">
        <v>46132.71912037037</v>
      </c>
      <c r="B617" s="49" t="s">
        <v>108</v>
      </c>
      <c r="C617" s="49" t="s">
        <v>111</v>
      </c>
      <c r="D617" s="49" t="s">
        <v>5</v>
      </c>
      <c r="E617" s="50">
        <v>96</v>
      </c>
      <c r="F617" s="49" t="s">
        <v>109</v>
      </c>
      <c r="G617" s="51">
        <v>169002811</v>
      </c>
      <c r="H617" s="52">
        <v>31</v>
      </c>
      <c r="I617" s="52">
        <f>L617+M617+N617</f>
        <v>28.0357</v>
      </c>
      <c r="J617" s="52">
        <f>O617+P617</f>
        <v>3.3643</v>
      </c>
      <c r="K617" s="53">
        <f>IF(H617=I617+J617,0,W617)</f>
        <v>-0.4</v>
      </c>
      <c r="L617" s="52">
        <v>0</v>
      </c>
      <c r="M617" s="52">
        <v>28.0357</v>
      </c>
      <c r="N617" s="52">
        <v>0</v>
      </c>
      <c r="O617" s="52">
        <v>0</v>
      </c>
      <c r="P617" s="52">
        <v>3.3643</v>
      </c>
      <c r="Q617" s="54">
        <v>28.0357</v>
      </c>
      <c r="R617" s="52">
        <v>31.4</v>
      </c>
      <c r="S617" s="52">
        <v>0</v>
      </c>
      <c r="T617" s="52">
        <v>0</v>
      </c>
      <c r="U617" s="52">
        <v>0</v>
      </c>
      <c r="V617" s="52">
        <v>0</v>
      </c>
      <c r="W617" s="52">
        <v>-0.4</v>
      </c>
      <c r="X617" s="54">
        <v>201</v>
      </c>
      <c r="Y617" s="52">
        <v>0</v>
      </c>
      <c r="Z617" s="52">
        <v>0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46132.71912037037</v>
      </c>
      <c r="AH617" s="52">
        <v>34696</v>
      </c>
      <c r="AI617" s="52">
        <v>0</v>
      </c>
      <c r="AJ617" s="53">
        <f>AH617+AI617</f>
        <v>34696</v>
      </c>
      <c r="AK617" s="56">
        <v>0</v>
      </c>
    </row>
    <row r="618">
      <c r="A618" s="48">
        <v>46132.719826388886</v>
      </c>
      <c r="B618" s="49" t="s">
        <v>108</v>
      </c>
      <c r="C618" s="49" t="s">
        <v>111</v>
      </c>
      <c r="D618" s="49" t="s">
        <v>5</v>
      </c>
      <c r="E618" s="50">
        <v>96</v>
      </c>
      <c r="F618" s="49" t="s">
        <v>109</v>
      </c>
      <c r="G618" s="51">
        <v>169002812</v>
      </c>
      <c r="H618" s="52">
        <v>53</v>
      </c>
      <c r="I618" s="52">
        <f>L618+M618+N618</f>
        <v>47.2321</v>
      </c>
      <c r="J618" s="52">
        <f>O618+P618</f>
        <v>5.6679</v>
      </c>
      <c r="K618" s="53">
        <f>IF(H618=I618+J618,0,W618)</f>
        <v>0.1</v>
      </c>
      <c r="L618" s="52">
        <v>0</v>
      </c>
      <c r="M618" s="52">
        <v>47.2321</v>
      </c>
      <c r="N618" s="52">
        <v>0</v>
      </c>
      <c r="O618" s="52">
        <v>0</v>
      </c>
      <c r="P618" s="52">
        <v>5.6679</v>
      </c>
      <c r="Q618" s="54">
        <v>47.2321</v>
      </c>
      <c r="R618" s="52">
        <v>52.9</v>
      </c>
      <c r="S618" s="52">
        <v>0</v>
      </c>
      <c r="T618" s="52">
        <v>0</v>
      </c>
      <c r="U618" s="52">
        <v>0</v>
      </c>
      <c r="V618" s="52">
        <v>0</v>
      </c>
      <c r="W618" s="52">
        <v>0.1</v>
      </c>
      <c r="X618" s="54">
        <v>200</v>
      </c>
      <c r="Y618" s="52">
        <v>0</v>
      </c>
      <c r="Z618" s="52">
        <v>0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46132.719826388886</v>
      </c>
      <c r="AH618" s="52">
        <v>34749</v>
      </c>
      <c r="AI618" s="52">
        <v>0</v>
      </c>
      <c r="AJ618" s="53">
        <f>AH618+AI618</f>
        <v>34749</v>
      </c>
      <c r="AK618" s="56">
        <v>0</v>
      </c>
    </row>
    <row r="619">
      <c r="A619" s="48">
        <v>46132.72137731482</v>
      </c>
      <c r="B619" s="49" t="s">
        <v>108</v>
      </c>
      <c r="C619" s="49" t="s">
        <v>111</v>
      </c>
      <c r="D619" s="49" t="s">
        <v>5</v>
      </c>
      <c r="E619" s="50">
        <v>96</v>
      </c>
      <c r="F619" s="49" t="s">
        <v>109</v>
      </c>
      <c r="G619" s="51">
        <v>169002813</v>
      </c>
      <c r="H619" s="52">
        <v>161</v>
      </c>
      <c r="I619" s="52">
        <f>L619+M619+N619</f>
        <v>133.0579</v>
      </c>
      <c r="J619" s="52">
        <f>O619+P619</f>
        <v>27.9421</v>
      </c>
      <c r="K619" s="53">
        <f>IF(H619=I619+J619,0,W619)</f>
        <v>0</v>
      </c>
      <c r="L619" s="52">
        <v>133.0579</v>
      </c>
      <c r="M619" s="52">
        <v>0</v>
      </c>
      <c r="N619" s="52">
        <v>0</v>
      </c>
      <c r="O619" s="52">
        <v>27.9421</v>
      </c>
      <c r="P619" s="52">
        <v>0</v>
      </c>
      <c r="Q619" s="54">
        <v>133.0579</v>
      </c>
      <c r="R619" s="52">
        <v>161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170</v>
      </c>
      <c r="Y619" s="52">
        <v>0</v>
      </c>
      <c r="Z619" s="52">
        <v>0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46132.72137731482</v>
      </c>
      <c r="AH619" s="52">
        <v>34910</v>
      </c>
      <c r="AI619" s="52">
        <v>0</v>
      </c>
      <c r="AJ619" s="53">
        <f>AH619+AI619</f>
        <v>34910</v>
      </c>
      <c r="AK619" s="56">
        <v>0</v>
      </c>
    </row>
    <row r="620">
      <c r="A620" s="48">
        <v>46132.72221064815</v>
      </c>
      <c r="B620" s="49" t="s">
        <v>108</v>
      </c>
      <c r="C620" s="49" t="s">
        <v>111</v>
      </c>
      <c r="D620" s="49" t="s">
        <v>5</v>
      </c>
      <c r="E620" s="50">
        <v>96</v>
      </c>
      <c r="F620" s="49" t="s">
        <v>109</v>
      </c>
      <c r="G620" s="51">
        <v>169002814</v>
      </c>
      <c r="H620" s="52">
        <v>222</v>
      </c>
      <c r="I620" s="52">
        <f>L620+M620+N620</f>
        <v>192.2322</v>
      </c>
      <c r="J620" s="52">
        <f>O620+P620</f>
        <v>29.3678</v>
      </c>
      <c r="K620" s="53">
        <f>IF(H620=I620+J620,0,W620)</f>
        <v>0.4</v>
      </c>
      <c r="L620" s="52">
        <v>70</v>
      </c>
      <c r="M620" s="52">
        <v>122.2322</v>
      </c>
      <c r="N620" s="52">
        <v>0</v>
      </c>
      <c r="O620" s="52">
        <v>14.7</v>
      </c>
      <c r="P620" s="52">
        <v>14.6678</v>
      </c>
      <c r="Q620" s="54">
        <v>192.2322</v>
      </c>
      <c r="R620" s="52">
        <v>221.6</v>
      </c>
      <c r="S620" s="52">
        <v>0</v>
      </c>
      <c r="T620" s="52">
        <v>0</v>
      </c>
      <c r="U620" s="52">
        <v>0</v>
      </c>
      <c r="V620" s="52">
        <v>0</v>
      </c>
      <c r="W620" s="52">
        <v>0.4</v>
      </c>
      <c r="X620" s="54">
        <v>1000</v>
      </c>
      <c r="Y620" s="52">
        <v>0</v>
      </c>
      <c r="Z620" s="52">
        <v>0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46132.72221064815</v>
      </c>
      <c r="AH620" s="52">
        <v>35132</v>
      </c>
      <c r="AI620" s="52">
        <v>0</v>
      </c>
      <c r="AJ620" s="53">
        <f>AH620+AI620</f>
        <v>35132</v>
      </c>
      <c r="AK620" s="56">
        <v>0</v>
      </c>
    </row>
    <row r="621">
      <c r="A621" s="48">
        <v>46132.72256944444</v>
      </c>
      <c r="B621" s="49" t="s">
        <v>108</v>
      </c>
      <c r="C621" s="49" t="s">
        <v>111</v>
      </c>
      <c r="D621" s="49" t="s">
        <v>5</v>
      </c>
      <c r="E621" s="50">
        <v>96</v>
      </c>
      <c r="F621" s="49" t="s">
        <v>109</v>
      </c>
      <c r="G621" s="51">
        <v>169002815</v>
      </c>
      <c r="H621" s="52">
        <v>32</v>
      </c>
      <c r="I621" s="52">
        <f>L621+M621+N621</f>
        <v>26.281</v>
      </c>
      <c r="J621" s="52">
        <f>O621+P621</f>
        <v>5.519</v>
      </c>
      <c r="K621" s="53">
        <f>IF(H621=I621+J621,0,W621)</f>
        <v>0.2</v>
      </c>
      <c r="L621" s="52">
        <v>26.281</v>
      </c>
      <c r="M621" s="52">
        <v>0</v>
      </c>
      <c r="N621" s="52">
        <v>0</v>
      </c>
      <c r="O621" s="52">
        <v>5.519</v>
      </c>
      <c r="P621" s="52">
        <v>0</v>
      </c>
      <c r="Q621" s="54">
        <v>26.281</v>
      </c>
      <c r="R621" s="52">
        <v>31.8</v>
      </c>
      <c r="S621" s="52">
        <v>0</v>
      </c>
      <c r="T621" s="52">
        <v>0</v>
      </c>
      <c r="U621" s="52">
        <v>0</v>
      </c>
      <c r="V621" s="52">
        <v>0</v>
      </c>
      <c r="W621" s="52">
        <v>0.2</v>
      </c>
      <c r="X621" s="54">
        <v>200</v>
      </c>
      <c r="Y621" s="52">
        <v>0</v>
      </c>
      <c r="Z621" s="52">
        <v>0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46132.72256944444</v>
      </c>
      <c r="AH621" s="52">
        <v>35164</v>
      </c>
      <c r="AI621" s="52">
        <v>0</v>
      </c>
      <c r="AJ621" s="53">
        <f>AH621+AI621</f>
        <v>35164</v>
      </c>
      <c r="AK621" s="56">
        <v>0</v>
      </c>
    </row>
    <row r="622">
      <c r="A622" s="48">
        <v>46132.72262731481</v>
      </c>
      <c r="B622" s="49" t="s">
        <v>108</v>
      </c>
      <c r="C622" s="49" t="s">
        <v>100</v>
      </c>
      <c r="D622" s="49" t="s">
        <v>5</v>
      </c>
      <c r="E622" s="50">
        <v>96</v>
      </c>
      <c r="F622" s="49" t="s">
        <v>105</v>
      </c>
      <c r="G622" s="51">
        <v>161000386</v>
      </c>
      <c r="H622" s="52">
        <v>82.3</v>
      </c>
      <c r="I622" s="52">
        <f>L622+M622+N622</f>
        <v>71.28</v>
      </c>
      <c r="J622" s="52">
        <f>O622+P622</f>
        <v>11.02</v>
      </c>
      <c r="K622" s="53">
        <f>IF(H622=I622+J622,0,W622)</f>
        <v>0</v>
      </c>
      <c r="L622" s="52">
        <v>27.19</v>
      </c>
      <c r="M622" s="52">
        <v>44.09</v>
      </c>
      <c r="N622" s="52">
        <v>0</v>
      </c>
      <c r="O622" s="52">
        <v>5.71</v>
      </c>
      <c r="P622" s="52">
        <v>5.31</v>
      </c>
      <c r="Q622" s="54">
        <v>71.28</v>
      </c>
      <c r="R622" s="52">
        <v>82.3</v>
      </c>
      <c r="S622" s="52">
        <v>0</v>
      </c>
      <c r="T622" s="52">
        <v>0</v>
      </c>
      <c r="U622" s="52">
        <v>0</v>
      </c>
      <c r="V622" s="52">
        <v>0</v>
      </c>
      <c r="W622" s="52">
        <v>0</v>
      </c>
      <c r="X622" s="54">
        <v>0</v>
      </c>
      <c r="Y622" s="52">
        <v>0</v>
      </c>
      <c r="Z622" s="52">
        <v>82.3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46132.72262731481</v>
      </c>
      <c r="AH622" s="52">
        <v>0</v>
      </c>
      <c r="AI622" s="52">
        <v>0</v>
      </c>
      <c r="AJ622" s="53">
        <f>AH622+AI622</f>
        <v>0</v>
      </c>
      <c r="AK622" s="56">
        <v>0</v>
      </c>
    </row>
    <row r="623">
      <c r="A623" s="48">
        <v>46132.72268518519</v>
      </c>
      <c r="B623" s="49" t="s">
        <v>108</v>
      </c>
      <c r="C623" s="49" t="s">
        <v>100</v>
      </c>
      <c r="D623" s="49" t="s">
        <v>5</v>
      </c>
      <c r="E623" s="50">
        <v>96</v>
      </c>
      <c r="F623" s="49" t="s">
        <v>101</v>
      </c>
      <c r="G623" s="51">
        <v>163000354</v>
      </c>
      <c r="H623" s="52">
        <v>59.9</v>
      </c>
      <c r="I623" s="52">
        <f>L623+M623+N623</f>
        <v>53.48</v>
      </c>
      <c r="J623" s="52">
        <f>O623+P623</f>
        <v>6.42</v>
      </c>
      <c r="K623" s="53">
        <f>IF(H623=I623+J623,0,W623)</f>
        <v>0</v>
      </c>
      <c r="L623" s="52">
        <v>0</v>
      </c>
      <c r="M623" s="52">
        <v>53.48</v>
      </c>
      <c r="N623" s="52">
        <v>0</v>
      </c>
      <c r="O623" s="52">
        <v>0</v>
      </c>
      <c r="P623" s="52">
        <v>6.42</v>
      </c>
      <c r="Q623" s="54">
        <v>53.48</v>
      </c>
      <c r="R623" s="52">
        <v>59.9</v>
      </c>
      <c r="S623" s="52">
        <v>0</v>
      </c>
      <c r="T623" s="52">
        <v>0</v>
      </c>
      <c r="U623" s="52">
        <v>0</v>
      </c>
      <c r="V623" s="52">
        <v>0</v>
      </c>
      <c r="W623" s="52">
        <v>0</v>
      </c>
      <c r="X623" s="54">
        <v>0</v>
      </c>
      <c r="Y623" s="52">
        <v>0</v>
      </c>
      <c r="Z623" s="52">
        <v>59.9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46132.72268518519</v>
      </c>
      <c r="AH623" s="52">
        <v>0</v>
      </c>
      <c r="AI623" s="52">
        <v>0</v>
      </c>
      <c r="AJ623" s="53">
        <f>AH623+AI623</f>
        <v>0</v>
      </c>
      <c r="AK623" s="56">
        <v>0</v>
      </c>
    </row>
    <row r="624">
      <c r="A624" s="48">
        <v>46132.723344907405</v>
      </c>
      <c r="B624" s="49" t="s">
        <v>108</v>
      </c>
      <c r="C624" s="49" t="s">
        <v>111</v>
      </c>
      <c r="D624" s="49" t="s">
        <v>5</v>
      </c>
      <c r="E624" s="50">
        <v>96</v>
      </c>
      <c r="F624" s="49" t="s">
        <v>109</v>
      </c>
      <c r="G624" s="51">
        <v>169002816</v>
      </c>
      <c r="H624" s="52">
        <v>200</v>
      </c>
      <c r="I624" s="52">
        <f>L624+M624+N624</f>
        <v>165.2066</v>
      </c>
      <c r="J624" s="52">
        <f>O624+P624</f>
        <v>34.6934</v>
      </c>
      <c r="K624" s="53">
        <f>IF(H624=I624+J624,0,W624)</f>
        <v>0.1</v>
      </c>
      <c r="L624" s="52">
        <v>165.2066</v>
      </c>
      <c r="M624" s="52">
        <v>0</v>
      </c>
      <c r="N624" s="52">
        <v>0</v>
      </c>
      <c r="O624" s="52">
        <v>34.6934</v>
      </c>
      <c r="P624" s="52">
        <v>0</v>
      </c>
      <c r="Q624" s="54">
        <v>165.2066</v>
      </c>
      <c r="R624" s="52">
        <v>199.9</v>
      </c>
      <c r="S624" s="52">
        <v>0</v>
      </c>
      <c r="T624" s="52">
        <v>0</v>
      </c>
      <c r="U624" s="52">
        <v>0</v>
      </c>
      <c r="V624" s="52">
        <v>0</v>
      </c>
      <c r="W624" s="52">
        <v>0.1</v>
      </c>
      <c r="X624" s="54">
        <v>200</v>
      </c>
      <c r="Y624" s="52">
        <v>0</v>
      </c>
      <c r="Z624" s="52">
        <v>0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46132.723344907405</v>
      </c>
      <c r="AH624" s="52">
        <v>35364</v>
      </c>
      <c r="AI624" s="52">
        <v>0</v>
      </c>
      <c r="AJ624" s="53">
        <f>AH624+AI624</f>
        <v>35364</v>
      </c>
      <c r="AK624" s="56">
        <v>0</v>
      </c>
    </row>
    <row r="625">
      <c r="A625" s="48">
        <v>46132.72378472222</v>
      </c>
      <c r="B625" s="49" t="s">
        <v>108</v>
      </c>
      <c r="C625" s="49" t="s">
        <v>111</v>
      </c>
      <c r="D625" s="49" t="s">
        <v>5</v>
      </c>
      <c r="E625" s="50">
        <v>96</v>
      </c>
      <c r="F625" s="49" t="s">
        <v>109</v>
      </c>
      <c r="G625" s="51">
        <v>169002817</v>
      </c>
      <c r="H625" s="52">
        <v>125.4</v>
      </c>
      <c r="I625" s="52">
        <f>L625+M625+N625</f>
        <v>108.79650000000001</v>
      </c>
      <c r="J625" s="52">
        <f>O625+P625</f>
        <v>16.603499999999997</v>
      </c>
      <c r="K625" s="53">
        <f>IF(H625=I625+J625,0,W625)</f>
        <v>0</v>
      </c>
      <c r="L625" s="52">
        <v>39.4215</v>
      </c>
      <c r="M625" s="52">
        <v>69.375</v>
      </c>
      <c r="N625" s="52">
        <v>0</v>
      </c>
      <c r="O625" s="52">
        <v>8.2785</v>
      </c>
      <c r="P625" s="52">
        <v>8.325</v>
      </c>
      <c r="Q625" s="54">
        <v>108.7965</v>
      </c>
      <c r="R625" s="52">
        <v>125.4</v>
      </c>
      <c r="S625" s="52">
        <v>0</v>
      </c>
      <c r="T625" s="52">
        <v>0</v>
      </c>
      <c r="U625" s="52">
        <v>0</v>
      </c>
      <c r="V625" s="52">
        <v>0</v>
      </c>
      <c r="W625" s="52">
        <v>0</v>
      </c>
      <c r="X625" s="54">
        <v>0</v>
      </c>
      <c r="Y625" s="52">
        <v>0</v>
      </c>
      <c r="Z625" s="52">
        <v>125.4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46132.72378472222</v>
      </c>
      <c r="AH625" s="52">
        <v>35364</v>
      </c>
      <c r="AI625" s="52">
        <v>0</v>
      </c>
      <c r="AJ625" s="53">
        <f>AH625+AI625</f>
        <v>35364</v>
      </c>
      <c r="AK625" s="56">
        <v>0</v>
      </c>
    </row>
    <row r="626">
      <c r="A626" s="48">
        <v>46132.72440972222</v>
      </c>
      <c r="B626" s="49" t="s">
        <v>108</v>
      </c>
      <c r="C626" s="49" t="s">
        <v>100</v>
      </c>
      <c r="D626" s="49" t="s">
        <v>5</v>
      </c>
      <c r="E626" s="50">
        <v>96</v>
      </c>
      <c r="F626" s="49" t="s">
        <v>105</v>
      </c>
      <c r="G626" s="51">
        <v>161000387</v>
      </c>
      <c r="H626" s="52">
        <v>8.9</v>
      </c>
      <c r="I626" s="52">
        <f>L626+M626+N626</f>
        <v>7.94</v>
      </c>
      <c r="J626" s="52">
        <f>O626+P626</f>
        <v>0.96</v>
      </c>
      <c r="K626" s="53">
        <f>IF(H626=I626+J626,0,W626)</f>
        <v>0</v>
      </c>
      <c r="L626" s="52">
        <v>0</v>
      </c>
      <c r="M626" s="52">
        <v>7.94</v>
      </c>
      <c r="N626" s="52">
        <v>0</v>
      </c>
      <c r="O626" s="52">
        <v>0</v>
      </c>
      <c r="P626" s="52">
        <v>0.96</v>
      </c>
      <c r="Q626" s="54">
        <v>7.94</v>
      </c>
      <c r="R626" s="52">
        <v>8.9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8.9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46132.72440972222</v>
      </c>
      <c r="AH626" s="52">
        <v>0</v>
      </c>
      <c r="AI626" s="52">
        <v>0</v>
      </c>
      <c r="AJ626" s="53">
        <f>AH626+AI626</f>
        <v>0</v>
      </c>
      <c r="AK626" s="56">
        <v>0</v>
      </c>
    </row>
    <row r="627">
      <c r="A627" s="48">
        <v>46132.72652777778</v>
      </c>
      <c r="B627" s="49" t="s">
        <v>108</v>
      </c>
      <c r="C627" s="49" t="s">
        <v>113</v>
      </c>
      <c r="D627" s="49" t="s">
        <v>5</v>
      </c>
      <c r="E627" s="50">
        <v>96</v>
      </c>
      <c r="F627" s="49" t="s">
        <v>107</v>
      </c>
      <c r="G627" s="51">
        <v>166004801</v>
      </c>
      <c r="H627" s="52">
        <v>299</v>
      </c>
      <c r="I627" s="52">
        <f>L627+M627+N627</f>
        <v>266.472</v>
      </c>
      <c r="J627" s="52">
        <f>O627+P627</f>
        <v>32.118</v>
      </c>
      <c r="K627" s="53">
        <f>IF(H627=I627+J627,0,W627)</f>
        <v>0.41</v>
      </c>
      <c r="L627" s="52">
        <v>1.5702</v>
      </c>
      <c r="M627" s="52">
        <v>264.9018</v>
      </c>
      <c r="N627" s="52">
        <v>0</v>
      </c>
      <c r="O627" s="52">
        <v>0.3298</v>
      </c>
      <c r="P627" s="52">
        <v>31.7882</v>
      </c>
      <c r="Q627" s="54">
        <v>266.472</v>
      </c>
      <c r="R627" s="52">
        <v>298.59</v>
      </c>
      <c r="S627" s="52">
        <v>0</v>
      </c>
      <c r="T627" s="52">
        <v>0</v>
      </c>
      <c r="U627" s="52">
        <v>0</v>
      </c>
      <c r="V627" s="52">
        <v>0</v>
      </c>
      <c r="W627" s="52">
        <v>0.41</v>
      </c>
      <c r="X627" s="54">
        <v>299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46132.72652777778</v>
      </c>
      <c r="AH627" s="52">
        <v>47569</v>
      </c>
      <c r="AI627" s="52">
        <v>0</v>
      </c>
      <c r="AJ627" s="53">
        <f>AH627+AI627</f>
        <v>47569</v>
      </c>
      <c r="AK627" s="56">
        <v>0</v>
      </c>
    </row>
    <row r="628">
      <c r="A628" s="48">
        <v>46132.7271875</v>
      </c>
      <c r="B628" s="49" t="s">
        <v>108</v>
      </c>
      <c r="C628" s="49" t="s">
        <v>113</v>
      </c>
      <c r="D628" s="49" t="s">
        <v>5</v>
      </c>
      <c r="E628" s="50">
        <v>96</v>
      </c>
      <c r="F628" s="49" t="s">
        <v>107</v>
      </c>
      <c r="G628" s="51">
        <v>166004802</v>
      </c>
      <c r="H628" s="52">
        <v>62.93</v>
      </c>
      <c r="I628" s="52">
        <f>L628+M628+N628</f>
        <v>56.1875</v>
      </c>
      <c r="J628" s="52">
        <f>O628+P628</f>
        <v>6.7425</v>
      </c>
      <c r="K628" s="53">
        <f>IF(H628=I628+J628,0,W628)</f>
        <v>0</v>
      </c>
      <c r="L628" s="52">
        <v>0</v>
      </c>
      <c r="M628" s="52">
        <v>56.1875</v>
      </c>
      <c r="N628" s="52">
        <v>0</v>
      </c>
      <c r="O628" s="52">
        <v>0</v>
      </c>
      <c r="P628" s="52">
        <v>6.7425</v>
      </c>
      <c r="Q628" s="54">
        <v>56.1875</v>
      </c>
      <c r="R628" s="52">
        <v>62.93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62.93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46132.7271875</v>
      </c>
      <c r="AH628" s="52">
        <v>47569</v>
      </c>
      <c r="AI628" s="52">
        <v>0</v>
      </c>
      <c r="AJ628" s="53">
        <f>AH628+AI628</f>
        <v>47569</v>
      </c>
      <c r="AK628" s="56">
        <v>0</v>
      </c>
    </row>
    <row r="629">
      <c r="A629" s="48">
        <v>46132.7275</v>
      </c>
      <c r="B629" s="49" t="s">
        <v>108</v>
      </c>
      <c r="C629" s="49" t="s">
        <v>113</v>
      </c>
      <c r="D629" s="49" t="s">
        <v>5</v>
      </c>
      <c r="E629" s="50">
        <v>96</v>
      </c>
      <c r="F629" s="49" t="s">
        <v>107</v>
      </c>
      <c r="G629" s="51">
        <v>166004803</v>
      </c>
      <c r="H629" s="52">
        <v>45</v>
      </c>
      <c r="I629" s="52">
        <f>L629+M629+N629</f>
        <v>40.0893</v>
      </c>
      <c r="J629" s="52">
        <f>O629+P629</f>
        <v>4.8107</v>
      </c>
      <c r="K629" s="53">
        <f>IF(H629=I629+J629,0,W629)</f>
        <v>0.1</v>
      </c>
      <c r="L629" s="52">
        <v>0</v>
      </c>
      <c r="M629" s="52">
        <v>40.0893</v>
      </c>
      <c r="N629" s="52">
        <v>0</v>
      </c>
      <c r="O629" s="52">
        <v>0</v>
      </c>
      <c r="P629" s="52">
        <v>4.8107</v>
      </c>
      <c r="Q629" s="54">
        <v>40.0893</v>
      </c>
      <c r="R629" s="52">
        <v>44.9</v>
      </c>
      <c r="S629" s="52">
        <v>0</v>
      </c>
      <c r="T629" s="52">
        <v>0</v>
      </c>
      <c r="U629" s="52">
        <v>0</v>
      </c>
      <c r="V629" s="52">
        <v>0</v>
      </c>
      <c r="W629" s="52">
        <v>0.1</v>
      </c>
      <c r="X629" s="54">
        <v>200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46132.7275</v>
      </c>
      <c r="AH629" s="52">
        <v>47614</v>
      </c>
      <c r="AI629" s="52">
        <v>0</v>
      </c>
      <c r="AJ629" s="53">
        <f>AH629+AI629</f>
        <v>47614</v>
      </c>
      <c r="AK629" s="56">
        <v>0</v>
      </c>
    </row>
    <row r="630">
      <c r="A630" s="48">
        <v>46132.729097222225</v>
      </c>
      <c r="B630" s="49" t="s">
        <v>108</v>
      </c>
      <c r="C630" s="49" t="s">
        <v>113</v>
      </c>
      <c r="D630" s="49" t="s">
        <v>5</v>
      </c>
      <c r="E630" s="50">
        <v>96</v>
      </c>
      <c r="F630" s="49" t="s">
        <v>107</v>
      </c>
      <c r="G630" s="51">
        <v>166004804</v>
      </c>
      <c r="H630" s="52">
        <v>172</v>
      </c>
      <c r="I630" s="52">
        <f>L630+M630+N630</f>
        <v>151.61079999999998</v>
      </c>
      <c r="J630" s="52">
        <f>O630+P630</f>
        <v>19.8892</v>
      </c>
      <c r="K630" s="53">
        <f>IF(H630=I630+J630,0,W630)</f>
        <v>0.5</v>
      </c>
      <c r="L630" s="52">
        <v>18.843</v>
      </c>
      <c r="M630" s="52">
        <v>132.7678</v>
      </c>
      <c r="N630" s="52">
        <v>0</v>
      </c>
      <c r="O630" s="52">
        <v>3.957</v>
      </c>
      <c r="P630" s="52">
        <v>15.9322</v>
      </c>
      <c r="Q630" s="54">
        <v>151.6108</v>
      </c>
      <c r="R630" s="52">
        <v>171.5</v>
      </c>
      <c r="S630" s="52">
        <v>0</v>
      </c>
      <c r="T630" s="52">
        <v>0</v>
      </c>
      <c r="U630" s="52">
        <v>0</v>
      </c>
      <c r="V630" s="52">
        <v>0</v>
      </c>
      <c r="W630" s="52">
        <v>0.5</v>
      </c>
      <c r="X630" s="54">
        <v>2000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46132.729097222225</v>
      </c>
      <c r="AH630" s="52">
        <v>47786</v>
      </c>
      <c r="AI630" s="52">
        <v>0</v>
      </c>
      <c r="AJ630" s="53">
        <f>AH630+AI630</f>
        <v>47786</v>
      </c>
      <c r="AK630" s="56">
        <v>0</v>
      </c>
    </row>
    <row r="631">
      <c r="A631" s="48">
        <v>46132.73019675926</v>
      </c>
      <c r="B631" s="49" t="s">
        <v>108</v>
      </c>
      <c r="C631" s="49" t="s">
        <v>113</v>
      </c>
      <c r="D631" s="49" t="s">
        <v>5</v>
      </c>
      <c r="E631" s="50">
        <v>96</v>
      </c>
      <c r="F631" s="49" t="s">
        <v>107</v>
      </c>
      <c r="G631" s="51">
        <v>166004805</v>
      </c>
      <c r="H631" s="52">
        <v>231.43</v>
      </c>
      <c r="I631" s="52">
        <f>L631+M631+N631</f>
        <v>204.9802</v>
      </c>
      <c r="J631" s="52">
        <f>O631+P631</f>
        <v>26.4498</v>
      </c>
      <c r="K631" s="53">
        <f>IF(H631=I631+J631,0,W631)</f>
        <v>0</v>
      </c>
      <c r="L631" s="52">
        <v>20.5785</v>
      </c>
      <c r="M631" s="52">
        <v>184.4017</v>
      </c>
      <c r="N631" s="52">
        <v>0</v>
      </c>
      <c r="O631" s="52">
        <v>4.3215</v>
      </c>
      <c r="P631" s="52">
        <v>22.1283</v>
      </c>
      <c r="Q631" s="54">
        <v>204.9802</v>
      </c>
      <c r="R631" s="52">
        <v>231.43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231.43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46132.73019675926</v>
      </c>
      <c r="AH631" s="52">
        <v>47786</v>
      </c>
      <c r="AI631" s="52">
        <v>0</v>
      </c>
      <c r="AJ631" s="53">
        <f>AH631+AI631</f>
        <v>47786</v>
      </c>
      <c r="AK631" s="56">
        <v>69.87</v>
      </c>
    </row>
    <row r="632">
      <c r="A632" s="48">
        <v>46132.730358796296</v>
      </c>
      <c r="B632" s="49" t="s">
        <v>108</v>
      </c>
      <c r="C632" s="49" t="s">
        <v>113</v>
      </c>
      <c r="D632" s="49" t="s">
        <v>5</v>
      </c>
      <c r="E632" s="50">
        <v>96</v>
      </c>
      <c r="F632" s="49" t="s">
        <v>107</v>
      </c>
      <c r="G632" s="51">
        <v>166004806</v>
      </c>
      <c r="H632" s="52">
        <v>6</v>
      </c>
      <c r="I632" s="52">
        <f>L632+M632+N632</f>
        <v>5.1786</v>
      </c>
      <c r="J632" s="52">
        <f>O632+P632</f>
        <v>0.6214</v>
      </c>
      <c r="K632" s="53">
        <f>IF(H632=I632+J632,0,W632)</f>
        <v>0.2</v>
      </c>
      <c r="L632" s="52">
        <v>0</v>
      </c>
      <c r="M632" s="52">
        <v>5.1786</v>
      </c>
      <c r="N632" s="52">
        <v>0</v>
      </c>
      <c r="O632" s="52">
        <v>0</v>
      </c>
      <c r="P632" s="52">
        <v>0.6214</v>
      </c>
      <c r="Q632" s="54">
        <v>5.1786</v>
      </c>
      <c r="R632" s="52">
        <v>5.8</v>
      </c>
      <c r="S632" s="52">
        <v>0</v>
      </c>
      <c r="T632" s="52">
        <v>0</v>
      </c>
      <c r="U632" s="52">
        <v>0</v>
      </c>
      <c r="V632" s="52">
        <v>0</v>
      </c>
      <c r="W632" s="52">
        <v>0.2</v>
      </c>
      <c r="X632" s="54">
        <v>6</v>
      </c>
      <c r="Y632" s="52">
        <v>0</v>
      </c>
      <c r="Z632" s="52">
        <v>0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46132.730358796296</v>
      </c>
      <c r="AH632" s="52">
        <v>47792</v>
      </c>
      <c r="AI632" s="52">
        <v>0</v>
      </c>
      <c r="AJ632" s="53">
        <f>AH632+AI632</f>
        <v>47792</v>
      </c>
      <c r="AK632" s="56">
        <v>0</v>
      </c>
    </row>
    <row r="633">
      <c r="A633" s="48">
        <v>46132.73085648148</v>
      </c>
      <c r="B633" s="49" t="s">
        <v>108</v>
      </c>
      <c r="C633" s="49" t="s">
        <v>113</v>
      </c>
      <c r="D633" s="49" t="s">
        <v>5</v>
      </c>
      <c r="E633" s="50">
        <v>96</v>
      </c>
      <c r="F633" s="49" t="s">
        <v>107</v>
      </c>
      <c r="G633" s="51">
        <v>166004807</v>
      </c>
      <c r="H633" s="52">
        <v>98.6</v>
      </c>
      <c r="I633" s="52">
        <f>L633+M633+N633</f>
        <v>88.0356</v>
      </c>
      <c r="J633" s="52">
        <f>O633+P633</f>
        <v>10.5644</v>
      </c>
      <c r="K633" s="53">
        <f>IF(H633=I633+J633,0,W633)</f>
        <v>0</v>
      </c>
      <c r="L633" s="52">
        <v>0</v>
      </c>
      <c r="M633" s="52">
        <v>88.0356</v>
      </c>
      <c r="N633" s="52">
        <v>0</v>
      </c>
      <c r="O633" s="52">
        <v>0</v>
      </c>
      <c r="P633" s="52">
        <v>10.5644</v>
      </c>
      <c r="Q633" s="54">
        <v>88.0356</v>
      </c>
      <c r="R633" s="52">
        <v>98.6</v>
      </c>
      <c r="S633" s="52">
        <v>0</v>
      </c>
      <c r="T633" s="52">
        <v>0</v>
      </c>
      <c r="U633" s="52">
        <v>0</v>
      </c>
      <c r="V633" s="52">
        <v>0</v>
      </c>
      <c r="W633" s="52">
        <v>0</v>
      </c>
      <c r="X633" s="54">
        <v>0</v>
      </c>
      <c r="Y633" s="52">
        <v>0</v>
      </c>
      <c r="Z633" s="52">
        <v>98.6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46132.73085648148</v>
      </c>
      <c r="AH633" s="52">
        <v>47792</v>
      </c>
      <c r="AI633" s="52">
        <v>0</v>
      </c>
      <c r="AJ633" s="53">
        <f>AH633+AI633</f>
        <v>47792</v>
      </c>
      <c r="AK633" s="56">
        <v>0</v>
      </c>
    </row>
    <row r="634">
      <c r="A634" s="48">
        <v>46132.73163194444</v>
      </c>
      <c r="B634" s="49" t="s">
        <v>108</v>
      </c>
      <c r="C634" s="49" t="s">
        <v>100</v>
      </c>
      <c r="D634" s="49" t="s">
        <v>5</v>
      </c>
      <c r="E634" s="50">
        <v>96</v>
      </c>
      <c r="F634" s="49" t="s">
        <v>105</v>
      </c>
      <c r="G634" s="51">
        <v>161000388</v>
      </c>
      <c r="H634" s="52">
        <v>21.9</v>
      </c>
      <c r="I634" s="52">
        <f>L634+M634+N634</f>
        <v>19.55</v>
      </c>
      <c r="J634" s="52">
        <f>O634+P634</f>
        <v>2.35</v>
      </c>
      <c r="K634" s="53">
        <f>IF(H634=I634+J634,0,W634)</f>
        <v>0</v>
      </c>
      <c r="L634" s="52">
        <v>0</v>
      </c>
      <c r="M634" s="52">
        <v>19.55</v>
      </c>
      <c r="N634" s="52">
        <v>0</v>
      </c>
      <c r="O634" s="52">
        <v>0</v>
      </c>
      <c r="P634" s="52">
        <v>2.35</v>
      </c>
      <c r="Q634" s="54">
        <v>19.55</v>
      </c>
      <c r="R634" s="52">
        <v>21.9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21.9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46132.73163194444</v>
      </c>
      <c r="AH634" s="52">
        <v>0</v>
      </c>
      <c r="AI634" s="52">
        <v>0</v>
      </c>
      <c r="AJ634" s="53">
        <f>AH634+AI634</f>
        <v>0</v>
      </c>
      <c r="AK634" s="56">
        <v>0</v>
      </c>
    </row>
    <row r="635">
      <c r="A635" s="48">
        <v>46132.73175925926</v>
      </c>
      <c r="B635" s="49" t="s">
        <v>108</v>
      </c>
      <c r="C635" s="49" t="s">
        <v>113</v>
      </c>
      <c r="D635" s="49" t="s">
        <v>5</v>
      </c>
      <c r="E635" s="50">
        <v>96</v>
      </c>
      <c r="F635" s="49" t="s">
        <v>107</v>
      </c>
      <c r="G635" s="51">
        <v>166004808</v>
      </c>
      <c r="H635" s="52">
        <v>115.4</v>
      </c>
      <c r="I635" s="52">
        <f>L635+M635+N635</f>
        <v>100.924</v>
      </c>
      <c r="J635" s="52">
        <f>O635+P635</f>
        <v>14.476</v>
      </c>
      <c r="K635" s="53">
        <f>IF(H635=I635+J635,0,W635)</f>
        <v>0</v>
      </c>
      <c r="L635" s="52">
        <v>26.281</v>
      </c>
      <c r="M635" s="52">
        <v>74.643</v>
      </c>
      <c r="N635" s="52">
        <v>0</v>
      </c>
      <c r="O635" s="52">
        <v>5.519</v>
      </c>
      <c r="P635" s="52">
        <v>8.957</v>
      </c>
      <c r="Q635" s="54">
        <v>100.924</v>
      </c>
      <c r="R635" s="52">
        <v>115.4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0</v>
      </c>
      <c r="Y635" s="52">
        <v>0</v>
      </c>
      <c r="Z635" s="52">
        <v>115.4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46132.73175925926</v>
      </c>
      <c r="AH635" s="52">
        <v>47792</v>
      </c>
      <c r="AI635" s="52">
        <v>0</v>
      </c>
      <c r="AJ635" s="53">
        <f>AH635+AI635</f>
        <v>47792</v>
      </c>
      <c r="AK635" s="56">
        <v>0</v>
      </c>
    </row>
    <row r="636">
      <c r="A636" s="48">
        <v>46132.73452546296</v>
      </c>
      <c r="B636" s="49" t="s">
        <v>108</v>
      </c>
      <c r="C636" s="49" t="s">
        <v>111</v>
      </c>
      <c r="D636" s="49" t="s">
        <v>5</v>
      </c>
      <c r="E636" s="50">
        <v>96</v>
      </c>
      <c r="F636" s="49" t="s">
        <v>109</v>
      </c>
      <c r="G636" s="51">
        <v>169002818</v>
      </c>
      <c r="H636" s="52">
        <v>39.8</v>
      </c>
      <c r="I636" s="52">
        <f>L636+M636+N636</f>
        <v>32.8926</v>
      </c>
      <c r="J636" s="52">
        <f>O636+P636</f>
        <v>6.9074</v>
      </c>
      <c r="K636" s="53">
        <f>IF(H636=I636+J636,0,W636)</f>
        <v>0</v>
      </c>
      <c r="L636" s="52">
        <v>32.8926</v>
      </c>
      <c r="M636" s="52">
        <v>0</v>
      </c>
      <c r="N636" s="52">
        <v>0</v>
      </c>
      <c r="O636" s="52">
        <v>6.9074</v>
      </c>
      <c r="P636" s="52">
        <v>0</v>
      </c>
      <c r="Q636" s="54">
        <v>32.8926</v>
      </c>
      <c r="R636" s="52">
        <v>39.8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0</v>
      </c>
      <c r="Y636" s="52">
        <v>0</v>
      </c>
      <c r="Z636" s="52">
        <v>39.8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46132.73452546296</v>
      </c>
      <c r="AH636" s="52">
        <v>35364</v>
      </c>
      <c r="AI636" s="52">
        <v>0</v>
      </c>
      <c r="AJ636" s="53">
        <f>AH636+AI636</f>
        <v>35364</v>
      </c>
      <c r="AK636" s="56">
        <v>0</v>
      </c>
    </row>
    <row r="637">
      <c r="A637" s="48">
        <v>46132.73594907407</v>
      </c>
      <c r="B637" s="49" t="s">
        <v>108</v>
      </c>
      <c r="C637" s="49" t="s">
        <v>111</v>
      </c>
      <c r="D637" s="49" t="s">
        <v>5</v>
      </c>
      <c r="E637" s="50">
        <v>96</v>
      </c>
      <c r="F637" s="49" t="s">
        <v>109</v>
      </c>
      <c r="G637" s="51">
        <v>169002819</v>
      </c>
      <c r="H637" s="52">
        <v>164</v>
      </c>
      <c r="I637" s="52">
        <f>L637+M637+N637</f>
        <v>145.4642</v>
      </c>
      <c r="J637" s="52">
        <f>O637+P637</f>
        <v>18.9358</v>
      </c>
      <c r="K637" s="53">
        <f>IF(H637=I637+J637,0,W637)</f>
        <v>-0.4</v>
      </c>
      <c r="L637" s="52">
        <v>16.4463</v>
      </c>
      <c r="M637" s="52">
        <v>129.0179</v>
      </c>
      <c r="N637" s="52">
        <v>0</v>
      </c>
      <c r="O637" s="52">
        <v>3.4537</v>
      </c>
      <c r="P637" s="52">
        <v>15.4821</v>
      </c>
      <c r="Q637" s="54">
        <v>145.4642</v>
      </c>
      <c r="R637" s="52">
        <v>164.4</v>
      </c>
      <c r="S637" s="52">
        <v>0</v>
      </c>
      <c r="T637" s="52">
        <v>0</v>
      </c>
      <c r="U637" s="52">
        <v>0</v>
      </c>
      <c r="V637" s="52">
        <v>0</v>
      </c>
      <c r="W637" s="52">
        <v>-0.4</v>
      </c>
      <c r="X637" s="54">
        <v>200</v>
      </c>
      <c r="Y637" s="52">
        <v>0</v>
      </c>
      <c r="Z637" s="52">
        <v>0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46132.73594907407</v>
      </c>
      <c r="AH637" s="52">
        <v>35528</v>
      </c>
      <c r="AI637" s="52">
        <v>0</v>
      </c>
      <c r="AJ637" s="53">
        <f>AH637+AI637</f>
        <v>35528</v>
      </c>
      <c r="AK637" s="56">
        <v>0</v>
      </c>
    </row>
    <row r="638">
      <c r="A638" s="48">
        <v>46132.73631944445</v>
      </c>
      <c r="B638" s="49" t="s">
        <v>108</v>
      </c>
      <c r="C638" s="49" t="s">
        <v>111</v>
      </c>
      <c r="D638" s="49" t="s">
        <v>5</v>
      </c>
      <c r="E638" s="50">
        <v>96</v>
      </c>
      <c r="F638" s="49" t="s">
        <v>109</v>
      </c>
      <c r="G638" s="51">
        <v>169002820</v>
      </c>
      <c r="H638" s="52">
        <v>30</v>
      </c>
      <c r="I638" s="52">
        <f>L638+M638+N638</f>
        <v>26.6964</v>
      </c>
      <c r="J638" s="52">
        <f>O638+P638</f>
        <v>3.2036</v>
      </c>
      <c r="K638" s="53">
        <f>IF(H638=I638+J638,0,W638)</f>
        <v>0.1</v>
      </c>
      <c r="L638" s="52">
        <v>0</v>
      </c>
      <c r="M638" s="52">
        <v>26.6964</v>
      </c>
      <c r="N638" s="52">
        <v>0</v>
      </c>
      <c r="O638" s="52">
        <v>0</v>
      </c>
      <c r="P638" s="52">
        <v>3.2036</v>
      </c>
      <c r="Q638" s="54">
        <v>26.6964</v>
      </c>
      <c r="R638" s="52">
        <v>29.9</v>
      </c>
      <c r="S638" s="52">
        <v>0</v>
      </c>
      <c r="T638" s="52">
        <v>0</v>
      </c>
      <c r="U638" s="52">
        <v>0</v>
      </c>
      <c r="V638" s="52">
        <v>0</v>
      </c>
      <c r="W638" s="52">
        <v>0.1</v>
      </c>
      <c r="X638" s="54">
        <v>50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46132.73631944445</v>
      </c>
      <c r="AH638" s="52">
        <v>35558</v>
      </c>
      <c r="AI638" s="52">
        <v>0</v>
      </c>
      <c r="AJ638" s="53">
        <f>AH638+AI638</f>
        <v>35558</v>
      </c>
      <c r="AK638" s="56">
        <v>0</v>
      </c>
    </row>
    <row r="639">
      <c r="A639" s="48">
        <v>46132.73667824074</v>
      </c>
      <c r="B639" s="49" t="s">
        <v>108</v>
      </c>
      <c r="C639" s="49" t="s">
        <v>111</v>
      </c>
      <c r="D639" s="49" t="s">
        <v>5</v>
      </c>
      <c r="E639" s="50">
        <v>96</v>
      </c>
      <c r="F639" s="49" t="s">
        <v>109</v>
      </c>
      <c r="G639" s="51">
        <v>169002821</v>
      </c>
      <c r="H639" s="52">
        <v>62</v>
      </c>
      <c r="I639" s="52">
        <f>L639+M639+N639</f>
        <v>53.54559999999999</v>
      </c>
      <c r="J639" s="52">
        <f>O639+P639</f>
        <v>8.0544</v>
      </c>
      <c r="K639" s="53">
        <f>IF(H639=I639+J639,0,W639)</f>
        <v>0.4</v>
      </c>
      <c r="L639" s="52">
        <v>18.0992</v>
      </c>
      <c r="M639" s="52">
        <v>35.4464</v>
      </c>
      <c r="N639" s="52">
        <v>0</v>
      </c>
      <c r="O639" s="52">
        <v>3.8008</v>
      </c>
      <c r="P639" s="52">
        <v>4.2536</v>
      </c>
      <c r="Q639" s="54">
        <v>53.5456</v>
      </c>
      <c r="R639" s="52">
        <v>61.6</v>
      </c>
      <c r="S639" s="52">
        <v>0</v>
      </c>
      <c r="T639" s="52">
        <v>0</v>
      </c>
      <c r="U639" s="52">
        <v>0</v>
      </c>
      <c r="V639" s="52">
        <v>0</v>
      </c>
      <c r="W639" s="52">
        <v>0.4</v>
      </c>
      <c r="X639" s="54">
        <v>70</v>
      </c>
      <c r="Y639" s="52">
        <v>0</v>
      </c>
      <c r="Z639" s="52">
        <v>0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46132.73667824074</v>
      </c>
      <c r="AH639" s="52">
        <v>35620</v>
      </c>
      <c r="AI639" s="52">
        <v>0</v>
      </c>
      <c r="AJ639" s="53">
        <f>AH639+AI639</f>
        <v>35620</v>
      </c>
      <c r="AK639" s="56">
        <v>0</v>
      </c>
    </row>
    <row r="640">
      <c r="A640" s="48">
        <v>46132.74151620371</v>
      </c>
      <c r="B640" s="49" t="s">
        <v>108</v>
      </c>
      <c r="C640" s="49" t="s">
        <v>111</v>
      </c>
      <c r="D640" s="49" t="s">
        <v>5</v>
      </c>
      <c r="E640" s="50">
        <v>96</v>
      </c>
      <c r="F640" s="49" t="s">
        <v>109</v>
      </c>
      <c r="G640" s="51">
        <v>169002822</v>
      </c>
      <c r="H640" s="52">
        <v>35</v>
      </c>
      <c r="I640" s="52">
        <f>L640+M640+N640</f>
        <v>30.760800000000003</v>
      </c>
      <c r="J640" s="52">
        <f>O640+P640</f>
        <v>4.5392</v>
      </c>
      <c r="K640" s="53">
        <f>IF(H640=I640+J640,0,W640)</f>
        <v>-0.3</v>
      </c>
      <c r="L640" s="52">
        <v>9.4215</v>
      </c>
      <c r="M640" s="52">
        <v>21.3393</v>
      </c>
      <c r="N640" s="52">
        <v>0</v>
      </c>
      <c r="O640" s="52">
        <v>1.9785</v>
      </c>
      <c r="P640" s="52">
        <v>2.5607</v>
      </c>
      <c r="Q640" s="54">
        <v>30.7608</v>
      </c>
      <c r="R640" s="52">
        <v>35.3</v>
      </c>
      <c r="S640" s="52">
        <v>0</v>
      </c>
      <c r="T640" s="52">
        <v>0</v>
      </c>
      <c r="U640" s="52">
        <v>0</v>
      </c>
      <c r="V640" s="52">
        <v>0</v>
      </c>
      <c r="W640" s="52">
        <v>-0.3</v>
      </c>
      <c r="X640" s="54">
        <v>35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46132.74151620371</v>
      </c>
      <c r="AH640" s="52">
        <v>35655</v>
      </c>
      <c r="AI640" s="52">
        <v>0</v>
      </c>
      <c r="AJ640" s="53">
        <f>AH640+AI640</f>
        <v>35655</v>
      </c>
      <c r="AK640" s="56">
        <v>0</v>
      </c>
    </row>
    <row r="641">
      <c r="A641" s="48">
        <v>46132.7419212963</v>
      </c>
      <c r="B641" s="49" t="s">
        <v>108</v>
      </c>
      <c r="C641" s="49" t="s">
        <v>111</v>
      </c>
      <c r="D641" s="49" t="s">
        <v>5</v>
      </c>
      <c r="E641" s="50">
        <v>96</v>
      </c>
      <c r="F641" s="49" t="s">
        <v>109</v>
      </c>
      <c r="G641" s="51">
        <v>169002823</v>
      </c>
      <c r="H641" s="52">
        <v>95.4</v>
      </c>
      <c r="I641" s="52">
        <f>L641+M641+N641</f>
        <v>78.843</v>
      </c>
      <c r="J641" s="52">
        <f>O641+P641</f>
        <v>16.557</v>
      </c>
      <c r="K641" s="53">
        <f>IF(H641=I641+J641,0,W641)</f>
        <v>0</v>
      </c>
      <c r="L641" s="52">
        <v>78.843</v>
      </c>
      <c r="M641" s="52">
        <v>0</v>
      </c>
      <c r="N641" s="52">
        <v>0</v>
      </c>
      <c r="O641" s="52">
        <v>16.557</v>
      </c>
      <c r="P641" s="52">
        <v>0</v>
      </c>
      <c r="Q641" s="54">
        <v>78.843</v>
      </c>
      <c r="R641" s="52">
        <v>95.4</v>
      </c>
      <c r="S641" s="52">
        <v>0</v>
      </c>
      <c r="T641" s="52">
        <v>0</v>
      </c>
      <c r="U641" s="52">
        <v>0</v>
      </c>
      <c r="V641" s="52">
        <v>0</v>
      </c>
      <c r="W641" s="52">
        <v>0</v>
      </c>
      <c r="X641" s="54">
        <v>0</v>
      </c>
      <c r="Y641" s="52">
        <v>0</v>
      </c>
      <c r="Z641" s="52">
        <v>95.4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46132.7419212963</v>
      </c>
      <c r="AH641" s="52">
        <v>35655</v>
      </c>
      <c r="AI641" s="52">
        <v>0</v>
      </c>
      <c r="AJ641" s="53">
        <f>AH641+AI641</f>
        <v>35655</v>
      </c>
      <c r="AK641" s="56">
        <v>0</v>
      </c>
    </row>
    <row r="642">
      <c r="A642" s="48">
        <v>46132.7424537037</v>
      </c>
      <c r="B642" s="49" t="s">
        <v>108</v>
      </c>
      <c r="C642" s="49" t="s">
        <v>111</v>
      </c>
      <c r="D642" s="49" t="s">
        <v>5</v>
      </c>
      <c r="E642" s="50">
        <v>96</v>
      </c>
      <c r="F642" s="49" t="s">
        <v>109</v>
      </c>
      <c r="G642" s="51">
        <v>169002824</v>
      </c>
      <c r="H642" s="52">
        <v>173</v>
      </c>
      <c r="I642" s="52">
        <f>L642+M642+N642</f>
        <v>142.9752</v>
      </c>
      <c r="J642" s="52">
        <f>O642+P642</f>
        <v>30.0248</v>
      </c>
      <c r="K642" s="53">
        <f>IF(H642=I642+J642,0,W642)</f>
        <v>0</v>
      </c>
      <c r="L642" s="52">
        <v>142.9752</v>
      </c>
      <c r="M642" s="52">
        <v>0</v>
      </c>
      <c r="N642" s="52">
        <v>0</v>
      </c>
      <c r="O642" s="52">
        <v>30.0248</v>
      </c>
      <c r="P642" s="52">
        <v>0</v>
      </c>
      <c r="Q642" s="54">
        <v>142.9752</v>
      </c>
      <c r="R642" s="52">
        <v>173</v>
      </c>
      <c r="S642" s="52">
        <v>0</v>
      </c>
      <c r="T642" s="52">
        <v>0</v>
      </c>
      <c r="U642" s="52">
        <v>0</v>
      </c>
      <c r="V642" s="52">
        <v>0</v>
      </c>
      <c r="W642" s="52">
        <v>0</v>
      </c>
      <c r="X642" s="54">
        <v>200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46132.7424537037</v>
      </c>
      <c r="AH642" s="52">
        <v>35828</v>
      </c>
      <c r="AI642" s="52">
        <v>0</v>
      </c>
      <c r="AJ642" s="53">
        <f>AH642+AI642</f>
        <v>35828</v>
      </c>
      <c r="AK642" s="56">
        <v>0</v>
      </c>
    </row>
    <row r="643">
      <c r="A643" s="48">
        <v>46132.74346064815</v>
      </c>
      <c r="B643" s="49" t="s">
        <v>108</v>
      </c>
      <c r="C643" s="49" t="s">
        <v>111</v>
      </c>
      <c r="D643" s="49" t="s">
        <v>5</v>
      </c>
      <c r="E643" s="50">
        <v>96</v>
      </c>
      <c r="F643" s="49" t="s">
        <v>109</v>
      </c>
      <c r="G643" s="51">
        <v>169002825</v>
      </c>
      <c r="H643" s="52">
        <v>374.19</v>
      </c>
      <c r="I643" s="52">
        <f>L643+M643+N643</f>
        <v>334.0981</v>
      </c>
      <c r="J643" s="52">
        <f>O643+P643</f>
        <v>40.0919</v>
      </c>
      <c r="K643" s="53">
        <f>IF(H643=I643+J643,0,W643)</f>
        <v>0</v>
      </c>
      <c r="L643" s="52">
        <v>0</v>
      </c>
      <c r="M643" s="52">
        <v>334.0981</v>
      </c>
      <c r="N643" s="52">
        <v>0</v>
      </c>
      <c r="O643" s="52">
        <v>0</v>
      </c>
      <c r="P643" s="52">
        <v>40.0919</v>
      </c>
      <c r="Q643" s="54">
        <v>334.0981</v>
      </c>
      <c r="R643" s="52">
        <v>374.19</v>
      </c>
      <c r="S643" s="52">
        <v>0</v>
      </c>
      <c r="T643" s="52">
        <v>0</v>
      </c>
      <c r="U643" s="52">
        <v>0</v>
      </c>
      <c r="V643" s="52">
        <v>0</v>
      </c>
      <c r="W643" s="52">
        <v>0</v>
      </c>
      <c r="X643" s="54">
        <v>0</v>
      </c>
      <c r="Y643" s="52">
        <v>0</v>
      </c>
      <c r="Z643" s="52">
        <v>374.19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46132.74346064815</v>
      </c>
      <c r="AH643" s="52">
        <v>35828</v>
      </c>
      <c r="AI643" s="52">
        <v>0</v>
      </c>
      <c r="AJ643" s="53">
        <f>AH643+AI643</f>
        <v>35828</v>
      </c>
      <c r="AK643" s="56">
        <v>5.397</v>
      </c>
    </row>
    <row r="644">
      <c r="A644" s="48">
        <v>46132.74407407407</v>
      </c>
      <c r="B644" s="49" t="s">
        <v>108</v>
      </c>
      <c r="C644" s="49" t="s">
        <v>111</v>
      </c>
      <c r="D644" s="49" t="s">
        <v>5</v>
      </c>
      <c r="E644" s="50">
        <v>96</v>
      </c>
      <c r="F644" s="49" t="s">
        <v>109</v>
      </c>
      <c r="G644" s="51">
        <v>169002826</v>
      </c>
      <c r="H644" s="52">
        <v>196.99</v>
      </c>
      <c r="I644" s="52">
        <f>L644+M644+N644</f>
        <v>167.35660000000001</v>
      </c>
      <c r="J644" s="52">
        <f>O644+P644</f>
        <v>29.6334</v>
      </c>
      <c r="K644" s="53">
        <f>IF(H644=I644+J644,0,W644)</f>
        <v>0</v>
      </c>
      <c r="L644" s="52">
        <v>106.1156</v>
      </c>
      <c r="M644" s="52">
        <v>61.241</v>
      </c>
      <c r="N644" s="52">
        <v>0</v>
      </c>
      <c r="O644" s="52">
        <v>22.2844</v>
      </c>
      <c r="P644" s="52">
        <v>7.349</v>
      </c>
      <c r="Q644" s="54">
        <v>167.3566</v>
      </c>
      <c r="R644" s="52">
        <v>196.99</v>
      </c>
      <c r="S644" s="52">
        <v>0</v>
      </c>
      <c r="T644" s="52">
        <v>0</v>
      </c>
      <c r="U644" s="52">
        <v>0</v>
      </c>
      <c r="V644" s="52">
        <v>0</v>
      </c>
      <c r="W644" s="52">
        <v>0</v>
      </c>
      <c r="X644" s="54">
        <v>0</v>
      </c>
      <c r="Y644" s="52">
        <v>0</v>
      </c>
      <c r="Z644" s="52">
        <v>196.99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46132.74407407407</v>
      </c>
      <c r="AH644" s="52">
        <v>35828</v>
      </c>
      <c r="AI644" s="52">
        <v>0</v>
      </c>
      <c r="AJ644" s="53">
        <f>AH644+AI644</f>
        <v>35828</v>
      </c>
      <c r="AK644" s="56">
        <v>0</v>
      </c>
    </row>
    <row r="645">
      <c r="A645" s="48">
        <v>46132.74427083333</v>
      </c>
      <c r="B645" s="49" t="s">
        <v>108</v>
      </c>
      <c r="C645" s="49" t="s">
        <v>111</v>
      </c>
      <c r="D645" s="49" t="s">
        <v>5</v>
      </c>
      <c r="E645" s="50">
        <v>96</v>
      </c>
      <c r="F645" s="49" t="s">
        <v>109</v>
      </c>
      <c r="G645" s="51">
        <v>169002827</v>
      </c>
      <c r="H645" s="52">
        <v>38</v>
      </c>
      <c r="I645" s="52">
        <f>L645+M645+N645</f>
        <v>34.0982</v>
      </c>
      <c r="J645" s="52">
        <f>O645+P645</f>
        <v>4.0918</v>
      </c>
      <c r="K645" s="53">
        <f>IF(H645=I645+J645,0,W645)</f>
        <v>-0.19</v>
      </c>
      <c r="L645" s="52">
        <v>0</v>
      </c>
      <c r="M645" s="52">
        <v>34.0982</v>
      </c>
      <c r="N645" s="52">
        <v>0</v>
      </c>
      <c r="O645" s="52">
        <v>0</v>
      </c>
      <c r="P645" s="52">
        <v>4.0918</v>
      </c>
      <c r="Q645" s="54">
        <v>34.0982</v>
      </c>
      <c r="R645" s="52">
        <v>38.19</v>
      </c>
      <c r="S645" s="52">
        <v>0</v>
      </c>
      <c r="T645" s="52">
        <v>0</v>
      </c>
      <c r="U645" s="52">
        <v>0</v>
      </c>
      <c r="V645" s="52">
        <v>0</v>
      </c>
      <c r="W645" s="52">
        <v>-0.19</v>
      </c>
      <c r="X645" s="54">
        <v>50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46132.74427083333</v>
      </c>
      <c r="AH645" s="52">
        <v>35866</v>
      </c>
      <c r="AI645" s="52">
        <v>0</v>
      </c>
      <c r="AJ645" s="53">
        <f>AH645+AI645</f>
        <v>35866</v>
      </c>
      <c r="AK645" s="56">
        <v>0</v>
      </c>
    </row>
    <row r="646">
      <c r="A646" s="48">
        <v>46132.74460648148</v>
      </c>
      <c r="B646" s="49" t="s">
        <v>108</v>
      </c>
      <c r="C646" s="49" t="s">
        <v>111</v>
      </c>
      <c r="D646" s="49" t="s">
        <v>5</v>
      </c>
      <c r="E646" s="50">
        <v>96</v>
      </c>
      <c r="F646" s="49" t="s">
        <v>109</v>
      </c>
      <c r="G646" s="51">
        <v>169002828</v>
      </c>
      <c r="H646" s="52">
        <v>75.71</v>
      </c>
      <c r="I646" s="52">
        <f>L646+M646+N646</f>
        <v>67.5982</v>
      </c>
      <c r="J646" s="52">
        <f>O646+P646</f>
        <v>8.1118</v>
      </c>
      <c r="K646" s="53">
        <f>IF(H646=I646+J646,0,W646)</f>
        <v>0</v>
      </c>
      <c r="L646" s="52">
        <v>0</v>
      </c>
      <c r="M646" s="52">
        <v>67.5982</v>
      </c>
      <c r="N646" s="52">
        <v>0</v>
      </c>
      <c r="O646" s="52">
        <v>0</v>
      </c>
      <c r="P646" s="52">
        <v>8.1118</v>
      </c>
      <c r="Q646" s="54">
        <v>67.5982</v>
      </c>
      <c r="R646" s="52">
        <v>75.71</v>
      </c>
      <c r="S646" s="52">
        <v>0</v>
      </c>
      <c r="T646" s="52">
        <v>0</v>
      </c>
      <c r="U646" s="52">
        <v>0</v>
      </c>
      <c r="V646" s="52">
        <v>0</v>
      </c>
      <c r="W646" s="52">
        <v>0</v>
      </c>
      <c r="X646" s="54">
        <v>0</v>
      </c>
      <c r="Y646" s="52">
        <v>0</v>
      </c>
      <c r="Z646" s="52">
        <v>75.71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46132.74460648148</v>
      </c>
      <c r="AH646" s="52">
        <v>35866</v>
      </c>
      <c r="AI646" s="52">
        <v>0</v>
      </c>
      <c r="AJ646" s="53">
        <f>AH646+AI646</f>
        <v>35866</v>
      </c>
      <c r="AK646" s="56">
        <v>11.1178</v>
      </c>
    </row>
    <row r="647">
      <c r="A647" s="48">
        <v>46132.745150462964</v>
      </c>
      <c r="B647" s="49" t="s">
        <v>108</v>
      </c>
      <c r="C647" s="49" t="s">
        <v>100</v>
      </c>
      <c r="D647" s="49" t="s">
        <v>5</v>
      </c>
      <c r="E647" s="50">
        <v>96</v>
      </c>
      <c r="F647" s="49" t="s">
        <v>105</v>
      </c>
      <c r="G647" s="51">
        <v>161000389</v>
      </c>
      <c r="H647" s="52">
        <v>29.9</v>
      </c>
      <c r="I647" s="52">
        <f>L647+M647+N647</f>
        <v>26.69</v>
      </c>
      <c r="J647" s="52">
        <f>O647+P647</f>
        <v>3.21</v>
      </c>
      <c r="K647" s="53">
        <f>IF(H647=I647+J647,0,W647)</f>
        <v>0</v>
      </c>
      <c r="L647" s="52">
        <v>0</v>
      </c>
      <c r="M647" s="52">
        <v>26.69</v>
      </c>
      <c r="N647" s="52">
        <v>0</v>
      </c>
      <c r="O647" s="52">
        <v>0</v>
      </c>
      <c r="P647" s="52">
        <v>3.21</v>
      </c>
      <c r="Q647" s="54">
        <v>26.69</v>
      </c>
      <c r="R647" s="52">
        <v>29.9</v>
      </c>
      <c r="S647" s="52">
        <v>0</v>
      </c>
      <c r="T647" s="52">
        <v>0</v>
      </c>
      <c r="U647" s="52">
        <v>0</v>
      </c>
      <c r="V647" s="52">
        <v>0</v>
      </c>
      <c r="W647" s="52">
        <v>0</v>
      </c>
      <c r="X647" s="54">
        <v>0</v>
      </c>
      <c r="Y647" s="52">
        <v>0</v>
      </c>
      <c r="Z647" s="52">
        <v>29.9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46132.745150462964</v>
      </c>
      <c r="AH647" s="52">
        <v>0</v>
      </c>
      <c r="AI647" s="52">
        <v>0</v>
      </c>
      <c r="AJ647" s="53">
        <f>AH647+AI647</f>
        <v>0</v>
      </c>
      <c r="AK647" s="56">
        <v>0</v>
      </c>
    </row>
    <row r="648">
      <c r="A648" s="48">
        <v>46132.74667824074</v>
      </c>
      <c r="B648" s="49" t="s">
        <v>108</v>
      </c>
      <c r="C648" s="49" t="s">
        <v>111</v>
      </c>
      <c r="D648" s="49" t="s">
        <v>5</v>
      </c>
      <c r="E648" s="50">
        <v>96</v>
      </c>
      <c r="F648" s="49" t="s">
        <v>109</v>
      </c>
      <c r="G648" s="51">
        <v>169002829</v>
      </c>
      <c r="H648" s="52">
        <v>202.5</v>
      </c>
      <c r="I648" s="52">
        <f>L648+M648+N648</f>
        <v>180.8035</v>
      </c>
      <c r="J648" s="52">
        <f>O648+P648</f>
        <v>21.6965</v>
      </c>
      <c r="K648" s="53">
        <f>IF(H648=I648+J648,0,W648)</f>
        <v>0</v>
      </c>
      <c r="L648" s="52">
        <v>0</v>
      </c>
      <c r="M648" s="52">
        <v>180.8035</v>
      </c>
      <c r="N648" s="52">
        <v>0</v>
      </c>
      <c r="O648" s="52">
        <v>0</v>
      </c>
      <c r="P648" s="52">
        <v>21.6965</v>
      </c>
      <c r="Q648" s="54">
        <v>180.8035</v>
      </c>
      <c r="R648" s="52">
        <v>202.5</v>
      </c>
      <c r="S648" s="52">
        <v>0</v>
      </c>
      <c r="T648" s="52">
        <v>0</v>
      </c>
      <c r="U648" s="52">
        <v>0</v>
      </c>
      <c r="V648" s="52">
        <v>0</v>
      </c>
      <c r="W648" s="52">
        <v>0</v>
      </c>
      <c r="X648" s="54">
        <v>0</v>
      </c>
      <c r="Y648" s="52">
        <v>0</v>
      </c>
      <c r="Z648" s="52">
        <v>202.5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46132.74667824074</v>
      </c>
      <c r="AH648" s="52">
        <v>35866</v>
      </c>
      <c r="AI648" s="52">
        <v>0</v>
      </c>
      <c r="AJ648" s="53">
        <f>AH648+AI648</f>
        <v>35866</v>
      </c>
      <c r="AK648" s="56">
        <v>0</v>
      </c>
    </row>
    <row r="649">
      <c r="A649" s="48">
        <v>46132.74696759259</v>
      </c>
      <c r="B649" s="49" t="s">
        <v>108</v>
      </c>
      <c r="C649" s="49" t="s">
        <v>111</v>
      </c>
      <c r="D649" s="49" t="s">
        <v>5</v>
      </c>
      <c r="E649" s="50">
        <v>96</v>
      </c>
      <c r="F649" s="49" t="s">
        <v>109</v>
      </c>
      <c r="G649" s="51">
        <v>169002830</v>
      </c>
      <c r="H649" s="52">
        <v>39.8</v>
      </c>
      <c r="I649" s="52">
        <f>L649+M649+N649</f>
        <v>35.5357</v>
      </c>
      <c r="J649" s="52">
        <f>O649+P649</f>
        <v>4.2643</v>
      </c>
      <c r="K649" s="53">
        <f>IF(H649=I649+J649,0,W649)</f>
        <v>0</v>
      </c>
      <c r="L649" s="52">
        <v>0</v>
      </c>
      <c r="M649" s="52">
        <v>35.5357</v>
      </c>
      <c r="N649" s="52">
        <v>0</v>
      </c>
      <c r="O649" s="52">
        <v>0</v>
      </c>
      <c r="P649" s="52">
        <v>4.2643</v>
      </c>
      <c r="Q649" s="54">
        <v>35.5357</v>
      </c>
      <c r="R649" s="52">
        <v>39.8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39.8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46132.74696759259</v>
      </c>
      <c r="AH649" s="52">
        <v>35866</v>
      </c>
      <c r="AI649" s="52">
        <v>0</v>
      </c>
      <c r="AJ649" s="53">
        <f>AH649+AI649</f>
        <v>35866</v>
      </c>
      <c r="AK649" s="56">
        <v>0</v>
      </c>
    </row>
    <row r="650">
      <c r="A650" s="48">
        <v>46132.74700231481</v>
      </c>
      <c r="B650" s="49" t="s">
        <v>108</v>
      </c>
      <c r="C650" s="49" t="s">
        <v>100</v>
      </c>
      <c r="D650" s="49" t="s">
        <v>5</v>
      </c>
      <c r="E650" s="50">
        <v>96</v>
      </c>
      <c r="F650" s="49" t="s">
        <v>105</v>
      </c>
      <c r="G650" s="51">
        <v>161000390</v>
      </c>
      <c r="H650" s="52">
        <v>94.6</v>
      </c>
      <c r="I650" s="52">
        <f>L650+M650+N650</f>
        <v>84.45</v>
      </c>
      <c r="J650" s="52">
        <f>O650+P650</f>
        <v>10.15</v>
      </c>
      <c r="K650" s="53">
        <f>IF(H650=I650+J650,0,W650)</f>
        <v>0</v>
      </c>
      <c r="L650" s="52">
        <v>0</v>
      </c>
      <c r="M650" s="52">
        <v>84.45</v>
      </c>
      <c r="N650" s="52">
        <v>0</v>
      </c>
      <c r="O650" s="52">
        <v>0</v>
      </c>
      <c r="P650" s="52">
        <v>10.15</v>
      </c>
      <c r="Q650" s="54">
        <v>84.45</v>
      </c>
      <c r="R650" s="52">
        <v>94.6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94.6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46132.74700231481</v>
      </c>
      <c r="AH650" s="52">
        <v>0</v>
      </c>
      <c r="AI650" s="52">
        <v>0</v>
      </c>
      <c r="AJ650" s="53">
        <f>AH650+AI650</f>
        <v>0</v>
      </c>
      <c r="AK650" s="56">
        <v>0</v>
      </c>
    </row>
    <row r="651">
      <c r="A651" s="48">
        <v>46132.75011574074</v>
      </c>
      <c r="B651" s="49" t="s">
        <v>108</v>
      </c>
      <c r="C651" s="49" t="s">
        <v>111</v>
      </c>
      <c r="D651" s="49" t="s">
        <v>5</v>
      </c>
      <c r="E651" s="50">
        <v>96</v>
      </c>
      <c r="F651" s="49" t="s">
        <v>109</v>
      </c>
      <c r="G651" s="51">
        <v>169002831</v>
      </c>
      <c r="H651" s="52">
        <v>308.23</v>
      </c>
      <c r="I651" s="52">
        <f>L651+M651+N651</f>
        <v>268.8698</v>
      </c>
      <c r="J651" s="52">
        <f>O651+P651</f>
        <v>39.3602</v>
      </c>
      <c r="K651" s="53">
        <f>IF(H651=I651+J651,0,W651)</f>
        <v>0</v>
      </c>
      <c r="L651" s="52">
        <v>78.843</v>
      </c>
      <c r="M651" s="52">
        <v>190.0268</v>
      </c>
      <c r="N651" s="52">
        <v>0</v>
      </c>
      <c r="O651" s="52">
        <v>16.557</v>
      </c>
      <c r="P651" s="52">
        <v>22.8032</v>
      </c>
      <c r="Q651" s="54">
        <v>268.8698</v>
      </c>
      <c r="R651" s="52">
        <v>308.23</v>
      </c>
      <c r="S651" s="52">
        <v>0</v>
      </c>
      <c r="T651" s="52">
        <v>0</v>
      </c>
      <c r="U651" s="52">
        <v>0</v>
      </c>
      <c r="V651" s="52">
        <v>0</v>
      </c>
      <c r="W651" s="52">
        <v>0</v>
      </c>
      <c r="X651" s="54">
        <v>0</v>
      </c>
      <c r="Y651" s="52">
        <v>0</v>
      </c>
      <c r="Z651" s="52">
        <v>308.23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46132.75011574074</v>
      </c>
      <c r="AH651" s="52">
        <v>35866</v>
      </c>
      <c r="AI651" s="52">
        <v>0</v>
      </c>
      <c r="AJ651" s="53">
        <f>AH651+AI651</f>
        <v>35866</v>
      </c>
      <c r="AK651" s="56">
        <v>52.05</v>
      </c>
    </row>
    <row r="652">
      <c r="A652" s="48">
        <v>46132.75037037037</v>
      </c>
      <c r="B652" s="49" t="s">
        <v>108</v>
      </c>
      <c r="C652" s="49" t="s">
        <v>111</v>
      </c>
      <c r="D652" s="49" t="s">
        <v>5</v>
      </c>
      <c r="E652" s="50">
        <v>96</v>
      </c>
      <c r="F652" s="49" t="s">
        <v>109</v>
      </c>
      <c r="G652" s="51">
        <v>169002832</v>
      </c>
      <c r="H652" s="52">
        <v>50</v>
      </c>
      <c r="I652" s="52">
        <f>L652+M652+N652</f>
        <v>41.157</v>
      </c>
      <c r="J652" s="52">
        <f>O652+P652</f>
        <v>8.643</v>
      </c>
      <c r="K652" s="53">
        <f>IF(H652=I652+J652,0,W652)</f>
        <v>0.2</v>
      </c>
      <c r="L652" s="52">
        <v>41.157</v>
      </c>
      <c r="M652" s="52">
        <v>0</v>
      </c>
      <c r="N652" s="52">
        <v>0</v>
      </c>
      <c r="O652" s="52">
        <v>8.643</v>
      </c>
      <c r="P652" s="52">
        <v>0</v>
      </c>
      <c r="Q652" s="54">
        <v>41.157</v>
      </c>
      <c r="R652" s="52">
        <v>49.8</v>
      </c>
      <c r="S652" s="52">
        <v>0</v>
      </c>
      <c r="T652" s="52">
        <v>0</v>
      </c>
      <c r="U652" s="52">
        <v>0</v>
      </c>
      <c r="V652" s="52">
        <v>0</v>
      </c>
      <c r="W652" s="52">
        <v>0.2</v>
      </c>
      <c r="X652" s="54">
        <v>200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46132.75037037037</v>
      </c>
      <c r="AH652" s="52">
        <v>35916</v>
      </c>
      <c r="AI652" s="52">
        <v>0</v>
      </c>
      <c r="AJ652" s="53">
        <f>AH652+AI652</f>
        <v>35916</v>
      </c>
      <c r="AK652" s="56">
        <v>0</v>
      </c>
    </row>
    <row r="653">
      <c r="A653" s="48">
        <v>46132.751388888886</v>
      </c>
      <c r="B653" s="49" t="s">
        <v>108</v>
      </c>
      <c r="C653" s="49" t="s">
        <v>111</v>
      </c>
      <c r="D653" s="49" t="s">
        <v>5</v>
      </c>
      <c r="E653" s="50">
        <v>96</v>
      </c>
      <c r="F653" s="49" t="s">
        <v>109</v>
      </c>
      <c r="G653" s="51">
        <v>169002833</v>
      </c>
      <c r="H653" s="52">
        <v>642</v>
      </c>
      <c r="I653" s="52">
        <f>L653+M653+N653</f>
        <v>545.8248</v>
      </c>
      <c r="J653" s="52">
        <f>O653+P653</f>
        <v>95.67519999999999</v>
      </c>
      <c r="K653" s="53">
        <f>IF(H653=I653+J653,0,W653)</f>
        <v>0.5</v>
      </c>
      <c r="L653" s="52">
        <v>335.2892</v>
      </c>
      <c r="M653" s="52">
        <v>210.5356</v>
      </c>
      <c r="N653" s="52">
        <v>0</v>
      </c>
      <c r="O653" s="52">
        <v>70.4108</v>
      </c>
      <c r="P653" s="52">
        <v>25.2644</v>
      </c>
      <c r="Q653" s="54">
        <v>545.8248</v>
      </c>
      <c r="R653" s="52">
        <v>641.5</v>
      </c>
      <c r="S653" s="52">
        <v>0</v>
      </c>
      <c r="T653" s="52">
        <v>0</v>
      </c>
      <c r="U653" s="52">
        <v>0</v>
      </c>
      <c r="V653" s="52">
        <v>0</v>
      </c>
      <c r="W653" s="52">
        <v>0.5</v>
      </c>
      <c r="X653" s="54">
        <v>1002</v>
      </c>
      <c r="Y653" s="52">
        <v>0</v>
      </c>
      <c r="Z653" s="52">
        <v>0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46132.751388888886</v>
      </c>
      <c r="AH653" s="52">
        <v>36558</v>
      </c>
      <c r="AI653" s="52">
        <v>0</v>
      </c>
      <c r="AJ653" s="53">
        <f>AH653+AI653</f>
        <v>36558</v>
      </c>
      <c r="AK653" s="56">
        <v>0</v>
      </c>
    </row>
    <row r="654">
      <c r="A654" s="48">
        <v>46132.75247685185</v>
      </c>
      <c r="B654" s="49" t="s">
        <v>108</v>
      </c>
      <c r="C654" s="49" t="s">
        <v>111</v>
      </c>
      <c r="D654" s="49" t="s">
        <v>5</v>
      </c>
      <c r="E654" s="50">
        <v>96</v>
      </c>
      <c r="F654" s="49" t="s">
        <v>109</v>
      </c>
      <c r="G654" s="51">
        <v>169002834</v>
      </c>
      <c r="H654" s="52">
        <v>195.6</v>
      </c>
      <c r="I654" s="52">
        <f>L654+M654+N654</f>
        <v>174.5167</v>
      </c>
      <c r="J654" s="52">
        <f>O654+P654</f>
        <v>21.083299999999998</v>
      </c>
      <c r="K654" s="53">
        <f>IF(H654=I654+J654,0,W654)</f>
        <v>0</v>
      </c>
      <c r="L654" s="52">
        <v>1.5702</v>
      </c>
      <c r="M654" s="52">
        <v>172.9465</v>
      </c>
      <c r="N654" s="52">
        <v>0</v>
      </c>
      <c r="O654" s="52">
        <v>0.3298</v>
      </c>
      <c r="P654" s="52">
        <v>20.7535</v>
      </c>
      <c r="Q654" s="54">
        <v>174.5167</v>
      </c>
      <c r="R654" s="52">
        <v>195.6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195.6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46132.75247685185</v>
      </c>
      <c r="AH654" s="52">
        <v>36558</v>
      </c>
      <c r="AI654" s="52">
        <v>0</v>
      </c>
      <c r="AJ654" s="53">
        <f>AH654+AI654</f>
        <v>36558</v>
      </c>
      <c r="AK654" s="56">
        <v>0</v>
      </c>
    </row>
    <row r="655">
      <c r="A655" s="48">
        <v>46132.75267361111</v>
      </c>
      <c r="B655" s="49" t="s">
        <v>108</v>
      </c>
      <c r="C655" s="49" t="s">
        <v>111</v>
      </c>
      <c r="D655" s="49" t="s">
        <v>5</v>
      </c>
      <c r="E655" s="50">
        <v>96</v>
      </c>
      <c r="F655" s="49" t="s">
        <v>109</v>
      </c>
      <c r="G655" s="51">
        <v>169002835</v>
      </c>
      <c r="H655" s="52">
        <v>106</v>
      </c>
      <c r="I655" s="52">
        <f>L655+M655+N655</f>
        <v>92.7107</v>
      </c>
      <c r="J655" s="52">
        <f>O655+P655</f>
        <v>12.9893</v>
      </c>
      <c r="K655" s="53">
        <f>IF(H655=I655+J655,0,W655)</f>
        <v>0.3</v>
      </c>
      <c r="L655" s="52">
        <v>24.7107</v>
      </c>
      <c r="M655" s="52">
        <v>65</v>
      </c>
      <c r="N655" s="52">
        <v>3</v>
      </c>
      <c r="O655" s="52">
        <v>5.1893</v>
      </c>
      <c r="P655" s="52">
        <v>7.8</v>
      </c>
      <c r="Q655" s="54">
        <v>89.7107</v>
      </c>
      <c r="R655" s="52">
        <v>102.7</v>
      </c>
      <c r="S655" s="52">
        <v>0</v>
      </c>
      <c r="T655" s="52">
        <v>0</v>
      </c>
      <c r="U655" s="52">
        <v>3</v>
      </c>
      <c r="V655" s="52">
        <v>0</v>
      </c>
      <c r="W655" s="52">
        <v>0.3</v>
      </c>
      <c r="X655" s="54">
        <v>200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46132.75267361111</v>
      </c>
      <c r="AH655" s="52">
        <v>36664</v>
      </c>
      <c r="AI655" s="52">
        <v>0</v>
      </c>
      <c r="AJ655" s="53">
        <f>AH655+AI655</f>
        <v>36664</v>
      </c>
      <c r="AK655" s="56">
        <v>0</v>
      </c>
    </row>
    <row r="656">
      <c r="A656" s="48">
        <v>46132.753287037034</v>
      </c>
      <c r="B656" s="49" t="s">
        <v>108</v>
      </c>
      <c r="C656" s="49" t="s">
        <v>111</v>
      </c>
      <c r="D656" s="49" t="s">
        <v>5</v>
      </c>
      <c r="E656" s="50">
        <v>96</v>
      </c>
      <c r="F656" s="49" t="s">
        <v>109</v>
      </c>
      <c r="G656" s="51">
        <v>169002836</v>
      </c>
      <c r="H656" s="52">
        <v>286.8</v>
      </c>
      <c r="I656" s="52">
        <f>L656+M656+N656</f>
        <v>247.4845</v>
      </c>
      <c r="J656" s="52">
        <f>O656+P656</f>
        <v>39.3155</v>
      </c>
      <c r="K656" s="53">
        <f>IF(H656=I656+J656,0,W656)</f>
        <v>0</v>
      </c>
      <c r="L656" s="52">
        <v>106.8595</v>
      </c>
      <c r="M656" s="52">
        <v>140.625</v>
      </c>
      <c r="N656" s="52">
        <v>0</v>
      </c>
      <c r="O656" s="52">
        <v>22.4405</v>
      </c>
      <c r="P656" s="52">
        <v>16.875</v>
      </c>
      <c r="Q656" s="54">
        <v>247.4845</v>
      </c>
      <c r="R656" s="52">
        <v>286.8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286.8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46132.753287037034</v>
      </c>
      <c r="AH656" s="52">
        <v>36664</v>
      </c>
      <c r="AI656" s="52">
        <v>0</v>
      </c>
      <c r="AJ656" s="53">
        <f>AH656+AI656</f>
        <v>36664</v>
      </c>
      <c r="AK656" s="56">
        <v>0</v>
      </c>
    </row>
    <row r="657">
      <c r="A657" s="48">
        <v>46132.7533912037</v>
      </c>
      <c r="B657" s="49" t="s">
        <v>108</v>
      </c>
      <c r="C657" s="49" t="s">
        <v>111</v>
      </c>
      <c r="D657" s="49" t="s">
        <v>5</v>
      </c>
      <c r="E657" s="50">
        <v>96</v>
      </c>
      <c r="F657" s="49" t="s">
        <v>109</v>
      </c>
      <c r="G657" s="51">
        <v>169002837</v>
      </c>
      <c r="H657" s="52">
        <v>23</v>
      </c>
      <c r="I657" s="52">
        <f>L657+M657+N657</f>
        <v>18.9256</v>
      </c>
      <c r="J657" s="52">
        <f>O657+P657</f>
        <v>3.9744</v>
      </c>
      <c r="K657" s="53">
        <f>IF(H657=I657+J657,0,W657)</f>
        <v>0.1</v>
      </c>
      <c r="L657" s="52">
        <v>18.9256</v>
      </c>
      <c r="M657" s="52">
        <v>0</v>
      </c>
      <c r="N657" s="52">
        <v>0</v>
      </c>
      <c r="O657" s="52">
        <v>3.9744</v>
      </c>
      <c r="P657" s="52">
        <v>0</v>
      </c>
      <c r="Q657" s="54">
        <v>18.9256</v>
      </c>
      <c r="R657" s="52">
        <v>22.9</v>
      </c>
      <c r="S657" s="52">
        <v>0</v>
      </c>
      <c r="T657" s="52">
        <v>0</v>
      </c>
      <c r="U657" s="52">
        <v>0</v>
      </c>
      <c r="V657" s="52">
        <v>0</v>
      </c>
      <c r="W657" s="52">
        <v>0.1</v>
      </c>
      <c r="X657" s="54">
        <v>25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46132.7533912037</v>
      </c>
      <c r="AH657" s="52">
        <v>36687</v>
      </c>
      <c r="AI657" s="52">
        <v>0</v>
      </c>
      <c r="AJ657" s="53">
        <f>AH657+AI657</f>
        <v>36687</v>
      </c>
      <c r="AK657" s="56">
        <v>0</v>
      </c>
    </row>
    <row r="658">
      <c r="A658" s="48">
        <v>46132.75350694444</v>
      </c>
      <c r="B658" s="49" t="s">
        <v>108</v>
      </c>
      <c r="C658" s="49" t="s">
        <v>100</v>
      </c>
      <c r="D658" s="49" t="s">
        <v>5</v>
      </c>
      <c r="E658" s="50">
        <v>96</v>
      </c>
      <c r="F658" s="49" t="s">
        <v>105</v>
      </c>
      <c r="G658" s="51">
        <v>161000391</v>
      </c>
      <c r="H658" s="52">
        <v>159.4</v>
      </c>
      <c r="I658" s="52">
        <f>L658+M658+N658</f>
        <v>134.34</v>
      </c>
      <c r="J658" s="52">
        <f>O658+P658</f>
        <v>25.060000000000002</v>
      </c>
      <c r="K658" s="53">
        <f>IF(H658=I658+J658,0,W658)</f>
        <v>0</v>
      </c>
      <c r="L658" s="52">
        <v>98.82</v>
      </c>
      <c r="M658" s="52">
        <v>35.52</v>
      </c>
      <c r="N658" s="52">
        <v>0</v>
      </c>
      <c r="O658" s="52">
        <v>20.78</v>
      </c>
      <c r="P658" s="52">
        <v>4.28</v>
      </c>
      <c r="Q658" s="54">
        <v>134.34</v>
      </c>
      <c r="R658" s="52">
        <v>159.4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159.4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46132.75350694444</v>
      </c>
      <c r="AH658" s="52">
        <v>0</v>
      </c>
      <c r="AI658" s="52">
        <v>0</v>
      </c>
      <c r="AJ658" s="53">
        <f>AH658+AI658</f>
        <v>0</v>
      </c>
      <c r="AK658" s="56">
        <v>0</v>
      </c>
    </row>
    <row r="659">
      <c r="A659" s="48">
        <v>46132.75356481481</v>
      </c>
      <c r="B659" s="49" t="s">
        <v>108</v>
      </c>
      <c r="C659" s="49" t="s">
        <v>111</v>
      </c>
      <c r="D659" s="49" t="s">
        <v>5</v>
      </c>
      <c r="E659" s="50">
        <v>96</v>
      </c>
      <c r="F659" s="49" t="s">
        <v>109</v>
      </c>
      <c r="G659" s="51">
        <v>169002838</v>
      </c>
      <c r="H659" s="52">
        <v>28</v>
      </c>
      <c r="I659" s="52">
        <f>L659+M659+N659</f>
        <v>24.9107</v>
      </c>
      <c r="J659" s="52">
        <f>O659+P659</f>
        <v>2.9893</v>
      </c>
      <c r="K659" s="53">
        <f>IF(H659=I659+J659,0,W659)</f>
        <v>0.1</v>
      </c>
      <c r="L659" s="52">
        <v>0</v>
      </c>
      <c r="M659" s="52">
        <v>24.9107</v>
      </c>
      <c r="N659" s="52">
        <v>0</v>
      </c>
      <c r="O659" s="52">
        <v>0</v>
      </c>
      <c r="P659" s="52">
        <v>2.9893</v>
      </c>
      <c r="Q659" s="54">
        <v>24.9107</v>
      </c>
      <c r="R659" s="52">
        <v>27.9</v>
      </c>
      <c r="S659" s="52">
        <v>0</v>
      </c>
      <c r="T659" s="52">
        <v>0</v>
      </c>
      <c r="U659" s="52">
        <v>0</v>
      </c>
      <c r="V659" s="52">
        <v>0</v>
      </c>
      <c r="W659" s="52">
        <v>0.1</v>
      </c>
      <c r="X659" s="54">
        <v>50</v>
      </c>
      <c r="Y659" s="52">
        <v>0</v>
      </c>
      <c r="Z659" s="52">
        <v>0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46132.75356481481</v>
      </c>
      <c r="AH659" s="52">
        <v>36715</v>
      </c>
      <c r="AI659" s="52">
        <v>0</v>
      </c>
      <c r="AJ659" s="53">
        <f>AH659+AI659</f>
        <v>36715</v>
      </c>
      <c r="AK659" s="56">
        <v>0</v>
      </c>
    </row>
    <row r="660">
      <c r="A660" s="48">
        <v>46132.755162037036</v>
      </c>
      <c r="B660" s="49" t="s">
        <v>108</v>
      </c>
      <c r="C660" s="49" t="s">
        <v>111</v>
      </c>
      <c r="D660" s="49" t="s">
        <v>5</v>
      </c>
      <c r="E660" s="50">
        <v>96</v>
      </c>
      <c r="F660" s="49" t="s">
        <v>109</v>
      </c>
      <c r="G660" s="51">
        <v>169002839</v>
      </c>
      <c r="H660" s="52">
        <v>203.73</v>
      </c>
      <c r="I660" s="52">
        <f>L660+M660+N660</f>
        <v>181.9018</v>
      </c>
      <c r="J660" s="52">
        <f>O660+P660</f>
        <v>21.8282</v>
      </c>
      <c r="K660" s="53">
        <f>IF(H660=I660+J660,0,W660)</f>
        <v>0</v>
      </c>
      <c r="L660" s="52">
        <v>0</v>
      </c>
      <c r="M660" s="52">
        <v>181.9018</v>
      </c>
      <c r="N660" s="52">
        <v>0</v>
      </c>
      <c r="O660" s="52">
        <v>0</v>
      </c>
      <c r="P660" s="52">
        <v>21.8282</v>
      </c>
      <c r="Q660" s="54">
        <v>181.9018</v>
      </c>
      <c r="R660" s="52">
        <v>203.73</v>
      </c>
      <c r="S660" s="52">
        <v>0</v>
      </c>
      <c r="T660" s="52">
        <v>0</v>
      </c>
      <c r="U660" s="52">
        <v>0</v>
      </c>
      <c r="V660" s="52">
        <v>0</v>
      </c>
      <c r="W660" s="52">
        <v>0</v>
      </c>
      <c r="X660" s="54">
        <v>0</v>
      </c>
      <c r="Y660" s="52">
        <v>0</v>
      </c>
      <c r="Z660" s="52">
        <v>203.73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46132.755162037036</v>
      </c>
      <c r="AH660" s="52">
        <v>36715</v>
      </c>
      <c r="AI660" s="52">
        <v>0</v>
      </c>
      <c r="AJ660" s="53">
        <f>AH660+AI660</f>
        <v>36715</v>
      </c>
      <c r="AK660" s="56">
        <v>20.97</v>
      </c>
    </row>
    <row r="661">
      <c r="A661" s="48">
        <v>46132.75623842593</v>
      </c>
      <c r="B661" s="49" t="s">
        <v>108</v>
      </c>
      <c r="C661" s="49" t="s">
        <v>111</v>
      </c>
      <c r="D661" s="49" t="s">
        <v>5</v>
      </c>
      <c r="E661" s="50">
        <v>96</v>
      </c>
      <c r="F661" s="49" t="s">
        <v>109</v>
      </c>
      <c r="G661" s="51">
        <v>169002840</v>
      </c>
      <c r="H661" s="52">
        <v>249</v>
      </c>
      <c r="I661" s="52">
        <f>L661+M661+N661</f>
        <v>213.1583</v>
      </c>
      <c r="J661" s="52">
        <f>O661+P661</f>
        <v>35.7617</v>
      </c>
      <c r="K661" s="53">
        <f>IF(H661=I661+J661,0,W661)</f>
        <v>0.08</v>
      </c>
      <c r="L661" s="52">
        <v>113.1405</v>
      </c>
      <c r="M661" s="52">
        <v>100.0178</v>
      </c>
      <c r="N661" s="52">
        <v>0</v>
      </c>
      <c r="O661" s="52">
        <v>23.7595</v>
      </c>
      <c r="P661" s="52">
        <v>12.0022</v>
      </c>
      <c r="Q661" s="54">
        <v>213.1583</v>
      </c>
      <c r="R661" s="52">
        <v>248.92</v>
      </c>
      <c r="S661" s="52">
        <v>0</v>
      </c>
      <c r="T661" s="52">
        <v>0</v>
      </c>
      <c r="U661" s="52">
        <v>0</v>
      </c>
      <c r="V661" s="52">
        <v>0</v>
      </c>
      <c r="W661" s="52">
        <v>0.08</v>
      </c>
      <c r="X661" s="54">
        <v>249</v>
      </c>
      <c r="Y661" s="52">
        <v>0</v>
      </c>
      <c r="Z661" s="52">
        <v>0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46132.75623842593</v>
      </c>
      <c r="AH661" s="52">
        <v>36964</v>
      </c>
      <c r="AI661" s="52">
        <v>0</v>
      </c>
      <c r="AJ661" s="53">
        <f>AH661+AI661</f>
        <v>36964</v>
      </c>
      <c r="AK661" s="56">
        <v>0</v>
      </c>
    </row>
    <row r="662">
      <c r="A662" s="48">
        <v>46132.75877314815</v>
      </c>
      <c r="B662" s="49" t="s">
        <v>108</v>
      </c>
      <c r="C662" s="49" t="s">
        <v>113</v>
      </c>
      <c r="D662" s="49" t="s">
        <v>5</v>
      </c>
      <c r="E662" s="50">
        <v>96</v>
      </c>
      <c r="F662" s="49" t="s">
        <v>107</v>
      </c>
      <c r="G662" s="51">
        <v>166004809</v>
      </c>
      <c r="H662" s="52">
        <v>175</v>
      </c>
      <c r="I662" s="52">
        <f>L662+M662+N662</f>
        <v>154.729</v>
      </c>
      <c r="J662" s="52">
        <f>O662+P662</f>
        <v>20.271</v>
      </c>
      <c r="K662" s="53">
        <f>IF(H662=I662+J662,0,W662)</f>
        <v>0</v>
      </c>
      <c r="L662" s="52">
        <v>18.9256</v>
      </c>
      <c r="M662" s="52">
        <v>135.8034</v>
      </c>
      <c r="N662" s="52">
        <v>0</v>
      </c>
      <c r="O662" s="52">
        <v>3.9744</v>
      </c>
      <c r="P662" s="52">
        <v>16.2966</v>
      </c>
      <c r="Q662" s="54">
        <v>154.729</v>
      </c>
      <c r="R662" s="52">
        <v>175</v>
      </c>
      <c r="S662" s="52">
        <v>0</v>
      </c>
      <c r="T662" s="52">
        <v>0</v>
      </c>
      <c r="U662" s="52">
        <v>0</v>
      </c>
      <c r="V662" s="52">
        <v>0</v>
      </c>
      <c r="W662" s="52">
        <v>0</v>
      </c>
      <c r="X662" s="54">
        <v>200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46132.75877314815</v>
      </c>
      <c r="AH662" s="52">
        <v>47967</v>
      </c>
      <c r="AI662" s="52">
        <v>0</v>
      </c>
      <c r="AJ662" s="53">
        <f>AH662+AI662</f>
        <v>47967</v>
      </c>
      <c r="AK662" s="56">
        <v>7.14</v>
      </c>
    </row>
    <row r="663">
      <c r="A663" s="48">
        <v>46132.75917824074</v>
      </c>
      <c r="B663" s="49" t="s">
        <v>108</v>
      </c>
      <c r="C663" s="49" t="s">
        <v>113</v>
      </c>
      <c r="D663" s="49" t="s">
        <v>5</v>
      </c>
      <c r="E663" s="50">
        <v>96</v>
      </c>
      <c r="F663" s="49" t="s">
        <v>107</v>
      </c>
      <c r="G663" s="51">
        <v>166004810</v>
      </c>
      <c r="H663" s="52">
        <v>87</v>
      </c>
      <c r="I663" s="52">
        <f>L663+M663+N663</f>
        <v>77.6785</v>
      </c>
      <c r="J663" s="52">
        <f>O663+P663</f>
        <v>9.3215</v>
      </c>
      <c r="K663" s="53">
        <f>IF(H663=I663+J663,0,W663)</f>
        <v>0</v>
      </c>
      <c r="L663" s="52">
        <v>0</v>
      </c>
      <c r="M663" s="52">
        <v>77.6785</v>
      </c>
      <c r="N663" s="52">
        <v>0</v>
      </c>
      <c r="O663" s="52">
        <v>0</v>
      </c>
      <c r="P663" s="52">
        <v>9.3215</v>
      </c>
      <c r="Q663" s="54">
        <v>77.6785</v>
      </c>
      <c r="R663" s="52">
        <v>87</v>
      </c>
      <c r="S663" s="52">
        <v>0</v>
      </c>
      <c r="T663" s="52">
        <v>0</v>
      </c>
      <c r="U663" s="52">
        <v>0</v>
      </c>
      <c r="V663" s="52">
        <v>0</v>
      </c>
      <c r="W663" s="52">
        <v>0</v>
      </c>
      <c r="X663" s="54">
        <v>200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46132.75917824074</v>
      </c>
      <c r="AH663" s="52">
        <v>48054</v>
      </c>
      <c r="AI663" s="52">
        <v>0</v>
      </c>
      <c r="AJ663" s="53">
        <f>AH663+AI663</f>
        <v>48054</v>
      </c>
      <c r="AK663" s="56">
        <v>3.57</v>
      </c>
    </row>
    <row r="664">
      <c r="A664" s="48">
        <v>46132.75962962963</v>
      </c>
      <c r="B664" s="49" t="s">
        <v>108</v>
      </c>
      <c r="C664" s="49" t="s">
        <v>113</v>
      </c>
      <c r="D664" s="49" t="s">
        <v>5</v>
      </c>
      <c r="E664" s="50">
        <v>96</v>
      </c>
      <c r="F664" s="49" t="s">
        <v>107</v>
      </c>
      <c r="G664" s="51">
        <v>166004811</v>
      </c>
      <c r="H664" s="52">
        <v>48.7</v>
      </c>
      <c r="I664" s="52">
        <f>L664+M664+N664</f>
        <v>43.4822</v>
      </c>
      <c r="J664" s="52">
        <f>O664+P664</f>
        <v>5.2178</v>
      </c>
      <c r="K664" s="53">
        <f>IF(H664=I664+J664,0,W664)</f>
        <v>0</v>
      </c>
      <c r="L664" s="52">
        <v>0</v>
      </c>
      <c r="M664" s="52">
        <v>43.4822</v>
      </c>
      <c r="N664" s="52">
        <v>0</v>
      </c>
      <c r="O664" s="52">
        <v>0</v>
      </c>
      <c r="P664" s="52">
        <v>5.2178</v>
      </c>
      <c r="Q664" s="54">
        <v>43.4822</v>
      </c>
      <c r="R664" s="52">
        <v>48.7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48.7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46132.75962962963</v>
      </c>
      <c r="AH664" s="52">
        <v>48054</v>
      </c>
      <c r="AI664" s="52">
        <v>0</v>
      </c>
      <c r="AJ664" s="53">
        <f>AH664+AI664</f>
        <v>48054</v>
      </c>
      <c r="AK664" s="56">
        <v>0</v>
      </c>
    </row>
    <row r="665">
      <c r="A665" s="48">
        <v>46132.75996527778</v>
      </c>
      <c r="B665" s="49" t="s">
        <v>108</v>
      </c>
      <c r="C665" s="49" t="s">
        <v>113</v>
      </c>
      <c r="D665" s="49" t="s">
        <v>5</v>
      </c>
      <c r="E665" s="50">
        <v>96</v>
      </c>
      <c r="F665" s="49" t="s">
        <v>107</v>
      </c>
      <c r="G665" s="51">
        <v>166004812</v>
      </c>
      <c r="H665" s="52">
        <v>44</v>
      </c>
      <c r="I665" s="52">
        <f>L665+M665+N665</f>
        <v>39.1072</v>
      </c>
      <c r="J665" s="52">
        <f>O665+P665</f>
        <v>4.6928</v>
      </c>
      <c r="K665" s="53">
        <f>IF(H665=I665+J665,0,W665)</f>
        <v>0.2</v>
      </c>
      <c r="L665" s="52">
        <v>0</v>
      </c>
      <c r="M665" s="52">
        <v>39.1072</v>
      </c>
      <c r="N665" s="52">
        <v>0</v>
      </c>
      <c r="O665" s="52">
        <v>0</v>
      </c>
      <c r="P665" s="52">
        <v>4.6928</v>
      </c>
      <c r="Q665" s="54">
        <v>39.1072</v>
      </c>
      <c r="R665" s="52">
        <v>43.8</v>
      </c>
      <c r="S665" s="52">
        <v>0</v>
      </c>
      <c r="T665" s="52">
        <v>0</v>
      </c>
      <c r="U665" s="52">
        <v>0</v>
      </c>
      <c r="V665" s="52">
        <v>0</v>
      </c>
      <c r="W665" s="52">
        <v>0.2</v>
      </c>
      <c r="X665" s="54">
        <v>44</v>
      </c>
      <c r="Y665" s="52">
        <v>0</v>
      </c>
      <c r="Z665" s="52">
        <v>0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46132.75996527778</v>
      </c>
      <c r="AH665" s="52">
        <v>48098</v>
      </c>
      <c r="AI665" s="52">
        <v>0</v>
      </c>
      <c r="AJ665" s="53">
        <f>AH665+AI665</f>
        <v>48098</v>
      </c>
      <c r="AK665" s="56">
        <v>0</v>
      </c>
    </row>
    <row r="666">
      <c r="A666" s="48">
        <v>46132.76054398148</v>
      </c>
      <c r="B666" s="49" t="s">
        <v>108</v>
      </c>
      <c r="C666" s="49" t="s">
        <v>113</v>
      </c>
      <c r="D666" s="49" t="s">
        <v>5</v>
      </c>
      <c r="E666" s="50">
        <v>96</v>
      </c>
      <c r="F666" s="49" t="s">
        <v>107</v>
      </c>
      <c r="G666" s="51">
        <v>166004813</v>
      </c>
      <c r="H666" s="52">
        <v>153</v>
      </c>
      <c r="I666" s="52">
        <f>L666+M666+N666</f>
        <v>130.3418</v>
      </c>
      <c r="J666" s="52">
        <f>O666+P666</f>
        <v>22.5882</v>
      </c>
      <c r="K666" s="53">
        <f>IF(H666=I666+J666,0,W666)</f>
        <v>0.07</v>
      </c>
      <c r="L666" s="52">
        <v>77.19</v>
      </c>
      <c r="M666" s="52">
        <v>53.1518</v>
      </c>
      <c r="N666" s="52">
        <v>0</v>
      </c>
      <c r="O666" s="52">
        <v>16.21</v>
      </c>
      <c r="P666" s="52">
        <v>6.3782</v>
      </c>
      <c r="Q666" s="54">
        <v>130.3418</v>
      </c>
      <c r="R666" s="52">
        <v>152.93</v>
      </c>
      <c r="S666" s="52">
        <v>0</v>
      </c>
      <c r="T666" s="52">
        <v>0</v>
      </c>
      <c r="U666" s="52">
        <v>0</v>
      </c>
      <c r="V666" s="52">
        <v>0</v>
      </c>
      <c r="W666" s="52">
        <v>0.07</v>
      </c>
      <c r="X666" s="54">
        <v>200</v>
      </c>
      <c r="Y666" s="52">
        <v>0</v>
      </c>
      <c r="Z666" s="52">
        <v>0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46132.76054398148</v>
      </c>
      <c r="AH666" s="52">
        <v>48251</v>
      </c>
      <c r="AI666" s="52">
        <v>0</v>
      </c>
      <c r="AJ666" s="53">
        <f>AH666+AI666</f>
        <v>48251</v>
      </c>
      <c r="AK666" s="56">
        <v>10.6861</v>
      </c>
    </row>
    <row r="667">
      <c r="A667" s="48">
        <v>46132.76085648148</v>
      </c>
      <c r="B667" s="49" t="s">
        <v>108</v>
      </c>
      <c r="C667" s="49" t="s">
        <v>113</v>
      </c>
      <c r="D667" s="49" t="s">
        <v>5</v>
      </c>
      <c r="E667" s="50">
        <v>96</v>
      </c>
      <c r="F667" s="49" t="s">
        <v>107</v>
      </c>
      <c r="G667" s="51">
        <v>166004814</v>
      </c>
      <c r="H667" s="52">
        <v>28</v>
      </c>
      <c r="I667" s="52">
        <f>L667+M667+N667</f>
        <v>24.8214</v>
      </c>
      <c r="J667" s="52">
        <f>O667+P667</f>
        <v>2.9786</v>
      </c>
      <c r="K667" s="53">
        <f>IF(H667=I667+J667,0,W667)</f>
        <v>0.2</v>
      </c>
      <c r="L667" s="52">
        <v>0</v>
      </c>
      <c r="M667" s="52">
        <v>24.8214</v>
      </c>
      <c r="N667" s="52">
        <v>0</v>
      </c>
      <c r="O667" s="52">
        <v>0</v>
      </c>
      <c r="P667" s="52">
        <v>2.9786</v>
      </c>
      <c r="Q667" s="54">
        <v>24.8214</v>
      </c>
      <c r="R667" s="52">
        <v>27.8</v>
      </c>
      <c r="S667" s="52">
        <v>0</v>
      </c>
      <c r="T667" s="52">
        <v>0</v>
      </c>
      <c r="U667" s="52">
        <v>0</v>
      </c>
      <c r="V667" s="52">
        <v>0</v>
      </c>
      <c r="W667" s="52">
        <v>0.2</v>
      </c>
      <c r="X667" s="54">
        <v>30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46132.76085648148</v>
      </c>
      <c r="AH667" s="52">
        <v>48279</v>
      </c>
      <c r="AI667" s="52">
        <v>0</v>
      </c>
      <c r="AJ667" s="53">
        <f>AH667+AI667</f>
        <v>48279</v>
      </c>
      <c r="AK667" s="56">
        <v>0</v>
      </c>
    </row>
    <row r="668">
      <c r="A668" s="48">
        <v>46132.76388888889</v>
      </c>
      <c r="B668" s="49" t="s">
        <v>108</v>
      </c>
      <c r="C668" s="49" t="s">
        <v>113</v>
      </c>
      <c r="D668" s="49" t="s">
        <v>5</v>
      </c>
      <c r="E668" s="50">
        <v>96</v>
      </c>
      <c r="F668" s="49" t="s">
        <v>107</v>
      </c>
      <c r="G668" s="51">
        <v>166004815</v>
      </c>
      <c r="H668" s="52">
        <v>474.03</v>
      </c>
      <c r="I668" s="52">
        <f>L668+M668+N668</f>
        <v>422.9885</v>
      </c>
      <c r="J668" s="52">
        <f>O668+P668</f>
        <v>51.0415</v>
      </c>
      <c r="K668" s="53">
        <f>IF(H668=I668+J668,0,W668)</f>
        <v>0</v>
      </c>
      <c r="L668" s="52">
        <v>3.1404</v>
      </c>
      <c r="M668" s="52">
        <v>419.8481</v>
      </c>
      <c r="N668" s="52">
        <v>0</v>
      </c>
      <c r="O668" s="52">
        <v>0.6596</v>
      </c>
      <c r="P668" s="52">
        <v>50.3819</v>
      </c>
      <c r="Q668" s="54">
        <v>422.9885</v>
      </c>
      <c r="R668" s="52">
        <v>474.03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474.03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46132.76388888889</v>
      </c>
      <c r="AH668" s="52">
        <v>48279</v>
      </c>
      <c r="AI668" s="52">
        <v>0</v>
      </c>
      <c r="AJ668" s="53">
        <f>AH668+AI668</f>
        <v>48279</v>
      </c>
      <c r="AK668" s="56">
        <v>34.1017</v>
      </c>
    </row>
    <row r="669">
      <c r="A669" s="48">
        <v>46132.764016203706</v>
      </c>
      <c r="B669" s="49" t="s">
        <v>108</v>
      </c>
      <c r="C669" s="49" t="s">
        <v>100</v>
      </c>
      <c r="D669" s="49" t="s">
        <v>5</v>
      </c>
      <c r="E669" s="50">
        <v>96</v>
      </c>
      <c r="F669" s="49" t="s">
        <v>105</v>
      </c>
      <c r="G669" s="51">
        <v>161000392</v>
      </c>
      <c r="H669" s="52">
        <v>31.8</v>
      </c>
      <c r="I669" s="52">
        <f>L669+M669+N669</f>
        <v>26.28</v>
      </c>
      <c r="J669" s="52">
        <f>O669+P669</f>
        <v>5.52</v>
      </c>
      <c r="K669" s="53">
        <f>IF(H669=I669+J669,0,W669)</f>
        <v>0</v>
      </c>
      <c r="L669" s="52">
        <v>26.28</v>
      </c>
      <c r="M669" s="52">
        <v>0</v>
      </c>
      <c r="N669" s="52">
        <v>0</v>
      </c>
      <c r="O669" s="52">
        <v>5.52</v>
      </c>
      <c r="P669" s="52">
        <v>0</v>
      </c>
      <c r="Q669" s="54">
        <v>26.28</v>
      </c>
      <c r="R669" s="52">
        <v>31.8</v>
      </c>
      <c r="S669" s="52">
        <v>0</v>
      </c>
      <c r="T669" s="52">
        <v>0</v>
      </c>
      <c r="U669" s="52">
        <v>0</v>
      </c>
      <c r="V669" s="52">
        <v>0</v>
      </c>
      <c r="W669" s="52">
        <v>0</v>
      </c>
      <c r="X669" s="54">
        <v>0</v>
      </c>
      <c r="Y669" s="52">
        <v>0</v>
      </c>
      <c r="Z669" s="52">
        <v>31.8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46132.764016203706</v>
      </c>
      <c r="AH669" s="52">
        <v>0</v>
      </c>
      <c r="AI669" s="52">
        <v>0</v>
      </c>
      <c r="AJ669" s="53">
        <f>AH669+AI669</f>
        <v>0</v>
      </c>
      <c r="AK669" s="56">
        <v>0</v>
      </c>
    </row>
    <row r="670">
      <c r="A670" s="48">
        <v>46132.76503472222</v>
      </c>
      <c r="B670" s="49" t="s">
        <v>108</v>
      </c>
      <c r="C670" s="49" t="s">
        <v>113</v>
      </c>
      <c r="D670" s="49" t="s">
        <v>5</v>
      </c>
      <c r="E670" s="50">
        <v>96</v>
      </c>
      <c r="F670" s="49" t="s">
        <v>107</v>
      </c>
      <c r="G670" s="51">
        <v>166004816</v>
      </c>
      <c r="H670" s="52">
        <v>168</v>
      </c>
      <c r="I670" s="52">
        <f>L670+M670+N670</f>
        <v>150.0613</v>
      </c>
      <c r="J670" s="52">
        <f>O670+P670</f>
        <v>18.148699999999998</v>
      </c>
      <c r="K670" s="53">
        <f>IF(H670=I670+J670,0,W670)</f>
        <v>-0.21</v>
      </c>
      <c r="L670" s="52">
        <v>1.5702</v>
      </c>
      <c r="M670" s="52">
        <v>148.4911</v>
      </c>
      <c r="N670" s="52">
        <v>0</v>
      </c>
      <c r="O670" s="52">
        <v>0.3298</v>
      </c>
      <c r="P670" s="52">
        <v>17.8189</v>
      </c>
      <c r="Q670" s="54">
        <v>150.0613</v>
      </c>
      <c r="R670" s="52">
        <v>168.21</v>
      </c>
      <c r="S670" s="52">
        <v>0</v>
      </c>
      <c r="T670" s="52">
        <v>0</v>
      </c>
      <c r="U670" s="52">
        <v>0</v>
      </c>
      <c r="V670" s="52">
        <v>0</v>
      </c>
      <c r="W670" s="52">
        <v>-0.21</v>
      </c>
      <c r="X670" s="54">
        <v>5000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46132.76503472222</v>
      </c>
      <c r="AH670" s="52">
        <v>48447</v>
      </c>
      <c r="AI670" s="52">
        <v>0</v>
      </c>
      <c r="AJ670" s="53">
        <f>AH670+AI670</f>
        <v>48447</v>
      </c>
      <c r="AK670" s="56">
        <v>14.97</v>
      </c>
    </row>
    <row r="671">
      <c r="A671" s="48">
        <v>46132.765173611115</v>
      </c>
      <c r="B671" s="49" t="s">
        <v>108</v>
      </c>
      <c r="C671" s="49" t="s">
        <v>100</v>
      </c>
      <c r="D671" s="49" t="s">
        <v>5</v>
      </c>
      <c r="E671" s="50">
        <v>96</v>
      </c>
      <c r="F671" s="49" t="s">
        <v>105</v>
      </c>
      <c r="G671" s="51">
        <v>161000393</v>
      </c>
      <c r="H671" s="52">
        <v>49.8</v>
      </c>
      <c r="I671" s="52">
        <f>L671+M671+N671</f>
        <v>41.14</v>
      </c>
      <c r="J671" s="52">
        <f>O671+P671</f>
        <v>8.66</v>
      </c>
      <c r="K671" s="53">
        <f>IF(H671=I671+J671,0,W671)</f>
        <v>0</v>
      </c>
      <c r="L671" s="52">
        <v>41.14</v>
      </c>
      <c r="M671" s="52">
        <v>0</v>
      </c>
      <c r="N671" s="52">
        <v>0</v>
      </c>
      <c r="O671" s="52">
        <v>8.66</v>
      </c>
      <c r="P671" s="52">
        <v>0</v>
      </c>
      <c r="Q671" s="54">
        <v>41.14</v>
      </c>
      <c r="R671" s="52">
        <v>49.8</v>
      </c>
      <c r="S671" s="52">
        <v>0</v>
      </c>
      <c r="T671" s="52">
        <v>0</v>
      </c>
      <c r="U671" s="52">
        <v>0</v>
      </c>
      <c r="V671" s="52">
        <v>0</v>
      </c>
      <c r="W671" s="52">
        <v>0</v>
      </c>
      <c r="X671" s="54">
        <v>0</v>
      </c>
      <c r="Y671" s="52">
        <v>0</v>
      </c>
      <c r="Z671" s="52">
        <v>49.8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46132.765173611115</v>
      </c>
      <c r="AH671" s="52">
        <v>0</v>
      </c>
      <c r="AI671" s="52">
        <v>0</v>
      </c>
      <c r="AJ671" s="53">
        <f>AH671+AI671</f>
        <v>0</v>
      </c>
      <c r="AK671" s="56">
        <v>0</v>
      </c>
    </row>
    <row r="672">
      <c r="A672" s="48">
        <v>46132.76565972222</v>
      </c>
      <c r="B672" s="49" t="s">
        <v>108</v>
      </c>
      <c r="C672" s="49" t="s">
        <v>100</v>
      </c>
      <c r="D672" s="49" t="s">
        <v>5</v>
      </c>
      <c r="E672" s="50">
        <v>96</v>
      </c>
      <c r="F672" s="49" t="s">
        <v>101</v>
      </c>
      <c r="G672" s="51">
        <v>163000355</v>
      </c>
      <c r="H672" s="52">
        <v>114.9</v>
      </c>
      <c r="I672" s="52">
        <f>L672+M672+N672</f>
        <v>99.58</v>
      </c>
      <c r="J672" s="52">
        <f>O672+P672</f>
        <v>15.32</v>
      </c>
      <c r="K672" s="53">
        <f>IF(H672=I672+J672,0,W672)</f>
        <v>0</v>
      </c>
      <c r="L672" s="52">
        <v>37.1</v>
      </c>
      <c r="M672" s="52">
        <v>62.48</v>
      </c>
      <c r="N672" s="52">
        <v>0</v>
      </c>
      <c r="O672" s="52">
        <v>7.8</v>
      </c>
      <c r="P672" s="52">
        <v>7.52</v>
      </c>
      <c r="Q672" s="54">
        <v>99.58</v>
      </c>
      <c r="R672" s="52">
        <v>114.9</v>
      </c>
      <c r="S672" s="52">
        <v>0</v>
      </c>
      <c r="T672" s="52">
        <v>0</v>
      </c>
      <c r="U672" s="52">
        <v>0</v>
      </c>
      <c r="V672" s="52">
        <v>0</v>
      </c>
      <c r="W672" s="52">
        <v>0</v>
      </c>
      <c r="X672" s="54">
        <v>0</v>
      </c>
      <c r="Y672" s="52">
        <v>0</v>
      </c>
      <c r="Z672" s="52">
        <v>114.9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46132.76565972222</v>
      </c>
      <c r="AH672" s="52">
        <v>0</v>
      </c>
      <c r="AI672" s="52">
        <v>0</v>
      </c>
      <c r="AJ672" s="53">
        <f>AH672+AI672</f>
        <v>0</v>
      </c>
      <c r="AK672" s="56">
        <v>0</v>
      </c>
    </row>
    <row r="673">
      <c r="A673" s="48">
        <v>46132.76583333333</v>
      </c>
      <c r="B673" s="49" t="s">
        <v>108</v>
      </c>
      <c r="C673" s="49" t="s">
        <v>113</v>
      </c>
      <c r="D673" s="49" t="s">
        <v>5</v>
      </c>
      <c r="E673" s="50">
        <v>96</v>
      </c>
      <c r="F673" s="49" t="s">
        <v>107</v>
      </c>
      <c r="G673" s="51">
        <v>166004817</v>
      </c>
      <c r="H673" s="52">
        <v>26</v>
      </c>
      <c r="I673" s="52">
        <f>L673+M673+N673</f>
        <v>22.9465</v>
      </c>
      <c r="J673" s="52">
        <f>O673+P673</f>
        <v>2.7535</v>
      </c>
      <c r="K673" s="53">
        <f>IF(H673=I673+J673,0,W673)</f>
        <v>0.3</v>
      </c>
      <c r="L673" s="52">
        <v>0</v>
      </c>
      <c r="M673" s="52">
        <v>22.9465</v>
      </c>
      <c r="N673" s="52">
        <v>0</v>
      </c>
      <c r="O673" s="52">
        <v>0</v>
      </c>
      <c r="P673" s="52">
        <v>2.7535</v>
      </c>
      <c r="Q673" s="54">
        <v>22.9465</v>
      </c>
      <c r="R673" s="52">
        <v>25.7</v>
      </c>
      <c r="S673" s="52">
        <v>0</v>
      </c>
      <c r="T673" s="52">
        <v>0</v>
      </c>
      <c r="U673" s="52">
        <v>0</v>
      </c>
      <c r="V673" s="52">
        <v>0</v>
      </c>
      <c r="W673" s="52">
        <v>0.3</v>
      </c>
      <c r="X673" s="54">
        <v>200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46132.76583333333</v>
      </c>
      <c r="AH673" s="52">
        <v>48473</v>
      </c>
      <c r="AI673" s="52">
        <v>0</v>
      </c>
      <c r="AJ673" s="53">
        <f>AH673+AI673</f>
        <v>48473</v>
      </c>
      <c r="AK673" s="56">
        <v>0</v>
      </c>
    </row>
    <row r="674">
      <c r="A674" s="48">
        <v>46132.766122685185</v>
      </c>
      <c r="B674" s="49" t="s">
        <v>108</v>
      </c>
      <c r="C674" s="49" t="s">
        <v>113</v>
      </c>
      <c r="D674" s="49" t="s">
        <v>5</v>
      </c>
      <c r="E674" s="50">
        <v>96</v>
      </c>
      <c r="F674" s="49" t="s">
        <v>107</v>
      </c>
      <c r="G674" s="51">
        <v>166004818</v>
      </c>
      <c r="H674" s="52">
        <v>13</v>
      </c>
      <c r="I674" s="52">
        <f>L674+M674+N674</f>
        <v>11.9643</v>
      </c>
      <c r="J674" s="52">
        <f>O674+P674</f>
        <v>1.4357</v>
      </c>
      <c r="K674" s="53">
        <f>IF(H674=I674+J674,0,W674)</f>
        <v>-0.4</v>
      </c>
      <c r="L674" s="52">
        <v>0</v>
      </c>
      <c r="M674" s="52">
        <v>11.9643</v>
      </c>
      <c r="N674" s="52">
        <v>0</v>
      </c>
      <c r="O674" s="52">
        <v>0</v>
      </c>
      <c r="P674" s="52">
        <v>1.4357</v>
      </c>
      <c r="Q674" s="54">
        <v>11.9643</v>
      </c>
      <c r="R674" s="52">
        <v>13.4</v>
      </c>
      <c r="S674" s="52">
        <v>0</v>
      </c>
      <c r="T674" s="52">
        <v>0</v>
      </c>
      <c r="U674" s="52">
        <v>0</v>
      </c>
      <c r="V674" s="52">
        <v>0</v>
      </c>
      <c r="W674" s="52">
        <v>-0.4</v>
      </c>
      <c r="X674" s="54">
        <v>15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46132.766122685185</v>
      </c>
      <c r="AH674" s="52">
        <v>48486</v>
      </c>
      <c r="AI674" s="52">
        <v>0</v>
      </c>
      <c r="AJ674" s="53">
        <f>AH674+AI674</f>
        <v>48486</v>
      </c>
      <c r="AK674" s="56">
        <v>0</v>
      </c>
    </row>
    <row r="675">
      <c r="A675" s="48">
        <v>46132.76663194445</v>
      </c>
      <c r="B675" s="49" t="s">
        <v>108</v>
      </c>
      <c r="C675" s="49" t="s">
        <v>113</v>
      </c>
      <c r="D675" s="49" t="s">
        <v>5</v>
      </c>
      <c r="E675" s="50">
        <v>96</v>
      </c>
      <c r="F675" s="49" t="s">
        <v>107</v>
      </c>
      <c r="G675" s="51">
        <v>166004819</v>
      </c>
      <c r="H675" s="52">
        <v>488.7</v>
      </c>
      <c r="I675" s="52">
        <f>L675+M675+N675</f>
        <v>413.30140000000006</v>
      </c>
      <c r="J675" s="52">
        <f>O675+P675</f>
        <v>75.3986</v>
      </c>
      <c r="K675" s="53">
        <f>IF(H675=I675+J675,0,W675)</f>
        <v>0</v>
      </c>
      <c r="L675" s="52">
        <v>286.6942</v>
      </c>
      <c r="M675" s="52">
        <v>126.6072</v>
      </c>
      <c r="N675" s="52">
        <v>0</v>
      </c>
      <c r="O675" s="52">
        <v>60.2058</v>
      </c>
      <c r="P675" s="52">
        <v>15.1928</v>
      </c>
      <c r="Q675" s="54">
        <v>413.3014</v>
      </c>
      <c r="R675" s="52">
        <v>488.7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488.7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46132.76663194445</v>
      </c>
      <c r="AH675" s="52">
        <v>48486</v>
      </c>
      <c r="AI675" s="52">
        <v>0</v>
      </c>
      <c r="AJ675" s="53">
        <f>AH675+AI675</f>
        <v>48486</v>
      </c>
      <c r="AK675" s="56">
        <v>0</v>
      </c>
    </row>
    <row r="676">
      <c r="A676" s="48">
        <v>46132.7671875</v>
      </c>
      <c r="B676" s="49" t="s">
        <v>108</v>
      </c>
      <c r="C676" s="49" t="s">
        <v>100</v>
      </c>
      <c r="D676" s="49" t="s">
        <v>5</v>
      </c>
      <c r="E676" s="50">
        <v>96</v>
      </c>
      <c r="F676" s="49" t="s">
        <v>105</v>
      </c>
      <c r="G676" s="51">
        <v>161000394</v>
      </c>
      <c r="H676" s="52">
        <v>127.6</v>
      </c>
      <c r="I676" s="52">
        <f>L676+M676+N676</f>
        <v>113.9</v>
      </c>
      <c r="J676" s="52">
        <f>O676+P676</f>
        <v>13.7</v>
      </c>
      <c r="K676" s="53">
        <f>IF(H676=I676+J676,0,W676)</f>
        <v>0</v>
      </c>
      <c r="L676" s="52">
        <v>0</v>
      </c>
      <c r="M676" s="52">
        <v>113.9</v>
      </c>
      <c r="N676" s="52">
        <v>0</v>
      </c>
      <c r="O676" s="52">
        <v>0</v>
      </c>
      <c r="P676" s="52">
        <v>13.7</v>
      </c>
      <c r="Q676" s="54">
        <v>113.9</v>
      </c>
      <c r="R676" s="52">
        <v>127.6</v>
      </c>
      <c r="S676" s="52">
        <v>0</v>
      </c>
      <c r="T676" s="52">
        <v>0</v>
      </c>
      <c r="U676" s="52">
        <v>0</v>
      </c>
      <c r="V676" s="52">
        <v>0</v>
      </c>
      <c r="W676" s="52">
        <v>0</v>
      </c>
      <c r="X676" s="54">
        <v>0</v>
      </c>
      <c r="Y676" s="52">
        <v>0</v>
      </c>
      <c r="Z676" s="52">
        <v>127.6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46132.7671875</v>
      </c>
      <c r="AH676" s="52">
        <v>0</v>
      </c>
      <c r="AI676" s="52">
        <v>0</v>
      </c>
      <c r="AJ676" s="53">
        <f>AH676+AI676</f>
        <v>0</v>
      </c>
      <c r="AK676" s="56">
        <v>0</v>
      </c>
    </row>
    <row r="677">
      <c r="A677" s="48">
        <v>46132.76863425926</v>
      </c>
      <c r="B677" s="49" t="s">
        <v>108</v>
      </c>
      <c r="C677" s="49" t="s">
        <v>100</v>
      </c>
      <c r="D677" s="49" t="s">
        <v>5</v>
      </c>
      <c r="E677" s="50">
        <v>96</v>
      </c>
      <c r="F677" s="49" t="s">
        <v>105</v>
      </c>
      <c r="G677" s="51">
        <v>161000395</v>
      </c>
      <c r="H677" s="52">
        <v>32.8</v>
      </c>
      <c r="I677" s="52">
        <f>L677+M677+N677</f>
        <v>29.28</v>
      </c>
      <c r="J677" s="52">
        <f>O677+P677</f>
        <v>3.52</v>
      </c>
      <c r="K677" s="53">
        <f>IF(H677=I677+J677,0,W677)</f>
        <v>0</v>
      </c>
      <c r="L677" s="52">
        <v>0</v>
      </c>
      <c r="M677" s="52">
        <v>29.28</v>
      </c>
      <c r="N677" s="52">
        <v>0</v>
      </c>
      <c r="O677" s="52">
        <v>0</v>
      </c>
      <c r="P677" s="52">
        <v>3.52</v>
      </c>
      <c r="Q677" s="54">
        <v>29.28</v>
      </c>
      <c r="R677" s="52">
        <v>32.8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32.8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46132.76863425926</v>
      </c>
      <c r="AH677" s="52">
        <v>0</v>
      </c>
      <c r="AI677" s="52">
        <v>0</v>
      </c>
      <c r="AJ677" s="53">
        <f>AH677+AI677</f>
        <v>0</v>
      </c>
      <c r="AK677" s="56">
        <v>0</v>
      </c>
    </row>
    <row r="678">
      <c r="A678" s="48">
        <v>46132.76920138889</v>
      </c>
      <c r="B678" s="49" t="s">
        <v>108</v>
      </c>
      <c r="C678" s="49" t="s">
        <v>113</v>
      </c>
      <c r="D678" s="49" t="s">
        <v>5</v>
      </c>
      <c r="E678" s="50">
        <v>96</v>
      </c>
      <c r="F678" s="49" t="s">
        <v>107</v>
      </c>
      <c r="G678" s="51">
        <v>166004820</v>
      </c>
      <c r="H678" s="52">
        <v>145.8</v>
      </c>
      <c r="I678" s="52">
        <f>L678+M678+N678</f>
        <v>112.686</v>
      </c>
      <c r="J678" s="52">
        <f>O678+P678</f>
        <v>33.114</v>
      </c>
      <c r="K678" s="53">
        <f>IF(H678=I678+J678,0,W678)</f>
        <v>0</v>
      </c>
      <c r="L678" s="52">
        <v>157.686</v>
      </c>
      <c r="M678" s="52">
        <v>0</v>
      </c>
      <c r="N678" s="52">
        <v>-45</v>
      </c>
      <c r="O678" s="52">
        <v>33.114</v>
      </c>
      <c r="P678" s="52">
        <v>0</v>
      </c>
      <c r="Q678" s="54">
        <v>157.686</v>
      </c>
      <c r="R678" s="52">
        <v>190.8</v>
      </c>
      <c r="S678" s="52">
        <v>0</v>
      </c>
      <c r="T678" s="52">
        <v>0</v>
      </c>
      <c r="U678" s="52">
        <v>0</v>
      </c>
      <c r="V678" s="52">
        <v>-45</v>
      </c>
      <c r="W678" s="52">
        <v>0</v>
      </c>
      <c r="X678" s="54">
        <v>0</v>
      </c>
      <c r="Y678" s="52">
        <v>0</v>
      </c>
      <c r="Z678" s="52">
        <v>145.8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46132.76920138889</v>
      </c>
      <c r="AH678" s="52">
        <v>48486</v>
      </c>
      <c r="AI678" s="52">
        <v>0</v>
      </c>
      <c r="AJ678" s="53">
        <f>AH678+AI678</f>
        <v>48486</v>
      </c>
      <c r="AK678" s="56">
        <v>0</v>
      </c>
    </row>
    <row r="679">
      <c r="A679" s="48">
        <v>46132.77337962963</v>
      </c>
      <c r="B679" s="49" t="s">
        <v>108</v>
      </c>
      <c r="C679" s="49" t="s">
        <v>113</v>
      </c>
      <c r="D679" s="49" t="s">
        <v>5</v>
      </c>
      <c r="E679" s="50">
        <v>96</v>
      </c>
      <c r="F679" s="49" t="s">
        <v>107</v>
      </c>
      <c r="G679" s="51">
        <v>166004821</v>
      </c>
      <c r="H679" s="52">
        <v>276.34</v>
      </c>
      <c r="I679" s="52">
        <f>L679+M679+N679</f>
        <v>243.5577</v>
      </c>
      <c r="J679" s="52">
        <f>O679+P679</f>
        <v>32.7823</v>
      </c>
      <c r="K679" s="53">
        <f>IF(H679=I679+J679,0,W679)</f>
        <v>0</v>
      </c>
      <c r="L679" s="52">
        <v>39.5042</v>
      </c>
      <c r="M679" s="52">
        <v>204.0535</v>
      </c>
      <c r="N679" s="52">
        <v>0</v>
      </c>
      <c r="O679" s="52">
        <v>8.2958</v>
      </c>
      <c r="P679" s="52">
        <v>24.4865</v>
      </c>
      <c r="Q679" s="54">
        <v>243.5577</v>
      </c>
      <c r="R679" s="52">
        <v>276.34</v>
      </c>
      <c r="S679" s="52">
        <v>0</v>
      </c>
      <c r="T679" s="52">
        <v>0</v>
      </c>
      <c r="U679" s="52">
        <v>0</v>
      </c>
      <c r="V679" s="52">
        <v>0</v>
      </c>
      <c r="W679" s="52">
        <v>0</v>
      </c>
      <c r="X679" s="54">
        <v>0</v>
      </c>
      <c r="Y679" s="52">
        <v>0</v>
      </c>
      <c r="Z679" s="52">
        <v>276.34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46132.77337962963</v>
      </c>
      <c r="AH679" s="52">
        <v>48486</v>
      </c>
      <c r="AI679" s="52">
        <v>0</v>
      </c>
      <c r="AJ679" s="53">
        <f>AH679+AI679</f>
        <v>48486</v>
      </c>
      <c r="AK679" s="56">
        <v>0</v>
      </c>
    </row>
    <row r="680">
      <c r="A680" s="48">
        <v>46132.77391203704</v>
      </c>
      <c r="B680" s="49" t="s">
        <v>108</v>
      </c>
      <c r="C680" s="49" t="s">
        <v>113</v>
      </c>
      <c r="D680" s="49" t="s">
        <v>5</v>
      </c>
      <c r="E680" s="50">
        <v>96</v>
      </c>
      <c r="F680" s="49" t="s">
        <v>107</v>
      </c>
      <c r="G680" s="51">
        <v>166004822</v>
      </c>
      <c r="H680" s="52">
        <v>73.7</v>
      </c>
      <c r="I680" s="52">
        <f>L680+M680+N680</f>
        <v>65.8036</v>
      </c>
      <c r="J680" s="52">
        <f>O680+P680</f>
        <v>7.8964</v>
      </c>
      <c r="K680" s="53">
        <f>IF(H680=I680+J680,0,W680)</f>
        <v>0</v>
      </c>
      <c r="L680" s="52">
        <v>0</v>
      </c>
      <c r="M680" s="52">
        <v>65.8036</v>
      </c>
      <c r="N680" s="52">
        <v>0</v>
      </c>
      <c r="O680" s="52">
        <v>0</v>
      </c>
      <c r="P680" s="52">
        <v>7.8964</v>
      </c>
      <c r="Q680" s="54">
        <v>65.8036</v>
      </c>
      <c r="R680" s="52">
        <v>73.7</v>
      </c>
      <c r="S680" s="52">
        <v>0</v>
      </c>
      <c r="T680" s="52">
        <v>0</v>
      </c>
      <c r="U680" s="52">
        <v>0</v>
      </c>
      <c r="V680" s="52">
        <v>0</v>
      </c>
      <c r="W680" s="52">
        <v>0</v>
      </c>
      <c r="X680" s="54">
        <v>0</v>
      </c>
      <c r="Y680" s="52">
        <v>0</v>
      </c>
      <c r="Z680" s="52">
        <v>73.7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46132.77391203704</v>
      </c>
      <c r="AH680" s="52">
        <v>48486</v>
      </c>
      <c r="AI680" s="52">
        <v>0</v>
      </c>
      <c r="AJ680" s="53">
        <f>AH680+AI680</f>
        <v>48486</v>
      </c>
      <c r="AK680" s="56">
        <v>0</v>
      </c>
    </row>
    <row r="681">
      <c r="A681" s="48">
        <v>46132.77412037037</v>
      </c>
      <c r="B681" s="49" t="s">
        <v>108</v>
      </c>
      <c r="C681" s="49" t="s">
        <v>113</v>
      </c>
      <c r="D681" s="49" t="s">
        <v>5</v>
      </c>
      <c r="E681" s="50">
        <v>96</v>
      </c>
      <c r="F681" s="49" t="s">
        <v>107</v>
      </c>
      <c r="G681" s="51">
        <v>166004823</v>
      </c>
      <c r="H681" s="52">
        <v>161</v>
      </c>
      <c r="I681" s="52">
        <f>L681+M681+N681</f>
        <v>133.0579</v>
      </c>
      <c r="J681" s="52">
        <f>O681+P681</f>
        <v>27.9421</v>
      </c>
      <c r="K681" s="53">
        <f>IF(H681=I681+J681,0,W681)</f>
        <v>0</v>
      </c>
      <c r="L681" s="52">
        <v>133.0579</v>
      </c>
      <c r="M681" s="52">
        <v>0</v>
      </c>
      <c r="N681" s="52">
        <v>0</v>
      </c>
      <c r="O681" s="52">
        <v>27.9421</v>
      </c>
      <c r="P681" s="52">
        <v>0</v>
      </c>
      <c r="Q681" s="54">
        <v>133.0579</v>
      </c>
      <c r="R681" s="52">
        <v>161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165</v>
      </c>
      <c r="Y681" s="52">
        <v>0</v>
      </c>
      <c r="Z681" s="52">
        <v>0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46132.77412037037</v>
      </c>
      <c r="AH681" s="52">
        <v>48647</v>
      </c>
      <c r="AI681" s="52">
        <v>0</v>
      </c>
      <c r="AJ681" s="53">
        <f>AH681+AI681</f>
        <v>48647</v>
      </c>
      <c r="AK681" s="56">
        <v>0</v>
      </c>
    </row>
    <row r="682">
      <c r="A682" s="48">
        <v>46132.774351851855</v>
      </c>
      <c r="B682" s="49" t="s">
        <v>108</v>
      </c>
      <c r="C682" s="49" t="s">
        <v>113</v>
      </c>
      <c r="D682" s="49" t="s">
        <v>5</v>
      </c>
      <c r="E682" s="50">
        <v>96</v>
      </c>
      <c r="F682" s="49" t="s">
        <v>107</v>
      </c>
      <c r="G682" s="51">
        <v>166004824</v>
      </c>
      <c r="H682" s="52">
        <v>162</v>
      </c>
      <c r="I682" s="52">
        <f>L682+M682+N682</f>
        <v>133.8843</v>
      </c>
      <c r="J682" s="52">
        <f>O682+P682</f>
        <v>28.1157</v>
      </c>
      <c r="K682" s="53">
        <f>IF(H682=I682+J682,0,W682)</f>
        <v>0</v>
      </c>
      <c r="L682" s="52">
        <v>133.8843</v>
      </c>
      <c r="M682" s="52">
        <v>0</v>
      </c>
      <c r="N682" s="52">
        <v>0</v>
      </c>
      <c r="O682" s="52">
        <v>28.1157</v>
      </c>
      <c r="P682" s="52">
        <v>0</v>
      </c>
      <c r="Q682" s="54">
        <v>133.8843</v>
      </c>
      <c r="R682" s="52">
        <v>162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200</v>
      </c>
      <c r="Y682" s="52">
        <v>0</v>
      </c>
      <c r="Z682" s="52">
        <v>0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46132.774351851855</v>
      </c>
      <c r="AH682" s="52">
        <v>48809</v>
      </c>
      <c r="AI682" s="52">
        <v>0</v>
      </c>
      <c r="AJ682" s="53">
        <f>AH682+AI682</f>
        <v>48809</v>
      </c>
      <c r="AK682" s="56">
        <v>0</v>
      </c>
    </row>
    <row r="683">
      <c r="A683" s="48">
        <v>46132.77459490741</v>
      </c>
      <c r="B683" s="49" t="s">
        <v>108</v>
      </c>
      <c r="C683" s="49" t="s">
        <v>100</v>
      </c>
      <c r="D683" s="49" t="s">
        <v>5</v>
      </c>
      <c r="E683" s="50">
        <v>96</v>
      </c>
      <c r="F683" s="49" t="s">
        <v>105</v>
      </c>
      <c r="G683" s="51">
        <v>161000396</v>
      </c>
      <c r="H683" s="52">
        <v>25.2</v>
      </c>
      <c r="I683" s="52">
        <f>L683+M683+N683</f>
        <v>22.48</v>
      </c>
      <c r="J683" s="52">
        <f>O683+P683</f>
        <v>2.72</v>
      </c>
      <c r="K683" s="53">
        <f>IF(H683=I683+J683,0,W683)</f>
        <v>0</v>
      </c>
      <c r="L683" s="52">
        <v>0</v>
      </c>
      <c r="M683" s="52">
        <v>22.48</v>
      </c>
      <c r="N683" s="52">
        <v>0</v>
      </c>
      <c r="O683" s="52">
        <v>0</v>
      </c>
      <c r="P683" s="52">
        <v>2.72</v>
      </c>
      <c r="Q683" s="54">
        <v>22.48</v>
      </c>
      <c r="R683" s="52">
        <v>25.2</v>
      </c>
      <c r="S683" s="52">
        <v>0</v>
      </c>
      <c r="T683" s="52">
        <v>0</v>
      </c>
      <c r="U683" s="52">
        <v>0</v>
      </c>
      <c r="V683" s="52">
        <v>0</v>
      </c>
      <c r="W683" s="52">
        <v>0</v>
      </c>
      <c r="X683" s="54">
        <v>0</v>
      </c>
      <c r="Y683" s="52">
        <v>0</v>
      </c>
      <c r="Z683" s="52">
        <v>25.2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46132.77459490741</v>
      </c>
      <c r="AH683" s="52">
        <v>0</v>
      </c>
      <c r="AI683" s="52">
        <v>0</v>
      </c>
      <c r="AJ683" s="53">
        <f>AH683+AI683</f>
        <v>0</v>
      </c>
      <c r="AK683" s="56">
        <v>0</v>
      </c>
    </row>
    <row r="684">
      <c r="A684" s="48">
        <v>46132.77520833333</v>
      </c>
      <c r="B684" s="49" t="s">
        <v>108</v>
      </c>
      <c r="C684" s="49" t="s">
        <v>113</v>
      </c>
      <c r="D684" s="49" t="s">
        <v>5</v>
      </c>
      <c r="E684" s="50">
        <v>96</v>
      </c>
      <c r="F684" s="49" t="s">
        <v>107</v>
      </c>
      <c r="G684" s="51">
        <v>166004825</v>
      </c>
      <c r="H684" s="52">
        <v>160.16</v>
      </c>
      <c r="I684" s="52">
        <f>L684+M684+N684</f>
        <v>143</v>
      </c>
      <c r="J684" s="52">
        <f>O684+P684</f>
        <v>17.16</v>
      </c>
      <c r="K684" s="53">
        <f>IF(H684=I684+J684,0,W684)</f>
        <v>0</v>
      </c>
      <c r="L684" s="52">
        <v>0</v>
      </c>
      <c r="M684" s="52">
        <v>143</v>
      </c>
      <c r="N684" s="52">
        <v>0</v>
      </c>
      <c r="O684" s="52">
        <v>0</v>
      </c>
      <c r="P684" s="52">
        <v>17.16</v>
      </c>
      <c r="Q684" s="54">
        <v>143</v>
      </c>
      <c r="R684" s="52">
        <v>160.16</v>
      </c>
      <c r="S684" s="52">
        <v>0</v>
      </c>
      <c r="T684" s="52">
        <v>0</v>
      </c>
      <c r="U684" s="52">
        <v>0</v>
      </c>
      <c r="V684" s="52">
        <v>0</v>
      </c>
      <c r="W684" s="52">
        <v>0</v>
      </c>
      <c r="X684" s="54">
        <v>0</v>
      </c>
      <c r="Y684" s="52">
        <v>0</v>
      </c>
      <c r="Z684" s="52">
        <v>160.16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46132.77520833333</v>
      </c>
      <c r="AH684" s="52">
        <v>48809</v>
      </c>
      <c r="AI684" s="52">
        <v>0</v>
      </c>
      <c r="AJ684" s="53">
        <f>AH684+AI684</f>
        <v>48809</v>
      </c>
      <c r="AK684" s="56">
        <v>18.87</v>
      </c>
    </row>
    <row r="685">
      <c r="A685" s="48">
        <v>46132.775775462964</v>
      </c>
      <c r="B685" s="49" t="s">
        <v>108</v>
      </c>
      <c r="C685" s="49" t="s">
        <v>100</v>
      </c>
      <c r="D685" s="49" t="s">
        <v>5</v>
      </c>
      <c r="E685" s="50">
        <v>96</v>
      </c>
      <c r="F685" s="49" t="s">
        <v>105</v>
      </c>
      <c r="G685" s="51">
        <v>161000397</v>
      </c>
      <c r="H685" s="52">
        <v>100.6</v>
      </c>
      <c r="I685" s="52">
        <f>L685+M685+N685</f>
        <v>89.8</v>
      </c>
      <c r="J685" s="52">
        <f>O685+P685</f>
        <v>10.8</v>
      </c>
      <c r="K685" s="53">
        <f>IF(H685=I685+J685,0,W685)</f>
        <v>0</v>
      </c>
      <c r="L685" s="52">
        <v>0</v>
      </c>
      <c r="M685" s="52">
        <v>89.8</v>
      </c>
      <c r="N685" s="52">
        <v>0</v>
      </c>
      <c r="O685" s="52">
        <v>0</v>
      </c>
      <c r="P685" s="52">
        <v>10.8</v>
      </c>
      <c r="Q685" s="54">
        <v>89.8</v>
      </c>
      <c r="R685" s="52">
        <v>100.6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100.6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46132.775775462964</v>
      </c>
      <c r="AH685" s="52">
        <v>0</v>
      </c>
      <c r="AI685" s="52">
        <v>0</v>
      </c>
      <c r="AJ685" s="53">
        <f>AH685+AI685</f>
        <v>0</v>
      </c>
      <c r="AK685" s="56">
        <v>0</v>
      </c>
    </row>
    <row r="686">
      <c r="A686" s="48">
        <v>46132.77583333333</v>
      </c>
      <c r="B686" s="49" t="s">
        <v>108</v>
      </c>
      <c r="C686" s="49" t="s">
        <v>100</v>
      </c>
      <c r="D686" s="49" t="s">
        <v>5</v>
      </c>
      <c r="E686" s="50">
        <v>96</v>
      </c>
      <c r="F686" s="49" t="s">
        <v>101</v>
      </c>
      <c r="G686" s="51">
        <v>163000356</v>
      </c>
      <c r="H686" s="52">
        <v>13.87</v>
      </c>
      <c r="I686" s="52">
        <f>L686+M686+N686</f>
        <v>12.38</v>
      </c>
      <c r="J686" s="52">
        <f>O686+P686</f>
        <v>1.49</v>
      </c>
      <c r="K686" s="53">
        <f>IF(H686=I686+J686,0,W686)</f>
        <v>0</v>
      </c>
      <c r="L686" s="52">
        <v>0</v>
      </c>
      <c r="M686" s="52">
        <v>12.38</v>
      </c>
      <c r="N686" s="52">
        <v>0</v>
      </c>
      <c r="O686" s="52">
        <v>0</v>
      </c>
      <c r="P686" s="52">
        <v>1.49</v>
      </c>
      <c r="Q686" s="54">
        <v>12.38</v>
      </c>
      <c r="R686" s="52">
        <v>13.87</v>
      </c>
      <c r="S686" s="52">
        <v>0</v>
      </c>
      <c r="T686" s="52">
        <v>0</v>
      </c>
      <c r="U686" s="52">
        <v>0</v>
      </c>
      <c r="V686" s="52">
        <v>0</v>
      </c>
      <c r="W686" s="52">
        <v>0</v>
      </c>
      <c r="X686" s="54">
        <v>0</v>
      </c>
      <c r="Y686" s="52">
        <v>0</v>
      </c>
      <c r="Z686" s="52">
        <v>13.87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46132.77583333333</v>
      </c>
      <c r="AH686" s="52">
        <v>0</v>
      </c>
      <c r="AI686" s="52">
        <v>0</v>
      </c>
      <c r="AJ686" s="53">
        <f>AH686+AI686</f>
        <v>0</v>
      </c>
      <c r="AK686" s="56">
        <v>0</v>
      </c>
    </row>
    <row r="687">
      <c r="A687" s="48">
        <v>46132.77659722222</v>
      </c>
      <c r="B687" s="49" t="s">
        <v>108</v>
      </c>
      <c r="C687" s="49" t="s">
        <v>113</v>
      </c>
      <c r="D687" s="49" t="s">
        <v>5</v>
      </c>
      <c r="E687" s="50">
        <v>96</v>
      </c>
      <c r="F687" s="49" t="s">
        <v>107</v>
      </c>
      <c r="G687" s="51">
        <v>166004826</v>
      </c>
      <c r="H687" s="52">
        <v>131</v>
      </c>
      <c r="I687" s="52">
        <f>L687+M687+N687</f>
        <v>108.595</v>
      </c>
      <c r="J687" s="52">
        <f>O687+P687</f>
        <v>22.805</v>
      </c>
      <c r="K687" s="53">
        <f>IF(H687=I687+J687,0,W687)</f>
        <v>-0.4</v>
      </c>
      <c r="L687" s="52">
        <v>108.595</v>
      </c>
      <c r="M687" s="52">
        <v>0</v>
      </c>
      <c r="N687" s="52">
        <v>0</v>
      </c>
      <c r="O687" s="52">
        <v>22.805</v>
      </c>
      <c r="P687" s="52">
        <v>0</v>
      </c>
      <c r="Q687" s="54">
        <v>108.595</v>
      </c>
      <c r="R687" s="52">
        <v>131.4</v>
      </c>
      <c r="S687" s="52">
        <v>0</v>
      </c>
      <c r="T687" s="52">
        <v>0</v>
      </c>
      <c r="U687" s="52">
        <v>0</v>
      </c>
      <c r="V687" s="52">
        <v>0</v>
      </c>
      <c r="W687" s="52">
        <v>-0.4</v>
      </c>
      <c r="X687" s="54">
        <v>200</v>
      </c>
      <c r="Y687" s="52">
        <v>0</v>
      </c>
      <c r="Z687" s="52">
        <v>0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46132.77659722222</v>
      </c>
      <c r="AH687" s="52">
        <v>48940</v>
      </c>
      <c r="AI687" s="52">
        <v>0</v>
      </c>
      <c r="AJ687" s="53">
        <f>AH687+AI687</f>
        <v>48940</v>
      </c>
      <c r="AK687" s="56">
        <v>0</v>
      </c>
    </row>
    <row r="688">
      <c r="A688" s="48">
        <v>46132.77710648148</v>
      </c>
      <c r="B688" s="49" t="s">
        <v>108</v>
      </c>
      <c r="C688" s="49" t="s">
        <v>113</v>
      </c>
      <c r="D688" s="49" t="s">
        <v>5</v>
      </c>
      <c r="E688" s="50">
        <v>96</v>
      </c>
      <c r="F688" s="49" t="s">
        <v>107</v>
      </c>
      <c r="G688" s="51">
        <v>166004827</v>
      </c>
      <c r="H688" s="52">
        <v>164</v>
      </c>
      <c r="I688" s="52">
        <f>L688+M688+N688</f>
        <v>136.0869</v>
      </c>
      <c r="J688" s="52">
        <f>O688+P688</f>
        <v>27.4131</v>
      </c>
      <c r="K688" s="53">
        <f>IF(H688=I688+J688,0,W688)</f>
        <v>0.5</v>
      </c>
      <c r="L688" s="52">
        <v>123.1405</v>
      </c>
      <c r="M688" s="52">
        <v>12.9464</v>
      </c>
      <c r="N688" s="52">
        <v>0</v>
      </c>
      <c r="O688" s="52">
        <v>25.8595</v>
      </c>
      <c r="P688" s="52">
        <v>1.5536</v>
      </c>
      <c r="Q688" s="54">
        <v>136.0869</v>
      </c>
      <c r="R688" s="52">
        <v>163.5</v>
      </c>
      <c r="S688" s="52">
        <v>0</v>
      </c>
      <c r="T688" s="52">
        <v>0</v>
      </c>
      <c r="U688" s="52">
        <v>0</v>
      </c>
      <c r="V688" s="52">
        <v>0</v>
      </c>
      <c r="W688" s="52">
        <v>0.5</v>
      </c>
      <c r="X688" s="54">
        <v>2000</v>
      </c>
      <c r="Y688" s="52">
        <v>0</v>
      </c>
      <c r="Z688" s="52">
        <v>0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46132.77710648148</v>
      </c>
      <c r="AH688" s="52">
        <v>49104</v>
      </c>
      <c r="AI688" s="52">
        <v>0</v>
      </c>
      <c r="AJ688" s="53">
        <f>AH688+AI688</f>
        <v>49104</v>
      </c>
      <c r="AK688" s="56">
        <v>0</v>
      </c>
    </row>
    <row r="689">
      <c r="A689" s="48">
        <v>46132.77804398148</v>
      </c>
      <c r="B689" s="49" t="s">
        <v>108</v>
      </c>
      <c r="C689" s="49" t="s">
        <v>113</v>
      </c>
      <c r="D689" s="49" t="s">
        <v>5</v>
      </c>
      <c r="E689" s="50">
        <v>96</v>
      </c>
      <c r="F689" s="49" t="s">
        <v>107</v>
      </c>
      <c r="G689" s="51">
        <v>166004828</v>
      </c>
      <c r="H689" s="52">
        <v>61.86</v>
      </c>
      <c r="I689" s="52">
        <f>L689+M689+N689</f>
        <v>55.2321</v>
      </c>
      <c r="J689" s="52">
        <f>O689+P689</f>
        <v>6.6279</v>
      </c>
      <c r="K689" s="53">
        <f>IF(H689=I689+J689,0,W689)</f>
        <v>0</v>
      </c>
      <c r="L689" s="52">
        <v>0</v>
      </c>
      <c r="M689" s="52">
        <v>55.2321</v>
      </c>
      <c r="N689" s="52">
        <v>0</v>
      </c>
      <c r="O689" s="52">
        <v>0</v>
      </c>
      <c r="P689" s="52">
        <v>6.6279</v>
      </c>
      <c r="Q689" s="54">
        <v>55.2321</v>
      </c>
      <c r="R689" s="52">
        <v>61.86</v>
      </c>
      <c r="S689" s="52">
        <v>0</v>
      </c>
      <c r="T689" s="52">
        <v>0</v>
      </c>
      <c r="U689" s="52">
        <v>0</v>
      </c>
      <c r="V689" s="52">
        <v>0</v>
      </c>
      <c r="W689" s="52">
        <v>0</v>
      </c>
      <c r="X689" s="54">
        <v>0</v>
      </c>
      <c r="Y689" s="52">
        <v>0</v>
      </c>
      <c r="Z689" s="52">
        <v>61.86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46132.77804398148</v>
      </c>
      <c r="AH689" s="52">
        <v>49104</v>
      </c>
      <c r="AI689" s="52">
        <v>0</v>
      </c>
      <c r="AJ689" s="53">
        <f>AH689+AI689</f>
        <v>49104</v>
      </c>
      <c r="AK689" s="56">
        <v>0</v>
      </c>
    </row>
    <row r="690">
      <c r="A690" s="48">
        <v>46132.77841435185</v>
      </c>
      <c r="B690" s="49" t="s">
        <v>108</v>
      </c>
      <c r="C690" s="49" t="s">
        <v>113</v>
      </c>
      <c r="D690" s="49" t="s">
        <v>5</v>
      </c>
      <c r="E690" s="50">
        <v>96</v>
      </c>
      <c r="F690" s="49" t="s">
        <v>107</v>
      </c>
      <c r="G690" s="51">
        <v>166004829</v>
      </c>
      <c r="H690" s="52">
        <v>119.7</v>
      </c>
      <c r="I690" s="52">
        <f>L690+M690+N690</f>
        <v>106.875</v>
      </c>
      <c r="J690" s="52">
        <f>O690+P690</f>
        <v>12.825</v>
      </c>
      <c r="K690" s="53">
        <f>IF(H690=I690+J690,0,W690)</f>
        <v>0</v>
      </c>
      <c r="L690" s="52">
        <v>0</v>
      </c>
      <c r="M690" s="52">
        <v>106.875</v>
      </c>
      <c r="N690" s="52">
        <v>0</v>
      </c>
      <c r="O690" s="52">
        <v>0</v>
      </c>
      <c r="P690" s="52">
        <v>12.825</v>
      </c>
      <c r="Q690" s="54">
        <v>106.875</v>
      </c>
      <c r="R690" s="52">
        <v>119.7</v>
      </c>
      <c r="S690" s="52">
        <v>0</v>
      </c>
      <c r="T690" s="52">
        <v>0</v>
      </c>
      <c r="U690" s="52">
        <v>0</v>
      </c>
      <c r="V690" s="52">
        <v>0</v>
      </c>
      <c r="W690" s="52">
        <v>0</v>
      </c>
      <c r="X690" s="54">
        <v>0</v>
      </c>
      <c r="Y690" s="52">
        <v>0</v>
      </c>
      <c r="Z690" s="52">
        <v>119.7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46132.77841435185</v>
      </c>
      <c r="AH690" s="52">
        <v>49104</v>
      </c>
      <c r="AI690" s="52">
        <v>0</v>
      </c>
      <c r="AJ690" s="53">
        <f>AH690+AI690</f>
        <v>49104</v>
      </c>
      <c r="AK690" s="56">
        <v>0</v>
      </c>
    </row>
    <row r="691">
      <c r="A691" s="48">
        <v>46132.77857638889</v>
      </c>
      <c r="B691" s="49" t="s">
        <v>108</v>
      </c>
      <c r="C691" s="49" t="s">
        <v>100</v>
      </c>
      <c r="D691" s="49" t="s">
        <v>5</v>
      </c>
      <c r="E691" s="50">
        <v>96</v>
      </c>
      <c r="F691" s="49" t="s">
        <v>105</v>
      </c>
      <c r="G691" s="51">
        <v>161000398</v>
      </c>
      <c r="H691" s="52">
        <v>91.5</v>
      </c>
      <c r="I691" s="52">
        <f>L691+M691+N691</f>
        <v>81.67</v>
      </c>
      <c r="J691" s="52">
        <f>O691+P691</f>
        <v>9.83</v>
      </c>
      <c r="K691" s="53">
        <f>IF(H691=I691+J691,0,W691)</f>
        <v>0</v>
      </c>
      <c r="L691" s="52">
        <v>0</v>
      </c>
      <c r="M691" s="52">
        <v>81.67</v>
      </c>
      <c r="N691" s="52">
        <v>0</v>
      </c>
      <c r="O691" s="52">
        <v>0</v>
      </c>
      <c r="P691" s="52">
        <v>9.83</v>
      </c>
      <c r="Q691" s="54">
        <v>81.67</v>
      </c>
      <c r="R691" s="52">
        <v>91.5</v>
      </c>
      <c r="S691" s="52">
        <v>0</v>
      </c>
      <c r="T691" s="52">
        <v>0</v>
      </c>
      <c r="U691" s="52">
        <v>0</v>
      </c>
      <c r="V691" s="52">
        <v>0</v>
      </c>
      <c r="W691" s="52">
        <v>0</v>
      </c>
      <c r="X691" s="54">
        <v>0</v>
      </c>
      <c r="Y691" s="52">
        <v>0</v>
      </c>
      <c r="Z691" s="52">
        <v>91.5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46132.77857638889</v>
      </c>
      <c r="AH691" s="52">
        <v>0</v>
      </c>
      <c r="AI691" s="52">
        <v>0</v>
      </c>
      <c r="AJ691" s="53">
        <f>AH691+AI691</f>
        <v>0</v>
      </c>
      <c r="AK691" s="56">
        <v>0</v>
      </c>
    </row>
    <row r="692">
      <c r="A692" s="48">
        <v>46132.78138888889</v>
      </c>
      <c r="B692" s="49" t="s">
        <v>108</v>
      </c>
      <c r="C692" s="49" t="s">
        <v>113</v>
      </c>
      <c r="D692" s="49" t="s">
        <v>5</v>
      </c>
      <c r="E692" s="50">
        <v>96</v>
      </c>
      <c r="F692" s="49" t="s">
        <v>107</v>
      </c>
      <c r="G692" s="51">
        <v>166004830</v>
      </c>
      <c r="H692" s="52">
        <v>231</v>
      </c>
      <c r="I692" s="52">
        <f>L692+M692+N692</f>
        <v>206.3393</v>
      </c>
      <c r="J692" s="52">
        <f>O692+P692</f>
        <v>24.7607</v>
      </c>
      <c r="K692" s="53">
        <f>IF(H692=I692+J692,0,W692)</f>
        <v>-0.1</v>
      </c>
      <c r="L692" s="52">
        <v>0</v>
      </c>
      <c r="M692" s="52">
        <v>206.3393</v>
      </c>
      <c r="N692" s="52">
        <v>0</v>
      </c>
      <c r="O692" s="52">
        <v>0</v>
      </c>
      <c r="P692" s="52">
        <v>24.7607</v>
      </c>
      <c r="Q692" s="54">
        <v>206.3393</v>
      </c>
      <c r="R692" s="52">
        <v>231.1</v>
      </c>
      <c r="S692" s="52">
        <v>0</v>
      </c>
      <c r="T692" s="52">
        <v>0</v>
      </c>
      <c r="U692" s="52">
        <v>0</v>
      </c>
      <c r="V692" s="52">
        <v>0</v>
      </c>
      <c r="W692" s="52">
        <v>-0.1</v>
      </c>
      <c r="X692" s="54">
        <v>231</v>
      </c>
      <c r="Y692" s="52">
        <v>0</v>
      </c>
      <c r="Z692" s="52">
        <v>0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46132.78138888889</v>
      </c>
      <c r="AH692" s="52">
        <v>49335</v>
      </c>
      <c r="AI692" s="52">
        <v>0</v>
      </c>
      <c r="AJ692" s="53">
        <f>AH692+AI692</f>
        <v>49335</v>
      </c>
      <c r="AK692" s="56">
        <v>0</v>
      </c>
    </row>
    <row r="693">
      <c r="A693" s="48">
        <v>46132.781701388885</v>
      </c>
      <c r="B693" s="49" t="s">
        <v>108</v>
      </c>
      <c r="C693" s="49" t="s">
        <v>113</v>
      </c>
      <c r="D693" s="49" t="s">
        <v>5</v>
      </c>
      <c r="E693" s="50">
        <v>96</v>
      </c>
      <c r="F693" s="49" t="s">
        <v>107</v>
      </c>
      <c r="G693" s="51">
        <v>166004831</v>
      </c>
      <c r="H693" s="52">
        <v>362</v>
      </c>
      <c r="I693" s="52">
        <f>L693+M693+N693</f>
        <v>299.9654</v>
      </c>
      <c r="J693" s="52">
        <f>O693+P693</f>
        <v>61.6346</v>
      </c>
      <c r="K693" s="53">
        <f>IF(H693=I693+J693,0,W693)</f>
        <v>0.4</v>
      </c>
      <c r="L693" s="52">
        <v>284.8761</v>
      </c>
      <c r="M693" s="52">
        <v>15.0893</v>
      </c>
      <c r="N693" s="52">
        <v>0</v>
      </c>
      <c r="O693" s="52">
        <v>59.8239</v>
      </c>
      <c r="P693" s="52">
        <v>1.8107</v>
      </c>
      <c r="Q693" s="54">
        <v>299.9654</v>
      </c>
      <c r="R693" s="52">
        <v>361.6</v>
      </c>
      <c r="S693" s="52">
        <v>0</v>
      </c>
      <c r="T693" s="52">
        <v>0</v>
      </c>
      <c r="U693" s="52">
        <v>0</v>
      </c>
      <c r="V693" s="52">
        <v>0</v>
      </c>
      <c r="W693" s="52">
        <v>0.4</v>
      </c>
      <c r="X693" s="54">
        <v>500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46132.781701388885</v>
      </c>
      <c r="AH693" s="52">
        <v>49697</v>
      </c>
      <c r="AI693" s="52">
        <v>0</v>
      </c>
      <c r="AJ693" s="53">
        <f>AH693+AI693</f>
        <v>49697</v>
      </c>
      <c r="AK693" s="56">
        <v>0</v>
      </c>
    </row>
    <row r="694">
      <c r="A694" s="48">
        <v>46132.78255787037</v>
      </c>
      <c r="B694" s="49" t="s">
        <v>108</v>
      </c>
      <c r="C694" s="49" t="s">
        <v>113</v>
      </c>
      <c r="D694" s="49" t="s">
        <v>5</v>
      </c>
      <c r="E694" s="50">
        <v>96</v>
      </c>
      <c r="F694" s="49" t="s">
        <v>107</v>
      </c>
      <c r="G694" s="51">
        <v>166004832</v>
      </c>
      <c r="H694" s="52">
        <v>142.8</v>
      </c>
      <c r="I694" s="52">
        <f>L694+M694+N694</f>
        <v>118.0165</v>
      </c>
      <c r="J694" s="52">
        <f>O694+P694</f>
        <v>24.7835</v>
      </c>
      <c r="K694" s="53">
        <f>IF(H694=I694+J694,0,W694)</f>
        <v>0</v>
      </c>
      <c r="L694" s="52">
        <v>118.0165</v>
      </c>
      <c r="M694" s="52">
        <v>0</v>
      </c>
      <c r="N694" s="52">
        <v>0</v>
      </c>
      <c r="O694" s="52">
        <v>24.7835</v>
      </c>
      <c r="P694" s="52">
        <v>0</v>
      </c>
      <c r="Q694" s="54">
        <v>118.0165</v>
      </c>
      <c r="R694" s="52">
        <v>142.8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142.8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46132.78255787037</v>
      </c>
      <c r="AH694" s="52">
        <v>49697</v>
      </c>
      <c r="AI694" s="52">
        <v>0</v>
      </c>
      <c r="AJ694" s="53">
        <f>AH694+AI694</f>
        <v>49697</v>
      </c>
      <c r="AK694" s="56">
        <v>0</v>
      </c>
    </row>
    <row r="695">
      <c r="A695" s="48">
        <v>46132.78359953704</v>
      </c>
      <c r="B695" s="49" t="s">
        <v>108</v>
      </c>
      <c r="C695" s="49" t="s">
        <v>113</v>
      </c>
      <c r="D695" s="49" t="s">
        <v>5</v>
      </c>
      <c r="E695" s="50">
        <v>96</v>
      </c>
      <c r="F695" s="49" t="s">
        <v>107</v>
      </c>
      <c r="G695" s="51">
        <v>166004833</v>
      </c>
      <c r="H695" s="52">
        <v>49.8</v>
      </c>
      <c r="I695" s="52">
        <f>L695+M695+N695</f>
        <v>44.4643</v>
      </c>
      <c r="J695" s="52">
        <f>O695+P695</f>
        <v>5.3357</v>
      </c>
      <c r="K695" s="53">
        <f>IF(H695=I695+J695,0,W695)</f>
        <v>0</v>
      </c>
      <c r="L695" s="52">
        <v>0</v>
      </c>
      <c r="M695" s="52">
        <v>44.4643</v>
      </c>
      <c r="N695" s="52">
        <v>0</v>
      </c>
      <c r="O695" s="52">
        <v>0</v>
      </c>
      <c r="P695" s="52">
        <v>5.3357</v>
      </c>
      <c r="Q695" s="54">
        <v>44.4643</v>
      </c>
      <c r="R695" s="52">
        <v>49.8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49.8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46132.78359953704</v>
      </c>
      <c r="AH695" s="52">
        <v>49697</v>
      </c>
      <c r="AI695" s="52">
        <v>0</v>
      </c>
      <c r="AJ695" s="53">
        <f>AH695+AI695</f>
        <v>49697</v>
      </c>
      <c r="AK695" s="56">
        <v>0</v>
      </c>
    </row>
    <row r="696">
      <c r="A696" s="48">
        <v>46132.78758101852</v>
      </c>
      <c r="B696" s="49" t="s">
        <v>108</v>
      </c>
      <c r="C696" s="49" t="s">
        <v>113</v>
      </c>
      <c r="D696" s="49" t="s">
        <v>5</v>
      </c>
      <c r="E696" s="50">
        <v>96</v>
      </c>
      <c r="F696" s="49" t="s">
        <v>107</v>
      </c>
      <c r="G696" s="51">
        <v>166004834</v>
      </c>
      <c r="H696" s="52">
        <v>146</v>
      </c>
      <c r="I696" s="52">
        <f>L696+M696+N696</f>
        <v>126.89420000000001</v>
      </c>
      <c r="J696" s="52">
        <f>O696+P696</f>
        <v>19.0058</v>
      </c>
      <c r="K696" s="53">
        <f>IF(H696=I696+J696,0,W696)</f>
        <v>0.1</v>
      </c>
      <c r="L696" s="52">
        <v>41.9835</v>
      </c>
      <c r="M696" s="52">
        <v>84.9107</v>
      </c>
      <c r="N696" s="52">
        <v>0</v>
      </c>
      <c r="O696" s="52">
        <v>8.8165</v>
      </c>
      <c r="P696" s="52">
        <v>10.1893</v>
      </c>
      <c r="Q696" s="54">
        <v>126.8942</v>
      </c>
      <c r="R696" s="52">
        <v>145.9</v>
      </c>
      <c r="S696" s="52">
        <v>0</v>
      </c>
      <c r="T696" s="52">
        <v>0</v>
      </c>
      <c r="U696" s="52">
        <v>0</v>
      </c>
      <c r="V696" s="52">
        <v>0</v>
      </c>
      <c r="W696" s="52">
        <v>0.1</v>
      </c>
      <c r="X696" s="54">
        <v>2000</v>
      </c>
      <c r="Y696" s="52">
        <v>0</v>
      </c>
      <c r="Z696" s="52">
        <v>0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46132.78758101852</v>
      </c>
      <c r="AH696" s="52">
        <v>49843</v>
      </c>
      <c r="AI696" s="52">
        <v>0</v>
      </c>
      <c r="AJ696" s="53">
        <f>AH696+AI696</f>
        <v>49843</v>
      </c>
      <c r="AK696" s="56">
        <v>0</v>
      </c>
    </row>
    <row r="697">
      <c r="A697" s="48">
        <v>46132.78810185185</v>
      </c>
      <c r="B697" s="49" t="s">
        <v>108</v>
      </c>
      <c r="C697" s="49" t="s">
        <v>113</v>
      </c>
      <c r="D697" s="49" t="s">
        <v>5</v>
      </c>
      <c r="E697" s="50">
        <v>96</v>
      </c>
      <c r="F697" s="49" t="s">
        <v>107</v>
      </c>
      <c r="G697" s="51">
        <v>166004835</v>
      </c>
      <c r="H697" s="52">
        <v>71</v>
      </c>
      <c r="I697" s="52">
        <f>L697+M697+N697</f>
        <v>63.2143</v>
      </c>
      <c r="J697" s="52">
        <f>O697+P697</f>
        <v>7.5857</v>
      </c>
      <c r="K697" s="53">
        <f>IF(H697=I697+J697,0,W697)</f>
        <v>0.2</v>
      </c>
      <c r="L697" s="52">
        <v>0</v>
      </c>
      <c r="M697" s="52">
        <v>63.2143</v>
      </c>
      <c r="N697" s="52">
        <v>0</v>
      </c>
      <c r="O697" s="52">
        <v>0</v>
      </c>
      <c r="P697" s="52">
        <v>7.5857</v>
      </c>
      <c r="Q697" s="54">
        <v>63.2143</v>
      </c>
      <c r="R697" s="52">
        <v>70.8</v>
      </c>
      <c r="S697" s="52">
        <v>0</v>
      </c>
      <c r="T697" s="52">
        <v>0</v>
      </c>
      <c r="U697" s="52">
        <v>0</v>
      </c>
      <c r="V697" s="52">
        <v>0</v>
      </c>
      <c r="W697" s="52">
        <v>0.2</v>
      </c>
      <c r="X697" s="54">
        <v>100</v>
      </c>
      <c r="Y697" s="52">
        <v>0</v>
      </c>
      <c r="Z697" s="52">
        <v>0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46132.78810185185</v>
      </c>
      <c r="AH697" s="52">
        <v>49914</v>
      </c>
      <c r="AI697" s="52">
        <v>0</v>
      </c>
      <c r="AJ697" s="53">
        <f>AH697+AI697</f>
        <v>49914</v>
      </c>
      <c r="AK697" s="56">
        <v>0</v>
      </c>
    </row>
    <row r="698">
      <c r="A698" s="48">
        <v>46132.788402777776</v>
      </c>
      <c r="B698" s="49" t="s">
        <v>108</v>
      </c>
      <c r="C698" s="49" t="s">
        <v>113</v>
      </c>
      <c r="D698" s="49" t="s">
        <v>5</v>
      </c>
      <c r="E698" s="50">
        <v>96</v>
      </c>
      <c r="F698" s="49" t="s">
        <v>107</v>
      </c>
      <c r="G698" s="51">
        <v>166004836</v>
      </c>
      <c r="H698" s="52">
        <v>41</v>
      </c>
      <c r="I698" s="52">
        <f>L698+M698+N698</f>
        <v>37.0357</v>
      </c>
      <c r="J698" s="52">
        <f>O698+P698</f>
        <v>4.4443</v>
      </c>
      <c r="K698" s="53">
        <f>IF(H698=I698+J698,0,W698)</f>
        <v>-0.48</v>
      </c>
      <c r="L698" s="52">
        <v>0</v>
      </c>
      <c r="M698" s="52">
        <v>37.0357</v>
      </c>
      <c r="N698" s="52">
        <v>0</v>
      </c>
      <c r="O698" s="52">
        <v>0</v>
      </c>
      <c r="P698" s="52">
        <v>4.4443</v>
      </c>
      <c r="Q698" s="54">
        <v>37.0357</v>
      </c>
      <c r="R698" s="52">
        <v>41.48</v>
      </c>
      <c r="S698" s="52">
        <v>0</v>
      </c>
      <c r="T698" s="52">
        <v>0</v>
      </c>
      <c r="U698" s="52">
        <v>0</v>
      </c>
      <c r="V698" s="52">
        <v>0</v>
      </c>
      <c r="W698" s="52">
        <v>-0.48</v>
      </c>
      <c r="X698" s="54">
        <v>100</v>
      </c>
      <c r="Y698" s="52">
        <v>0</v>
      </c>
      <c r="Z698" s="52">
        <v>0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46132.788402777776</v>
      </c>
      <c r="AH698" s="52">
        <v>49955</v>
      </c>
      <c r="AI698" s="52">
        <v>0</v>
      </c>
      <c r="AJ698" s="53">
        <f>AH698+AI698</f>
        <v>49955</v>
      </c>
      <c r="AK698" s="56">
        <v>0</v>
      </c>
    </row>
    <row r="699">
      <c r="A699" s="48">
        <v>46132.79280092593</v>
      </c>
      <c r="B699" s="49" t="s">
        <v>108</v>
      </c>
      <c r="C699" s="49" t="s">
        <v>113</v>
      </c>
      <c r="D699" s="49" t="s">
        <v>5</v>
      </c>
      <c r="E699" s="50">
        <v>96</v>
      </c>
      <c r="F699" s="49" t="s">
        <v>107</v>
      </c>
      <c r="G699" s="51">
        <v>166004837</v>
      </c>
      <c r="H699" s="52">
        <v>424.13</v>
      </c>
      <c r="I699" s="52">
        <f>L699+M699+N699</f>
        <v>374.7163</v>
      </c>
      <c r="J699" s="52">
        <f>O699+P699</f>
        <v>49.413700000000006</v>
      </c>
      <c r="K699" s="53">
        <f>IF(H699=I699+J699,0,W699)</f>
        <v>0</v>
      </c>
      <c r="L699" s="52">
        <v>49.4215</v>
      </c>
      <c r="M699" s="52">
        <v>325.2948</v>
      </c>
      <c r="N699" s="52">
        <v>0</v>
      </c>
      <c r="O699" s="52">
        <v>10.3785</v>
      </c>
      <c r="P699" s="52">
        <v>39.0352</v>
      </c>
      <c r="Q699" s="54">
        <v>374.7163</v>
      </c>
      <c r="R699" s="52">
        <v>424.13</v>
      </c>
      <c r="S699" s="52">
        <v>0</v>
      </c>
      <c r="T699" s="52">
        <v>0</v>
      </c>
      <c r="U699" s="52">
        <v>0</v>
      </c>
      <c r="V699" s="52">
        <v>0</v>
      </c>
      <c r="W699" s="52">
        <v>0</v>
      </c>
      <c r="X699" s="54">
        <v>0</v>
      </c>
      <c r="Y699" s="52">
        <v>0</v>
      </c>
      <c r="Z699" s="52">
        <v>424.13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46132.79280092593</v>
      </c>
      <c r="AH699" s="52">
        <v>49955</v>
      </c>
      <c r="AI699" s="52">
        <v>0</v>
      </c>
      <c r="AJ699" s="53">
        <f>AH699+AI699</f>
        <v>49955</v>
      </c>
      <c r="AK699" s="56">
        <v>25.11</v>
      </c>
    </row>
    <row r="700">
      <c r="A700" s="48">
        <v>46132.795</v>
      </c>
      <c r="B700" s="49" t="s">
        <v>108</v>
      </c>
      <c r="C700" s="49" t="s">
        <v>113</v>
      </c>
      <c r="D700" s="49" t="s">
        <v>5</v>
      </c>
      <c r="E700" s="50">
        <v>96</v>
      </c>
      <c r="F700" s="49" t="s">
        <v>107</v>
      </c>
      <c r="G700" s="51">
        <v>166004838</v>
      </c>
      <c r="H700" s="52">
        <v>53</v>
      </c>
      <c r="I700" s="52">
        <f>L700+M700+N700</f>
        <v>43.6363</v>
      </c>
      <c r="J700" s="52">
        <f>O700+P700</f>
        <v>9.1637</v>
      </c>
      <c r="K700" s="53">
        <f>IF(H700=I700+J700,0,W700)</f>
        <v>0.2</v>
      </c>
      <c r="L700" s="52">
        <v>43.6363</v>
      </c>
      <c r="M700" s="52">
        <v>0</v>
      </c>
      <c r="N700" s="52">
        <v>0</v>
      </c>
      <c r="O700" s="52">
        <v>9.1637</v>
      </c>
      <c r="P700" s="52">
        <v>0</v>
      </c>
      <c r="Q700" s="54">
        <v>43.6363</v>
      </c>
      <c r="R700" s="52">
        <v>52.8</v>
      </c>
      <c r="S700" s="52">
        <v>0</v>
      </c>
      <c r="T700" s="52">
        <v>0</v>
      </c>
      <c r="U700" s="52">
        <v>0</v>
      </c>
      <c r="V700" s="52">
        <v>0</v>
      </c>
      <c r="W700" s="52">
        <v>0.2</v>
      </c>
      <c r="X700" s="54">
        <v>53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46132.795</v>
      </c>
      <c r="AH700" s="52">
        <v>50008</v>
      </c>
      <c r="AI700" s="52">
        <v>0</v>
      </c>
      <c r="AJ700" s="53">
        <f>AH700+AI700</f>
        <v>50008</v>
      </c>
      <c r="AK700" s="56">
        <v>0</v>
      </c>
    </row>
    <row r="701">
      <c r="A701" s="48">
        <v>46132.79584490741</v>
      </c>
      <c r="B701" s="49" t="s">
        <v>108</v>
      </c>
      <c r="C701" s="49" t="s">
        <v>100</v>
      </c>
      <c r="D701" s="49" t="s">
        <v>5</v>
      </c>
      <c r="E701" s="50">
        <v>96</v>
      </c>
      <c r="F701" s="49" t="s">
        <v>101</v>
      </c>
      <c r="G701" s="51">
        <v>163000357</v>
      </c>
      <c r="H701" s="52">
        <v>80.8</v>
      </c>
      <c r="I701" s="52">
        <f>L701+M701+N701</f>
        <v>72.14</v>
      </c>
      <c r="J701" s="52">
        <f>O701+P701</f>
        <v>8.66</v>
      </c>
      <c r="K701" s="53">
        <f>IF(H701=I701+J701,0,W701)</f>
        <v>0</v>
      </c>
      <c r="L701" s="52">
        <v>0</v>
      </c>
      <c r="M701" s="52">
        <v>72.14</v>
      </c>
      <c r="N701" s="52">
        <v>0</v>
      </c>
      <c r="O701" s="52">
        <v>0</v>
      </c>
      <c r="P701" s="52">
        <v>8.66</v>
      </c>
      <c r="Q701" s="54">
        <v>72.14</v>
      </c>
      <c r="R701" s="52">
        <v>80.8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80.8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46132.79584490741</v>
      </c>
      <c r="AH701" s="52">
        <v>0</v>
      </c>
      <c r="AI701" s="52">
        <v>0</v>
      </c>
      <c r="AJ701" s="53">
        <f>AH701+AI701</f>
        <v>0</v>
      </c>
      <c r="AK701" s="56">
        <v>0</v>
      </c>
    </row>
    <row r="702">
      <c r="A702" s="48">
        <v>46132.79696759259</v>
      </c>
      <c r="B702" s="49" t="s">
        <v>108</v>
      </c>
      <c r="C702" s="49" t="s">
        <v>113</v>
      </c>
      <c r="D702" s="49" t="s">
        <v>5</v>
      </c>
      <c r="E702" s="50">
        <v>96</v>
      </c>
      <c r="F702" s="49" t="s">
        <v>107</v>
      </c>
      <c r="G702" s="51">
        <v>166004839</v>
      </c>
      <c r="H702" s="52">
        <v>65.8</v>
      </c>
      <c r="I702" s="52">
        <f>L702+M702+N702</f>
        <v>55.4214</v>
      </c>
      <c r="J702" s="52">
        <f>O702+P702</f>
        <v>10.3786</v>
      </c>
      <c r="K702" s="53">
        <f>IF(H702=I702+J702,0,W702)</f>
        <v>0</v>
      </c>
      <c r="L702" s="52">
        <v>49.4214</v>
      </c>
      <c r="M702" s="52">
        <v>0</v>
      </c>
      <c r="N702" s="52">
        <v>6</v>
      </c>
      <c r="O702" s="52">
        <v>10.3786</v>
      </c>
      <c r="P702" s="52">
        <v>0</v>
      </c>
      <c r="Q702" s="54">
        <v>49.4214</v>
      </c>
      <c r="R702" s="52">
        <v>59.8</v>
      </c>
      <c r="S702" s="52">
        <v>0</v>
      </c>
      <c r="T702" s="52">
        <v>0</v>
      </c>
      <c r="U702" s="52">
        <v>6</v>
      </c>
      <c r="V702" s="52">
        <v>0</v>
      </c>
      <c r="W702" s="52">
        <v>0</v>
      </c>
      <c r="X702" s="54">
        <v>0</v>
      </c>
      <c r="Y702" s="52">
        <v>0</v>
      </c>
      <c r="Z702" s="52">
        <v>65.8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46132.79696759259</v>
      </c>
      <c r="AH702" s="52">
        <v>50008</v>
      </c>
      <c r="AI702" s="52">
        <v>0</v>
      </c>
      <c r="AJ702" s="53">
        <f>AH702+AI702</f>
        <v>50008</v>
      </c>
      <c r="AK702" s="56">
        <v>0</v>
      </c>
    </row>
    <row r="703">
      <c r="A703" s="48">
        <v>46132.80034722222</v>
      </c>
      <c r="B703" s="49" t="s">
        <v>108</v>
      </c>
      <c r="C703" s="49" t="s">
        <v>113</v>
      </c>
      <c r="D703" s="49" t="s">
        <v>5</v>
      </c>
      <c r="E703" s="50">
        <v>96</v>
      </c>
      <c r="F703" s="49" t="s">
        <v>107</v>
      </c>
      <c r="G703" s="51">
        <v>166004840</v>
      </c>
      <c r="H703" s="52">
        <v>46</v>
      </c>
      <c r="I703" s="52">
        <f>L703+M703+N703</f>
        <v>40.9821</v>
      </c>
      <c r="J703" s="52">
        <f>O703+P703</f>
        <v>4.9179</v>
      </c>
      <c r="K703" s="53">
        <f>IF(H703=I703+J703,0,W703)</f>
        <v>0.1</v>
      </c>
      <c r="L703" s="52">
        <v>0</v>
      </c>
      <c r="M703" s="52">
        <v>40.9821</v>
      </c>
      <c r="N703" s="52">
        <v>0</v>
      </c>
      <c r="O703" s="52">
        <v>0</v>
      </c>
      <c r="P703" s="52">
        <v>4.9179</v>
      </c>
      <c r="Q703" s="54">
        <v>40.9821</v>
      </c>
      <c r="R703" s="52">
        <v>45.9</v>
      </c>
      <c r="S703" s="52">
        <v>0</v>
      </c>
      <c r="T703" s="52">
        <v>0</v>
      </c>
      <c r="U703" s="52">
        <v>0</v>
      </c>
      <c r="V703" s="52">
        <v>0</v>
      </c>
      <c r="W703" s="52">
        <v>0.1</v>
      </c>
      <c r="X703" s="54">
        <v>46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46132.80034722222</v>
      </c>
      <c r="AH703" s="52">
        <v>50054</v>
      </c>
      <c r="AI703" s="52">
        <v>0</v>
      </c>
      <c r="AJ703" s="53">
        <f>AH703+AI703</f>
        <v>50054</v>
      </c>
      <c r="AK703" s="56">
        <v>0</v>
      </c>
    </row>
    <row r="704">
      <c r="A704" s="48">
        <v>46132.801712962966</v>
      </c>
      <c r="B704" s="49" t="s">
        <v>108</v>
      </c>
      <c r="C704" s="49" t="s">
        <v>113</v>
      </c>
      <c r="D704" s="49" t="s">
        <v>5</v>
      </c>
      <c r="E704" s="50">
        <v>96</v>
      </c>
      <c r="F704" s="49" t="s">
        <v>107</v>
      </c>
      <c r="G704" s="51">
        <v>166004841</v>
      </c>
      <c r="H704" s="52">
        <v>34.09</v>
      </c>
      <c r="I704" s="52">
        <f>L704+M704+N704</f>
        <v>30.4375</v>
      </c>
      <c r="J704" s="52">
        <f>O704+P704</f>
        <v>3.6525</v>
      </c>
      <c r="K704" s="53">
        <f>IF(H704=I704+J704,0,W704)</f>
        <v>0</v>
      </c>
      <c r="L704" s="52">
        <v>0</v>
      </c>
      <c r="M704" s="52">
        <v>30.4375</v>
      </c>
      <c r="N704" s="52">
        <v>0</v>
      </c>
      <c r="O704" s="52">
        <v>0</v>
      </c>
      <c r="P704" s="52">
        <v>3.6525</v>
      </c>
      <c r="Q704" s="54">
        <v>30.4375</v>
      </c>
      <c r="R704" s="52">
        <v>34.09</v>
      </c>
      <c r="S704" s="52">
        <v>0</v>
      </c>
      <c r="T704" s="52">
        <v>0</v>
      </c>
      <c r="U704" s="52">
        <v>0</v>
      </c>
      <c r="V704" s="52">
        <v>0</v>
      </c>
      <c r="W704" s="52">
        <v>0</v>
      </c>
      <c r="X704" s="54">
        <v>0</v>
      </c>
      <c r="Y704" s="52">
        <v>0</v>
      </c>
      <c r="Z704" s="52">
        <v>34.09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46132.801712962966</v>
      </c>
      <c r="AH704" s="52">
        <v>50054</v>
      </c>
      <c r="AI704" s="52">
        <v>0</v>
      </c>
      <c r="AJ704" s="53">
        <f>AH704+AI704</f>
        <v>50054</v>
      </c>
      <c r="AK704" s="56">
        <v>0</v>
      </c>
    </row>
    <row r="705">
      <c r="A705" s="48">
        <v>46132.80341435185</v>
      </c>
      <c r="B705" s="49" t="s">
        <v>108</v>
      </c>
      <c r="C705" s="49" t="s">
        <v>113</v>
      </c>
      <c r="D705" s="49" t="s">
        <v>5</v>
      </c>
      <c r="E705" s="50">
        <v>96</v>
      </c>
      <c r="F705" s="49" t="s">
        <v>107</v>
      </c>
      <c r="G705" s="51">
        <v>166004842</v>
      </c>
      <c r="H705" s="52">
        <v>40</v>
      </c>
      <c r="I705" s="52">
        <f>L705+M705+N705</f>
        <v>35.5358</v>
      </c>
      <c r="J705" s="52">
        <f>O705+P705</f>
        <v>4.2642</v>
      </c>
      <c r="K705" s="53">
        <f>IF(H705=I705+J705,0,W705)</f>
        <v>0.2</v>
      </c>
      <c r="L705" s="52">
        <v>0</v>
      </c>
      <c r="M705" s="52">
        <v>35.5358</v>
      </c>
      <c r="N705" s="52">
        <v>0</v>
      </c>
      <c r="O705" s="52">
        <v>0</v>
      </c>
      <c r="P705" s="52">
        <v>4.2642</v>
      </c>
      <c r="Q705" s="54">
        <v>35.5358</v>
      </c>
      <c r="R705" s="52">
        <v>39.8</v>
      </c>
      <c r="S705" s="52">
        <v>0</v>
      </c>
      <c r="T705" s="52">
        <v>0</v>
      </c>
      <c r="U705" s="52">
        <v>0</v>
      </c>
      <c r="V705" s="52">
        <v>0</v>
      </c>
      <c r="W705" s="52">
        <v>0.2</v>
      </c>
      <c r="X705" s="54">
        <v>200</v>
      </c>
      <c r="Y705" s="52">
        <v>0</v>
      </c>
      <c r="Z705" s="52">
        <v>0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46132.80341435185</v>
      </c>
      <c r="AH705" s="52">
        <v>50094</v>
      </c>
      <c r="AI705" s="52">
        <v>0</v>
      </c>
      <c r="AJ705" s="53">
        <f>AH705+AI705</f>
        <v>50094</v>
      </c>
      <c r="AK705" s="56">
        <v>0</v>
      </c>
    </row>
    <row r="706">
      <c r="A706" s="48">
        <v>46132.80998842593</v>
      </c>
      <c r="B706" s="49" t="s">
        <v>108</v>
      </c>
      <c r="C706" s="49" t="s">
        <v>113</v>
      </c>
      <c r="D706" s="49" t="s">
        <v>5</v>
      </c>
      <c r="E706" s="50">
        <v>96</v>
      </c>
      <c r="F706" s="49" t="s">
        <v>107</v>
      </c>
      <c r="G706" s="51">
        <v>166004843</v>
      </c>
      <c r="H706" s="52">
        <v>660</v>
      </c>
      <c r="I706" s="52">
        <f>L706+M706+N706</f>
        <v>566.1252999999999</v>
      </c>
      <c r="J706" s="52">
        <f>O706+P706</f>
        <v>93.7747</v>
      </c>
      <c r="K706" s="53">
        <f>IF(H706=I706+J706,0,W706)</f>
        <v>0.1</v>
      </c>
      <c r="L706" s="52">
        <v>287.1074</v>
      </c>
      <c r="M706" s="52">
        <v>279.0179</v>
      </c>
      <c r="N706" s="52">
        <v>0</v>
      </c>
      <c r="O706" s="52">
        <v>60.2926</v>
      </c>
      <c r="P706" s="52">
        <v>33.4821</v>
      </c>
      <c r="Q706" s="54">
        <v>566.1253</v>
      </c>
      <c r="R706" s="52">
        <v>659.9</v>
      </c>
      <c r="S706" s="52">
        <v>0</v>
      </c>
      <c r="T706" s="52">
        <v>0</v>
      </c>
      <c r="U706" s="52">
        <v>0</v>
      </c>
      <c r="V706" s="52">
        <v>0</v>
      </c>
      <c r="W706" s="52">
        <v>0.1</v>
      </c>
      <c r="X706" s="54">
        <v>700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46132.80998842593</v>
      </c>
      <c r="AH706" s="52">
        <v>50754</v>
      </c>
      <c r="AI706" s="52">
        <v>0</v>
      </c>
      <c r="AJ706" s="53">
        <f>AH706+AI706</f>
        <v>50754</v>
      </c>
      <c r="AK706" s="56">
        <v>0</v>
      </c>
    </row>
    <row r="707">
      <c r="A707" s="48">
        <v>46132.81050925926</v>
      </c>
      <c r="B707" s="49" t="s">
        <v>108</v>
      </c>
      <c r="C707" s="49" t="s">
        <v>113</v>
      </c>
      <c r="D707" s="49" t="s">
        <v>5</v>
      </c>
      <c r="E707" s="50">
        <v>96</v>
      </c>
      <c r="F707" s="49" t="s">
        <v>107</v>
      </c>
      <c r="G707" s="51">
        <v>166004844</v>
      </c>
      <c r="H707" s="52">
        <v>55.07</v>
      </c>
      <c r="I707" s="52">
        <f>L707+M707+N707</f>
        <v>47.0578</v>
      </c>
      <c r="J707" s="52">
        <f>O707+P707</f>
        <v>8.0122</v>
      </c>
      <c r="K707" s="53">
        <f>IF(H707=I707+J707,0,W707)</f>
        <v>0</v>
      </c>
      <c r="L707" s="52">
        <v>26.281</v>
      </c>
      <c r="M707" s="52">
        <v>20.7768</v>
      </c>
      <c r="N707" s="52">
        <v>0</v>
      </c>
      <c r="O707" s="52">
        <v>5.519</v>
      </c>
      <c r="P707" s="52">
        <v>2.4932</v>
      </c>
      <c r="Q707" s="54">
        <v>47.0578</v>
      </c>
      <c r="R707" s="52">
        <v>55.07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55.07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46132.81050925926</v>
      </c>
      <c r="AH707" s="52">
        <v>50754</v>
      </c>
      <c r="AI707" s="52">
        <v>0</v>
      </c>
      <c r="AJ707" s="53">
        <f>AH707+AI707</f>
        <v>50754</v>
      </c>
      <c r="AK707" s="56">
        <v>0</v>
      </c>
    </row>
    <row r="708">
      <c r="A708" s="48">
        <v>46132.813680555555</v>
      </c>
      <c r="B708" s="49" t="s">
        <v>108</v>
      </c>
      <c r="C708" s="49" t="s">
        <v>113</v>
      </c>
      <c r="D708" s="49" t="s">
        <v>5</v>
      </c>
      <c r="E708" s="50">
        <v>96</v>
      </c>
      <c r="F708" s="49" t="s">
        <v>107</v>
      </c>
      <c r="G708" s="51">
        <v>166004845</v>
      </c>
      <c r="H708" s="52">
        <v>322</v>
      </c>
      <c r="I708" s="52">
        <f>L708+M708+N708</f>
        <v>284.525</v>
      </c>
      <c r="J708" s="52">
        <f>O708+P708</f>
        <v>37.475</v>
      </c>
      <c r="K708" s="53">
        <f>IF(H708=I708+J708,0,W708)</f>
        <v>0</v>
      </c>
      <c r="L708" s="52">
        <v>37.0248</v>
      </c>
      <c r="M708" s="52">
        <v>247.5002</v>
      </c>
      <c r="N708" s="52">
        <v>0</v>
      </c>
      <c r="O708" s="52">
        <v>7.7752</v>
      </c>
      <c r="P708" s="52">
        <v>29.6998</v>
      </c>
      <c r="Q708" s="54">
        <v>284.525</v>
      </c>
      <c r="R708" s="52">
        <v>322</v>
      </c>
      <c r="S708" s="52">
        <v>0</v>
      </c>
      <c r="T708" s="52">
        <v>0</v>
      </c>
      <c r="U708" s="52">
        <v>0</v>
      </c>
      <c r="V708" s="52">
        <v>0</v>
      </c>
      <c r="W708" s="52">
        <v>0</v>
      </c>
      <c r="X708" s="54">
        <v>0</v>
      </c>
      <c r="Y708" s="52">
        <v>0</v>
      </c>
      <c r="Z708" s="52">
        <v>322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46132.813680555555</v>
      </c>
      <c r="AH708" s="52">
        <v>50754</v>
      </c>
      <c r="AI708" s="52">
        <v>0</v>
      </c>
      <c r="AJ708" s="53">
        <f>AH708+AI708</f>
        <v>50754</v>
      </c>
      <c r="AK708" s="56">
        <v>0</v>
      </c>
    </row>
    <row r="709">
      <c r="A709" s="48">
        <v>46132.81471064815</v>
      </c>
      <c r="B709" s="49" t="s">
        <v>108</v>
      </c>
      <c r="C709" s="49" t="s">
        <v>113</v>
      </c>
      <c r="D709" s="49" t="s">
        <v>5</v>
      </c>
      <c r="E709" s="50">
        <v>96</v>
      </c>
      <c r="F709" s="49" t="s">
        <v>107</v>
      </c>
      <c r="G709" s="51">
        <v>166004846</v>
      </c>
      <c r="H709" s="52">
        <v>152</v>
      </c>
      <c r="I709" s="52">
        <f>L709+M709+N709</f>
        <v>134.116</v>
      </c>
      <c r="J709" s="52">
        <f>O709+P709</f>
        <v>17.574</v>
      </c>
      <c r="K709" s="53">
        <f>IF(H709=I709+J709,0,W709)</f>
        <v>0.31</v>
      </c>
      <c r="L709" s="52">
        <v>16.4463</v>
      </c>
      <c r="M709" s="52">
        <v>117.6697</v>
      </c>
      <c r="N709" s="52">
        <v>0</v>
      </c>
      <c r="O709" s="52">
        <v>3.4537</v>
      </c>
      <c r="P709" s="52">
        <v>14.1203</v>
      </c>
      <c r="Q709" s="54">
        <v>134.116</v>
      </c>
      <c r="R709" s="52">
        <v>151.69</v>
      </c>
      <c r="S709" s="52">
        <v>0</v>
      </c>
      <c r="T709" s="52">
        <v>0</v>
      </c>
      <c r="U709" s="52">
        <v>0</v>
      </c>
      <c r="V709" s="52">
        <v>0</v>
      </c>
      <c r="W709" s="52">
        <v>0.31</v>
      </c>
      <c r="X709" s="54">
        <v>200</v>
      </c>
      <c r="Y709" s="52">
        <v>0</v>
      </c>
      <c r="Z709" s="52">
        <v>0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46132.81471064815</v>
      </c>
      <c r="AH709" s="52">
        <v>50906</v>
      </c>
      <c r="AI709" s="52">
        <v>0</v>
      </c>
      <c r="AJ709" s="53">
        <f>AH709+AI709</f>
        <v>50906</v>
      </c>
      <c r="AK709" s="56">
        <v>35.6464</v>
      </c>
    </row>
    <row r="710">
      <c r="A710" s="48">
        <v>46132.81791666667</v>
      </c>
      <c r="B710" s="49" t="s">
        <v>108</v>
      </c>
      <c r="C710" s="49" t="s">
        <v>113</v>
      </c>
      <c r="D710" s="49" t="s">
        <v>5</v>
      </c>
      <c r="E710" s="50">
        <v>96</v>
      </c>
      <c r="F710" s="49" t="s">
        <v>107</v>
      </c>
      <c r="G710" s="51">
        <v>166004847</v>
      </c>
      <c r="H710" s="52">
        <v>173.07</v>
      </c>
      <c r="I710" s="52">
        <f>L710+M710+N710</f>
        <v>154.4005</v>
      </c>
      <c r="J710" s="52">
        <f>O710+P710</f>
        <v>18.6695</v>
      </c>
      <c r="K710" s="53">
        <f>IF(H710=I710+J710,0,W710)</f>
        <v>0</v>
      </c>
      <c r="L710" s="52">
        <v>1.5702</v>
      </c>
      <c r="M710" s="52">
        <v>152.8303</v>
      </c>
      <c r="N710" s="52">
        <v>0</v>
      </c>
      <c r="O710" s="52">
        <v>0.3298</v>
      </c>
      <c r="P710" s="52">
        <v>18.3397</v>
      </c>
      <c r="Q710" s="54">
        <v>154.4005</v>
      </c>
      <c r="R710" s="52">
        <v>173.07</v>
      </c>
      <c r="S710" s="52">
        <v>0</v>
      </c>
      <c r="T710" s="52">
        <v>0</v>
      </c>
      <c r="U710" s="52">
        <v>0</v>
      </c>
      <c r="V710" s="52">
        <v>0</v>
      </c>
      <c r="W710" s="52">
        <v>0</v>
      </c>
      <c r="X710" s="54">
        <v>0</v>
      </c>
      <c r="Y710" s="52">
        <v>0</v>
      </c>
      <c r="Z710" s="52">
        <v>173.07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46132.81791666667</v>
      </c>
      <c r="AH710" s="52">
        <v>50906</v>
      </c>
      <c r="AI710" s="52">
        <v>0</v>
      </c>
      <c r="AJ710" s="53">
        <f>AH710+AI710</f>
        <v>50906</v>
      </c>
      <c r="AK710" s="56">
        <v>26.2348</v>
      </c>
    </row>
    <row r="711">
      <c r="A711" s="48">
        <v>46132.81818287037</v>
      </c>
      <c r="B711" s="49" t="s">
        <v>108</v>
      </c>
      <c r="C711" s="49" t="s">
        <v>100</v>
      </c>
      <c r="D711" s="49" t="s">
        <v>5</v>
      </c>
      <c r="E711" s="50">
        <v>96</v>
      </c>
      <c r="F711" s="49" t="s">
        <v>105</v>
      </c>
      <c r="G711" s="51">
        <v>161000399</v>
      </c>
      <c r="H711" s="52">
        <v>61.7</v>
      </c>
      <c r="I711" s="52">
        <f>L711+M711+N711</f>
        <v>55.08</v>
      </c>
      <c r="J711" s="52">
        <f>O711+P711</f>
        <v>6.62</v>
      </c>
      <c r="K711" s="53">
        <f>IF(H711=I711+J711,0,W711)</f>
        <v>0</v>
      </c>
      <c r="L711" s="52">
        <v>0</v>
      </c>
      <c r="M711" s="52">
        <v>55.08</v>
      </c>
      <c r="N711" s="52">
        <v>0</v>
      </c>
      <c r="O711" s="52">
        <v>0</v>
      </c>
      <c r="P711" s="52">
        <v>6.62</v>
      </c>
      <c r="Q711" s="54">
        <v>55.08</v>
      </c>
      <c r="R711" s="52">
        <v>61.7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61.7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46132.81818287037</v>
      </c>
      <c r="AH711" s="52">
        <v>0</v>
      </c>
      <c r="AI711" s="52">
        <v>0</v>
      </c>
      <c r="AJ711" s="53">
        <f>AH711+AI711</f>
        <v>0</v>
      </c>
      <c r="AK711" s="56">
        <v>0</v>
      </c>
    </row>
    <row r="712">
      <c r="A712" s="48">
        <v>46132.81836805555</v>
      </c>
      <c r="B712" s="49" t="s">
        <v>108</v>
      </c>
      <c r="C712" s="49" t="s">
        <v>113</v>
      </c>
      <c r="D712" s="49" t="s">
        <v>5</v>
      </c>
      <c r="E712" s="50">
        <v>96</v>
      </c>
      <c r="F712" s="49" t="s">
        <v>107</v>
      </c>
      <c r="G712" s="51">
        <v>166004848</v>
      </c>
      <c r="H712" s="52">
        <v>171</v>
      </c>
      <c r="I712" s="52">
        <f>L712+M712+N712</f>
        <v>141.3223</v>
      </c>
      <c r="J712" s="52">
        <f>O712+P712</f>
        <v>29.6777</v>
      </c>
      <c r="K712" s="53">
        <f>IF(H712=I712+J712,0,W712)</f>
        <v>0</v>
      </c>
      <c r="L712" s="52">
        <v>141.3223</v>
      </c>
      <c r="M712" s="52">
        <v>0</v>
      </c>
      <c r="N712" s="52">
        <v>0</v>
      </c>
      <c r="O712" s="52">
        <v>29.6777</v>
      </c>
      <c r="P712" s="52">
        <v>0</v>
      </c>
      <c r="Q712" s="54">
        <v>141.3223</v>
      </c>
      <c r="R712" s="52">
        <v>171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1000</v>
      </c>
      <c r="Y712" s="52">
        <v>0</v>
      </c>
      <c r="Z712" s="52">
        <v>0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46132.81836805555</v>
      </c>
      <c r="AH712" s="52">
        <v>51077</v>
      </c>
      <c r="AI712" s="52">
        <v>0</v>
      </c>
      <c r="AJ712" s="53">
        <f>AH712+AI712</f>
        <v>51077</v>
      </c>
      <c r="AK712" s="56">
        <v>0</v>
      </c>
    </row>
    <row r="713">
      <c r="A713" s="48">
        <v>46132.81953703704</v>
      </c>
      <c r="B713" s="49" t="s">
        <v>108</v>
      </c>
      <c r="C713" s="49" t="s">
        <v>113</v>
      </c>
      <c r="D713" s="49" t="s">
        <v>5</v>
      </c>
      <c r="E713" s="50">
        <v>96</v>
      </c>
      <c r="F713" s="49" t="s">
        <v>107</v>
      </c>
      <c r="G713" s="51">
        <v>166004849</v>
      </c>
      <c r="H713" s="52">
        <v>320</v>
      </c>
      <c r="I713" s="52">
        <f>L713+M713+N713</f>
        <v>266.4046</v>
      </c>
      <c r="J713" s="52">
        <f>O713+P713</f>
        <v>53.0954</v>
      </c>
      <c r="K713" s="53">
        <f>IF(H713=I713+J713,0,W713)</f>
        <v>0.5</v>
      </c>
      <c r="L713" s="52">
        <v>230.7439</v>
      </c>
      <c r="M713" s="52">
        <v>38.6607</v>
      </c>
      <c r="N713" s="52">
        <v>-3</v>
      </c>
      <c r="O713" s="52">
        <v>48.4561</v>
      </c>
      <c r="P713" s="52">
        <v>4.6393</v>
      </c>
      <c r="Q713" s="54">
        <v>269.4046</v>
      </c>
      <c r="R713" s="52">
        <v>322.5</v>
      </c>
      <c r="S713" s="52">
        <v>0</v>
      </c>
      <c r="T713" s="52">
        <v>0</v>
      </c>
      <c r="U713" s="52">
        <v>0</v>
      </c>
      <c r="V713" s="52">
        <v>-3</v>
      </c>
      <c r="W713" s="52">
        <v>0.5</v>
      </c>
      <c r="X713" s="54">
        <v>2000</v>
      </c>
      <c r="Y713" s="52">
        <v>0</v>
      </c>
      <c r="Z713" s="52">
        <v>0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46132.81953703704</v>
      </c>
      <c r="AH713" s="52">
        <v>51397</v>
      </c>
      <c r="AI713" s="52">
        <v>0</v>
      </c>
      <c r="AJ713" s="53">
        <f>AH713+AI713</f>
        <v>51397</v>
      </c>
      <c r="AK713" s="56">
        <v>0</v>
      </c>
    </row>
    <row r="714">
      <c r="A714" s="48">
        <v>46132.820335648146</v>
      </c>
      <c r="B714" s="49" t="s">
        <v>108</v>
      </c>
      <c r="C714" s="49" t="s">
        <v>113</v>
      </c>
      <c r="D714" s="49" t="s">
        <v>5</v>
      </c>
      <c r="E714" s="50">
        <v>96</v>
      </c>
      <c r="F714" s="49" t="s">
        <v>107</v>
      </c>
      <c r="G714" s="51">
        <v>166004850</v>
      </c>
      <c r="H714" s="52">
        <v>167.93</v>
      </c>
      <c r="I714" s="52">
        <f>L714+M714+N714</f>
        <v>145.1759</v>
      </c>
      <c r="J714" s="52">
        <f>O714+P714</f>
        <v>22.7541</v>
      </c>
      <c r="K714" s="53">
        <f>IF(H714=I714+J714,0,W714)</f>
        <v>0</v>
      </c>
      <c r="L714" s="52">
        <v>59.2563</v>
      </c>
      <c r="M714" s="52">
        <v>85.9196</v>
      </c>
      <c r="N714" s="52">
        <v>0</v>
      </c>
      <c r="O714" s="52">
        <v>12.4437</v>
      </c>
      <c r="P714" s="52">
        <v>10.3104</v>
      </c>
      <c r="Q714" s="54">
        <v>145.1759</v>
      </c>
      <c r="R714" s="52">
        <v>167.93</v>
      </c>
      <c r="S714" s="52">
        <v>0</v>
      </c>
      <c r="T714" s="52">
        <v>0</v>
      </c>
      <c r="U714" s="52">
        <v>0</v>
      </c>
      <c r="V714" s="52">
        <v>0</v>
      </c>
      <c r="W714" s="52">
        <v>0</v>
      </c>
      <c r="X714" s="54">
        <v>0</v>
      </c>
      <c r="Y714" s="52">
        <v>0</v>
      </c>
      <c r="Z714" s="52">
        <v>167.93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46132.820335648146</v>
      </c>
      <c r="AH714" s="52">
        <v>51397</v>
      </c>
      <c r="AI714" s="52">
        <v>0</v>
      </c>
      <c r="AJ714" s="53">
        <f>AH714+AI714</f>
        <v>51397</v>
      </c>
      <c r="AK714" s="56">
        <v>0</v>
      </c>
    </row>
    <row r="715">
      <c r="A715" s="48">
        <v>46132.82293981482</v>
      </c>
      <c r="B715" s="49" t="s">
        <v>108</v>
      </c>
      <c r="C715" s="49" t="s">
        <v>113</v>
      </c>
      <c r="D715" s="49" t="s">
        <v>5</v>
      </c>
      <c r="E715" s="50">
        <v>96</v>
      </c>
      <c r="F715" s="49" t="s">
        <v>107</v>
      </c>
      <c r="G715" s="51">
        <v>166004851</v>
      </c>
      <c r="H715" s="52">
        <v>162.1</v>
      </c>
      <c r="I715" s="52">
        <f>L715+M715+N715</f>
        <v>136.7495</v>
      </c>
      <c r="J715" s="52">
        <f>O715+P715</f>
        <v>25.3505</v>
      </c>
      <c r="K715" s="53">
        <f>IF(H715=I715+J715,0,W715)</f>
        <v>0</v>
      </c>
      <c r="L715" s="52">
        <v>99.3388</v>
      </c>
      <c r="M715" s="52">
        <v>37.4107</v>
      </c>
      <c r="N715" s="52">
        <v>0</v>
      </c>
      <c r="O715" s="52">
        <v>20.8612</v>
      </c>
      <c r="P715" s="52">
        <v>4.4893</v>
      </c>
      <c r="Q715" s="54">
        <v>136.7495</v>
      </c>
      <c r="R715" s="52">
        <v>162.1</v>
      </c>
      <c r="S715" s="52">
        <v>0</v>
      </c>
      <c r="T715" s="52">
        <v>0</v>
      </c>
      <c r="U715" s="52">
        <v>0</v>
      </c>
      <c r="V715" s="52">
        <v>0</v>
      </c>
      <c r="W715" s="52">
        <v>0</v>
      </c>
      <c r="X715" s="54">
        <v>0</v>
      </c>
      <c r="Y715" s="52">
        <v>0</v>
      </c>
      <c r="Z715" s="52">
        <v>162.1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46132.82293981482</v>
      </c>
      <c r="AH715" s="52">
        <v>51397</v>
      </c>
      <c r="AI715" s="52">
        <v>0</v>
      </c>
      <c r="AJ715" s="53">
        <f>AH715+AI715</f>
        <v>51397</v>
      </c>
      <c r="AK715" s="56">
        <v>0</v>
      </c>
    </row>
    <row r="716">
      <c r="A716" s="48">
        <v>46132.82579861111</v>
      </c>
      <c r="B716" s="49" t="s">
        <v>108</v>
      </c>
      <c r="C716" s="49" t="s">
        <v>113</v>
      </c>
      <c r="D716" s="49" t="s">
        <v>5</v>
      </c>
      <c r="E716" s="50">
        <v>96</v>
      </c>
      <c r="F716" s="49" t="s">
        <v>107</v>
      </c>
      <c r="G716" s="51">
        <v>166004852</v>
      </c>
      <c r="H716" s="52">
        <v>17.4</v>
      </c>
      <c r="I716" s="52">
        <f>L716+M716+N716</f>
        <v>15.5357</v>
      </c>
      <c r="J716" s="52">
        <f>O716+P716</f>
        <v>1.8643</v>
      </c>
      <c r="K716" s="53">
        <f>IF(H716=I716+J716,0,W716)</f>
        <v>0</v>
      </c>
      <c r="L716" s="52">
        <v>0</v>
      </c>
      <c r="M716" s="52">
        <v>15.5357</v>
      </c>
      <c r="N716" s="52">
        <v>0</v>
      </c>
      <c r="O716" s="52">
        <v>0</v>
      </c>
      <c r="P716" s="52">
        <v>1.8643</v>
      </c>
      <c r="Q716" s="54">
        <v>15.5357</v>
      </c>
      <c r="R716" s="52">
        <v>17.4</v>
      </c>
      <c r="S716" s="52">
        <v>0</v>
      </c>
      <c r="T716" s="52">
        <v>0</v>
      </c>
      <c r="U716" s="52">
        <v>0</v>
      </c>
      <c r="V716" s="52">
        <v>0</v>
      </c>
      <c r="W716" s="52">
        <v>0</v>
      </c>
      <c r="X716" s="54">
        <v>0</v>
      </c>
      <c r="Y716" s="52">
        <v>0</v>
      </c>
      <c r="Z716" s="52">
        <v>17.4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46132.82579861111</v>
      </c>
      <c r="AH716" s="52">
        <v>51397</v>
      </c>
      <c r="AI716" s="52">
        <v>0</v>
      </c>
      <c r="AJ716" s="53">
        <f>AH716+AI716</f>
        <v>51397</v>
      </c>
      <c r="AK716" s="56">
        <v>0</v>
      </c>
    </row>
    <row r="717">
      <c r="A717" s="48">
        <v>46132.82667824074</v>
      </c>
      <c r="B717" s="49" t="s">
        <v>108</v>
      </c>
      <c r="C717" s="49" t="s">
        <v>113</v>
      </c>
      <c r="D717" s="49" t="s">
        <v>5</v>
      </c>
      <c r="E717" s="50">
        <v>96</v>
      </c>
      <c r="F717" s="49" t="s">
        <v>107</v>
      </c>
      <c r="G717" s="51">
        <v>166004853</v>
      </c>
      <c r="H717" s="52">
        <v>80</v>
      </c>
      <c r="I717" s="52">
        <f>L717+M717+N717</f>
        <v>69.5735</v>
      </c>
      <c r="J717" s="52">
        <f>O717+P717</f>
        <v>10.1265</v>
      </c>
      <c r="K717" s="53">
        <f>IF(H717=I717+J717,0,W717)</f>
        <v>0.3</v>
      </c>
      <c r="L717" s="52">
        <v>19.7521</v>
      </c>
      <c r="M717" s="52">
        <v>49.8214</v>
      </c>
      <c r="N717" s="52">
        <v>0</v>
      </c>
      <c r="O717" s="52">
        <v>4.1479</v>
      </c>
      <c r="P717" s="52">
        <v>5.9786</v>
      </c>
      <c r="Q717" s="54">
        <v>69.5735</v>
      </c>
      <c r="R717" s="52">
        <v>79.7</v>
      </c>
      <c r="S717" s="52">
        <v>0</v>
      </c>
      <c r="T717" s="52">
        <v>0</v>
      </c>
      <c r="U717" s="52">
        <v>0</v>
      </c>
      <c r="V717" s="52">
        <v>0</v>
      </c>
      <c r="W717" s="52">
        <v>0.3</v>
      </c>
      <c r="X717" s="54">
        <v>100</v>
      </c>
      <c r="Y717" s="52">
        <v>0</v>
      </c>
      <c r="Z717" s="52">
        <v>0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46132.82667824074</v>
      </c>
      <c r="AH717" s="52">
        <v>51477</v>
      </c>
      <c r="AI717" s="52">
        <v>0</v>
      </c>
      <c r="AJ717" s="53">
        <f>AH717+AI717</f>
        <v>51477</v>
      </c>
      <c r="AK717" s="56">
        <v>0</v>
      </c>
    </row>
    <row r="718">
      <c r="A718" s="48">
        <v>46132.82994212963</v>
      </c>
      <c r="B718" s="49" t="s">
        <v>108</v>
      </c>
      <c r="C718" s="49" t="s">
        <v>111</v>
      </c>
      <c r="D718" s="49" t="s">
        <v>5</v>
      </c>
      <c r="E718" s="50">
        <v>96</v>
      </c>
      <c r="F718" s="49" t="s">
        <v>109</v>
      </c>
      <c r="G718" s="51">
        <v>169002841</v>
      </c>
      <c r="H718" s="52">
        <v>129.6</v>
      </c>
      <c r="I718" s="52">
        <f>L718+M718+N718</f>
        <v>107.1074</v>
      </c>
      <c r="J718" s="52">
        <f>O718+P718</f>
        <v>22.4926</v>
      </c>
      <c r="K718" s="53">
        <f>IF(H718=I718+J718,0,W718)</f>
        <v>0</v>
      </c>
      <c r="L718" s="52">
        <v>107.1074</v>
      </c>
      <c r="M718" s="52">
        <v>0</v>
      </c>
      <c r="N718" s="52">
        <v>0</v>
      </c>
      <c r="O718" s="52">
        <v>22.4926</v>
      </c>
      <c r="P718" s="52">
        <v>0</v>
      </c>
      <c r="Q718" s="54">
        <v>107.1074</v>
      </c>
      <c r="R718" s="52">
        <v>129.6</v>
      </c>
      <c r="S718" s="52">
        <v>0</v>
      </c>
      <c r="T718" s="52">
        <v>0</v>
      </c>
      <c r="U718" s="52">
        <v>0</v>
      </c>
      <c r="V718" s="52">
        <v>0</v>
      </c>
      <c r="W718" s="52">
        <v>0</v>
      </c>
      <c r="X718" s="54">
        <v>0</v>
      </c>
      <c r="Y718" s="52">
        <v>0</v>
      </c>
      <c r="Z718" s="52">
        <v>129.6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46132.82994212963</v>
      </c>
      <c r="AH718" s="52">
        <v>36964</v>
      </c>
      <c r="AI718" s="52">
        <v>0</v>
      </c>
      <c r="AJ718" s="53">
        <f>AH718+AI718</f>
        <v>36964</v>
      </c>
      <c r="AK718" s="56">
        <v>0</v>
      </c>
    </row>
    <row r="719">
      <c r="A719" s="48">
        <v>46132.83137731482</v>
      </c>
      <c r="B719" s="49" t="s">
        <v>108</v>
      </c>
      <c r="C719" s="49" t="s">
        <v>111</v>
      </c>
      <c r="D719" s="49" t="s">
        <v>5</v>
      </c>
      <c r="E719" s="50">
        <v>96</v>
      </c>
      <c r="F719" s="49" t="s">
        <v>109</v>
      </c>
      <c r="G719" s="51">
        <v>169002842</v>
      </c>
      <c r="H719" s="52">
        <v>36</v>
      </c>
      <c r="I719" s="52">
        <f>L719+M719+N719</f>
        <v>30.1901</v>
      </c>
      <c r="J719" s="52">
        <f>O719+P719</f>
        <v>5.7099</v>
      </c>
      <c r="K719" s="53">
        <f>IF(H719=I719+J719,0,W719)</f>
        <v>0.1</v>
      </c>
      <c r="L719" s="52">
        <v>27.1901</v>
      </c>
      <c r="M719" s="52">
        <v>0</v>
      </c>
      <c r="N719" s="52">
        <v>3</v>
      </c>
      <c r="O719" s="52">
        <v>5.7099</v>
      </c>
      <c r="P719" s="52">
        <v>0</v>
      </c>
      <c r="Q719" s="54">
        <v>27.1901</v>
      </c>
      <c r="R719" s="52">
        <v>32.9</v>
      </c>
      <c r="S719" s="52">
        <v>0</v>
      </c>
      <c r="T719" s="52">
        <v>0</v>
      </c>
      <c r="U719" s="52">
        <v>3</v>
      </c>
      <c r="V719" s="52">
        <v>0</v>
      </c>
      <c r="W719" s="52">
        <v>0.1</v>
      </c>
      <c r="X719" s="54">
        <v>500</v>
      </c>
      <c r="Y719" s="52">
        <v>0</v>
      </c>
      <c r="Z719" s="52">
        <v>0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46132.83137731482</v>
      </c>
      <c r="AH719" s="52">
        <v>37000</v>
      </c>
      <c r="AI719" s="52">
        <v>0</v>
      </c>
      <c r="AJ719" s="53">
        <f>AH719+AI719</f>
        <v>37000</v>
      </c>
      <c r="AK719" s="56">
        <v>0</v>
      </c>
    </row>
    <row r="720">
      <c r="A720" s="48">
        <v>46132.83206018519</v>
      </c>
      <c r="B720" s="49" t="s">
        <v>108</v>
      </c>
      <c r="C720" s="49" t="s">
        <v>111</v>
      </c>
      <c r="D720" s="49" t="s">
        <v>5</v>
      </c>
      <c r="E720" s="50">
        <v>96</v>
      </c>
      <c r="F720" s="49" t="s">
        <v>109</v>
      </c>
      <c r="G720" s="51">
        <v>169002843</v>
      </c>
      <c r="H720" s="52">
        <v>1.9</v>
      </c>
      <c r="I720" s="52">
        <f>L720+M720+N720</f>
        <v>1.5702</v>
      </c>
      <c r="J720" s="52">
        <f>O720+P720</f>
        <v>0.3298</v>
      </c>
      <c r="K720" s="53">
        <f>IF(H720=I720+J720,0,W720)</f>
        <v>0</v>
      </c>
      <c r="L720" s="52">
        <v>1.5702</v>
      </c>
      <c r="M720" s="52">
        <v>0</v>
      </c>
      <c r="N720" s="52">
        <v>0</v>
      </c>
      <c r="O720" s="52">
        <v>0.3298</v>
      </c>
      <c r="P720" s="52">
        <v>0</v>
      </c>
      <c r="Q720" s="54">
        <v>1.5702</v>
      </c>
      <c r="R720" s="52">
        <v>1.9</v>
      </c>
      <c r="S720" s="52">
        <v>0</v>
      </c>
      <c r="T720" s="52">
        <v>0</v>
      </c>
      <c r="U720" s="52">
        <v>0</v>
      </c>
      <c r="V720" s="52">
        <v>0</v>
      </c>
      <c r="W720" s="52">
        <v>0</v>
      </c>
      <c r="X720" s="54">
        <v>0</v>
      </c>
      <c r="Y720" s="52">
        <v>0</v>
      </c>
      <c r="Z720" s="52">
        <v>1.9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46132.83206018519</v>
      </c>
      <c r="AH720" s="52">
        <v>37000</v>
      </c>
      <c r="AI720" s="52">
        <v>0</v>
      </c>
      <c r="AJ720" s="53">
        <f>AH720+AI720</f>
        <v>37000</v>
      </c>
      <c r="AK720" s="56">
        <v>0</v>
      </c>
    </row>
    <row r="721">
      <c r="A721" s="48">
        <v>46132.83246527778</v>
      </c>
      <c r="B721" s="49" t="s">
        <v>108</v>
      </c>
      <c r="C721" s="49" t="s">
        <v>111</v>
      </c>
      <c r="D721" s="49" t="s">
        <v>5</v>
      </c>
      <c r="E721" s="50">
        <v>96</v>
      </c>
      <c r="F721" s="49" t="s">
        <v>109</v>
      </c>
      <c r="G721" s="51">
        <v>169002844</v>
      </c>
      <c r="H721" s="52">
        <v>44.93</v>
      </c>
      <c r="I721" s="52">
        <f>L721+M721+N721</f>
        <v>40.1161</v>
      </c>
      <c r="J721" s="52">
        <f>O721+P721</f>
        <v>4.8139</v>
      </c>
      <c r="K721" s="53">
        <f>IF(H721=I721+J721,0,W721)</f>
        <v>0</v>
      </c>
      <c r="L721" s="52">
        <v>0</v>
      </c>
      <c r="M721" s="52">
        <v>40.1161</v>
      </c>
      <c r="N721" s="52">
        <v>0</v>
      </c>
      <c r="O721" s="52">
        <v>0</v>
      </c>
      <c r="P721" s="52">
        <v>4.8139</v>
      </c>
      <c r="Q721" s="54">
        <v>40.1161</v>
      </c>
      <c r="R721" s="52">
        <v>44.93</v>
      </c>
      <c r="S721" s="52">
        <v>0</v>
      </c>
      <c r="T721" s="52">
        <v>0</v>
      </c>
      <c r="U721" s="52">
        <v>0</v>
      </c>
      <c r="V721" s="52">
        <v>0</v>
      </c>
      <c r="W721" s="52">
        <v>0</v>
      </c>
      <c r="X721" s="54">
        <v>0</v>
      </c>
      <c r="Y721" s="52">
        <v>0</v>
      </c>
      <c r="Z721" s="52">
        <v>44.93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46132.83246527778</v>
      </c>
      <c r="AH721" s="52">
        <v>37000</v>
      </c>
      <c r="AI721" s="52">
        <v>0</v>
      </c>
      <c r="AJ721" s="53">
        <f>AH721+AI721</f>
        <v>37000</v>
      </c>
      <c r="AK721" s="56">
        <v>10.5567</v>
      </c>
    </row>
    <row r="722">
      <c r="A722" s="48">
        <v>46132.832870370374</v>
      </c>
      <c r="B722" s="49" t="s">
        <v>99</v>
      </c>
      <c r="C722" s="49" t="s">
        <v>112</v>
      </c>
      <c r="D722" s="49" t="s">
        <v>5</v>
      </c>
      <c r="E722" s="50">
        <v>96</v>
      </c>
      <c r="F722" s="49" t="s">
        <v>107</v>
      </c>
      <c r="G722" s="51"/>
      <c r="H722" s="52">
        <v>0</v>
      </c>
      <c r="I722" s="52">
        <f>L722+M722+N722</f>
        <v>0</v>
      </c>
      <c r="J722" s="52">
        <f>O722+P722</f>
        <v>0</v>
      </c>
      <c r="K722" s="53">
        <f>IF(H722=I722+J722,0,W722)</f>
        <v>0</v>
      </c>
      <c r="L722" s="52">
        <v>0</v>
      </c>
      <c r="M722" s="52">
        <v>0</v>
      </c>
      <c r="N722" s="52">
        <v>0</v>
      </c>
      <c r="O722" s="52">
        <v>0</v>
      </c>
      <c r="P722" s="52">
        <v>0</v>
      </c>
      <c r="Q722" s="54">
        <v>0</v>
      </c>
      <c r="R722" s="52">
        <v>0</v>
      </c>
      <c r="S722" s="52">
        <v>0</v>
      </c>
      <c r="T722" s="52">
        <v>0</v>
      </c>
      <c r="U722" s="52">
        <v>0</v>
      </c>
      <c r="V722" s="52">
        <v>0</v>
      </c>
      <c r="W722" s="52">
        <v>0</v>
      </c>
      <c r="X722" s="54"/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46132.832870370374</v>
      </c>
      <c r="AH722" s="52">
        <v>51477</v>
      </c>
      <c r="AI722" s="52">
        <v>0</v>
      </c>
      <c r="AJ722" s="53">
        <f>AH722+AI722</f>
        <v>51477</v>
      </c>
      <c r="AK722" s="56"/>
    </row>
    <row r="723">
      <c r="A723" s="48">
        <v>46132.835324074076</v>
      </c>
      <c r="B723" s="49" t="s">
        <v>99</v>
      </c>
      <c r="C723" s="49" t="s">
        <v>112</v>
      </c>
      <c r="D723" s="49" t="s">
        <v>5</v>
      </c>
      <c r="E723" s="50">
        <v>96</v>
      </c>
      <c r="F723" s="49" t="s">
        <v>109</v>
      </c>
      <c r="G723" s="51"/>
      <c r="H723" s="52">
        <v>0</v>
      </c>
      <c r="I723" s="52">
        <f>L723+M723+N723</f>
        <v>0</v>
      </c>
      <c r="J723" s="52">
        <f>O723+P723</f>
        <v>0</v>
      </c>
      <c r="K723" s="53">
        <f>IF(H723=I723+J723,0,W723)</f>
        <v>0</v>
      </c>
      <c r="L723" s="52">
        <v>0</v>
      </c>
      <c r="M723" s="52">
        <v>0</v>
      </c>
      <c r="N723" s="52">
        <v>0</v>
      </c>
      <c r="O723" s="52">
        <v>0</v>
      </c>
      <c r="P723" s="52">
        <v>0</v>
      </c>
      <c r="Q723" s="54">
        <v>0</v>
      </c>
      <c r="R723" s="52">
        <v>0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/>
      <c r="Y723" s="52">
        <v>0</v>
      </c>
      <c r="Z723" s="52">
        <v>0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46132.835324074076</v>
      </c>
      <c r="AH723" s="52">
        <v>37000</v>
      </c>
      <c r="AI723" s="52">
        <v>0</v>
      </c>
      <c r="AJ723" s="53">
        <f>AH723+AI723</f>
        <v>37000</v>
      </c>
      <c r="AK723" s="56"/>
    </row>
    <row r="724">
      <c r="A724" s="48">
        <v>46132.835543981484</v>
      </c>
      <c r="B724" s="49" t="s">
        <v>99</v>
      </c>
      <c r="C724" s="49" t="s">
        <v>112</v>
      </c>
      <c r="D724" s="49" t="s">
        <v>5</v>
      </c>
      <c r="E724" s="50">
        <v>96</v>
      </c>
      <c r="F724" s="49" t="s">
        <v>109</v>
      </c>
      <c r="G724" s="51"/>
      <c r="H724" s="52">
        <v>0</v>
      </c>
      <c r="I724" s="52">
        <f>L724+M724+N724</f>
        <v>0</v>
      </c>
      <c r="J724" s="52">
        <f>O724+P724</f>
        <v>0</v>
      </c>
      <c r="K724" s="53">
        <f>IF(H724=I724+J724,0,W724)</f>
        <v>0</v>
      </c>
      <c r="L724" s="52">
        <v>0</v>
      </c>
      <c r="M724" s="52">
        <v>0</v>
      </c>
      <c r="N724" s="52">
        <v>0</v>
      </c>
      <c r="O724" s="52">
        <v>0</v>
      </c>
      <c r="P724" s="52">
        <v>0</v>
      </c>
      <c r="Q724" s="54">
        <v>0</v>
      </c>
      <c r="R724" s="52">
        <v>0</v>
      </c>
      <c r="S724" s="52">
        <v>0</v>
      </c>
      <c r="T724" s="52">
        <v>0</v>
      </c>
      <c r="U724" s="52">
        <v>0</v>
      </c>
      <c r="V724" s="52">
        <v>0</v>
      </c>
      <c r="W724" s="52">
        <v>0</v>
      </c>
      <c r="X724" s="54"/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46132.835543981484</v>
      </c>
      <c r="AH724" s="52">
        <v>37000</v>
      </c>
      <c r="AI724" s="52">
        <v>0</v>
      </c>
      <c r="AJ724" s="53">
        <f>AH724+AI724</f>
        <v>37000</v>
      </c>
      <c r="AK724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116</v>
      </c>
      <c r="AA1" s="102"/>
      <c r="AB1" s="102"/>
      <c r="AC1" s="102"/>
      <c r="AD1" s="102"/>
      <c r="AE1" s="102"/>
      <c r="AF1" s="101" t="s">
        <v>117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118</v>
      </c>
      <c r="C3" s="118" t="s">
        <v>68</v>
      </c>
      <c r="D3" s="119" t="s">
        <v>119</v>
      </c>
      <c r="E3" s="117" t="s">
        <v>69</v>
      </c>
      <c r="F3" s="120" t="s">
        <v>66</v>
      </c>
      <c r="G3" s="121" t="s">
        <v>120</v>
      </c>
      <c r="H3" s="122" t="s">
        <v>121</v>
      </c>
      <c r="I3" s="123" t="s">
        <v>122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123</v>
      </c>
      <c r="AF3" s="124" t="s">
        <v>124</v>
      </c>
      <c r="AG3" s="125" t="s">
        <v>125</v>
      </c>
      <c r="AH3" s="117" t="s">
        <v>126</v>
      </c>
      <c r="AI3" s="117" t="s">
        <v>127</v>
      </c>
      <c r="AJ3" s="117" t="s">
        <v>128</v>
      </c>
      <c r="AK3" s="126" t="s">
        <v>129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130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130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130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130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130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130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130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130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130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114</v>
      </c>
      <c r="B1" s="140"/>
      <c r="C1" s="140"/>
      <c r="D1" s="140"/>
      <c r="E1" s="140"/>
      <c r="F1" s="140"/>
      <c r="G1" s="101" t="s">
        <v>115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116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92316.37999999999</v>
      </c>
      <c r="K2" s="67">
        <f>SUBTOTAL(109,K4:K999948)</f>
        <v>79957.2906999999</v>
      </c>
      <c r="L2" s="67">
        <f>SUBTOTAL(109,L4:L999948)</f>
        <v>11784.839300000014</v>
      </c>
      <c r="M2" s="69">
        <f>SUBTOTAL(109,M4:M999948)</f>
        <v>21.229999999999983</v>
      </c>
      <c r="N2" s="70">
        <f>SUBTOTAL(109,N4:N999948)</f>
        <v>24403.4246</v>
      </c>
      <c r="O2" s="67">
        <f>SUBTOTAL(109,O4:O999948)</f>
        <v>56035.2461</v>
      </c>
      <c r="P2" s="69">
        <f>SUBTOTAL(109,P4:P999948)</f>
        <v>6</v>
      </c>
      <c r="Q2" s="67">
        <f>SUBTOTAL(109,Q4:Q999948)</f>
        <v>5125.005399999998</v>
      </c>
      <c r="R2" s="67">
        <f>SUBTOTAL(109,R4:R999948)</f>
        <v>6725.473900000005</v>
      </c>
      <c r="S2" s="70">
        <f>SUBTOTAL(109,S4:S999948)</f>
        <v>80438.67069999992</v>
      </c>
      <c r="T2" s="67">
        <f>SUBTOTAL(109,T4:T999948)</f>
        <v>92289.14999999995</v>
      </c>
      <c r="U2" s="67">
        <f>SUBTOTAL(109,U4:U999948)</f>
        <v>0</v>
      </c>
      <c r="V2" s="67">
        <f>SUBTOTAL(109,V4:V999948)</f>
        <v>0</v>
      </c>
      <c r="W2" s="67">
        <f>SUBTOTAL(109,W4:W999948)</f>
        <v>75</v>
      </c>
      <c r="X2" s="67">
        <f>SUBTOTAL(109,X4:X999948)</f>
        <v>-69</v>
      </c>
      <c r="Y2" s="69">
        <f>SUBTOTAL(109,Y4:Y999948)</f>
        <v>21.229999999999983</v>
      </c>
      <c r="Z2" s="70">
        <f>SUBTOTAL(109,Z4:Z999948)</f>
        <v>87217</v>
      </c>
      <c r="AA2" s="67">
        <f>SUBTOTAL(109,AA4:AA999948)</f>
        <v>0</v>
      </c>
      <c r="AB2" s="67">
        <f>SUBTOTAL(109,AB4:AB999948)</f>
        <v>53413.38000000002</v>
      </c>
      <c r="AC2" s="67"/>
      <c r="AD2" s="67">
        <f>SUBTOTAL(109,AD4:AD999948)</f>
        <v>0</v>
      </c>
      <c r="AE2" s="68">
        <f>SUBTOTAL(109,AE4:AE999948)</f>
        <v>-48314</v>
      </c>
      <c r="AF2" s="76">
        <f>SUBTOTAL(109,AF4:AF999853)</f>
        <v>1083.0861</v>
      </c>
      <c r="AMI2" s="35"/>
      <c r="AMJ2" s="35"/>
    </row>
    <row r="3" ht="45" customHeight="1" s="39" customFormat="1">
      <c r="A3" s="116" t="s">
        <v>67</v>
      </c>
      <c r="B3" s="117" t="s">
        <v>118</v>
      </c>
      <c r="C3" s="118" t="s">
        <v>68</v>
      </c>
      <c r="D3" s="119" t="s">
        <v>119</v>
      </c>
      <c r="E3" s="117" t="s">
        <v>69</v>
      </c>
      <c r="F3" s="120" t="s">
        <v>66</v>
      </c>
      <c r="G3" s="145" t="s">
        <v>120</v>
      </c>
      <c r="H3" s="122" t="s">
        <v>121</v>
      </c>
      <c r="I3" s="146" t="s">
        <v>122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123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46132</v>
      </c>
      <c r="H4" s="135">
        <v>0.37474537037037037</v>
      </c>
      <c r="I4" s="136">
        <v>163000332</v>
      </c>
      <c r="J4" s="137">
        <v>553.02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78.84</v>
      </c>
      <c r="O4" s="137">
        <v>408.54</v>
      </c>
      <c r="P4" s="137">
        <v>0</v>
      </c>
      <c r="Q4" s="137">
        <v>16.56</v>
      </c>
      <c r="R4" s="137">
        <v>49.08</v>
      </c>
      <c r="S4" s="138">
        <v>487.38</v>
      </c>
      <c r="T4" s="137">
        <v>553.02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553.02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46132</v>
      </c>
      <c r="H5" s="135">
        <v>0.3798148148148148</v>
      </c>
      <c r="I5" s="136">
        <v>163000333</v>
      </c>
      <c r="J5" s="137">
        <v>37.19</v>
      </c>
      <c r="K5" s="137">
        <f>N5+O5+P5</f>
        <v>33.2</v>
      </c>
      <c r="L5" s="137">
        <f>Q5+R5</f>
        <v>3.99</v>
      </c>
      <c r="M5" s="137">
        <f>IF(J5=K5+L5,0,Y5)</f>
        <v>0</v>
      </c>
      <c r="N5" s="138">
        <v>0</v>
      </c>
      <c r="O5" s="137">
        <v>33.2</v>
      </c>
      <c r="P5" s="137">
        <v>0</v>
      </c>
      <c r="Q5" s="137">
        <v>0</v>
      </c>
      <c r="R5" s="137">
        <v>3.99</v>
      </c>
      <c r="S5" s="138">
        <v>33.2</v>
      </c>
      <c r="T5" s="137">
        <v>37.19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37.19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46132</v>
      </c>
      <c r="H6" s="135">
        <v>0.5657291666666666</v>
      </c>
      <c r="I6" s="136">
        <v>163000334</v>
      </c>
      <c r="J6" s="137">
        <v>12.4</v>
      </c>
      <c r="K6" s="137">
        <f>N6+O6+P6</f>
        <v>11.07</v>
      </c>
      <c r="L6" s="137">
        <f>Q6+R6</f>
        <v>1.33</v>
      </c>
      <c r="M6" s="137">
        <f>IF(J6=K6+L6,0,Y6)</f>
        <v>0</v>
      </c>
      <c r="N6" s="138">
        <v>0</v>
      </c>
      <c r="O6" s="137">
        <v>11.07</v>
      </c>
      <c r="P6" s="137">
        <v>0</v>
      </c>
      <c r="Q6" s="137">
        <v>0</v>
      </c>
      <c r="R6" s="137">
        <v>1.33</v>
      </c>
      <c r="S6" s="138">
        <v>11.07</v>
      </c>
      <c r="T6" s="137">
        <v>12.4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12.4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46132</v>
      </c>
      <c r="H7" s="135">
        <v>0.5915972222222222</v>
      </c>
      <c r="I7" s="136">
        <v>163000335</v>
      </c>
      <c r="J7" s="137">
        <v>22.9</v>
      </c>
      <c r="K7" s="137">
        <f>N7+O7+P7</f>
        <v>20.44</v>
      </c>
      <c r="L7" s="137">
        <f>Q7+R7</f>
        <v>2.46</v>
      </c>
      <c r="M7" s="137">
        <f>IF(J7=K7+L7,0,Y7)</f>
        <v>0</v>
      </c>
      <c r="N7" s="138">
        <v>0</v>
      </c>
      <c r="O7" s="137">
        <v>20.44</v>
      </c>
      <c r="P7" s="137">
        <v>0</v>
      </c>
      <c r="Q7" s="137">
        <v>0</v>
      </c>
      <c r="R7" s="137">
        <v>2.46</v>
      </c>
      <c r="S7" s="138">
        <v>20.44</v>
      </c>
      <c r="T7" s="137">
        <v>22.9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22.9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46132</v>
      </c>
      <c r="H8" s="135">
        <v>0.5957638888888889</v>
      </c>
      <c r="I8" s="136">
        <v>163000336</v>
      </c>
      <c r="J8" s="137">
        <v>24.9</v>
      </c>
      <c r="K8" s="137">
        <f>N8+O8+P8</f>
        <v>22.23</v>
      </c>
      <c r="L8" s="137">
        <f>Q8+R8</f>
        <v>2.67</v>
      </c>
      <c r="M8" s="137">
        <f>IF(J8=K8+L8,0,Y8)</f>
        <v>0</v>
      </c>
      <c r="N8" s="138">
        <v>0</v>
      </c>
      <c r="O8" s="137">
        <v>22.23</v>
      </c>
      <c r="P8" s="137">
        <v>0</v>
      </c>
      <c r="Q8" s="137">
        <v>0</v>
      </c>
      <c r="R8" s="137">
        <v>2.67</v>
      </c>
      <c r="S8" s="138">
        <v>22.23</v>
      </c>
      <c r="T8" s="137">
        <v>24.9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24.9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46132</v>
      </c>
      <c r="H9" s="135">
        <v>0.5979513888888889</v>
      </c>
      <c r="I9" s="136">
        <v>163000337</v>
      </c>
      <c r="J9" s="137">
        <v>162</v>
      </c>
      <c r="K9" s="137">
        <f>N9+O9+P9</f>
        <v>133.88</v>
      </c>
      <c r="L9" s="137">
        <f>Q9+R9</f>
        <v>28.12</v>
      </c>
      <c r="M9" s="137">
        <f>IF(J9=K9+L9,0,Y9)</f>
        <v>0</v>
      </c>
      <c r="N9" s="138">
        <v>133.88</v>
      </c>
      <c r="O9" s="137">
        <v>0</v>
      </c>
      <c r="P9" s="137">
        <v>0</v>
      </c>
      <c r="Q9" s="137">
        <v>28.12</v>
      </c>
      <c r="R9" s="137">
        <v>0</v>
      </c>
      <c r="S9" s="138">
        <v>133.88</v>
      </c>
      <c r="T9" s="137">
        <v>162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162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46132</v>
      </c>
      <c r="H10" s="135">
        <v>0.6057870370370371</v>
      </c>
      <c r="I10" s="136">
        <v>163000338</v>
      </c>
      <c r="J10" s="137">
        <v>27.9</v>
      </c>
      <c r="K10" s="137">
        <f>N10+O10+P10</f>
        <v>23.05</v>
      </c>
      <c r="L10" s="137">
        <f>Q10+R10</f>
        <v>4.85</v>
      </c>
      <c r="M10" s="137">
        <f>IF(J10=K10+L10,0,Y10)</f>
        <v>0</v>
      </c>
      <c r="N10" s="138">
        <v>23.05</v>
      </c>
      <c r="O10" s="137">
        <v>0</v>
      </c>
      <c r="P10" s="137">
        <v>0</v>
      </c>
      <c r="Q10" s="137">
        <v>4.85</v>
      </c>
      <c r="R10" s="137">
        <v>0</v>
      </c>
      <c r="S10" s="138">
        <v>23.05</v>
      </c>
      <c r="T10" s="137">
        <v>27.9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27.9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46132</v>
      </c>
      <c r="H11" s="135">
        <v>0.60625</v>
      </c>
      <c r="I11" s="136">
        <v>163000339</v>
      </c>
      <c r="J11" s="137">
        <v>29.3</v>
      </c>
      <c r="K11" s="137">
        <f>N11+O11+P11</f>
        <v>25.4</v>
      </c>
      <c r="L11" s="137">
        <f>Q11+R11</f>
        <v>3.9</v>
      </c>
      <c r="M11" s="137">
        <f>IF(J11=K11+L11,0,Y11)</f>
        <v>0</v>
      </c>
      <c r="N11" s="138">
        <v>9.42</v>
      </c>
      <c r="O11" s="137">
        <v>15.98</v>
      </c>
      <c r="P11" s="137">
        <v>0</v>
      </c>
      <c r="Q11" s="137">
        <v>1.98</v>
      </c>
      <c r="R11" s="137">
        <v>1.92</v>
      </c>
      <c r="S11" s="138">
        <v>25.4</v>
      </c>
      <c r="T11" s="137">
        <v>29.3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29.3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46132</v>
      </c>
      <c r="H12" s="135">
        <v>0.6091319444444444</v>
      </c>
      <c r="I12" s="136">
        <v>163000340</v>
      </c>
      <c r="J12" s="137">
        <v>34.9</v>
      </c>
      <c r="K12" s="137">
        <f>N12+O12+P12</f>
        <v>31.16</v>
      </c>
      <c r="L12" s="137">
        <f>Q12+R12</f>
        <v>3.74</v>
      </c>
      <c r="M12" s="137">
        <f>IF(J12=K12+L12,0,Y12)</f>
        <v>0</v>
      </c>
      <c r="N12" s="138">
        <v>0</v>
      </c>
      <c r="O12" s="137">
        <v>31.16</v>
      </c>
      <c r="P12" s="137">
        <v>0</v>
      </c>
      <c r="Q12" s="137">
        <v>0</v>
      </c>
      <c r="R12" s="137">
        <v>3.74</v>
      </c>
      <c r="S12" s="138">
        <v>31.16</v>
      </c>
      <c r="T12" s="137">
        <v>34.9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34.9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46132</v>
      </c>
      <c r="H13" s="135">
        <v>0.6095486111111111</v>
      </c>
      <c r="I13" s="136">
        <v>163000341</v>
      </c>
      <c r="J13" s="137">
        <v>95.8</v>
      </c>
      <c r="K13" s="137">
        <f>N13+O13+P13</f>
        <v>85.53</v>
      </c>
      <c r="L13" s="137">
        <f>Q13+R13</f>
        <v>10.27</v>
      </c>
      <c r="M13" s="137">
        <f>IF(J13=K13+L13,0,Y13)</f>
        <v>0</v>
      </c>
      <c r="N13" s="138">
        <v>0</v>
      </c>
      <c r="O13" s="137">
        <v>85.53</v>
      </c>
      <c r="P13" s="137">
        <v>0</v>
      </c>
      <c r="Q13" s="137">
        <v>0</v>
      </c>
      <c r="R13" s="137">
        <v>10.27</v>
      </c>
      <c r="S13" s="138">
        <v>85.53</v>
      </c>
      <c r="T13" s="137">
        <v>95.8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95.8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46132</v>
      </c>
      <c r="H14" s="135">
        <v>0.6116666666666667</v>
      </c>
      <c r="I14" s="136">
        <v>163000342</v>
      </c>
      <c r="J14" s="137">
        <v>54.8</v>
      </c>
      <c r="K14" s="137">
        <f>N14+O14+P14</f>
        <v>48.91</v>
      </c>
      <c r="L14" s="137">
        <f>Q14+R14</f>
        <v>5.89</v>
      </c>
      <c r="M14" s="137">
        <f>IF(J14=K14+L14,0,Y14)</f>
        <v>0</v>
      </c>
      <c r="N14" s="138">
        <v>0</v>
      </c>
      <c r="O14" s="137">
        <v>48.91</v>
      </c>
      <c r="P14" s="137">
        <v>0</v>
      </c>
      <c r="Q14" s="137">
        <v>0</v>
      </c>
      <c r="R14" s="137">
        <v>5.89</v>
      </c>
      <c r="S14" s="138">
        <v>48.91</v>
      </c>
      <c r="T14" s="137">
        <v>54.8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54.8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46132</v>
      </c>
      <c r="H15" s="135">
        <v>0.6232638888888888</v>
      </c>
      <c r="I15" s="136">
        <v>163000343</v>
      </c>
      <c r="J15" s="137">
        <v>93</v>
      </c>
      <c r="K15" s="137">
        <f>N15+O15+P15</f>
        <v>83.01</v>
      </c>
      <c r="L15" s="137">
        <f>Q15+R15</f>
        <v>9.99</v>
      </c>
      <c r="M15" s="137">
        <f>IF(J15=K15+L15,0,Y15)</f>
        <v>0</v>
      </c>
      <c r="N15" s="138">
        <v>0</v>
      </c>
      <c r="O15" s="137">
        <v>83.01</v>
      </c>
      <c r="P15" s="137">
        <v>0</v>
      </c>
      <c r="Q15" s="137">
        <v>0</v>
      </c>
      <c r="R15" s="137">
        <v>9.99</v>
      </c>
      <c r="S15" s="138">
        <v>83.01</v>
      </c>
      <c r="T15" s="137">
        <v>93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93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46132</v>
      </c>
      <c r="H16" s="135">
        <v>0.6279398148148149</v>
      </c>
      <c r="I16" s="136">
        <v>163000344</v>
      </c>
      <c r="J16" s="137">
        <v>31.8</v>
      </c>
      <c r="K16" s="137">
        <f>N16+O16+P16</f>
        <v>26.28</v>
      </c>
      <c r="L16" s="137">
        <f>Q16+R16</f>
        <v>5.52</v>
      </c>
      <c r="M16" s="137">
        <f>IF(J16=K16+L16,0,Y16)</f>
        <v>0</v>
      </c>
      <c r="N16" s="138">
        <v>26.28</v>
      </c>
      <c r="O16" s="137">
        <v>0</v>
      </c>
      <c r="P16" s="137">
        <v>0</v>
      </c>
      <c r="Q16" s="137">
        <v>5.52</v>
      </c>
      <c r="R16" s="137">
        <v>0</v>
      </c>
      <c r="S16" s="138">
        <v>26.28</v>
      </c>
      <c r="T16" s="137">
        <v>31.8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31.8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46132</v>
      </c>
      <c r="H17" s="135">
        <v>0.6457638888888889</v>
      </c>
      <c r="I17" s="136">
        <v>163000345</v>
      </c>
      <c r="J17" s="137">
        <v>45.8</v>
      </c>
      <c r="K17" s="137">
        <f>N17+O17+P17</f>
        <v>39.03</v>
      </c>
      <c r="L17" s="137">
        <f>Q17+R17</f>
        <v>6.77</v>
      </c>
      <c r="M17" s="137">
        <f>IF(J17=K17+L17,0,Y17)</f>
        <v>0</v>
      </c>
      <c r="N17" s="138">
        <v>23.05</v>
      </c>
      <c r="O17" s="137">
        <v>15.98</v>
      </c>
      <c r="P17" s="137">
        <v>0</v>
      </c>
      <c r="Q17" s="137">
        <v>4.85</v>
      </c>
      <c r="R17" s="137">
        <v>1.92</v>
      </c>
      <c r="S17" s="138">
        <v>39.03</v>
      </c>
      <c r="T17" s="137">
        <v>45.8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45.8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46132</v>
      </c>
      <c r="H18" s="135">
        <v>0.6510069444444444</v>
      </c>
      <c r="I18" s="136">
        <v>163000346</v>
      </c>
      <c r="J18" s="137">
        <v>51.67</v>
      </c>
      <c r="K18" s="137">
        <f>N18+O18+P18</f>
        <v>46.12</v>
      </c>
      <c r="L18" s="137">
        <f>Q18+R18</f>
        <v>5.55</v>
      </c>
      <c r="M18" s="137">
        <f>IF(J18=K18+L18,0,Y18)</f>
        <v>0</v>
      </c>
      <c r="N18" s="138">
        <v>0</v>
      </c>
      <c r="O18" s="137">
        <v>46.12</v>
      </c>
      <c r="P18" s="137">
        <v>0</v>
      </c>
      <c r="Q18" s="137">
        <v>0</v>
      </c>
      <c r="R18" s="137">
        <v>5.55</v>
      </c>
      <c r="S18" s="138">
        <v>46.12</v>
      </c>
      <c r="T18" s="137">
        <v>51.67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51.67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46132</v>
      </c>
      <c r="H19" s="135">
        <v>0.6526157407407407</v>
      </c>
      <c r="I19" s="136">
        <v>163000347</v>
      </c>
      <c r="J19" s="137">
        <v>8.12</v>
      </c>
      <c r="K19" s="137">
        <f>N19+O19+P19</f>
        <v>7.25</v>
      </c>
      <c r="L19" s="137">
        <f>Q19+R19</f>
        <v>0.87</v>
      </c>
      <c r="M19" s="137">
        <f>IF(J19=K19+L19,0,Y19)</f>
        <v>0</v>
      </c>
      <c r="N19" s="138">
        <v>0</v>
      </c>
      <c r="O19" s="137">
        <v>7.25</v>
      </c>
      <c r="P19" s="137">
        <v>0</v>
      </c>
      <c r="Q19" s="137">
        <v>0</v>
      </c>
      <c r="R19" s="137">
        <v>0.87</v>
      </c>
      <c r="S19" s="138">
        <v>7.25</v>
      </c>
      <c r="T19" s="137">
        <v>8.12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8.12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46132</v>
      </c>
      <c r="H20" s="135">
        <v>0.6554166666666666</v>
      </c>
      <c r="I20" s="136">
        <v>163000348</v>
      </c>
      <c r="J20" s="137">
        <v>99.6</v>
      </c>
      <c r="K20" s="137">
        <f>N20+O20+P20</f>
        <v>87.87</v>
      </c>
      <c r="L20" s="137">
        <f>Q20+R20</f>
        <v>11.73</v>
      </c>
      <c r="M20" s="137">
        <f>IF(J20=K20+L20,0,Y20)</f>
        <v>0</v>
      </c>
      <c r="N20" s="138">
        <v>13.14</v>
      </c>
      <c r="O20" s="137">
        <v>74.73</v>
      </c>
      <c r="P20" s="137">
        <v>0</v>
      </c>
      <c r="Q20" s="137">
        <v>2.76</v>
      </c>
      <c r="R20" s="137">
        <v>8.97</v>
      </c>
      <c r="S20" s="138">
        <v>87.87</v>
      </c>
      <c r="T20" s="137">
        <v>99.6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99.6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46132</v>
      </c>
      <c r="H21" s="135">
        <v>0.65875</v>
      </c>
      <c r="I21" s="136">
        <v>163000349</v>
      </c>
      <c r="J21" s="137">
        <v>24.9</v>
      </c>
      <c r="K21" s="137">
        <f>N21+O21+P21</f>
        <v>20.57</v>
      </c>
      <c r="L21" s="137">
        <f>Q21+R21</f>
        <v>4.33</v>
      </c>
      <c r="M21" s="137">
        <f>IF(J21=K21+L21,0,Y21)</f>
        <v>0</v>
      </c>
      <c r="N21" s="138">
        <v>20.57</v>
      </c>
      <c r="O21" s="137">
        <v>0</v>
      </c>
      <c r="P21" s="137">
        <v>0</v>
      </c>
      <c r="Q21" s="137">
        <v>4.33</v>
      </c>
      <c r="R21" s="137">
        <v>0</v>
      </c>
      <c r="S21" s="138">
        <v>20.57</v>
      </c>
      <c r="T21" s="137">
        <v>24.9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24.9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46132</v>
      </c>
      <c r="H22" s="135">
        <v>0.6804976851851852</v>
      </c>
      <c r="I22" s="136">
        <v>163000350</v>
      </c>
      <c r="J22" s="137">
        <v>171.4</v>
      </c>
      <c r="K22" s="137">
        <f>N22+O22+P22</f>
        <v>151.43</v>
      </c>
      <c r="L22" s="137">
        <f>Q22+R22</f>
        <v>19.97</v>
      </c>
      <c r="M22" s="137">
        <f>IF(J22=K22+L22,0,Y22)</f>
        <v>0</v>
      </c>
      <c r="N22" s="138">
        <v>19.75</v>
      </c>
      <c r="O22" s="137">
        <v>131.68</v>
      </c>
      <c r="P22" s="137">
        <v>0</v>
      </c>
      <c r="Q22" s="137">
        <v>4.15</v>
      </c>
      <c r="R22" s="137">
        <v>15.82</v>
      </c>
      <c r="S22" s="138">
        <v>151.43</v>
      </c>
      <c r="T22" s="137">
        <v>171.4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171.4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46132</v>
      </c>
      <c r="H23" s="135">
        <v>0.6951736111111111</v>
      </c>
      <c r="I23" s="136">
        <v>163000351</v>
      </c>
      <c r="J23" s="137">
        <v>241.8</v>
      </c>
      <c r="K23" s="137">
        <f>N23+O23+P23</f>
        <v>215.73</v>
      </c>
      <c r="L23" s="137">
        <f>Q23+R23</f>
        <v>26.069999999999997</v>
      </c>
      <c r="M23" s="137">
        <f>IF(J23=K23+L23,0,Y23)</f>
        <v>0</v>
      </c>
      <c r="N23" s="138">
        <v>1.57</v>
      </c>
      <c r="O23" s="137">
        <v>214.16</v>
      </c>
      <c r="P23" s="137">
        <v>0</v>
      </c>
      <c r="Q23" s="137">
        <v>0.33</v>
      </c>
      <c r="R23" s="137">
        <v>25.74</v>
      </c>
      <c r="S23" s="138">
        <v>215.73</v>
      </c>
      <c r="T23" s="137">
        <v>241.8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241.8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46132</v>
      </c>
      <c r="H24" s="135">
        <v>0.6993287037037037</v>
      </c>
      <c r="I24" s="136">
        <v>163000352</v>
      </c>
      <c r="J24" s="137">
        <v>185.47</v>
      </c>
      <c r="K24" s="137">
        <f>N24+O24+P24</f>
        <v>161.07</v>
      </c>
      <c r="L24" s="137">
        <f>Q24+R24</f>
        <v>24.4</v>
      </c>
      <c r="M24" s="137">
        <f>IF(J24=K24+L24,0,Y24)</f>
        <v>0</v>
      </c>
      <c r="N24" s="138">
        <v>55.94</v>
      </c>
      <c r="O24" s="137">
        <v>105.13</v>
      </c>
      <c r="P24" s="137">
        <v>0</v>
      </c>
      <c r="Q24" s="137">
        <v>11.76</v>
      </c>
      <c r="R24" s="137">
        <v>12.64</v>
      </c>
      <c r="S24" s="138">
        <v>161.07</v>
      </c>
      <c r="T24" s="137">
        <v>185.47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185.47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46132</v>
      </c>
      <c r="H25" s="135">
        <v>0.7075347222222222</v>
      </c>
      <c r="I25" s="136">
        <v>163000353</v>
      </c>
      <c r="J25" s="137">
        <v>85.65</v>
      </c>
      <c r="K25" s="137">
        <f>N25+O25+P25</f>
        <v>76.46</v>
      </c>
      <c r="L25" s="137">
        <f>Q25+R25</f>
        <v>9.19</v>
      </c>
      <c r="M25" s="137">
        <f>IF(J25=K25+L25,0,Y25)</f>
        <v>0</v>
      </c>
      <c r="N25" s="138">
        <v>0</v>
      </c>
      <c r="O25" s="137">
        <v>76.46</v>
      </c>
      <c r="P25" s="137">
        <v>0</v>
      </c>
      <c r="Q25" s="137">
        <v>0</v>
      </c>
      <c r="R25" s="137">
        <v>9.19</v>
      </c>
      <c r="S25" s="138">
        <v>76.46</v>
      </c>
      <c r="T25" s="137">
        <v>85.65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85.65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107</v>
      </c>
      <c r="F26" s="133" t="s">
        <v>106</v>
      </c>
      <c r="G26" s="134">
        <v>46132</v>
      </c>
      <c r="H26" s="135">
        <v>0.41866898148148146</v>
      </c>
      <c r="I26" s="136">
        <v>166004610</v>
      </c>
      <c r="J26" s="137">
        <v>462</v>
      </c>
      <c r="K26" s="137">
        <f>N26+O26+P26</f>
        <v>409.53420000000006</v>
      </c>
      <c r="L26" s="137">
        <f>Q26+R26</f>
        <v>52.8558</v>
      </c>
      <c r="M26" s="137">
        <f>IF(J26=K26+L26,0,Y26)</f>
        <v>-0.39</v>
      </c>
      <c r="N26" s="138">
        <v>41.2397</v>
      </c>
      <c r="O26" s="137">
        <v>368.2945</v>
      </c>
      <c r="P26" s="137">
        <v>0</v>
      </c>
      <c r="Q26" s="137">
        <v>8.6603</v>
      </c>
      <c r="R26" s="137">
        <v>44.1955</v>
      </c>
      <c r="S26" s="138">
        <v>409.5342</v>
      </c>
      <c r="T26" s="137">
        <v>462.39</v>
      </c>
      <c r="U26" s="137">
        <v>0</v>
      </c>
      <c r="V26" s="137">
        <v>0</v>
      </c>
      <c r="W26" s="137">
        <v>0</v>
      </c>
      <c r="X26" s="137">
        <v>0</v>
      </c>
      <c r="Y26" s="137">
        <v>-0.39</v>
      </c>
      <c r="Z26" s="138">
        <v>500</v>
      </c>
      <c r="AA26" s="137">
        <v>0</v>
      </c>
      <c r="AB26" s="137">
        <v>0</v>
      </c>
      <c r="AC26" s="137"/>
      <c r="AD26" s="137">
        <v>0</v>
      </c>
      <c r="AE26" s="139">
        <v>-38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107</v>
      </c>
      <c r="F27" s="133" t="s">
        <v>106</v>
      </c>
      <c r="G27" s="134">
        <v>46132</v>
      </c>
      <c r="H27" s="135">
        <v>0.4202546296296296</v>
      </c>
      <c r="I27" s="136">
        <v>166004611</v>
      </c>
      <c r="J27" s="137">
        <v>16</v>
      </c>
      <c r="K27" s="137">
        <f>N27+O27+P27</f>
        <v>13.1405</v>
      </c>
      <c r="L27" s="137">
        <f>Q27+R27</f>
        <v>2.7595</v>
      </c>
      <c r="M27" s="137">
        <f>IF(J27=K27+L27,0,Y27)</f>
        <v>0.1</v>
      </c>
      <c r="N27" s="138">
        <v>13.1405</v>
      </c>
      <c r="O27" s="137">
        <v>0</v>
      </c>
      <c r="P27" s="137">
        <v>0</v>
      </c>
      <c r="Q27" s="137">
        <v>2.7595</v>
      </c>
      <c r="R27" s="137">
        <v>0</v>
      </c>
      <c r="S27" s="138">
        <v>13.1405</v>
      </c>
      <c r="T27" s="137">
        <v>15.9</v>
      </c>
      <c r="U27" s="137">
        <v>0</v>
      </c>
      <c r="V27" s="137">
        <v>0</v>
      </c>
      <c r="W27" s="137">
        <v>0</v>
      </c>
      <c r="X27" s="137">
        <v>0</v>
      </c>
      <c r="Y27" s="137">
        <v>0.1</v>
      </c>
      <c r="Z27" s="138">
        <v>16</v>
      </c>
      <c r="AA27" s="137">
        <v>0</v>
      </c>
      <c r="AB27" s="137">
        <v>0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107</v>
      </c>
      <c r="F28" s="133" t="s">
        <v>106</v>
      </c>
      <c r="G28" s="134">
        <v>46132</v>
      </c>
      <c r="H28" s="135">
        <v>0.42050925925925925</v>
      </c>
      <c r="I28" s="136">
        <v>166004612</v>
      </c>
      <c r="J28" s="137">
        <v>39</v>
      </c>
      <c r="K28" s="137">
        <f>N28+O28+P28</f>
        <v>34.625</v>
      </c>
      <c r="L28" s="137">
        <f>Q28+R28</f>
        <v>4.155</v>
      </c>
      <c r="M28" s="137">
        <f>IF(J28=K28+L28,0,Y28)</f>
        <v>0.22</v>
      </c>
      <c r="N28" s="138">
        <v>0</v>
      </c>
      <c r="O28" s="137">
        <v>34.625</v>
      </c>
      <c r="P28" s="137">
        <v>0</v>
      </c>
      <c r="Q28" s="137">
        <v>0</v>
      </c>
      <c r="R28" s="137">
        <v>4.155</v>
      </c>
      <c r="S28" s="138">
        <v>34.625</v>
      </c>
      <c r="T28" s="137">
        <v>38.78</v>
      </c>
      <c r="U28" s="137">
        <v>0</v>
      </c>
      <c r="V28" s="137">
        <v>0</v>
      </c>
      <c r="W28" s="137">
        <v>0</v>
      </c>
      <c r="X28" s="137">
        <v>0</v>
      </c>
      <c r="Y28" s="137">
        <v>0.22</v>
      </c>
      <c r="Z28" s="138">
        <v>200</v>
      </c>
      <c r="AA28" s="137">
        <v>0</v>
      </c>
      <c r="AB28" s="137">
        <v>0</v>
      </c>
      <c r="AC28" s="137"/>
      <c r="AD28" s="137">
        <v>0</v>
      </c>
      <c r="AE28" s="139">
        <v>-161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107</v>
      </c>
      <c r="F29" s="133" t="s">
        <v>106</v>
      </c>
      <c r="G29" s="134">
        <v>46132</v>
      </c>
      <c r="H29" s="135">
        <v>0.4209027777777778</v>
      </c>
      <c r="I29" s="136">
        <v>166004613</v>
      </c>
      <c r="J29" s="137">
        <v>22.9</v>
      </c>
      <c r="K29" s="137">
        <f>N29+O29+P29</f>
        <v>18.9256</v>
      </c>
      <c r="L29" s="137">
        <f>Q29+R29</f>
        <v>3.9744</v>
      </c>
      <c r="M29" s="137">
        <f>IF(J29=K29+L29,0,Y29)</f>
        <v>0</v>
      </c>
      <c r="N29" s="138">
        <v>18.9256</v>
      </c>
      <c r="O29" s="137">
        <v>0</v>
      </c>
      <c r="P29" s="137">
        <v>0</v>
      </c>
      <c r="Q29" s="137">
        <v>3.9744</v>
      </c>
      <c r="R29" s="137">
        <v>0</v>
      </c>
      <c r="S29" s="138">
        <v>18.9256</v>
      </c>
      <c r="T29" s="137">
        <v>22.9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22.9</v>
      </c>
      <c r="AC29" s="137">
        <v>0</v>
      </c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107</v>
      </c>
      <c r="F30" s="133" t="s">
        <v>106</v>
      </c>
      <c r="G30" s="134">
        <v>46132</v>
      </c>
      <c r="H30" s="135">
        <v>0.42236111111111113</v>
      </c>
      <c r="I30" s="136">
        <v>166004614</v>
      </c>
      <c r="J30" s="137">
        <v>39</v>
      </c>
      <c r="K30" s="137">
        <f>N30+O30+P30</f>
        <v>34.7232</v>
      </c>
      <c r="L30" s="137">
        <f>Q30+R30</f>
        <v>4.1668</v>
      </c>
      <c r="M30" s="137">
        <f>IF(J30=K30+L30,0,Y30)</f>
        <v>0.11</v>
      </c>
      <c r="N30" s="138">
        <v>0</v>
      </c>
      <c r="O30" s="137">
        <v>34.7232</v>
      </c>
      <c r="P30" s="137">
        <v>0</v>
      </c>
      <c r="Q30" s="137">
        <v>0</v>
      </c>
      <c r="R30" s="137">
        <v>4.1668</v>
      </c>
      <c r="S30" s="138">
        <v>34.7232</v>
      </c>
      <c r="T30" s="137">
        <v>38.89</v>
      </c>
      <c r="U30" s="137">
        <v>0</v>
      </c>
      <c r="V30" s="137">
        <v>0</v>
      </c>
      <c r="W30" s="137">
        <v>0</v>
      </c>
      <c r="X30" s="137">
        <v>0</v>
      </c>
      <c r="Y30" s="137">
        <v>0.11</v>
      </c>
      <c r="Z30" s="138">
        <v>39</v>
      </c>
      <c r="AA30" s="137">
        <v>0</v>
      </c>
      <c r="AB30" s="137">
        <v>0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107</v>
      </c>
      <c r="F31" s="133" t="s">
        <v>106</v>
      </c>
      <c r="G31" s="134">
        <v>46132</v>
      </c>
      <c r="H31" s="135">
        <v>0.423599537037037</v>
      </c>
      <c r="I31" s="136">
        <v>166004615</v>
      </c>
      <c r="J31" s="137">
        <v>473.68</v>
      </c>
      <c r="K31" s="137">
        <f>N31+O31+P31</f>
        <v>422.9289</v>
      </c>
      <c r="L31" s="137">
        <f>Q31+R31</f>
        <v>50.7511</v>
      </c>
      <c r="M31" s="137">
        <f>IF(J31=K31+L31,0,Y31)</f>
        <v>0</v>
      </c>
      <c r="N31" s="138">
        <v>0</v>
      </c>
      <c r="O31" s="137">
        <v>422.9289</v>
      </c>
      <c r="P31" s="137">
        <v>0</v>
      </c>
      <c r="Q31" s="137">
        <v>0</v>
      </c>
      <c r="R31" s="137">
        <v>50.7511</v>
      </c>
      <c r="S31" s="138">
        <v>422.9289</v>
      </c>
      <c r="T31" s="137">
        <v>473.68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473.68</v>
      </c>
      <c r="AC31" s="137">
        <v>0</v>
      </c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107</v>
      </c>
      <c r="F32" s="133" t="s">
        <v>106</v>
      </c>
      <c r="G32" s="134">
        <v>46132</v>
      </c>
      <c r="H32" s="135">
        <v>0.42488425925925927</v>
      </c>
      <c r="I32" s="136">
        <v>166004616</v>
      </c>
      <c r="J32" s="137">
        <v>121</v>
      </c>
      <c r="K32" s="137">
        <f>N32+O32+P32</f>
        <v>104.5868</v>
      </c>
      <c r="L32" s="137">
        <f>Q32+R32</f>
        <v>16.1132</v>
      </c>
      <c r="M32" s="137">
        <f>IF(J32=K32+L32,0,Y32)</f>
        <v>0.3</v>
      </c>
      <c r="N32" s="138">
        <v>39.5868</v>
      </c>
      <c r="O32" s="137">
        <v>65</v>
      </c>
      <c r="P32" s="137">
        <v>0</v>
      </c>
      <c r="Q32" s="137">
        <v>8.3132</v>
      </c>
      <c r="R32" s="137">
        <v>7.8</v>
      </c>
      <c r="S32" s="138">
        <v>104.5868</v>
      </c>
      <c r="T32" s="137">
        <v>120.7</v>
      </c>
      <c r="U32" s="137">
        <v>0</v>
      </c>
      <c r="V32" s="137">
        <v>0</v>
      </c>
      <c r="W32" s="137">
        <v>0</v>
      </c>
      <c r="X32" s="137">
        <v>0</v>
      </c>
      <c r="Y32" s="137">
        <v>0.3</v>
      </c>
      <c r="Z32" s="138">
        <v>200</v>
      </c>
      <c r="AA32" s="137">
        <v>0</v>
      </c>
      <c r="AB32" s="137">
        <v>0</v>
      </c>
      <c r="AC32" s="137"/>
      <c r="AD32" s="137">
        <v>0</v>
      </c>
      <c r="AE32" s="139">
        <v>-79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107</v>
      </c>
      <c r="F33" s="133" t="s">
        <v>106</v>
      </c>
      <c r="G33" s="134">
        <v>46132</v>
      </c>
      <c r="H33" s="135">
        <v>0.4253240740740741</v>
      </c>
      <c r="I33" s="136">
        <v>166004617</v>
      </c>
      <c r="J33" s="137">
        <v>43</v>
      </c>
      <c r="K33" s="137">
        <f>N33+O33+P33</f>
        <v>38.3929</v>
      </c>
      <c r="L33" s="137">
        <f>Q33+R33</f>
        <v>4.6071</v>
      </c>
      <c r="M33" s="137">
        <f>IF(J33=K33+L33,0,Y33)</f>
        <v>0</v>
      </c>
      <c r="N33" s="138">
        <v>0</v>
      </c>
      <c r="O33" s="137">
        <v>38.3929</v>
      </c>
      <c r="P33" s="137">
        <v>0</v>
      </c>
      <c r="Q33" s="137">
        <v>0</v>
      </c>
      <c r="R33" s="137">
        <v>4.6071</v>
      </c>
      <c r="S33" s="138">
        <v>38.3929</v>
      </c>
      <c r="T33" s="137">
        <v>43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43</v>
      </c>
      <c r="AC33" s="137">
        <v>0</v>
      </c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107</v>
      </c>
      <c r="F34" s="133" t="s">
        <v>106</v>
      </c>
      <c r="G34" s="134">
        <v>46132</v>
      </c>
      <c r="H34" s="135">
        <v>0.425462962962963</v>
      </c>
      <c r="I34" s="136">
        <v>166004618</v>
      </c>
      <c r="J34" s="137">
        <v>48</v>
      </c>
      <c r="K34" s="137">
        <f>N34+O34+P34</f>
        <v>42.6786</v>
      </c>
      <c r="L34" s="137">
        <f>Q34+R34</f>
        <v>5.1214</v>
      </c>
      <c r="M34" s="137">
        <f>IF(J34=K34+L34,0,Y34)</f>
        <v>0.2</v>
      </c>
      <c r="N34" s="138">
        <v>0</v>
      </c>
      <c r="O34" s="137">
        <v>42.6786</v>
      </c>
      <c r="P34" s="137">
        <v>0</v>
      </c>
      <c r="Q34" s="137">
        <v>0</v>
      </c>
      <c r="R34" s="137">
        <v>5.1214</v>
      </c>
      <c r="S34" s="138">
        <v>42.6786</v>
      </c>
      <c r="T34" s="137">
        <v>47.8</v>
      </c>
      <c r="U34" s="137">
        <v>0</v>
      </c>
      <c r="V34" s="137">
        <v>0</v>
      </c>
      <c r="W34" s="137">
        <v>0</v>
      </c>
      <c r="X34" s="137">
        <v>0</v>
      </c>
      <c r="Y34" s="137">
        <v>0.2</v>
      </c>
      <c r="Z34" s="138">
        <v>50</v>
      </c>
      <c r="AA34" s="137">
        <v>0</v>
      </c>
      <c r="AB34" s="137">
        <v>0</v>
      </c>
      <c r="AC34" s="137"/>
      <c r="AD34" s="137">
        <v>0</v>
      </c>
      <c r="AE34" s="139">
        <v>-2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107</v>
      </c>
      <c r="F35" s="133" t="s">
        <v>106</v>
      </c>
      <c r="G35" s="134">
        <v>46132</v>
      </c>
      <c r="H35" s="135">
        <v>0.4261111111111111</v>
      </c>
      <c r="I35" s="136">
        <v>166004619</v>
      </c>
      <c r="J35" s="137">
        <v>226.9</v>
      </c>
      <c r="K35" s="137">
        <f>N35+O35+P35</f>
        <v>202.5895</v>
      </c>
      <c r="L35" s="137">
        <f>Q35+R35</f>
        <v>24.3105</v>
      </c>
      <c r="M35" s="137">
        <f>IF(J35=K35+L35,0,Y35)</f>
        <v>0</v>
      </c>
      <c r="N35" s="138">
        <v>0</v>
      </c>
      <c r="O35" s="137">
        <v>202.5895</v>
      </c>
      <c r="P35" s="137">
        <v>0</v>
      </c>
      <c r="Q35" s="137">
        <v>0</v>
      </c>
      <c r="R35" s="137">
        <v>24.3105</v>
      </c>
      <c r="S35" s="138">
        <v>202.5895</v>
      </c>
      <c r="T35" s="137">
        <v>226.9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226.9</v>
      </c>
      <c r="AC35" s="137">
        <v>0</v>
      </c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107</v>
      </c>
      <c r="F36" s="133" t="s">
        <v>106</v>
      </c>
      <c r="G36" s="134">
        <v>46132</v>
      </c>
      <c r="H36" s="135">
        <v>0.4262037037037037</v>
      </c>
      <c r="I36" s="136">
        <v>166004620</v>
      </c>
      <c r="J36" s="137">
        <v>68</v>
      </c>
      <c r="K36" s="137">
        <f>N36+O36+P36</f>
        <v>60.3482</v>
      </c>
      <c r="L36" s="137">
        <f>Q36+R36</f>
        <v>7.2418</v>
      </c>
      <c r="M36" s="137">
        <f>IF(J36=K36+L36,0,Y36)</f>
        <v>0.41</v>
      </c>
      <c r="N36" s="138">
        <v>0</v>
      </c>
      <c r="O36" s="137">
        <v>60.3482</v>
      </c>
      <c r="P36" s="137">
        <v>0</v>
      </c>
      <c r="Q36" s="137">
        <v>0</v>
      </c>
      <c r="R36" s="137">
        <v>7.2418</v>
      </c>
      <c r="S36" s="138">
        <v>60.3482</v>
      </c>
      <c r="T36" s="137">
        <v>67.59</v>
      </c>
      <c r="U36" s="137">
        <v>0</v>
      </c>
      <c r="V36" s="137">
        <v>0</v>
      </c>
      <c r="W36" s="137">
        <v>0</v>
      </c>
      <c r="X36" s="137">
        <v>0</v>
      </c>
      <c r="Y36" s="137">
        <v>0.41</v>
      </c>
      <c r="Z36" s="138">
        <v>100</v>
      </c>
      <c r="AA36" s="137">
        <v>0</v>
      </c>
      <c r="AB36" s="137">
        <v>0</v>
      </c>
      <c r="AC36" s="137"/>
      <c r="AD36" s="137">
        <v>0</v>
      </c>
      <c r="AE36" s="139">
        <v>-32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107</v>
      </c>
      <c r="F37" s="133" t="s">
        <v>106</v>
      </c>
      <c r="G37" s="134">
        <v>46132</v>
      </c>
      <c r="H37" s="135">
        <v>0.42648148148148146</v>
      </c>
      <c r="I37" s="136">
        <v>166004621</v>
      </c>
      <c r="J37" s="137">
        <v>92</v>
      </c>
      <c r="K37" s="137">
        <f>N37+O37+P37</f>
        <v>79.1817</v>
      </c>
      <c r="L37" s="137">
        <f>Q37+R37</f>
        <v>12.6183</v>
      </c>
      <c r="M37" s="137">
        <f>IF(J37=K37+L37,0,Y37)</f>
        <v>0.2</v>
      </c>
      <c r="N37" s="138">
        <v>34.6281</v>
      </c>
      <c r="O37" s="137">
        <v>44.5536</v>
      </c>
      <c r="P37" s="137">
        <v>0</v>
      </c>
      <c r="Q37" s="137">
        <v>7.2719</v>
      </c>
      <c r="R37" s="137">
        <v>5.3464</v>
      </c>
      <c r="S37" s="138">
        <v>79.1817</v>
      </c>
      <c r="T37" s="137">
        <v>91.8</v>
      </c>
      <c r="U37" s="137">
        <v>0</v>
      </c>
      <c r="V37" s="137">
        <v>0</v>
      </c>
      <c r="W37" s="137">
        <v>0</v>
      </c>
      <c r="X37" s="137">
        <v>0</v>
      </c>
      <c r="Y37" s="137">
        <v>0.2</v>
      </c>
      <c r="Z37" s="138">
        <v>102</v>
      </c>
      <c r="AA37" s="137">
        <v>0</v>
      </c>
      <c r="AB37" s="137">
        <v>0</v>
      </c>
      <c r="AC37" s="137"/>
      <c r="AD37" s="137">
        <v>0</v>
      </c>
      <c r="AE37" s="139">
        <v>-10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107</v>
      </c>
      <c r="F38" s="133" t="s">
        <v>106</v>
      </c>
      <c r="G38" s="134">
        <v>46132</v>
      </c>
      <c r="H38" s="135">
        <v>0.43123842592592593</v>
      </c>
      <c r="I38" s="136">
        <v>166004622</v>
      </c>
      <c r="J38" s="137">
        <v>53.8</v>
      </c>
      <c r="K38" s="137">
        <f>N38+O38+P38</f>
        <v>46.714200000000005</v>
      </c>
      <c r="L38" s="137">
        <f>Q38+R38</f>
        <v>7.0858</v>
      </c>
      <c r="M38" s="137">
        <f>IF(J38=K38+L38,0,Y38)</f>
        <v>0</v>
      </c>
      <c r="N38" s="138">
        <v>16.4463</v>
      </c>
      <c r="O38" s="137">
        <v>30.2679</v>
      </c>
      <c r="P38" s="137">
        <v>0</v>
      </c>
      <c r="Q38" s="137">
        <v>3.4537</v>
      </c>
      <c r="R38" s="137">
        <v>3.6321</v>
      </c>
      <c r="S38" s="138">
        <v>46.7142</v>
      </c>
      <c r="T38" s="137">
        <v>53.8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53.8</v>
      </c>
      <c r="AC38" s="137">
        <v>0</v>
      </c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107</v>
      </c>
      <c r="F39" s="133" t="s">
        <v>106</v>
      </c>
      <c r="G39" s="134">
        <v>46132</v>
      </c>
      <c r="H39" s="135">
        <v>0.43149305555555556</v>
      </c>
      <c r="I39" s="136">
        <v>166004623</v>
      </c>
      <c r="J39" s="137">
        <v>19.9</v>
      </c>
      <c r="K39" s="137">
        <f>N39+O39+P39</f>
        <v>16.4463</v>
      </c>
      <c r="L39" s="137">
        <f>Q39+R39</f>
        <v>3.4537</v>
      </c>
      <c r="M39" s="137">
        <f>IF(J39=K39+L39,0,Y39)</f>
        <v>0</v>
      </c>
      <c r="N39" s="138">
        <v>16.4463</v>
      </c>
      <c r="O39" s="137">
        <v>0</v>
      </c>
      <c r="P39" s="137">
        <v>0</v>
      </c>
      <c r="Q39" s="137">
        <v>3.4537</v>
      </c>
      <c r="R39" s="137">
        <v>0</v>
      </c>
      <c r="S39" s="138">
        <v>16.4463</v>
      </c>
      <c r="T39" s="137">
        <v>19.9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19.9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107</v>
      </c>
      <c r="F40" s="133" t="s">
        <v>106</v>
      </c>
      <c r="G40" s="134">
        <v>46132</v>
      </c>
      <c r="H40" s="135">
        <v>0.43223379629629627</v>
      </c>
      <c r="I40" s="136">
        <v>166004624</v>
      </c>
      <c r="J40" s="137">
        <v>88</v>
      </c>
      <c r="K40" s="137">
        <f>N40+O40+P40</f>
        <v>78.875</v>
      </c>
      <c r="L40" s="137">
        <f>Q40+R40</f>
        <v>9.465</v>
      </c>
      <c r="M40" s="137">
        <f>IF(J40=K40+L40,0,Y40)</f>
        <v>-0.34</v>
      </c>
      <c r="N40" s="138">
        <v>0</v>
      </c>
      <c r="O40" s="137">
        <v>78.875</v>
      </c>
      <c r="P40" s="137">
        <v>0</v>
      </c>
      <c r="Q40" s="137">
        <v>0</v>
      </c>
      <c r="R40" s="137">
        <v>9.465</v>
      </c>
      <c r="S40" s="138">
        <v>78.875</v>
      </c>
      <c r="T40" s="137">
        <v>88.34</v>
      </c>
      <c r="U40" s="137">
        <v>0</v>
      </c>
      <c r="V40" s="137">
        <v>0</v>
      </c>
      <c r="W40" s="137">
        <v>0</v>
      </c>
      <c r="X40" s="137">
        <v>0</v>
      </c>
      <c r="Y40" s="137">
        <v>-0.34</v>
      </c>
      <c r="Z40" s="138">
        <v>200</v>
      </c>
      <c r="AA40" s="137">
        <v>0</v>
      </c>
      <c r="AB40" s="137">
        <v>0</v>
      </c>
      <c r="AC40" s="137"/>
      <c r="AD40" s="137">
        <v>0</v>
      </c>
      <c r="AE40" s="139">
        <v>-112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107</v>
      </c>
      <c r="F41" s="133" t="s">
        <v>106</v>
      </c>
      <c r="G41" s="134">
        <v>46132</v>
      </c>
      <c r="H41" s="135">
        <v>0.43269675925925927</v>
      </c>
      <c r="I41" s="136">
        <v>166004625</v>
      </c>
      <c r="J41" s="137">
        <v>75</v>
      </c>
      <c r="K41" s="137">
        <f>N41+O41+P41</f>
        <v>66.4318</v>
      </c>
      <c r="L41" s="137">
        <f>Q41+R41</f>
        <v>8.7082</v>
      </c>
      <c r="M41" s="137">
        <f>IF(J41=K41+L41,0,Y41)</f>
        <v>-0.14</v>
      </c>
      <c r="N41" s="138">
        <v>8.1818</v>
      </c>
      <c r="O41" s="137">
        <v>58.25</v>
      </c>
      <c r="P41" s="137">
        <v>0</v>
      </c>
      <c r="Q41" s="137">
        <v>1.7182</v>
      </c>
      <c r="R41" s="137">
        <v>6.99</v>
      </c>
      <c r="S41" s="138">
        <v>66.4318</v>
      </c>
      <c r="T41" s="137">
        <v>75.14</v>
      </c>
      <c r="U41" s="137">
        <v>0</v>
      </c>
      <c r="V41" s="137">
        <v>0</v>
      </c>
      <c r="W41" s="137">
        <v>0</v>
      </c>
      <c r="X41" s="137">
        <v>0</v>
      </c>
      <c r="Y41" s="137">
        <v>-0.14</v>
      </c>
      <c r="Z41" s="138">
        <v>75</v>
      </c>
      <c r="AA41" s="137">
        <v>0</v>
      </c>
      <c r="AB41" s="137">
        <v>0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107</v>
      </c>
      <c r="F42" s="133" t="s">
        <v>106</v>
      </c>
      <c r="G42" s="134">
        <v>46132</v>
      </c>
      <c r="H42" s="135">
        <v>0.4328356481481481</v>
      </c>
      <c r="I42" s="136">
        <v>166004626</v>
      </c>
      <c r="J42" s="137">
        <v>38</v>
      </c>
      <c r="K42" s="137">
        <f>N42+O42+P42</f>
        <v>33.8393</v>
      </c>
      <c r="L42" s="137">
        <f>Q42+R42</f>
        <v>4.0607</v>
      </c>
      <c r="M42" s="137">
        <f>IF(J42=K42+L42,0,Y42)</f>
        <v>0.1</v>
      </c>
      <c r="N42" s="138">
        <v>0</v>
      </c>
      <c r="O42" s="137">
        <v>33.8393</v>
      </c>
      <c r="P42" s="137">
        <v>0</v>
      </c>
      <c r="Q42" s="137">
        <v>0</v>
      </c>
      <c r="R42" s="137">
        <v>4.0607</v>
      </c>
      <c r="S42" s="138">
        <v>33.8393</v>
      </c>
      <c r="T42" s="137">
        <v>37.9</v>
      </c>
      <c r="U42" s="137">
        <v>0</v>
      </c>
      <c r="V42" s="137">
        <v>0</v>
      </c>
      <c r="W42" s="137">
        <v>0</v>
      </c>
      <c r="X42" s="137">
        <v>0</v>
      </c>
      <c r="Y42" s="137">
        <v>0.1</v>
      </c>
      <c r="Z42" s="138">
        <v>50</v>
      </c>
      <c r="AA42" s="137">
        <v>0</v>
      </c>
      <c r="AB42" s="137">
        <v>0</v>
      </c>
      <c r="AC42" s="137"/>
      <c r="AD42" s="137">
        <v>0</v>
      </c>
      <c r="AE42" s="139">
        <v>-12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107</v>
      </c>
      <c r="F43" s="133" t="s">
        <v>106</v>
      </c>
      <c r="G43" s="134">
        <v>46132</v>
      </c>
      <c r="H43" s="135">
        <v>0.43332175925925925</v>
      </c>
      <c r="I43" s="136">
        <v>166004627</v>
      </c>
      <c r="J43" s="137">
        <v>254</v>
      </c>
      <c r="K43" s="137">
        <f>N43+O43+P43</f>
        <v>220.04539999999997</v>
      </c>
      <c r="L43" s="137">
        <f>Q43+R43</f>
        <v>33.6646</v>
      </c>
      <c r="M43" s="137">
        <f>IF(J43=K43+L43,0,Y43)</f>
        <v>0.29</v>
      </c>
      <c r="N43" s="138">
        <v>80.6613</v>
      </c>
      <c r="O43" s="137">
        <v>139.3841</v>
      </c>
      <c r="P43" s="137">
        <v>0</v>
      </c>
      <c r="Q43" s="137">
        <v>16.9387</v>
      </c>
      <c r="R43" s="137">
        <v>16.7259</v>
      </c>
      <c r="S43" s="138">
        <v>220.0454</v>
      </c>
      <c r="T43" s="137">
        <v>253.71</v>
      </c>
      <c r="U43" s="137">
        <v>0</v>
      </c>
      <c r="V43" s="137">
        <v>0</v>
      </c>
      <c r="W43" s="137">
        <v>0</v>
      </c>
      <c r="X43" s="137">
        <v>0</v>
      </c>
      <c r="Y43" s="137">
        <v>0.29</v>
      </c>
      <c r="Z43" s="138">
        <v>500</v>
      </c>
      <c r="AA43" s="137">
        <v>0</v>
      </c>
      <c r="AB43" s="137">
        <v>0</v>
      </c>
      <c r="AC43" s="137"/>
      <c r="AD43" s="137">
        <v>0</v>
      </c>
      <c r="AE43" s="139">
        <v>-246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107</v>
      </c>
      <c r="F44" s="133" t="s">
        <v>106</v>
      </c>
      <c r="G44" s="134">
        <v>46132</v>
      </c>
      <c r="H44" s="135">
        <v>0.4345023148148148</v>
      </c>
      <c r="I44" s="136">
        <v>166004628</v>
      </c>
      <c r="J44" s="137">
        <v>181</v>
      </c>
      <c r="K44" s="137">
        <f>N44+O44+P44</f>
        <v>161.9285</v>
      </c>
      <c r="L44" s="137">
        <f>Q44+R44</f>
        <v>19.4315</v>
      </c>
      <c r="M44" s="137">
        <f>IF(J44=K44+L44,0,Y44)</f>
        <v>-0.36</v>
      </c>
      <c r="N44" s="138">
        <v>0</v>
      </c>
      <c r="O44" s="137">
        <v>161.9285</v>
      </c>
      <c r="P44" s="137">
        <v>0</v>
      </c>
      <c r="Q44" s="137">
        <v>0</v>
      </c>
      <c r="R44" s="137">
        <v>19.4315</v>
      </c>
      <c r="S44" s="138">
        <v>161.9285</v>
      </c>
      <c r="T44" s="137">
        <v>181.36</v>
      </c>
      <c r="U44" s="137">
        <v>0</v>
      </c>
      <c r="V44" s="137">
        <v>0</v>
      </c>
      <c r="W44" s="137">
        <v>0</v>
      </c>
      <c r="X44" s="137">
        <v>0</v>
      </c>
      <c r="Y44" s="137">
        <v>-0.36</v>
      </c>
      <c r="Z44" s="138">
        <v>200</v>
      </c>
      <c r="AA44" s="137">
        <v>0</v>
      </c>
      <c r="AB44" s="137">
        <v>0</v>
      </c>
      <c r="AC44" s="137"/>
      <c r="AD44" s="137">
        <v>0</v>
      </c>
      <c r="AE44" s="139">
        <v>-19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107</v>
      </c>
      <c r="F45" s="133" t="s">
        <v>106</v>
      </c>
      <c r="G45" s="134">
        <v>46132</v>
      </c>
      <c r="H45" s="135">
        <v>0.4350925925925926</v>
      </c>
      <c r="I45" s="136">
        <v>166004629</v>
      </c>
      <c r="J45" s="137">
        <v>222.3</v>
      </c>
      <c r="K45" s="137">
        <f>N45+O45+P45</f>
        <v>190.8516</v>
      </c>
      <c r="L45" s="137">
        <f>Q45+R45</f>
        <v>31.4484</v>
      </c>
      <c r="M45" s="137">
        <f>IF(J45=K45+L45,0,Y45)</f>
        <v>0</v>
      </c>
      <c r="N45" s="138">
        <v>94.9587</v>
      </c>
      <c r="O45" s="137">
        <v>95.8929</v>
      </c>
      <c r="P45" s="137">
        <v>0</v>
      </c>
      <c r="Q45" s="137">
        <v>19.9413</v>
      </c>
      <c r="R45" s="137">
        <v>11.5071</v>
      </c>
      <c r="S45" s="138">
        <v>190.8516</v>
      </c>
      <c r="T45" s="137">
        <v>222.3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222.3</v>
      </c>
      <c r="AC45" s="137">
        <v>0</v>
      </c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107</v>
      </c>
      <c r="F46" s="133" t="s">
        <v>106</v>
      </c>
      <c r="G46" s="134">
        <v>46132</v>
      </c>
      <c r="H46" s="135">
        <v>0.4363194444444444</v>
      </c>
      <c r="I46" s="136">
        <v>166004630</v>
      </c>
      <c r="J46" s="137">
        <v>352.94</v>
      </c>
      <c r="K46" s="137">
        <f>N46+O46+P46</f>
        <v>315.1253</v>
      </c>
      <c r="L46" s="137">
        <f>Q46+R46</f>
        <v>37.8147</v>
      </c>
      <c r="M46" s="137">
        <f>IF(J46=K46+L46,0,Y46)</f>
        <v>0</v>
      </c>
      <c r="N46" s="138">
        <v>0</v>
      </c>
      <c r="O46" s="137">
        <v>315.1253</v>
      </c>
      <c r="P46" s="137">
        <v>0</v>
      </c>
      <c r="Q46" s="137">
        <v>0</v>
      </c>
      <c r="R46" s="137">
        <v>37.8147</v>
      </c>
      <c r="S46" s="138">
        <v>315.1253</v>
      </c>
      <c r="T46" s="137">
        <v>352.94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352.94</v>
      </c>
      <c r="AC46" s="137">
        <v>0</v>
      </c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107</v>
      </c>
      <c r="F47" s="133" t="s">
        <v>106</v>
      </c>
      <c r="G47" s="134">
        <v>46132</v>
      </c>
      <c r="H47" s="135">
        <v>0.4373958333333333</v>
      </c>
      <c r="I47" s="136">
        <v>166004631</v>
      </c>
      <c r="J47" s="137">
        <v>255.55</v>
      </c>
      <c r="K47" s="137">
        <f>N47+O47+P47</f>
        <v>223.7338</v>
      </c>
      <c r="L47" s="137">
        <f>Q47+R47</f>
        <v>31.816200000000002</v>
      </c>
      <c r="M47" s="137">
        <f>IF(J47=K47+L47,0,Y47)</f>
        <v>0</v>
      </c>
      <c r="N47" s="138">
        <v>55.2066</v>
      </c>
      <c r="O47" s="137">
        <v>168.5272</v>
      </c>
      <c r="P47" s="137">
        <v>0</v>
      </c>
      <c r="Q47" s="137">
        <v>11.5934</v>
      </c>
      <c r="R47" s="137">
        <v>20.2228</v>
      </c>
      <c r="S47" s="138">
        <v>223.7338</v>
      </c>
      <c r="T47" s="137">
        <v>255.55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255.55</v>
      </c>
      <c r="AC47" s="137">
        <v>0</v>
      </c>
      <c r="AD47" s="137">
        <v>0</v>
      </c>
      <c r="AE47" s="139">
        <v>0</v>
      </c>
      <c r="AF47" s="56">
        <v>8.7431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107</v>
      </c>
      <c r="F48" s="133" t="s">
        <v>106</v>
      </c>
      <c r="G48" s="134">
        <v>46132</v>
      </c>
      <c r="H48" s="135">
        <v>0.4376388888888889</v>
      </c>
      <c r="I48" s="136">
        <v>166004632</v>
      </c>
      <c r="J48" s="137">
        <v>21.9</v>
      </c>
      <c r="K48" s="137">
        <f>N48+O48+P48</f>
        <v>19.5536</v>
      </c>
      <c r="L48" s="137">
        <f>Q48+R48</f>
        <v>2.3464</v>
      </c>
      <c r="M48" s="137">
        <f>IF(J48=K48+L48,0,Y48)</f>
        <v>0</v>
      </c>
      <c r="N48" s="138">
        <v>0</v>
      </c>
      <c r="O48" s="137">
        <v>19.5536</v>
      </c>
      <c r="P48" s="137">
        <v>0</v>
      </c>
      <c r="Q48" s="137">
        <v>0</v>
      </c>
      <c r="R48" s="137">
        <v>2.3464</v>
      </c>
      <c r="S48" s="138">
        <v>19.5536</v>
      </c>
      <c r="T48" s="137">
        <v>21.9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21.9</v>
      </c>
      <c r="AC48" s="137">
        <v>0</v>
      </c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107</v>
      </c>
      <c r="F49" s="133" t="s">
        <v>106</v>
      </c>
      <c r="G49" s="134">
        <v>46132</v>
      </c>
      <c r="H49" s="135">
        <v>0.4379282407407407</v>
      </c>
      <c r="I49" s="136">
        <v>166004633</v>
      </c>
      <c r="J49" s="137">
        <v>161</v>
      </c>
      <c r="K49" s="137">
        <f>N49+O49+P49</f>
        <v>133.0579</v>
      </c>
      <c r="L49" s="137">
        <f>Q49+R49</f>
        <v>27.9421</v>
      </c>
      <c r="M49" s="137">
        <f>IF(J49=K49+L49,0,Y49)</f>
        <v>0</v>
      </c>
      <c r="N49" s="138">
        <v>133.0579</v>
      </c>
      <c r="O49" s="137">
        <v>0</v>
      </c>
      <c r="P49" s="137">
        <v>0</v>
      </c>
      <c r="Q49" s="137">
        <v>27.9421</v>
      </c>
      <c r="R49" s="137">
        <v>0</v>
      </c>
      <c r="S49" s="138">
        <v>133.0579</v>
      </c>
      <c r="T49" s="137">
        <v>161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161</v>
      </c>
      <c r="AC49" s="137">
        <v>0</v>
      </c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107</v>
      </c>
      <c r="F50" s="133" t="s">
        <v>106</v>
      </c>
      <c r="G50" s="134">
        <v>46132</v>
      </c>
      <c r="H50" s="135">
        <v>0.43881944444444443</v>
      </c>
      <c r="I50" s="136">
        <v>166004634</v>
      </c>
      <c r="J50" s="137">
        <v>421</v>
      </c>
      <c r="K50" s="137">
        <f>N50+O50+P50</f>
        <v>376.2768</v>
      </c>
      <c r="L50" s="137">
        <f>Q50+R50</f>
        <v>45.1532</v>
      </c>
      <c r="M50" s="137">
        <f>IF(J50=K50+L50,0,Y50)</f>
        <v>-0.43</v>
      </c>
      <c r="N50" s="138">
        <v>0</v>
      </c>
      <c r="O50" s="137">
        <v>376.2768</v>
      </c>
      <c r="P50" s="137">
        <v>0</v>
      </c>
      <c r="Q50" s="137">
        <v>0</v>
      </c>
      <c r="R50" s="137">
        <v>45.1532</v>
      </c>
      <c r="S50" s="138">
        <v>376.2768</v>
      </c>
      <c r="T50" s="137">
        <v>421.43</v>
      </c>
      <c r="U50" s="137">
        <v>0</v>
      </c>
      <c r="V50" s="137">
        <v>0</v>
      </c>
      <c r="W50" s="137">
        <v>0</v>
      </c>
      <c r="X50" s="137">
        <v>0</v>
      </c>
      <c r="Y50" s="137">
        <v>-0.43</v>
      </c>
      <c r="Z50" s="138">
        <v>421</v>
      </c>
      <c r="AA50" s="137">
        <v>0</v>
      </c>
      <c r="AB50" s="137">
        <v>0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107</v>
      </c>
      <c r="F51" s="133" t="s">
        <v>106</v>
      </c>
      <c r="G51" s="134">
        <v>46132</v>
      </c>
      <c r="H51" s="135">
        <v>0.43925925925925924</v>
      </c>
      <c r="I51" s="136">
        <v>166004635</v>
      </c>
      <c r="J51" s="137">
        <v>80.21</v>
      </c>
      <c r="K51" s="137">
        <f>N51+O51+P51</f>
        <v>71.6161</v>
      </c>
      <c r="L51" s="137">
        <f>Q51+R51</f>
        <v>8.5939</v>
      </c>
      <c r="M51" s="137">
        <f>IF(J51=K51+L51,0,Y51)</f>
        <v>0</v>
      </c>
      <c r="N51" s="138">
        <v>0</v>
      </c>
      <c r="O51" s="137">
        <v>71.6161</v>
      </c>
      <c r="P51" s="137">
        <v>0</v>
      </c>
      <c r="Q51" s="137">
        <v>0</v>
      </c>
      <c r="R51" s="137">
        <v>8.5939</v>
      </c>
      <c r="S51" s="138">
        <v>71.6161</v>
      </c>
      <c r="T51" s="137">
        <v>80.21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80.21</v>
      </c>
      <c r="AC51" s="137">
        <v>0</v>
      </c>
      <c r="AD51" s="137">
        <v>0</v>
      </c>
      <c r="AE51" s="139">
        <v>0</v>
      </c>
      <c r="AF51" s="56">
        <v>13.974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107</v>
      </c>
      <c r="F52" s="133" t="s">
        <v>106</v>
      </c>
      <c r="G52" s="134">
        <v>46132</v>
      </c>
      <c r="H52" s="135">
        <v>0.43960648148148146</v>
      </c>
      <c r="I52" s="136">
        <v>166004636</v>
      </c>
      <c r="J52" s="137">
        <v>43</v>
      </c>
      <c r="K52" s="137">
        <f>N52+O52+P52</f>
        <v>37.9732</v>
      </c>
      <c r="L52" s="137">
        <f>Q52+R52</f>
        <v>4.5568</v>
      </c>
      <c r="M52" s="137">
        <f>IF(J52=K52+L52,0,Y52)</f>
        <v>0.47</v>
      </c>
      <c r="N52" s="138">
        <v>0</v>
      </c>
      <c r="O52" s="137">
        <v>37.9732</v>
      </c>
      <c r="P52" s="137">
        <v>0</v>
      </c>
      <c r="Q52" s="137">
        <v>0</v>
      </c>
      <c r="R52" s="137">
        <v>4.5568</v>
      </c>
      <c r="S52" s="138">
        <v>37.9732</v>
      </c>
      <c r="T52" s="137">
        <v>42.53</v>
      </c>
      <c r="U52" s="137">
        <v>0</v>
      </c>
      <c r="V52" s="137">
        <v>0</v>
      </c>
      <c r="W52" s="137">
        <v>0</v>
      </c>
      <c r="X52" s="137">
        <v>0</v>
      </c>
      <c r="Y52" s="137">
        <v>0.47</v>
      </c>
      <c r="Z52" s="138">
        <v>103</v>
      </c>
      <c r="AA52" s="137">
        <v>0</v>
      </c>
      <c r="AB52" s="137">
        <v>0</v>
      </c>
      <c r="AC52" s="137"/>
      <c r="AD52" s="137">
        <v>0</v>
      </c>
      <c r="AE52" s="139">
        <v>-60</v>
      </c>
      <c r="AF52" s="56">
        <v>7.1267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107</v>
      </c>
      <c r="F53" s="133" t="s">
        <v>106</v>
      </c>
      <c r="G53" s="134">
        <v>46132</v>
      </c>
      <c r="H53" s="135">
        <v>0.4404976851851852</v>
      </c>
      <c r="I53" s="136">
        <v>166004637</v>
      </c>
      <c r="J53" s="137">
        <v>42.8</v>
      </c>
      <c r="K53" s="137">
        <f>N53+O53+P53</f>
        <v>36.5606</v>
      </c>
      <c r="L53" s="137">
        <f>Q53+R53</f>
        <v>6.2394</v>
      </c>
      <c r="M53" s="137">
        <f>IF(J53=K53+L53,0,Y53)</f>
        <v>0</v>
      </c>
      <c r="N53" s="138">
        <v>20.5785</v>
      </c>
      <c r="O53" s="137">
        <v>15.9821</v>
      </c>
      <c r="P53" s="137">
        <v>0</v>
      </c>
      <c r="Q53" s="137">
        <v>4.3215</v>
      </c>
      <c r="R53" s="137">
        <v>1.9179</v>
      </c>
      <c r="S53" s="138">
        <v>36.5606</v>
      </c>
      <c r="T53" s="137">
        <v>42.8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8">
        <v>0</v>
      </c>
      <c r="AA53" s="137">
        <v>0</v>
      </c>
      <c r="AB53" s="137">
        <v>42.8</v>
      </c>
      <c r="AC53" s="137">
        <v>0</v>
      </c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107</v>
      </c>
      <c r="F54" s="133" t="s">
        <v>106</v>
      </c>
      <c r="G54" s="134">
        <v>46132</v>
      </c>
      <c r="H54" s="135">
        <v>0.4415046296296296</v>
      </c>
      <c r="I54" s="136">
        <v>166004638</v>
      </c>
      <c r="J54" s="137">
        <v>179</v>
      </c>
      <c r="K54" s="137">
        <f>N54+O54+P54</f>
        <v>157.97740000000002</v>
      </c>
      <c r="L54" s="137">
        <f>Q54+R54</f>
        <v>21.3226</v>
      </c>
      <c r="M54" s="137">
        <f>IF(J54=K54+L54,0,Y54)</f>
        <v>-0.3</v>
      </c>
      <c r="N54" s="138">
        <v>26.281</v>
      </c>
      <c r="O54" s="137">
        <v>131.6964</v>
      </c>
      <c r="P54" s="137">
        <v>0</v>
      </c>
      <c r="Q54" s="137">
        <v>5.519</v>
      </c>
      <c r="R54" s="137">
        <v>15.8036</v>
      </c>
      <c r="S54" s="138">
        <v>157.9774</v>
      </c>
      <c r="T54" s="137">
        <v>179.3</v>
      </c>
      <c r="U54" s="137">
        <v>0</v>
      </c>
      <c r="V54" s="137">
        <v>0</v>
      </c>
      <c r="W54" s="137">
        <v>0</v>
      </c>
      <c r="X54" s="137">
        <v>0</v>
      </c>
      <c r="Y54" s="137">
        <v>-0.3</v>
      </c>
      <c r="Z54" s="138">
        <v>200</v>
      </c>
      <c r="AA54" s="137">
        <v>0</v>
      </c>
      <c r="AB54" s="137">
        <v>0</v>
      </c>
      <c r="AC54" s="137"/>
      <c r="AD54" s="137">
        <v>0</v>
      </c>
      <c r="AE54" s="139">
        <v>-21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107</v>
      </c>
      <c r="F55" s="133" t="s">
        <v>106</v>
      </c>
      <c r="G55" s="134">
        <v>46132</v>
      </c>
      <c r="H55" s="135">
        <v>0.4422800925925926</v>
      </c>
      <c r="I55" s="136">
        <v>166004639</v>
      </c>
      <c r="J55" s="137">
        <v>93.8</v>
      </c>
      <c r="K55" s="137">
        <f>N55+O55+P55</f>
        <v>77.5207</v>
      </c>
      <c r="L55" s="137">
        <f>Q55+R55</f>
        <v>16.2793</v>
      </c>
      <c r="M55" s="137">
        <f>IF(J55=K55+L55,0,Y55)</f>
        <v>0</v>
      </c>
      <c r="N55" s="138">
        <v>77.5207</v>
      </c>
      <c r="O55" s="137">
        <v>0</v>
      </c>
      <c r="P55" s="137">
        <v>0</v>
      </c>
      <c r="Q55" s="137">
        <v>16.2793</v>
      </c>
      <c r="R55" s="137">
        <v>0</v>
      </c>
      <c r="S55" s="138">
        <v>77.5207</v>
      </c>
      <c r="T55" s="137">
        <v>93.8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93.8</v>
      </c>
      <c r="AC55" s="137">
        <v>0</v>
      </c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107</v>
      </c>
      <c r="F56" s="133" t="s">
        <v>106</v>
      </c>
      <c r="G56" s="134">
        <v>46132</v>
      </c>
      <c r="H56" s="135">
        <v>0.4428935185185185</v>
      </c>
      <c r="I56" s="136">
        <v>166004640</v>
      </c>
      <c r="J56" s="137">
        <v>134.5</v>
      </c>
      <c r="K56" s="137">
        <f>N56+O56+P56</f>
        <v>119.9634</v>
      </c>
      <c r="L56" s="137">
        <f>Q56+R56</f>
        <v>14.5366</v>
      </c>
      <c r="M56" s="137">
        <f>IF(J56=K56+L56,0,Y56)</f>
        <v>0</v>
      </c>
      <c r="N56" s="138">
        <v>1.5702</v>
      </c>
      <c r="O56" s="137">
        <v>118.3932</v>
      </c>
      <c r="P56" s="137">
        <v>0</v>
      </c>
      <c r="Q56" s="137">
        <v>0.3298</v>
      </c>
      <c r="R56" s="137">
        <v>14.2068</v>
      </c>
      <c r="S56" s="138">
        <v>119.9634</v>
      </c>
      <c r="T56" s="137">
        <v>134.5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134.5</v>
      </c>
      <c r="AC56" s="137">
        <v>0</v>
      </c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107</v>
      </c>
      <c r="F57" s="133" t="s">
        <v>106</v>
      </c>
      <c r="G57" s="134">
        <v>46132</v>
      </c>
      <c r="H57" s="135">
        <v>0.4434375</v>
      </c>
      <c r="I57" s="136">
        <v>166004641</v>
      </c>
      <c r="J57" s="137">
        <v>275</v>
      </c>
      <c r="K57" s="137">
        <f>N57+O57+P57</f>
        <v>245.3122</v>
      </c>
      <c r="L57" s="137">
        <f>Q57+R57</f>
        <v>29.4378</v>
      </c>
      <c r="M57" s="137">
        <f>IF(J57=K57+L57,0,Y57)</f>
        <v>0.25</v>
      </c>
      <c r="N57" s="138">
        <v>0</v>
      </c>
      <c r="O57" s="137">
        <v>245.3122</v>
      </c>
      <c r="P57" s="137">
        <v>0</v>
      </c>
      <c r="Q57" s="137">
        <v>0</v>
      </c>
      <c r="R57" s="137">
        <v>29.4378</v>
      </c>
      <c r="S57" s="138">
        <v>245.3122</v>
      </c>
      <c r="T57" s="137">
        <v>274.75</v>
      </c>
      <c r="U57" s="137">
        <v>0</v>
      </c>
      <c r="V57" s="137">
        <v>0</v>
      </c>
      <c r="W57" s="137">
        <v>0</v>
      </c>
      <c r="X57" s="137">
        <v>0</v>
      </c>
      <c r="Y57" s="137">
        <v>0.25</v>
      </c>
      <c r="Z57" s="138">
        <v>275</v>
      </c>
      <c r="AA57" s="137">
        <v>0</v>
      </c>
      <c r="AB57" s="137">
        <v>0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107</v>
      </c>
      <c r="F58" s="133" t="s">
        <v>106</v>
      </c>
      <c r="G58" s="134">
        <v>46132</v>
      </c>
      <c r="H58" s="135">
        <v>0.44439814814814815</v>
      </c>
      <c r="I58" s="136">
        <v>166004642</v>
      </c>
      <c r="J58" s="137">
        <v>255.01</v>
      </c>
      <c r="K58" s="137">
        <f>N58+O58+P58</f>
        <v>225.1705</v>
      </c>
      <c r="L58" s="137">
        <f>Q58+R58</f>
        <v>29.8395</v>
      </c>
      <c r="M58" s="137">
        <f>IF(J58=K58+L58,0,Y58)</f>
        <v>0</v>
      </c>
      <c r="N58" s="138">
        <v>31.3223</v>
      </c>
      <c r="O58" s="137">
        <v>193.8482</v>
      </c>
      <c r="P58" s="137">
        <v>0</v>
      </c>
      <c r="Q58" s="137">
        <v>6.5777</v>
      </c>
      <c r="R58" s="137">
        <v>23.2618</v>
      </c>
      <c r="S58" s="138">
        <v>225.1705</v>
      </c>
      <c r="T58" s="137">
        <v>255.01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255.01</v>
      </c>
      <c r="AC58" s="137">
        <v>0</v>
      </c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107</v>
      </c>
      <c r="F59" s="133" t="s">
        <v>106</v>
      </c>
      <c r="G59" s="134">
        <v>46132</v>
      </c>
      <c r="H59" s="135">
        <v>0.4447685185185185</v>
      </c>
      <c r="I59" s="136">
        <v>166004643</v>
      </c>
      <c r="J59" s="137">
        <v>212.5</v>
      </c>
      <c r="K59" s="137">
        <f>N59+O59+P59</f>
        <v>180.1226</v>
      </c>
      <c r="L59" s="137">
        <f>Q59+R59</f>
        <v>32.3774</v>
      </c>
      <c r="M59" s="137">
        <f>IF(J59=K59+L59,0,Y59)</f>
        <v>0</v>
      </c>
      <c r="N59" s="138">
        <v>119.5868</v>
      </c>
      <c r="O59" s="137">
        <v>60.5358</v>
      </c>
      <c r="P59" s="137">
        <v>0</v>
      </c>
      <c r="Q59" s="137">
        <v>25.1132</v>
      </c>
      <c r="R59" s="137">
        <v>7.2642</v>
      </c>
      <c r="S59" s="138">
        <v>180.1226</v>
      </c>
      <c r="T59" s="137">
        <v>212.5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212.5</v>
      </c>
      <c r="AC59" s="137">
        <v>0</v>
      </c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107</v>
      </c>
      <c r="F60" s="133" t="s">
        <v>106</v>
      </c>
      <c r="G60" s="134">
        <v>46132</v>
      </c>
      <c r="H60" s="135">
        <v>0.445</v>
      </c>
      <c r="I60" s="136">
        <v>166004644</v>
      </c>
      <c r="J60" s="137">
        <v>62</v>
      </c>
      <c r="K60" s="137">
        <f>N60+O60+P60</f>
        <v>55.1786</v>
      </c>
      <c r="L60" s="137">
        <f>Q60+R60</f>
        <v>6.6214</v>
      </c>
      <c r="M60" s="137">
        <f>IF(J60=K60+L60,0,Y60)</f>
        <v>0.2</v>
      </c>
      <c r="N60" s="138">
        <v>0</v>
      </c>
      <c r="O60" s="137">
        <v>55.1786</v>
      </c>
      <c r="P60" s="137">
        <v>0</v>
      </c>
      <c r="Q60" s="137">
        <v>0</v>
      </c>
      <c r="R60" s="137">
        <v>6.6214</v>
      </c>
      <c r="S60" s="138">
        <v>55.1786</v>
      </c>
      <c r="T60" s="137">
        <v>61.8</v>
      </c>
      <c r="U60" s="137">
        <v>0</v>
      </c>
      <c r="V60" s="137">
        <v>0</v>
      </c>
      <c r="W60" s="137">
        <v>0</v>
      </c>
      <c r="X60" s="137">
        <v>0</v>
      </c>
      <c r="Y60" s="137">
        <v>0.2</v>
      </c>
      <c r="Z60" s="138">
        <v>62</v>
      </c>
      <c r="AA60" s="137">
        <v>0</v>
      </c>
      <c r="AB60" s="137">
        <v>0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107</v>
      </c>
      <c r="F61" s="133" t="s">
        <v>106</v>
      </c>
      <c r="G61" s="134">
        <v>46132</v>
      </c>
      <c r="H61" s="135">
        <v>0.4456712962962963</v>
      </c>
      <c r="I61" s="136">
        <v>166004645</v>
      </c>
      <c r="J61" s="137">
        <v>226</v>
      </c>
      <c r="K61" s="137">
        <f>N61+O61+P61</f>
        <v>191.09359999999998</v>
      </c>
      <c r="L61" s="137">
        <f>Q61+R61</f>
        <v>34.9064</v>
      </c>
      <c r="M61" s="137">
        <f>IF(J61=K61+L61,0,Y61)</f>
        <v>0</v>
      </c>
      <c r="N61" s="138">
        <v>133.0579</v>
      </c>
      <c r="O61" s="137">
        <v>58.0357</v>
      </c>
      <c r="P61" s="137">
        <v>0</v>
      </c>
      <c r="Q61" s="137">
        <v>27.9421</v>
      </c>
      <c r="R61" s="137">
        <v>6.9643</v>
      </c>
      <c r="S61" s="138">
        <v>191.0936</v>
      </c>
      <c r="T61" s="137">
        <v>226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226</v>
      </c>
      <c r="AC61" s="137">
        <v>0</v>
      </c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107</v>
      </c>
      <c r="F62" s="133" t="s">
        <v>106</v>
      </c>
      <c r="G62" s="134">
        <v>46132</v>
      </c>
      <c r="H62" s="135">
        <v>0.44590277777777776</v>
      </c>
      <c r="I62" s="136">
        <v>166004646</v>
      </c>
      <c r="J62" s="137">
        <v>24</v>
      </c>
      <c r="K62" s="137">
        <f>N62+O62+P62</f>
        <v>21.4196</v>
      </c>
      <c r="L62" s="137">
        <f>Q62+R62</f>
        <v>2.5704</v>
      </c>
      <c r="M62" s="137">
        <f>IF(J62=K62+L62,0,Y62)</f>
        <v>0.01</v>
      </c>
      <c r="N62" s="138">
        <v>0</v>
      </c>
      <c r="O62" s="137">
        <v>21.4196</v>
      </c>
      <c r="P62" s="137">
        <v>0</v>
      </c>
      <c r="Q62" s="137">
        <v>0</v>
      </c>
      <c r="R62" s="137">
        <v>2.5704</v>
      </c>
      <c r="S62" s="138">
        <v>21.4196</v>
      </c>
      <c r="T62" s="137">
        <v>23.99</v>
      </c>
      <c r="U62" s="137">
        <v>0</v>
      </c>
      <c r="V62" s="137">
        <v>0</v>
      </c>
      <c r="W62" s="137">
        <v>0</v>
      </c>
      <c r="X62" s="137">
        <v>0</v>
      </c>
      <c r="Y62" s="137">
        <v>0.01</v>
      </c>
      <c r="Z62" s="138">
        <v>204</v>
      </c>
      <c r="AA62" s="137">
        <v>0</v>
      </c>
      <c r="AB62" s="137">
        <v>0</v>
      </c>
      <c r="AC62" s="137"/>
      <c r="AD62" s="137">
        <v>0</v>
      </c>
      <c r="AE62" s="139">
        <v>-180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107</v>
      </c>
      <c r="F63" s="133" t="s">
        <v>106</v>
      </c>
      <c r="G63" s="134">
        <v>46132</v>
      </c>
      <c r="H63" s="135">
        <v>0.446400462962963</v>
      </c>
      <c r="I63" s="136">
        <v>166004647</v>
      </c>
      <c r="J63" s="137">
        <v>174.56</v>
      </c>
      <c r="K63" s="137">
        <f>N63+O63+P63</f>
        <v>155.8572</v>
      </c>
      <c r="L63" s="137">
        <f>Q63+R63</f>
        <v>18.7028</v>
      </c>
      <c r="M63" s="137">
        <f>IF(J63=K63+L63,0,Y63)</f>
        <v>0</v>
      </c>
      <c r="N63" s="138">
        <v>0</v>
      </c>
      <c r="O63" s="137">
        <v>155.8572</v>
      </c>
      <c r="P63" s="137">
        <v>0</v>
      </c>
      <c r="Q63" s="137">
        <v>0</v>
      </c>
      <c r="R63" s="137">
        <v>18.7028</v>
      </c>
      <c r="S63" s="138">
        <v>155.8572</v>
      </c>
      <c r="T63" s="137">
        <v>174.56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174.56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107</v>
      </c>
      <c r="F64" s="133" t="s">
        <v>106</v>
      </c>
      <c r="G64" s="134">
        <v>46132</v>
      </c>
      <c r="H64" s="135">
        <v>0.4467013888888889</v>
      </c>
      <c r="I64" s="136">
        <v>166004648</v>
      </c>
      <c r="J64" s="137">
        <v>228</v>
      </c>
      <c r="K64" s="137">
        <f>N64+O64+P64</f>
        <v>203.8393</v>
      </c>
      <c r="L64" s="137">
        <f>Q64+R64</f>
        <v>24.4607</v>
      </c>
      <c r="M64" s="137">
        <f>IF(J64=K64+L64,0,Y64)</f>
        <v>-0.3</v>
      </c>
      <c r="N64" s="138">
        <v>0</v>
      </c>
      <c r="O64" s="137">
        <v>203.8393</v>
      </c>
      <c r="P64" s="137">
        <v>0</v>
      </c>
      <c r="Q64" s="137">
        <v>0</v>
      </c>
      <c r="R64" s="137">
        <v>24.4607</v>
      </c>
      <c r="S64" s="138">
        <v>203.8393</v>
      </c>
      <c r="T64" s="137">
        <v>228.3</v>
      </c>
      <c r="U64" s="137">
        <v>0</v>
      </c>
      <c r="V64" s="137">
        <v>0</v>
      </c>
      <c r="W64" s="137">
        <v>0</v>
      </c>
      <c r="X64" s="137">
        <v>0</v>
      </c>
      <c r="Y64" s="137">
        <v>-0.3</v>
      </c>
      <c r="Z64" s="138">
        <v>1000</v>
      </c>
      <c r="AA64" s="137">
        <v>0</v>
      </c>
      <c r="AB64" s="137">
        <v>0</v>
      </c>
      <c r="AC64" s="137"/>
      <c r="AD64" s="137">
        <v>0</v>
      </c>
      <c r="AE64" s="139">
        <v>-772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107</v>
      </c>
      <c r="F65" s="133" t="s">
        <v>106</v>
      </c>
      <c r="G65" s="134">
        <v>46132</v>
      </c>
      <c r="H65" s="135">
        <v>0.44849537037037035</v>
      </c>
      <c r="I65" s="136">
        <v>166004649</v>
      </c>
      <c r="J65" s="137">
        <v>162</v>
      </c>
      <c r="K65" s="137">
        <f>N65+O65+P65</f>
        <v>133.8843</v>
      </c>
      <c r="L65" s="137">
        <f>Q65+R65</f>
        <v>28.1157</v>
      </c>
      <c r="M65" s="137">
        <f>IF(J65=K65+L65,0,Y65)</f>
        <v>0</v>
      </c>
      <c r="N65" s="138">
        <v>133.8843</v>
      </c>
      <c r="O65" s="137">
        <v>0</v>
      </c>
      <c r="P65" s="137">
        <v>0</v>
      </c>
      <c r="Q65" s="137">
        <v>28.1157</v>
      </c>
      <c r="R65" s="137">
        <v>0</v>
      </c>
      <c r="S65" s="138">
        <v>133.8843</v>
      </c>
      <c r="T65" s="137">
        <v>162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162</v>
      </c>
      <c r="AA65" s="137">
        <v>0</v>
      </c>
      <c r="AB65" s="137">
        <v>0</v>
      </c>
      <c r="AC65" s="137"/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107</v>
      </c>
      <c r="F66" s="133" t="s">
        <v>106</v>
      </c>
      <c r="G66" s="134">
        <v>46132</v>
      </c>
      <c r="H66" s="135">
        <v>0.44871527777777775</v>
      </c>
      <c r="I66" s="136">
        <v>166004650</v>
      </c>
      <c r="J66" s="137">
        <v>42</v>
      </c>
      <c r="K66" s="137">
        <f>N66+O66+P66</f>
        <v>37.3214</v>
      </c>
      <c r="L66" s="137">
        <f>Q66+R66</f>
        <v>4.4786</v>
      </c>
      <c r="M66" s="137">
        <f>IF(J66=K66+L66,0,Y66)</f>
        <v>0.2</v>
      </c>
      <c r="N66" s="138">
        <v>0</v>
      </c>
      <c r="O66" s="137">
        <v>37.3214</v>
      </c>
      <c r="P66" s="137">
        <v>0</v>
      </c>
      <c r="Q66" s="137">
        <v>0</v>
      </c>
      <c r="R66" s="137">
        <v>4.4786</v>
      </c>
      <c r="S66" s="138">
        <v>37.3214</v>
      </c>
      <c r="T66" s="137">
        <v>41.8</v>
      </c>
      <c r="U66" s="137">
        <v>0</v>
      </c>
      <c r="V66" s="137">
        <v>0</v>
      </c>
      <c r="W66" s="137">
        <v>0</v>
      </c>
      <c r="X66" s="137">
        <v>0</v>
      </c>
      <c r="Y66" s="137">
        <v>0.2</v>
      </c>
      <c r="Z66" s="138">
        <v>50</v>
      </c>
      <c r="AA66" s="137">
        <v>0</v>
      </c>
      <c r="AB66" s="137">
        <v>0</v>
      </c>
      <c r="AC66" s="137"/>
      <c r="AD66" s="137">
        <v>0</v>
      </c>
      <c r="AE66" s="139">
        <v>-8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107</v>
      </c>
      <c r="F67" s="133" t="s">
        <v>106</v>
      </c>
      <c r="G67" s="134">
        <v>46132</v>
      </c>
      <c r="H67" s="135">
        <v>0.4508101851851852</v>
      </c>
      <c r="I67" s="136">
        <v>166004651</v>
      </c>
      <c r="J67" s="137">
        <v>245.21</v>
      </c>
      <c r="K67" s="137">
        <f>N67+O67+P67</f>
        <v>218.9375</v>
      </c>
      <c r="L67" s="137">
        <f>Q67+R67</f>
        <v>26.2725</v>
      </c>
      <c r="M67" s="137">
        <f>IF(J67=K67+L67,0,Y67)</f>
        <v>0</v>
      </c>
      <c r="N67" s="138">
        <v>0</v>
      </c>
      <c r="O67" s="137">
        <v>218.9375</v>
      </c>
      <c r="P67" s="137">
        <v>0</v>
      </c>
      <c r="Q67" s="137">
        <v>0</v>
      </c>
      <c r="R67" s="137">
        <v>26.2725</v>
      </c>
      <c r="S67" s="138">
        <v>218.9375</v>
      </c>
      <c r="T67" s="137">
        <v>245.21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245.21</v>
      </c>
      <c r="AC67" s="137">
        <v>0</v>
      </c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107</v>
      </c>
      <c r="F68" s="133" t="s">
        <v>106</v>
      </c>
      <c r="G68" s="134">
        <v>46132</v>
      </c>
      <c r="H68" s="135">
        <v>0.45100694444444445</v>
      </c>
      <c r="I68" s="136">
        <v>166004652</v>
      </c>
      <c r="J68" s="137">
        <v>48</v>
      </c>
      <c r="K68" s="137">
        <f>N68+O68+P68</f>
        <v>42.5894</v>
      </c>
      <c r="L68" s="137">
        <f>Q68+R68</f>
        <v>5.1106</v>
      </c>
      <c r="M68" s="137">
        <f>IF(J68=K68+L68,0,Y68)</f>
        <v>0.3</v>
      </c>
      <c r="N68" s="138">
        <v>0</v>
      </c>
      <c r="O68" s="137">
        <v>42.5894</v>
      </c>
      <c r="P68" s="137">
        <v>0</v>
      </c>
      <c r="Q68" s="137">
        <v>0</v>
      </c>
      <c r="R68" s="137">
        <v>5.1106</v>
      </c>
      <c r="S68" s="138">
        <v>42.5894</v>
      </c>
      <c r="T68" s="137">
        <v>47.7</v>
      </c>
      <c r="U68" s="137">
        <v>0</v>
      </c>
      <c r="V68" s="137">
        <v>0</v>
      </c>
      <c r="W68" s="137">
        <v>0</v>
      </c>
      <c r="X68" s="137">
        <v>0</v>
      </c>
      <c r="Y68" s="137">
        <v>0.3</v>
      </c>
      <c r="Z68" s="138">
        <v>200</v>
      </c>
      <c r="AA68" s="137">
        <v>0</v>
      </c>
      <c r="AB68" s="137">
        <v>0</v>
      </c>
      <c r="AC68" s="137"/>
      <c r="AD68" s="137">
        <v>0</v>
      </c>
      <c r="AE68" s="139">
        <v>-152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107</v>
      </c>
      <c r="F69" s="133" t="s">
        <v>106</v>
      </c>
      <c r="G69" s="134">
        <v>46132</v>
      </c>
      <c r="H69" s="135">
        <v>0.45144675925925926</v>
      </c>
      <c r="I69" s="136">
        <v>166004653</v>
      </c>
      <c r="J69" s="137">
        <v>111</v>
      </c>
      <c r="K69" s="137">
        <f>N69+O69+P69</f>
        <v>95.52539999999999</v>
      </c>
      <c r="L69" s="137">
        <f>Q69+R69</f>
        <v>15.1746</v>
      </c>
      <c r="M69" s="137">
        <f>IF(J69=K69+L69,0,Y69)</f>
        <v>0.3</v>
      </c>
      <c r="N69" s="138">
        <v>41.2397</v>
      </c>
      <c r="O69" s="137">
        <v>54.2857</v>
      </c>
      <c r="P69" s="137">
        <v>0</v>
      </c>
      <c r="Q69" s="137">
        <v>8.6603</v>
      </c>
      <c r="R69" s="137">
        <v>6.5143</v>
      </c>
      <c r="S69" s="138">
        <v>95.5254</v>
      </c>
      <c r="T69" s="137">
        <v>110.7</v>
      </c>
      <c r="U69" s="137">
        <v>0</v>
      </c>
      <c r="V69" s="137">
        <v>0</v>
      </c>
      <c r="W69" s="137">
        <v>0</v>
      </c>
      <c r="X69" s="137">
        <v>0</v>
      </c>
      <c r="Y69" s="137">
        <v>0.3</v>
      </c>
      <c r="Z69" s="138">
        <v>121</v>
      </c>
      <c r="AA69" s="137">
        <v>0</v>
      </c>
      <c r="AB69" s="137">
        <v>0</v>
      </c>
      <c r="AC69" s="137"/>
      <c r="AD69" s="137">
        <v>0</v>
      </c>
      <c r="AE69" s="139">
        <v>-10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107</v>
      </c>
      <c r="F70" s="133" t="s">
        <v>106</v>
      </c>
      <c r="G70" s="134">
        <v>46132</v>
      </c>
      <c r="H70" s="135">
        <v>0.45199074074074075</v>
      </c>
      <c r="I70" s="136">
        <v>166004654</v>
      </c>
      <c r="J70" s="137">
        <v>105</v>
      </c>
      <c r="K70" s="137">
        <f>N70+O70+P70</f>
        <v>94.0356</v>
      </c>
      <c r="L70" s="137">
        <f>Q70+R70</f>
        <v>11.2844</v>
      </c>
      <c r="M70" s="137">
        <f>IF(J70=K70+L70,0,Y70)</f>
        <v>-0.32</v>
      </c>
      <c r="N70" s="138">
        <v>0</v>
      </c>
      <c r="O70" s="137">
        <v>94.0356</v>
      </c>
      <c r="P70" s="137">
        <v>0</v>
      </c>
      <c r="Q70" s="137">
        <v>0</v>
      </c>
      <c r="R70" s="137">
        <v>11.2844</v>
      </c>
      <c r="S70" s="138">
        <v>94.0356</v>
      </c>
      <c r="T70" s="137">
        <v>105.32</v>
      </c>
      <c r="U70" s="137">
        <v>0</v>
      </c>
      <c r="V70" s="137">
        <v>0</v>
      </c>
      <c r="W70" s="137">
        <v>0</v>
      </c>
      <c r="X70" s="137">
        <v>0</v>
      </c>
      <c r="Y70" s="137">
        <v>-0.32</v>
      </c>
      <c r="Z70" s="138">
        <v>105</v>
      </c>
      <c r="AA70" s="137">
        <v>0</v>
      </c>
      <c r="AB70" s="137">
        <v>0</v>
      </c>
      <c r="AC70" s="137"/>
      <c r="AD70" s="137">
        <v>0</v>
      </c>
      <c r="AE70" s="139">
        <v>0</v>
      </c>
      <c r="AF70" s="56">
        <v>23.8794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107</v>
      </c>
      <c r="F71" s="133" t="s">
        <v>106</v>
      </c>
      <c r="G71" s="134">
        <v>46132</v>
      </c>
      <c r="H71" s="135">
        <v>0.45233796296296297</v>
      </c>
      <c r="I71" s="136">
        <v>166004655</v>
      </c>
      <c r="J71" s="137">
        <v>33.97</v>
      </c>
      <c r="K71" s="137">
        <f>N71+O71+P71</f>
        <v>30.3304</v>
      </c>
      <c r="L71" s="137">
        <f>Q71+R71</f>
        <v>3.6396</v>
      </c>
      <c r="M71" s="137">
        <f>IF(J71=K71+L71,0,Y71)</f>
        <v>0</v>
      </c>
      <c r="N71" s="138">
        <v>0</v>
      </c>
      <c r="O71" s="137">
        <v>30.3304</v>
      </c>
      <c r="P71" s="137">
        <v>0</v>
      </c>
      <c r="Q71" s="137">
        <v>0</v>
      </c>
      <c r="R71" s="137">
        <v>3.6396</v>
      </c>
      <c r="S71" s="138">
        <v>30.3304</v>
      </c>
      <c r="T71" s="137">
        <v>33.97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33.97</v>
      </c>
      <c r="AC71" s="137">
        <v>0</v>
      </c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107</v>
      </c>
      <c r="F72" s="133" t="s">
        <v>106</v>
      </c>
      <c r="G72" s="134">
        <v>46132</v>
      </c>
      <c r="H72" s="135">
        <v>0.45262731481481483</v>
      </c>
      <c r="I72" s="136">
        <v>166004656</v>
      </c>
      <c r="J72" s="137">
        <v>38.8</v>
      </c>
      <c r="K72" s="137">
        <f>N72+O72+P72</f>
        <v>33.5869</v>
      </c>
      <c r="L72" s="137">
        <f>Q72+R72</f>
        <v>5.2131</v>
      </c>
      <c r="M72" s="137">
        <f>IF(J72=K72+L72,0,Y72)</f>
        <v>0</v>
      </c>
      <c r="N72" s="138">
        <v>13.1405</v>
      </c>
      <c r="O72" s="137">
        <v>20.4464</v>
      </c>
      <c r="P72" s="137">
        <v>0</v>
      </c>
      <c r="Q72" s="137">
        <v>2.7595</v>
      </c>
      <c r="R72" s="137">
        <v>2.4536</v>
      </c>
      <c r="S72" s="138">
        <v>33.5869</v>
      </c>
      <c r="T72" s="137">
        <v>38.8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38.8</v>
      </c>
      <c r="AC72" s="137">
        <v>0</v>
      </c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107</v>
      </c>
      <c r="F73" s="133" t="s">
        <v>106</v>
      </c>
      <c r="G73" s="134">
        <v>46132</v>
      </c>
      <c r="H73" s="135">
        <v>0.4564699074074074</v>
      </c>
      <c r="I73" s="136">
        <v>166004657</v>
      </c>
      <c r="J73" s="137">
        <v>232.3</v>
      </c>
      <c r="K73" s="137">
        <f>N73+O73+P73</f>
        <v>206.5274</v>
      </c>
      <c r="L73" s="137">
        <f>Q73+R73</f>
        <v>25.7726</v>
      </c>
      <c r="M73" s="137">
        <f>IF(J73=K73+L73,0,Y73)</f>
        <v>0</v>
      </c>
      <c r="N73" s="138">
        <v>10.9917</v>
      </c>
      <c r="O73" s="137">
        <v>195.5357</v>
      </c>
      <c r="P73" s="137">
        <v>0</v>
      </c>
      <c r="Q73" s="137">
        <v>2.3083</v>
      </c>
      <c r="R73" s="137">
        <v>23.4643</v>
      </c>
      <c r="S73" s="138">
        <v>206.5274</v>
      </c>
      <c r="T73" s="137">
        <v>232.3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232.3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107</v>
      </c>
      <c r="F74" s="133" t="s">
        <v>106</v>
      </c>
      <c r="G74" s="134">
        <v>46132</v>
      </c>
      <c r="H74" s="135">
        <v>0.4568402777777778</v>
      </c>
      <c r="I74" s="136">
        <v>166004658</v>
      </c>
      <c r="J74" s="137">
        <v>63.6</v>
      </c>
      <c r="K74" s="137">
        <f>N74+O74+P74</f>
        <v>56.7857</v>
      </c>
      <c r="L74" s="137">
        <f>Q74+R74</f>
        <v>6.8143</v>
      </c>
      <c r="M74" s="137">
        <f>IF(J74=K74+L74,0,Y74)</f>
        <v>0</v>
      </c>
      <c r="N74" s="138">
        <v>0</v>
      </c>
      <c r="O74" s="137">
        <v>56.7857</v>
      </c>
      <c r="P74" s="137">
        <v>0</v>
      </c>
      <c r="Q74" s="137">
        <v>0</v>
      </c>
      <c r="R74" s="137">
        <v>6.8143</v>
      </c>
      <c r="S74" s="138">
        <v>56.7857</v>
      </c>
      <c r="T74" s="137">
        <v>63.6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63.6</v>
      </c>
      <c r="AC74" s="137">
        <v>0</v>
      </c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107</v>
      </c>
      <c r="F75" s="133" t="s">
        <v>106</v>
      </c>
      <c r="G75" s="134">
        <v>46132</v>
      </c>
      <c r="H75" s="135">
        <v>0.4576851851851852</v>
      </c>
      <c r="I75" s="136">
        <v>166004659</v>
      </c>
      <c r="J75" s="137">
        <v>437.85</v>
      </c>
      <c r="K75" s="137">
        <f>N75+O75+P75</f>
        <v>390.9375</v>
      </c>
      <c r="L75" s="137">
        <f>Q75+R75</f>
        <v>46.9125</v>
      </c>
      <c r="M75" s="137">
        <f>IF(J75=K75+L75,0,Y75)</f>
        <v>0</v>
      </c>
      <c r="N75" s="138">
        <v>0</v>
      </c>
      <c r="O75" s="137">
        <v>390.9375</v>
      </c>
      <c r="P75" s="137">
        <v>0</v>
      </c>
      <c r="Q75" s="137">
        <v>0</v>
      </c>
      <c r="R75" s="137">
        <v>46.9125</v>
      </c>
      <c r="S75" s="138">
        <v>390.9375</v>
      </c>
      <c r="T75" s="137">
        <v>437.85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437.85</v>
      </c>
      <c r="AC75" s="137">
        <v>0</v>
      </c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107</v>
      </c>
      <c r="F76" s="133" t="s">
        <v>106</v>
      </c>
      <c r="G76" s="134">
        <v>46132</v>
      </c>
      <c r="H76" s="135">
        <v>0.4583564814814815</v>
      </c>
      <c r="I76" s="136">
        <v>166004660</v>
      </c>
      <c r="J76" s="137">
        <v>209</v>
      </c>
      <c r="K76" s="137">
        <f>N76+O76+P76</f>
        <v>186.3392</v>
      </c>
      <c r="L76" s="137">
        <f>Q76+R76</f>
        <v>22.3608</v>
      </c>
      <c r="M76" s="137">
        <f>IF(J76=K76+L76,0,Y76)</f>
        <v>0.3</v>
      </c>
      <c r="N76" s="138">
        <v>0</v>
      </c>
      <c r="O76" s="137">
        <v>186.3392</v>
      </c>
      <c r="P76" s="137">
        <v>0</v>
      </c>
      <c r="Q76" s="137">
        <v>0</v>
      </c>
      <c r="R76" s="137">
        <v>22.3608</v>
      </c>
      <c r="S76" s="138">
        <v>186.3392</v>
      </c>
      <c r="T76" s="137">
        <v>208.7</v>
      </c>
      <c r="U76" s="137">
        <v>0</v>
      </c>
      <c r="V76" s="137">
        <v>0</v>
      </c>
      <c r="W76" s="137">
        <v>0</v>
      </c>
      <c r="X76" s="137">
        <v>0</v>
      </c>
      <c r="Y76" s="137">
        <v>0.3</v>
      </c>
      <c r="Z76" s="138">
        <v>209</v>
      </c>
      <c r="AA76" s="137">
        <v>0</v>
      </c>
      <c r="AB76" s="137">
        <v>0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107</v>
      </c>
      <c r="F77" s="133" t="s">
        <v>106</v>
      </c>
      <c r="G77" s="134">
        <v>46132</v>
      </c>
      <c r="H77" s="135">
        <v>0.45913194444444444</v>
      </c>
      <c r="I77" s="136">
        <v>166004661</v>
      </c>
      <c r="J77" s="137">
        <v>248.06</v>
      </c>
      <c r="K77" s="137">
        <f>N77+O77+P77</f>
        <v>217.70790000000002</v>
      </c>
      <c r="L77" s="137">
        <f>Q77+R77</f>
        <v>30.3521</v>
      </c>
      <c r="M77" s="137">
        <f>IF(J77=K77+L77,0,Y77)</f>
        <v>0</v>
      </c>
      <c r="N77" s="138">
        <v>46.9669</v>
      </c>
      <c r="O77" s="137">
        <v>170.741</v>
      </c>
      <c r="P77" s="137">
        <v>0</v>
      </c>
      <c r="Q77" s="137">
        <v>9.8631</v>
      </c>
      <c r="R77" s="137">
        <v>20.489</v>
      </c>
      <c r="S77" s="138">
        <v>217.7079</v>
      </c>
      <c r="T77" s="137">
        <v>248.06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248.06</v>
      </c>
      <c r="AC77" s="137">
        <v>0</v>
      </c>
      <c r="AD77" s="137">
        <v>0</v>
      </c>
      <c r="AE77" s="139">
        <v>0</v>
      </c>
      <c r="AF77" s="56">
        <v>20.94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107</v>
      </c>
      <c r="F78" s="133" t="s">
        <v>106</v>
      </c>
      <c r="G78" s="134">
        <v>46132</v>
      </c>
      <c r="H78" s="135">
        <v>0.4593171296296296</v>
      </c>
      <c r="I78" s="136">
        <v>166004662</v>
      </c>
      <c r="J78" s="137">
        <v>149</v>
      </c>
      <c r="K78" s="137">
        <f>N78+O78+P78</f>
        <v>123.1405</v>
      </c>
      <c r="L78" s="137">
        <f>Q78+R78</f>
        <v>25.8595</v>
      </c>
      <c r="M78" s="137">
        <f>IF(J78=K78+L78,0,Y78)</f>
        <v>0</v>
      </c>
      <c r="N78" s="138">
        <v>123.1405</v>
      </c>
      <c r="O78" s="137">
        <v>0</v>
      </c>
      <c r="P78" s="137">
        <v>0</v>
      </c>
      <c r="Q78" s="137">
        <v>25.8595</v>
      </c>
      <c r="R78" s="137">
        <v>0</v>
      </c>
      <c r="S78" s="138">
        <v>123.1405</v>
      </c>
      <c r="T78" s="137">
        <v>149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200</v>
      </c>
      <c r="AA78" s="137">
        <v>0</v>
      </c>
      <c r="AB78" s="137">
        <v>0</v>
      </c>
      <c r="AC78" s="137"/>
      <c r="AD78" s="137">
        <v>0</v>
      </c>
      <c r="AE78" s="139">
        <v>-51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107</v>
      </c>
      <c r="F79" s="133" t="s">
        <v>106</v>
      </c>
      <c r="G79" s="134">
        <v>46132</v>
      </c>
      <c r="H79" s="135">
        <v>0.46368055555555554</v>
      </c>
      <c r="I79" s="136">
        <v>166004663</v>
      </c>
      <c r="J79" s="137">
        <v>12</v>
      </c>
      <c r="K79" s="137">
        <f>N79+O79+P79</f>
        <v>10.3571</v>
      </c>
      <c r="L79" s="137">
        <f>Q79+R79</f>
        <v>1.2429</v>
      </c>
      <c r="M79" s="137">
        <f>IF(J79=K79+L79,0,Y79)</f>
        <v>0.4</v>
      </c>
      <c r="N79" s="138">
        <v>0</v>
      </c>
      <c r="O79" s="137">
        <v>10.3571</v>
      </c>
      <c r="P79" s="137">
        <v>0</v>
      </c>
      <c r="Q79" s="137">
        <v>0</v>
      </c>
      <c r="R79" s="137">
        <v>1.2429</v>
      </c>
      <c r="S79" s="138">
        <v>10.3571</v>
      </c>
      <c r="T79" s="137">
        <v>11.6</v>
      </c>
      <c r="U79" s="137">
        <v>0</v>
      </c>
      <c r="V79" s="137">
        <v>0</v>
      </c>
      <c r="W79" s="137">
        <v>0</v>
      </c>
      <c r="X79" s="137">
        <v>0</v>
      </c>
      <c r="Y79" s="137">
        <v>0.4</v>
      </c>
      <c r="Z79" s="138">
        <v>100</v>
      </c>
      <c r="AA79" s="137">
        <v>0</v>
      </c>
      <c r="AB79" s="137">
        <v>0</v>
      </c>
      <c r="AC79" s="137"/>
      <c r="AD79" s="137">
        <v>0</v>
      </c>
      <c r="AE79" s="139">
        <v>-88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107</v>
      </c>
      <c r="F80" s="133" t="s">
        <v>106</v>
      </c>
      <c r="G80" s="134">
        <v>46132</v>
      </c>
      <c r="H80" s="135">
        <v>0.46449074074074076</v>
      </c>
      <c r="I80" s="136">
        <v>166004664</v>
      </c>
      <c r="J80" s="137">
        <v>222</v>
      </c>
      <c r="K80" s="137">
        <f>N80+O80+P80</f>
        <v>195.484</v>
      </c>
      <c r="L80" s="137">
        <f>Q80+R80</f>
        <v>27.006</v>
      </c>
      <c r="M80" s="137">
        <f>IF(J80=K80+L80,0,Y80)</f>
        <v>-0.49</v>
      </c>
      <c r="N80" s="138">
        <v>39.4215</v>
      </c>
      <c r="O80" s="137">
        <v>156.0625</v>
      </c>
      <c r="P80" s="137">
        <v>0</v>
      </c>
      <c r="Q80" s="137">
        <v>8.2785</v>
      </c>
      <c r="R80" s="137">
        <v>18.7275</v>
      </c>
      <c r="S80" s="138">
        <v>195.484</v>
      </c>
      <c r="T80" s="137">
        <v>222.49</v>
      </c>
      <c r="U80" s="137">
        <v>0</v>
      </c>
      <c r="V80" s="137">
        <v>0</v>
      </c>
      <c r="W80" s="137">
        <v>0</v>
      </c>
      <c r="X80" s="137">
        <v>0</v>
      </c>
      <c r="Y80" s="137">
        <v>-0.49</v>
      </c>
      <c r="Z80" s="138">
        <v>502</v>
      </c>
      <c r="AA80" s="137">
        <v>0</v>
      </c>
      <c r="AB80" s="137">
        <v>0</v>
      </c>
      <c r="AC80" s="137"/>
      <c r="AD80" s="137">
        <v>0</v>
      </c>
      <c r="AE80" s="139">
        <v>-280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107</v>
      </c>
      <c r="F81" s="133" t="s">
        <v>106</v>
      </c>
      <c r="G81" s="134">
        <v>46132</v>
      </c>
      <c r="H81" s="135">
        <v>0.4668981481481482</v>
      </c>
      <c r="I81" s="136">
        <v>166004665</v>
      </c>
      <c r="J81" s="137">
        <v>51</v>
      </c>
      <c r="K81" s="137">
        <f>N81+O81+P81</f>
        <v>45.3392</v>
      </c>
      <c r="L81" s="137">
        <f>Q81+R81</f>
        <v>5.4408</v>
      </c>
      <c r="M81" s="137">
        <f>IF(J81=K81+L81,0,Y81)</f>
        <v>0.22</v>
      </c>
      <c r="N81" s="138">
        <v>0</v>
      </c>
      <c r="O81" s="137">
        <v>45.3392</v>
      </c>
      <c r="P81" s="137">
        <v>0</v>
      </c>
      <c r="Q81" s="137">
        <v>0</v>
      </c>
      <c r="R81" s="137">
        <v>5.4408</v>
      </c>
      <c r="S81" s="138">
        <v>45.3392</v>
      </c>
      <c r="T81" s="137">
        <v>50.78</v>
      </c>
      <c r="U81" s="137">
        <v>0</v>
      </c>
      <c r="V81" s="137">
        <v>0</v>
      </c>
      <c r="W81" s="137">
        <v>0</v>
      </c>
      <c r="X81" s="137">
        <v>0</v>
      </c>
      <c r="Y81" s="137">
        <v>0.22</v>
      </c>
      <c r="Z81" s="138">
        <v>51</v>
      </c>
      <c r="AA81" s="137">
        <v>0</v>
      </c>
      <c r="AB81" s="137">
        <v>0</v>
      </c>
      <c r="AC81" s="137"/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107</v>
      </c>
      <c r="F82" s="133" t="s">
        <v>106</v>
      </c>
      <c r="G82" s="134">
        <v>46132</v>
      </c>
      <c r="H82" s="135">
        <v>0.4675925925925926</v>
      </c>
      <c r="I82" s="136">
        <v>166004666</v>
      </c>
      <c r="J82" s="137">
        <v>50</v>
      </c>
      <c r="K82" s="137">
        <f>N82+O82+P82</f>
        <v>41.2397</v>
      </c>
      <c r="L82" s="137">
        <f>Q82+R82</f>
        <v>8.6603</v>
      </c>
      <c r="M82" s="137">
        <f>IF(J82=K82+L82,0,Y82)</f>
        <v>0.1</v>
      </c>
      <c r="N82" s="138">
        <v>41.2397</v>
      </c>
      <c r="O82" s="137">
        <v>0</v>
      </c>
      <c r="P82" s="137">
        <v>0</v>
      </c>
      <c r="Q82" s="137">
        <v>8.6603</v>
      </c>
      <c r="R82" s="137">
        <v>0</v>
      </c>
      <c r="S82" s="138">
        <v>41.2397</v>
      </c>
      <c r="T82" s="137">
        <v>49.9</v>
      </c>
      <c r="U82" s="137">
        <v>0</v>
      </c>
      <c r="V82" s="137">
        <v>0</v>
      </c>
      <c r="W82" s="137">
        <v>0</v>
      </c>
      <c r="X82" s="137">
        <v>0</v>
      </c>
      <c r="Y82" s="137">
        <v>0.1</v>
      </c>
      <c r="Z82" s="138">
        <v>50</v>
      </c>
      <c r="AA82" s="137">
        <v>0</v>
      </c>
      <c r="AB82" s="137">
        <v>0</v>
      </c>
      <c r="AC82" s="137"/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107</v>
      </c>
      <c r="F83" s="133" t="s">
        <v>106</v>
      </c>
      <c r="G83" s="134">
        <v>46132</v>
      </c>
      <c r="H83" s="135">
        <v>0.4687037037037037</v>
      </c>
      <c r="I83" s="136">
        <v>166004667</v>
      </c>
      <c r="J83" s="137">
        <v>653</v>
      </c>
      <c r="K83" s="137">
        <f>N83+O83+P83</f>
        <v>561.4099</v>
      </c>
      <c r="L83" s="137">
        <f>Q83+R83</f>
        <v>91.8401</v>
      </c>
      <c r="M83" s="137">
        <f>IF(J83=K83+L83,0,Y83)</f>
        <v>-0.25</v>
      </c>
      <c r="N83" s="138">
        <v>271.9008</v>
      </c>
      <c r="O83" s="137">
        <v>289.5091</v>
      </c>
      <c r="P83" s="137">
        <v>0</v>
      </c>
      <c r="Q83" s="137">
        <v>57.0992</v>
      </c>
      <c r="R83" s="137">
        <v>34.7409</v>
      </c>
      <c r="S83" s="138">
        <v>561.4099</v>
      </c>
      <c r="T83" s="137">
        <v>653.25</v>
      </c>
      <c r="U83" s="137">
        <v>0</v>
      </c>
      <c r="V83" s="137">
        <v>0</v>
      </c>
      <c r="W83" s="137">
        <v>0</v>
      </c>
      <c r="X83" s="137">
        <v>0</v>
      </c>
      <c r="Y83" s="137">
        <v>-0.25</v>
      </c>
      <c r="Z83" s="138">
        <v>1000</v>
      </c>
      <c r="AA83" s="137">
        <v>0</v>
      </c>
      <c r="AB83" s="137">
        <v>0</v>
      </c>
      <c r="AC83" s="137"/>
      <c r="AD83" s="137">
        <v>0</v>
      </c>
      <c r="AE83" s="139">
        <v>-347</v>
      </c>
      <c r="AF83" s="56">
        <v>10.4805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107</v>
      </c>
      <c r="F84" s="133" t="s">
        <v>106</v>
      </c>
      <c r="G84" s="134">
        <v>46132</v>
      </c>
      <c r="H84" s="135">
        <v>0.4690625</v>
      </c>
      <c r="I84" s="136">
        <v>166004668</v>
      </c>
      <c r="J84" s="137">
        <v>15</v>
      </c>
      <c r="K84" s="137">
        <f>N84+O84+P84</f>
        <v>12.314</v>
      </c>
      <c r="L84" s="137">
        <f>Q84+R84</f>
        <v>2.586</v>
      </c>
      <c r="M84" s="137">
        <f>IF(J84=K84+L84,0,Y84)</f>
        <v>0.1</v>
      </c>
      <c r="N84" s="138">
        <v>12.314</v>
      </c>
      <c r="O84" s="137">
        <v>0</v>
      </c>
      <c r="P84" s="137">
        <v>0</v>
      </c>
      <c r="Q84" s="137">
        <v>2.586</v>
      </c>
      <c r="R84" s="137">
        <v>0</v>
      </c>
      <c r="S84" s="138">
        <v>12.314</v>
      </c>
      <c r="T84" s="137">
        <v>14.9</v>
      </c>
      <c r="U84" s="137">
        <v>0</v>
      </c>
      <c r="V84" s="137">
        <v>0</v>
      </c>
      <c r="W84" s="137">
        <v>0</v>
      </c>
      <c r="X84" s="137">
        <v>0</v>
      </c>
      <c r="Y84" s="137">
        <v>0.1</v>
      </c>
      <c r="Z84" s="138">
        <v>20</v>
      </c>
      <c r="AA84" s="137">
        <v>0</v>
      </c>
      <c r="AB84" s="137">
        <v>0</v>
      </c>
      <c r="AC84" s="137"/>
      <c r="AD84" s="137">
        <v>0</v>
      </c>
      <c r="AE84" s="139">
        <v>-5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107</v>
      </c>
      <c r="F85" s="133" t="s">
        <v>106</v>
      </c>
      <c r="G85" s="134">
        <v>46132</v>
      </c>
      <c r="H85" s="135">
        <v>0.46952546296296294</v>
      </c>
      <c r="I85" s="136">
        <v>166004669</v>
      </c>
      <c r="J85" s="137">
        <v>148.6</v>
      </c>
      <c r="K85" s="137">
        <f>N85+O85+P85</f>
        <v>131.0249</v>
      </c>
      <c r="L85" s="137">
        <f>Q85+R85</f>
        <v>17.5751</v>
      </c>
      <c r="M85" s="137">
        <f>IF(J85=K85+L85,0,Y85)</f>
        <v>0</v>
      </c>
      <c r="N85" s="138">
        <v>20.5785</v>
      </c>
      <c r="O85" s="137">
        <v>110.4464</v>
      </c>
      <c r="P85" s="137">
        <v>0</v>
      </c>
      <c r="Q85" s="137">
        <v>4.3215</v>
      </c>
      <c r="R85" s="137">
        <v>13.2536</v>
      </c>
      <c r="S85" s="138">
        <v>131.0249</v>
      </c>
      <c r="T85" s="137">
        <v>148.6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148.6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107</v>
      </c>
      <c r="F86" s="133" t="s">
        <v>106</v>
      </c>
      <c r="G86" s="134">
        <v>46132</v>
      </c>
      <c r="H86" s="135">
        <v>0.4699537037037037</v>
      </c>
      <c r="I86" s="136">
        <v>166004670</v>
      </c>
      <c r="J86" s="137">
        <v>481</v>
      </c>
      <c r="K86" s="137">
        <f>N86+O86+P86</f>
        <v>415.4146</v>
      </c>
      <c r="L86" s="137">
        <f>Q86+R86</f>
        <v>65.6854</v>
      </c>
      <c r="M86" s="137">
        <f>IF(J86=K86+L86,0,Y86)</f>
        <v>-0.1</v>
      </c>
      <c r="N86" s="138">
        <v>175.9504</v>
      </c>
      <c r="O86" s="137">
        <v>239.4642</v>
      </c>
      <c r="P86" s="137">
        <v>0</v>
      </c>
      <c r="Q86" s="137">
        <v>36.9496</v>
      </c>
      <c r="R86" s="137">
        <v>28.7358</v>
      </c>
      <c r="S86" s="138">
        <v>415.4146</v>
      </c>
      <c r="T86" s="137">
        <v>481.1</v>
      </c>
      <c r="U86" s="137">
        <v>0</v>
      </c>
      <c r="V86" s="137">
        <v>0</v>
      </c>
      <c r="W86" s="137">
        <v>0</v>
      </c>
      <c r="X86" s="137">
        <v>0</v>
      </c>
      <c r="Y86" s="137">
        <v>-0.1</v>
      </c>
      <c r="Z86" s="138">
        <v>2000</v>
      </c>
      <c r="AA86" s="137">
        <v>0</v>
      </c>
      <c r="AB86" s="137">
        <v>0</v>
      </c>
      <c r="AC86" s="137"/>
      <c r="AD86" s="137">
        <v>0</v>
      </c>
      <c r="AE86" s="139">
        <v>-1519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107</v>
      </c>
      <c r="F87" s="133" t="s">
        <v>106</v>
      </c>
      <c r="G87" s="134">
        <v>46132</v>
      </c>
      <c r="H87" s="135">
        <v>0.47050925925925924</v>
      </c>
      <c r="I87" s="136">
        <v>166004671</v>
      </c>
      <c r="J87" s="137">
        <v>94</v>
      </c>
      <c r="K87" s="137">
        <f>N87+O87+P87</f>
        <v>83.5714</v>
      </c>
      <c r="L87" s="137">
        <f>Q87+R87</f>
        <v>10.0286</v>
      </c>
      <c r="M87" s="137">
        <f>IF(J87=K87+L87,0,Y87)</f>
        <v>0.4</v>
      </c>
      <c r="N87" s="138">
        <v>0</v>
      </c>
      <c r="O87" s="137">
        <v>83.5714</v>
      </c>
      <c r="P87" s="137">
        <v>0</v>
      </c>
      <c r="Q87" s="137">
        <v>0</v>
      </c>
      <c r="R87" s="137">
        <v>10.0286</v>
      </c>
      <c r="S87" s="138">
        <v>83.5714</v>
      </c>
      <c r="T87" s="137">
        <v>93.6</v>
      </c>
      <c r="U87" s="137">
        <v>0</v>
      </c>
      <c r="V87" s="137">
        <v>0</v>
      </c>
      <c r="W87" s="137">
        <v>0</v>
      </c>
      <c r="X87" s="137">
        <v>0</v>
      </c>
      <c r="Y87" s="137">
        <v>0.4</v>
      </c>
      <c r="Z87" s="138">
        <v>94</v>
      </c>
      <c r="AA87" s="137">
        <v>0</v>
      </c>
      <c r="AB87" s="137">
        <v>0</v>
      </c>
      <c r="AC87" s="137"/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107</v>
      </c>
      <c r="F88" s="133" t="s">
        <v>106</v>
      </c>
      <c r="G88" s="134">
        <v>46132</v>
      </c>
      <c r="H88" s="135">
        <v>0.47078703703703706</v>
      </c>
      <c r="I88" s="136">
        <v>166004672</v>
      </c>
      <c r="J88" s="137">
        <v>123</v>
      </c>
      <c r="K88" s="137">
        <f>N88+O88+P88</f>
        <v>109.5536</v>
      </c>
      <c r="L88" s="137">
        <f>Q88+R88</f>
        <v>13.1464</v>
      </c>
      <c r="M88" s="137">
        <f>IF(J88=K88+L88,0,Y88)</f>
        <v>0.3</v>
      </c>
      <c r="N88" s="138">
        <v>0</v>
      </c>
      <c r="O88" s="137">
        <v>109.5536</v>
      </c>
      <c r="P88" s="137">
        <v>0</v>
      </c>
      <c r="Q88" s="137">
        <v>0</v>
      </c>
      <c r="R88" s="137">
        <v>13.1464</v>
      </c>
      <c r="S88" s="138">
        <v>109.5536</v>
      </c>
      <c r="T88" s="137">
        <v>122.7</v>
      </c>
      <c r="U88" s="137">
        <v>0</v>
      </c>
      <c r="V88" s="137">
        <v>0</v>
      </c>
      <c r="W88" s="137">
        <v>0</v>
      </c>
      <c r="X88" s="137">
        <v>0</v>
      </c>
      <c r="Y88" s="137">
        <v>0.3</v>
      </c>
      <c r="Z88" s="138">
        <v>200</v>
      </c>
      <c r="AA88" s="137">
        <v>0</v>
      </c>
      <c r="AB88" s="137">
        <v>0</v>
      </c>
      <c r="AC88" s="137"/>
      <c r="AD88" s="137">
        <v>0</v>
      </c>
      <c r="AE88" s="139">
        <v>-77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107</v>
      </c>
      <c r="F89" s="133" t="s">
        <v>106</v>
      </c>
      <c r="G89" s="134">
        <v>46132</v>
      </c>
      <c r="H89" s="135">
        <v>0.47130787037037036</v>
      </c>
      <c r="I89" s="136">
        <v>166004673</v>
      </c>
      <c r="J89" s="137">
        <v>30</v>
      </c>
      <c r="K89" s="137">
        <f>N89+O89+P89</f>
        <v>26.9274</v>
      </c>
      <c r="L89" s="137">
        <f>Q89+R89</f>
        <v>3.3726000000000003</v>
      </c>
      <c r="M89" s="137">
        <f>IF(J89=K89+L89,0,Y89)</f>
        <v>-0.3</v>
      </c>
      <c r="N89" s="138">
        <v>1.5702</v>
      </c>
      <c r="O89" s="137">
        <v>25.3572</v>
      </c>
      <c r="P89" s="137">
        <v>0</v>
      </c>
      <c r="Q89" s="137">
        <v>0.3298</v>
      </c>
      <c r="R89" s="137">
        <v>3.0428</v>
      </c>
      <c r="S89" s="138">
        <v>26.9274</v>
      </c>
      <c r="T89" s="137">
        <v>30.3</v>
      </c>
      <c r="U89" s="137">
        <v>0</v>
      </c>
      <c r="V89" s="137">
        <v>0</v>
      </c>
      <c r="W89" s="137">
        <v>0</v>
      </c>
      <c r="X89" s="137">
        <v>0</v>
      </c>
      <c r="Y89" s="137">
        <v>-0.3</v>
      </c>
      <c r="Z89" s="138">
        <v>30</v>
      </c>
      <c r="AA89" s="137">
        <v>0</v>
      </c>
      <c r="AB89" s="137">
        <v>0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107</v>
      </c>
      <c r="F90" s="133" t="s">
        <v>106</v>
      </c>
      <c r="G90" s="134">
        <v>46132</v>
      </c>
      <c r="H90" s="135">
        <v>0.4716666666666667</v>
      </c>
      <c r="I90" s="136">
        <v>166004674</v>
      </c>
      <c r="J90" s="137">
        <v>5.77</v>
      </c>
      <c r="K90" s="137">
        <f>N90+O90+P90</f>
        <v>5.1518</v>
      </c>
      <c r="L90" s="137">
        <f>Q90+R90</f>
        <v>0.6182</v>
      </c>
      <c r="M90" s="137">
        <f>IF(J90=K90+L90,0,Y90)</f>
        <v>0</v>
      </c>
      <c r="N90" s="138">
        <v>0</v>
      </c>
      <c r="O90" s="137">
        <v>5.1518</v>
      </c>
      <c r="P90" s="137">
        <v>0</v>
      </c>
      <c r="Q90" s="137">
        <v>0</v>
      </c>
      <c r="R90" s="137">
        <v>0.6182</v>
      </c>
      <c r="S90" s="138">
        <v>5.1518</v>
      </c>
      <c r="T90" s="137">
        <v>5.77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5.77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107</v>
      </c>
      <c r="F91" s="133" t="s">
        <v>106</v>
      </c>
      <c r="G91" s="134">
        <v>46132</v>
      </c>
      <c r="H91" s="135">
        <v>0.47203703703703703</v>
      </c>
      <c r="I91" s="136">
        <v>166004675</v>
      </c>
      <c r="J91" s="137">
        <v>15.9</v>
      </c>
      <c r="K91" s="137">
        <f>N91+O91+P91</f>
        <v>14.1964</v>
      </c>
      <c r="L91" s="137">
        <f>Q91+R91</f>
        <v>1.7036</v>
      </c>
      <c r="M91" s="137">
        <f>IF(J91=K91+L91,0,Y91)</f>
        <v>0</v>
      </c>
      <c r="N91" s="138">
        <v>0</v>
      </c>
      <c r="O91" s="137">
        <v>14.1964</v>
      </c>
      <c r="P91" s="137">
        <v>0</v>
      </c>
      <c r="Q91" s="137">
        <v>0</v>
      </c>
      <c r="R91" s="137">
        <v>1.7036</v>
      </c>
      <c r="S91" s="138">
        <v>14.1964</v>
      </c>
      <c r="T91" s="137">
        <v>15.9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15.9</v>
      </c>
      <c r="AC91" s="137">
        <v>0</v>
      </c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107</v>
      </c>
      <c r="F92" s="133" t="s">
        <v>106</v>
      </c>
      <c r="G92" s="134">
        <v>46132</v>
      </c>
      <c r="H92" s="135">
        <v>0.4738888888888889</v>
      </c>
      <c r="I92" s="136">
        <v>166004676</v>
      </c>
      <c r="J92" s="137">
        <v>137</v>
      </c>
      <c r="K92" s="137">
        <f>N92+O92+P92</f>
        <v>117.6446</v>
      </c>
      <c r="L92" s="137">
        <f>Q92+R92</f>
        <v>19.7554</v>
      </c>
      <c r="M92" s="137">
        <f>IF(J92=K92+L92,0,Y92)</f>
        <v>-0.4</v>
      </c>
      <c r="N92" s="138">
        <v>62.6446</v>
      </c>
      <c r="O92" s="137">
        <v>55</v>
      </c>
      <c r="P92" s="137">
        <v>0</v>
      </c>
      <c r="Q92" s="137">
        <v>13.1554</v>
      </c>
      <c r="R92" s="137">
        <v>6.6</v>
      </c>
      <c r="S92" s="138">
        <v>117.6446</v>
      </c>
      <c r="T92" s="137">
        <v>137.4</v>
      </c>
      <c r="U92" s="137">
        <v>0</v>
      </c>
      <c r="V92" s="137">
        <v>0</v>
      </c>
      <c r="W92" s="137">
        <v>0</v>
      </c>
      <c r="X92" s="137">
        <v>0</v>
      </c>
      <c r="Y92" s="137">
        <v>-0.4</v>
      </c>
      <c r="Z92" s="138">
        <v>237</v>
      </c>
      <c r="AA92" s="137">
        <v>0</v>
      </c>
      <c r="AB92" s="137">
        <v>0</v>
      </c>
      <c r="AC92" s="137"/>
      <c r="AD92" s="137">
        <v>0</v>
      </c>
      <c r="AE92" s="139">
        <v>-100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107</v>
      </c>
      <c r="F93" s="133" t="s">
        <v>106</v>
      </c>
      <c r="G93" s="134">
        <v>46132</v>
      </c>
      <c r="H93" s="135">
        <v>0.47467592592592595</v>
      </c>
      <c r="I93" s="136">
        <v>166004677</v>
      </c>
      <c r="J93" s="137">
        <v>105.16</v>
      </c>
      <c r="K93" s="137">
        <f>N93+O93+P93</f>
        <v>92.57130000000001</v>
      </c>
      <c r="L93" s="137">
        <f>Q93+R93</f>
        <v>12.5887</v>
      </c>
      <c r="M93" s="137">
        <f>IF(J93=K93+L93,0,Y93)</f>
        <v>0</v>
      </c>
      <c r="N93" s="138">
        <v>16.4463</v>
      </c>
      <c r="O93" s="137">
        <v>76.125</v>
      </c>
      <c r="P93" s="137">
        <v>0</v>
      </c>
      <c r="Q93" s="137">
        <v>3.4537</v>
      </c>
      <c r="R93" s="137">
        <v>9.135</v>
      </c>
      <c r="S93" s="138">
        <v>92.5713</v>
      </c>
      <c r="T93" s="137">
        <v>105.16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105.16</v>
      </c>
      <c r="AC93" s="137">
        <v>0</v>
      </c>
      <c r="AD93" s="137">
        <v>0</v>
      </c>
      <c r="AE93" s="139">
        <v>0</v>
      </c>
      <c r="AF93" s="56">
        <v>13.11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107</v>
      </c>
      <c r="F94" s="133" t="s">
        <v>106</v>
      </c>
      <c r="G94" s="134">
        <v>46132</v>
      </c>
      <c r="H94" s="135">
        <v>0.4750462962962963</v>
      </c>
      <c r="I94" s="136">
        <v>166004678</v>
      </c>
      <c r="J94" s="137">
        <v>30</v>
      </c>
      <c r="K94" s="137">
        <f>N94+O94+P94</f>
        <v>26.5267</v>
      </c>
      <c r="L94" s="137">
        <f>Q94+R94</f>
        <v>3.1833</v>
      </c>
      <c r="M94" s="137">
        <f>IF(J94=K94+L94,0,Y94)</f>
        <v>0.29</v>
      </c>
      <c r="N94" s="138">
        <v>0</v>
      </c>
      <c r="O94" s="137">
        <v>26.5267</v>
      </c>
      <c r="P94" s="137">
        <v>0</v>
      </c>
      <c r="Q94" s="137">
        <v>0</v>
      </c>
      <c r="R94" s="137">
        <v>3.1833</v>
      </c>
      <c r="S94" s="138">
        <v>26.5267</v>
      </c>
      <c r="T94" s="137">
        <v>29.71</v>
      </c>
      <c r="U94" s="137">
        <v>0</v>
      </c>
      <c r="V94" s="137">
        <v>0</v>
      </c>
      <c r="W94" s="137">
        <v>0</v>
      </c>
      <c r="X94" s="137">
        <v>0</v>
      </c>
      <c r="Y94" s="137">
        <v>0.29</v>
      </c>
      <c r="Z94" s="138">
        <v>1000</v>
      </c>
      <c r="AA94" s="137">
        <v>0</v>
      </c>
      <c r="AB94" s="137">
        <v>0</v>
      </c>
      <c r="AC94" s="137"/>
      <c r="AD94" s="137">
        <v>0</v>
      </c>
      <c r="AE94" s="139">
        <v>-970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107</v>
      </c>
      <c r="F95" s="133" t="s">
        <v>106</v>
      </c>
      <c r="G95" s="134">
        <v>46132</v>
      </c>
      <c r="H95" s="135">
        <v>0.47530092592592593</v>
      </c>
      <c r="I95" s="136">
        <v>166004679</v>
      </c>
      <c r="J95" s="137">
        <v>12</v>
      </c>
      <c r="K95" s="137">
        <f>N95+O95+P95</f>
        <v>10.5358</v>
      </c>
      <c r="L95" s="137">
        <f>Q95+R95</f>
        <v>1.2642</v>
      </c>
      <c r="M95" s="137">
        <f>IF(J95=K95+L95,0,Y95)</f>
        <v>0.2</v>
      </c>
      <c r="N95" s="138">
        <v>0</v>
      </c>
      <c r="O95" s="137">
        <v>10.5358</v>
      </c>
      <c r="P95" s="137">
        <v>0</v>
      </c>
      <c r="Q95" s="137">
        <v>0</v>
      </c>
      <c r="R95" s="137">
        <v>1.2642</v>
      </c>
      <c r="S95" s="138">
        <v>10.5358</v>
      </c>
      <c r="T95" s="137">
        <v>11.8</v>
      </c>
      <c r="U95" s="137">
        <v>0</v>
      </c>
      <c r="V95" s="137">
        <v>0</v>
      </c>
      <c r="W95" s="137">
        <v>0</v>
      </c>
      <c r="X95" s="137">
        <v>0</v>
      </c>
      <c r="Y95" s="137">
        <v>0.2</v>
      </c>
      <c r="Z95" s="138">
        <v>50</v>
      </c>
      <c r="AA95" s="137">
        <v>0</v>
      </c>
      <c r="AB95" s="137">
        <v>0</v>
      </c>
      <c r="AC95" s="137"/>
      <c r="AD95" s="137">
        <v>0</v>
      </c>
      <c r="AE95" s="139">
        <v>-38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107</v>
      </c>
      <c r="F96" s="133" t="s">
        <v>106</v>
      </c>
      <c r="G96" s="134">
        <v>46132</v>
      </c>
      <c r="H96" s="135">
        <v>0.4757986111111111</v>
      </c>
      <c r="I96" s="136">
        <v>166004680</v>
      </c>
      <c r="J96" s="137">
        <v>146</v>
      </c>
      <c r="K96" s="137">
        <f>N96+O96+P96</f>
        <v>130.2053</v>
      </c>
      <c r="L96" s="137">
        <f>Q96+R96</f>
        <v>15.6247</v>
      </c>
      <c r="M96" s="137">
        <f>IF(J96=K96+L96,0,Y96)</f>
        <v>0.17</v>
      </c>
      <c r="N96" s="138">
        <v>0</v>
      </c>
      <c r="O96" s="137">
        <v>130.2053</v>
      </c>
      <c r="P96" s="137">
        <v>0</v>
      </c>
      <c r="Q96" s="137">
        <v>0</v>
      </c>
      <c r="R96" s="137">
        <v>15.6247</v>
      </c>
      <c r="S96" s="138">
        <v>130.2053</v>
      </c>
      <c r="T96" s="137">
        <v>145.83</v>
      </c>
      <c r="U96" s="137">
        <v>0</v>
      </c>
      <c r="V96" s="137">
        <v>0</v>
      </c>
      <c r="W96" s="137">
        <v>0</v>
      </c>
      <c r="X96" s="137">
        <v>0</v>
      </c>
      <c r="Y96" s="137">
        <v>0.17</v>
      </c>
      <c r="Z96" s="138">
        <v>200</v>
      </c>
      <c r="AA96" s="137">
        <v>0</v>
      </c>
      <c r="AB96" s="137">
        <v>0</v>
      </c>
      <c r="AC96" s="137"/>
      <c r="AD96" s="137">
        <v>0</v>
      </c>
      <c r="AE96" s="139">
        <v>-54</v>
      </c>
      <c r="AF96" s="56">
        <v>7.7711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107</v>
      </c>
      <c r="F97" s="133" t="s">
        <v>106</v>
      </c>
      <c r="G97" s="134">
        <v>46132</v>
      </c>
      <c r="H97" s="135">
        <v>0.4765740740740741</v>
      </c>
      <c r="I97" s="136">
        <v>166004681</v>
      </c>
      <c r="J97" s="137">
        <v>63.6</v>
      </c>
      <c r="K97" s="137">
        <f>N97+O97+P97</f>
        <v>56.7857</v>
      </c>
      <c r="L97" s="137">
        <f>Q97+R97</f>
        <v>6.8143</v>
      </c>
      <c r="M97" s="137">
        <f>IF(J97=K97+L97,0,Y97)</f>
        <v>0</v>
      </c>
      <c r="N97" s="138">
        <v>0</v>
      </c>
      <c r="O97" s="137">
        <v>56.7857</v>
      </c>
      <c r="P97" s="137">
        <v>0</v>
      </c>
      <c r="Q97" s="137">
        <v>0</v>
      </c>
      <c r="R97" s="137">
        <v>6.8143</v>
      </c>
      <c r="S97" s="138">
        <v>56.7857</v>
      </c>
      <c r="T97" s="137">
        <v>63.6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63.6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107</v>
      </c>
      <c r="F98" s="133" t="s">
        <v>106</v>
      </c>
      <c r="G98" s="134">
        <v>46132</v>
      </c>
      <c r="H98" s="135">
        <v>0.47824074074074074</v>
      </c>
      <c r="I98" s="136">
        <v>166004682</v>
      </c>
      <c r="J98" s="137">
        <v>322</v>
      </c>
      <c r="K98" s="137">
        <f>N98+O98+P98</f>
        <v>266.1158</v>
      </c>
      <c r="L98" s="137">
        <f>Q98+R98</f>
        <v>55.8842</v>
      </c>
      <c r="M98" s="137">
        <f>IF(J98=K98+L98,0,Y98)</f>
        <v>0</v>
      </c>
      <c r="N98" s="138">
        <v>266.1158</v>
      </c>
      <c r="O98" s="137">
        <v>0</v>
      </c>
      <c r="P98" s="137">
        <v>0</v>
      </c>
      <c r="Q98" s="137">
        <v>55.8842</v>
      </c>
      <c r="R98" s="137">
        <v>0</v>
      </c>
      <c r="S98" s="138">
        <v>266.1158</v>
      </c>
      <c r="T98" s="137">
        <v>322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322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107</v>
      </c>
      <c r="F99" s="133" t="s">
        <v>106</v>
      </c>
      <c r="G99" s="134">
        <v>46132</v>
      </c>
      <c r="H99" s="135">
        <v>0.47878472222222224</v>
      </c>
      <c r="I99" s="136">
        <v>166004683</v>
      </c>
      <c r="J99" s="137">
        <v>20</v>
      </c>
      <c r="K99" s="137">
        <f>N99+O99+P99</f>
        <v>17.7143</v>
      </c>
      <c r="L99" s="137">
        <f>Q99+R99</f>
        <v>2.4857</v>
      </c>
      <c r="M99" s="137">
        <f>IF(J99=K99+L99,0,Y99)</f>
        <v>-0.2</v>
      </c>
      <c r="N99" s="138">
        <v>0</v>
      </c>
      <c r="O99" s="137">
        <v>20.7143</v>
      </c>
      <c r="P99" s="137">
        <v>-3</v>
      </c>
      <c r="Q99" s="137">
        <v>0</v>
      </c>
      <c r="R99" s="137">
        <v>2.4857</v>
      </c>
      <c r="S99" s="138">
        <v>20.7143</v>
      </c>
      <c r="T99" s="137">
        <v>23.2</v>
      </c>
      <c r="U99" s="137">
        <v>0</v>
      </c>
      <c r="V99" s="137">
        <v>0</v>
      </c>
      <c r="W99" s="137">
        <v>0</v>
      </c>
      <c r="X99" s="137">
        <v>-3</v>
      </c>
      <c r="Y99" s="137">
        <v>-0.2</v>
      </c>
      <c r="Z99" s="138">
        <v>20</v>
      </c>
      <c r="AA99" s="137">
        <v>0</v>
      </c>
      <c r="AB99" s="137">
        <v>0</v>
      </c>
      <c r="AC99" s="137"/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106</v>
      </c>
      <c r="G100" s="134">
        <v>46132</v>
      </c>
      <c r="H100" s="135">
        <v>0.480775462962963</v>
      </c>
      <c r="I100" s="136">
        <v>166004684</v>
      </c>
      <c r="J100" s="137">
        <v>261.91</v>
      </c>
      <c r="K100" s="137">
        <f>N100+O100+P100</f>
        <v>221.0443</v>
      </c>
      <c r="L100" s="137">
        <f>Q100+R100</f>
        <v>40.865700000000004</v>
      </c>
      <c r="M100" s="137">
        <f>IF(J100=K100+L100,0,Y100)</f>
        <v>0</v>
      </c>
      <c r="N100" s="138">
        <v>159.3389</v>
      </c>
      <c r="O100" s="137">
        <v>61.7054</v>
      </c>
      <c r="P100" s="137">
        <v>0</v>
      </c>
      <c r="Q100" s="137">
        <v>33.4611</v>
      </c>
      <c r="R100" s="137">
        <v>7.4046</v>
      </c>
      <c r="S100" s="138">
        <v>221.0443</v>
      </c>
      <c r="T100" s="137">
        <v>261.91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261.91</v>
      </c>
      <c r="AC100" s="137">
        <v>0</v>
      </c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106</v>
      </c>
      <c r="G101" s="134">
        <v>46132</v>
      </c>
      <c r="H101" s="135">
        <v>0.4817361111111111</v>
      </c>
      <c r="I101" s="136">
        <v>166004685</v>
      </c>
      <c r="J101" s="137">
        <v>116</v>
      </c>
      <c r="K101" s="137">
        <f>N101+O101+P101</f>
        <v>100.2619</v>
      </c>
      <c r="L101" s="137">
        <f>Q101+R101</f>
        <v>15.4381</v>
      </c>
      <c r="M101" s="137">
        <f>IF(J101=K101+L101,0,Y101)</f>
        <v>0.3</v>
      </c>
      <c r="N101" s="138">
        <v>37.8512</v>
      </c>
      <c r="O101" s="137">
        <v>62.4107</v>
      </c>
      <c r="P101" s="137">
        <v>0</v>
      </c>
      <c r="Q101" s="137">
        <v>7.9488</v>
      </c>
      <c r="R101" s="137">
        <v>7.4893</v>
      </c>
      <c r="S101" s="138">
        <v>100.2619</v>
      </c>
      <c r="T101" s="137">
        <v>115.7</v>
      </c>
      <c r="U101" s="137">
        <v>0</v>
      </c>
      <c r="V101" s="137">
        <v>0</v>
      </c>
      <c r="W101" s="137">
        <v>0</v>
      </c>
      <c r="X101" s="137">
        <v>0</v>
      </c>
      <c r="Y101" s="137">
        <v>0.3</v>
      </c>
      <c r="Z101" s="138">
        <v>116</v>
      </c>
      <c r="AA101" s="137">
        <v>0</v>
      </c>
      <c r="AB101" s="137">
        <v>0</v>
      </c>
      <c r="AC101" s="137"/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46132</v>
      </c>
      <c r="H102" s="135">
        <v>0.48313657407407407</v>
      </c>
      <c r="I102" s="136">
        <v>166004686</v>
      </c>
      <c r="J102" s="137">
        <v>63</v>
      </c>
      <c r="K102" s="137">
        <f>N102+O102+P102</f>
        <v>52.8078</v>
      </c>
      <c r="L102" s="137">
        <f>Q102+R102</f>
        <v>9.892199999999999</v>
      </c>
      <c r="M102" s="137">
        <f>IF(J102=K102+L102,0,Y102)</f>
        <v>0.3</v>
      </c>
      <c r="N102" s="138">
        <v>39.5042</v>
      </c>
      <c r="O102" s="137">
        <v>13.3036</v>
      </c>
      <c r="P102" s="137">
        <v>0</v>
      </c>
      <c r="Q102" s="137">
        <v>8.2958</v>
      </c>
      <c r="R102" s="137">
        <v>1.5964</v>
      </c>
      <c r="S102" s="138">
        <v>52.8078</v>
      </c>
      <c r="T102" s="137">
        <v>62.7</v>
      </c>
      <c r="U102" s="137">
        <v>0</v>
      </c>
      <c r="V102" s="137">
        <v>0</v>
      </c>
      <c r="W102" s="137">
        <v>0</v>
      </c>
      <c r="X102" s="137">
        <v>0</v>
      </c>
      <c r="Y102" s="137">
        <v>0.3</v>
      </c>
      <c r="Z102" s="138">
        <v>200</v>
      </c>
      <c r="AA102" s="137">
        <v>0</v>
      </c>
      <c r="AB102" s="137">
        <v>0</v>
      </c>
      <c r="AC102" s="137"/>
      <c r="AD102" s="137">
        <v>0</v>
      </c>
      <c r="AE102" s="139">
        <v>-137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106</v>
      </c>
      <c r="G103" s="134">
        <v>46132</v>
      </c>
      <c r="H103" s="135">
        <v>0.4837037037037037</v>
      </c>
      <c r="I103" s="136">
        <v>166004687</v>
      </c>
      <c r="J103" s="137">
        <v>173</v>
      </c>
      <c r="K103" s="137">
        <f>N103+O103+P103</f>
        <v>142.9752</v>
      </c>
      <c r="L103" s="137">
        <f>Q103+R103</f>
        <v>30.0248</v>
      </c>
      <c r="M103" s="137">
        <f>IF(J103=K103+L103,0,Y103)</f>
        <v>0</v>
      </c>
      <c r="N103" s="138">
        <v>142.9752</v>
      </c>
      <c r="O103" s="137">
        <v>0</v>
      </c>
      <c r="P103" s="137">
        <v>0</v>
      </c>
      <c r="Q103" s="137">
        <v>30.0248</v>
      </c>
      <c r="R103" s="137">
        <v>0</v>
      </c>
      <c r="S103" s="138">
        <v>142.9752</v>
      </c>
      <c r="T103" s="137">
        <v>173</v>
      </c>
      <c r="U103" s="137">
        <v>0</v>
      </c>
      <c r="V103" s="137">
        <v>0</v>
      </c>
      <c r="W103" s="137">
        <v>0</v>
      </c>
      <c r="X103" s="137">
        <v>0</v>
      </c>
      <c r="Y103" s="137">
        <v>0</v>
      </c>
      <c r="Z103" s="138">
        <v>0</v>
      </c>
      <c r="AA103" s="137">
        <v>0</v>
      </c>
      <c r="AB103" s="137">
        <v>173</v>
      </c>
      <c r="AC103" s="137">
        <v>0</v>
      </c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46132</v>
      </c>
      <c r="H104" s="135">
        <v>0.4843287037037037</v>
      </c>
      <c r="I104" s="136">
        <v>166004688</v>
      </c>
      <c r="J104" s="137">
        <v>51</v>
      </c>
      <c r="K104" s="137">
        <f>N104+O104+P104</f>
        <v>45.1608</v>
      </c>
      <c r="L104" s="137">
        <f>Q104+R104</f>
        <v>5.4192</v>
      </c>
      <c r="M104" s="137">
        <f>IF(J104=K104+L104,0,Y104)</f>
        <v>0.42</v>
      </c>
      <c r="N104" s="138">
        <v>0</v>
      </c>
      <c r="O104" s="137">
        <v>45.1608</v>
      </c>
      <c r="P104" s="137">
        <v>0</v>
      </c>
      <c r="Q104" s="137">
        <v>0</v>
      </c>
      <c r="R104" s="137">
        <v>5.4192</v>
      </c>
      <c r="S104" s="138">
        <v>45.1608</v>
      </c>
      <c r="T104" s="137">
        <v>50.58</v>
      </c>
      <c r="U104" s="137">
        <v>0</v>
      </c>
      <c r="V104" s="137">
        <v>0</v>
      </c>
      <c r="W104" s="137">
        <v>0</v>
      </c>
      <c r="X104" s="137">
        <v>0</v>
      </c>
      <c r="Y104" s="137">
        <v>0.42</v>
      </c>
      <c r="Z104" s="138">
        <v>102</v>
      </c>
      <c r="AA104" s="137">
        <v>0</v>
      </c>
      <c r="AB104" s="137">
        <v>0</v>
      </c>
      <c r="AC104" s="137"/>
      <c r="AD104" s="137">
        <v>0</v>
      </c>
      <c r="AE104" s="139">
        <v>-51</v>
      </c>
      <c r="AF104" s="56">
        <v>10.6202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46132</v>
      </c>
      <c r="H105" s="135">
        <v>0.48508101851851854</v>
      </c>
      <c r="I105" s="136">
        <v>166004689</v>
      </c>
      <c r="J105" s="137">
        <v>160.07</v>
      </c>
      <c r="K105" s="137">
        <f>N105+O105+P105</f>
        <v>142.9197</v>
      </c>
      <c r="L105" s="137">
        <f>Q105+R105</f>
        <v>17.1503</v>
      </c>
      <c r="M105" s="137">
        <f>IF(J105=K105+L105,0,Y105)</f>
        <v>0</v>
      </c>
      <c r="N105" s="138">
        <v>0</v>
      </c>
      <c r="O105" s="137">
        <v>142.9197</v>
      </c>
      <c r="P105" s="137">
        <v>0</v>
      </c>
      <c r="Q105" s="137">
        <v>0</v>
      </c>
      <c r="R105" s="137">
        <v>17.1503</v>
      </c>
      <c r="S105" s="138">
        <v>142.9197</v>
      </c>
      <c r="T105" s="137">
        <v>160.07</v>
      </c>
      <c r="U105" s="137">
        <v>0</v>
      </c>
      <c r="V105" s="137">
        <v>0</v>
      </c>
      <c r="W105" s="137">
        <v>0</v>
      </c>
      <c r="X105" s="137">
        <v>0</v>
      </c>
      <c r="Y105" s="137">
        <v>0</v>
      </c>
      <c r="Z105" s="138">
        <v>0</v>
      </c>
      <c r="AA105" s="137">
        <v>0</v>
      </c>
      <c r="AB105" s="137">
        <v>160.07</v>
      </c>
      <c r="AC105" s="137">
        <v>0</v>
      </c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106</v>
      </c>
      <c r="G106" s="134">
        <v>46132</v>
      </c>
      <c r="H106" s="135">
        <v>0.48591435185185183</v>
      </c>
      <c r="I106" s="136">
        <v>166004690</v>
      </c>
      <c r="J106" s="137">
        <v>39.9</v>
      </c>
      <c r="K106" s="137">
        <f>N106+O106+P106</f>
        <v>35.625</v>
      </c>
      <c r="L106" s="137">
        <f>Q106+R106</f>
        <v>4.275</v>
      </c>
      <c r="M106" s="137">
        <f>IF(J106=K106+L106,0,Y106)</f>
        <v>0</v>
      </c>
      <c r="N106" s="138">
        <v>0</v>
      </c>
      <c r="O106" s="137">
        <v>35.625</v>
      </c>
      <c r="P106" s="137">
        <v>0</v>
      </c>
      <c r="Q106" s="137">
        <v>0</v>
      </c>
      <c r="R106" s="137">
        <v>4.275</v>
      </c>
      <c r="S106" s="138">
        <v>35.625</v>
      </c>
      <c r="T106" s="137">
        <v>39.9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39.9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106</v>
      </c>
      <c r="G107" s="134">
        <v>46132</v>
      </c>
      <c r="H107" s="135">
        <v>0.48641203703703706</v>
      </c>
      <c r="I107" s="136">
        <v>166004691</v>
      </c>
      <c r="J107" s="137">
        <v>194</v>
      </c>
      <c r="K107" s="137">
        <f>N107+O107+P107</f>
        <v>173.5715</v>
      </c>
      <c r="L107" s="137">
        <f>Q107+R107</f>
        <v>20.8285</v>
      </c>
      <c r="M107" s="137">
        <f>IF(J107=K107+L107,0,Y107)</f>
        <v>-0.4</v>
      </c>
      <c r="N107" s="138">
        <v>0</v>
      </c>
      <c r="O107" s="137">
        <v>173.5715</v>
      </c>
      <c r="P107" s="137">
        <v>0</v>
      </c>
      <c r="Q107" s="137">
        <v>0</v>
      </c>
      <c r="R107" s="137">
        <v>20.8285</v>
      </c>
      <c r="S107" s="138">
        <v>173.5715</v>
      </c>
      <c r="T107" s="137">
        <v>194.4</v>
      </c>
      <c r="U107" s="137">
        <v>0</v>
      </c>
      <c r="V107" s="137">
        <v>0</v>
      </c>
      <c r="W107" s="137">
        <v>0</v>
      </c>
      <c r="X107" s="137">
        <v>0</v>
      </c>
      <c r="Y107" s="137">
        <v>-0.4</v>
      </c>
      <c r="Z107" s="138">
        <v>200</v>
      </c>
      <c r="AA107" s="137">
        <v>0</v>
      </c>
      <c r="AB107" s="137">
        <v>0</v>
      </c>
      <c r="AC107" s="137"/>
      <c r="AD107" s="137">
        <v>0</v>
      </c>
      <c r="AE107" s="139">
        <v>-6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46132</v>
      </c>
      <c r="H108" s="135">
        <v>0.4891666666666667</v>
      </c>
      <c r="I108" s="136">
        <v>166004692</v>
      </c>
      <c r="J108" s="137">
        <v>19.9</v>
      </c>
      <c r="K108" s="137">
        <f>N108+O108+P108</f>
        <v>16.4463</v>
      </c>
      <c r="L108" s="137">
        <f>Q108+R108</f>
        <v>3.4537</v>
      </c>
      <c r="M108" s="137">
        <f>IF(J108=K108+L108,0,Y108)</f>
        <v>0</v>
      </c>
      <c r="N108" s="138">
        <v>16.4463</v>
      </c>
      <c r="O108" s="137">
        <v>0</v>
      </c>
      <c r="P108" s="137">
        <v>0</v>
      </c>
      <c r="Q108" s="137">
        <v>3.4537</v>
      </c>
      <c r="R108" s="137">
        <v>0</v>
      </c>
      <c r="S108" s="138">
        <v>16.4463</v>
      </c>
      <c r="T108" s="137">
        <v>19.9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0</v>
      </c>
      <c r="AA108" s="137">
        <v>0</v>
      </c>
      <c r="AB108" s="137">
        <v>19.9</v>
      </c>
      <c r="AC108" s="137">
        <v>0</v>
      </c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46132</v>
      </c>
      <c r="H109" s="135">
        <v>0.4898726851851852</v>
      </c>
      <c r="I109" s="136">
        <v>166004693</v>
      </c>
      <c r="J109" s="137">
        <v>149.3</v>
      </c>
      <c r="K109" s="137">
        <f>N109+O109+P109</f>
        <v>131.982</v>
      </c>
      <c r="L109" s="137">
        <f>Q109+R109</f>
        <v>17.318</v>
      </c>
      <c r="M109" s="137">
        <f>IF(J109=K109+L109,0,Y109)</f>
        <v>0</v>
      </c>
      <c r="N109" s="138">
        <v>16.4463</v>
      </c>
      <c r="O109" s="137">
        <v>115.5357</v>
      </c>
      <c r="P109" s="137">
        <v>0</v>
      </c>
      <c r="Q109" s="137">
        <v>3.4537</v>
      </c>
      <c r="R109" s="137">
        <v>13.8643</v>
      </c>
      <c r="S109" s="138">
        <v>131.982</v>
      </c>
      <c r="T109" s="137">
        <v>149.3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149.3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107</v>
      </c>
      <c r="F110" s="133" t="s">
        <v>106</v>
      </c>
      <c r="G110" s="134">
        <v>46132</v>
      </c>
      <c r="H110" s="135">
        <v>0.4905439814814815</v>
      </c>
      <c r="I110" s="136">
        <v>166004694</v>
      </c>
      <c r="J110" s="137">
        <v>81</v>
      </c>
      <c r="K110" s="137">
        <f>N110+O110+P110</f>
        <v>72.4631</v>
      </c>
      <c r="L110" s="137">
        <f>Q110+R110</f>
        <v>8.8369</v>
      </c>
      <c r="M110" s="137">
        <f>IF(J110=K110+L110,0,Y110)</f>
        <v>-0.3</v>
      </c>
      <c r="N110" s="138">
        <v>1.5702</v>
      </c>
      <c r="O110" s="137">
        <v>70.8929</v>
      </c>
      <c r="P110" s="137">
        <v>0</v>
      </c>
      <c r="Q110" s="137">
        <v>0.3298</v>
      </c>
      <c r="R110" s="137">
        <v>8.5071</v>
      </c>
      <c r="S110" s="138">
        <v>72.4631</v>
      </c>
      <c r="T110" s="137">
        <v>81.3</v>
      </c>
      <c r="U110" s="137">
        <v>0</v>
      </c>
      <c r="V110" s="137">
        <v>0</v>
      </c>
      <c r="W110" s="137">
        <v>0</v>
      </c>
      <c r="X110" s="137">
        <v>0</v>
      </c>
      <c r="Y110" s="137">
        <v>-0.3</v>
      </c>
      <c r="Z110" s="138">
        <v>100</v>
      </c>
      <c r="AA110" s="137">
        <v>0</v>
      </c>
      <c r="AB110" s="137">
        <v>0</v>
      </c>
      <c r="AC110" s="137"/>
      <c r="AD110" s="137">
        <v>0</v>
      </c>
      <c r="AE110" s="139">
        <v>-19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46132</v>
      </c>
      <c r="H111" s="135">
        <v>0.49288194444444444</v>
      </c>
      <c r="I111" s="136">
        <v>166004695</v>
      </c>
      <c r="J111" s="137">
        <v>91.36</v>
      </c>
      <c r="K111" s="137">
        <f>N111+O111+P111</f>
        <v>81.5714</v>
      </c>
      <c r="L111" s="137">
        <f>Q111+R111</f>
        <v>9.7886</v>
      </c>
      <c r="M111" s="137">
        <f>IF(J111=K111+L111,0,Y111)</f>
        <v>0</v>
      </c>
      <c r="N111" s="138">
        <v>0</v>
      </c>
      <c r="O111" s="137">
        <v>81.5714</v>
      </c>
      <c r="P111" s="137">
        <v>0</v>
      </c>
      <c r="Q111" s="137">
        <v>0</v>
      </c>
      <c r="R111" s="137">
        <v>9.7886</v>
      </c>
      <c r="S111" s="138">
        <v>81.5714</v>
      </c>
      <c r="T111" s="137">
        <v>91.36</v>
      </c>
      <c r="U111" s="137">
        <v>0</v>
      </c>
      <c r="V111" s="137">
        <v>0</v>
      </c>
      <c r="W111" s="137">
        <v>0</v>
      </c>
      <c r="X111" s="137">
        <v>0</v>
      </c>
      <c r="Y111" s="137">
        <v>0</v>
      </c>
      <c r="Z111" s="138">
        <v>0</v>
      </c>
      <c r="AA111" s="137">
        <v>0</v>
      </c>
      <c r="AB111" s="137">
        <v>91.36</v>
      </c>
      <c r="AC111" s="137">
        <v>0</v>
      </c>
      <c r="AD111" s="137">
        <v>0</v>
      </c>
      <c r="AE111" s="139">
        <v>0</v>
      </c>
      <c r="AF111" s="56">
        <v>8.1049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106</v>
      </c>
      <c r="G112" s="134">
        <v>46132</v>
      </c>
      <c r="H112" s="135">
        <v>0.4930555555555556</v>
      </c>
      <c r="I112" s="136">
        <v>166004696</v>
      </c>
      <c r="J112" s="137">
        <v>20</v>
      </c>
      <c r="K112" s="137">
        <f>N112+O112+P112</f>
        <v>17.7679</v>
      </c>
      <c r="L112" s="137">
        <f>Q112+R112</f>
        <v>2.1321</v>
      </c>
      <c r="M112" s="137">
        <f>IF(J112=K112+L112,0,Y112)</f>
        <v>0.1</v>
      </c>
      <c r="N112" s="138">
        <v>0</v>
      </c>
      <c r="O112" s="137">
        <v>17.7679</v>
      </c>
      <c r="P112" s="137">
        <v>0</v>
      </c>
      <c r="Q112" s="137">
        <v>0</v>
      </c>
      <c r="R112" s="137">
        <v>2.1321</v>
      </c>
      <c r="S112" s="138">
        <v>17.7679</v>
      </c>
      <c r="T112" s="137">
        <v>19.9</v>
      </c>
      <c r="U112" s="137">
        <v>0</v>
      </c>
      <c r="V112" s="137">
        <v>0</v>
      </c>
      <c r="W112" s="137">
        <v>0</v>
      </c>
      <c r="X112" s="137">
        <v>0</v>
      </c>
      <c r="Y112" s="137">
        <v>0.1</v>
      </c>
      <c r="Z112" s="138">
        <v>20</v>
      </c>
      <c r="AA112" s="137">
        <v>0</v>
      </c>
      <c r="AB112" s="137">
        <v>0</v>
      </c>
      <c r="AC112" s="137"/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106</v>
      </c>
      <c r="G113" s="134">
        <v>46132</v>
      </c>
      <c r="H113" s="135">
        <v>0.49363425925925924</v>
      </c>
      <c r="I113" s="136">
        <v>166004697</v>
      </c>
      <c r="J113" s="137">
        <v>380.1</v>
      </c>
      <c r="K113" s="137">
        <f>N113+O113+P113</f>
        <v>329.9848</v>
      </c>
      <c r="L113" s="137">
        <f>Q113+R113</f>
        <v>50.1152</v>
      </c>
      <c r="M113" s="137">
        <f>IF(J113=K113+L113,0,Y113)</f>
        <v>0</v>
      </c>
      <c r="N113" s="138">
        <v>116.8596</v>
      </c>
      <c r="O113" s="137">
        <v>213.1252</v>
      </c>
      <c r="P113" s="137">
        <v>0</v>
      </c>
      <c r="Q113" s="137">
        <v>24.5404</v>
      </c>
      <c r="R113" s="137">
        <v>25.5748</v>
      </c>
      <c r="S113" s="138">
        <v>329.9848</v>
      </c>
      <c r="T113" s="137">
        <v>380.1</v>
      </c>
      <c r="U113" s="137">
        <v>0</v>
      </c>
      <c r="V113" s="137">
        <v>0</v>
      </c>
      <c r="W113" s="137">
        <v>0</v>
      </c>
      <c r="X113" s="137">
        <v>0</v>
      </c>
      <c r="Y113" s="137">
        <v>0</v>
      </c>
      <c r="Z113" s="138">
        <v>0</v>
      </c>
      <c r="AA113" s="137">
        <v>0</v>
      </c>
      <c r="AB113" s="137">
        <v>380.1</v>
      </c>
      <c r="AC113" s="137">
        <v>0</v>
      </c>
      <c r="AD113" s="137">
        <v>0</v>
      </c>
      <c r="AE113" s="139">
        <v>0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106</v>
      </c>
      <c r="G114" s="134">
        <v>46132</v>
      </c>
      <c r="H114" s="135">
        <v>0.4960648148148148</v>
      </c>
      <c r="I114" s="136">
        <v>166004698</v>
      </c>
      <c r="J114" s="137">
        <v>1031.18</v>
      </c>
      <c r="K114" s="137">
        <f>N114+O114+P114</f>
        <v>883.7056</v>
      </c>
      <c r="L114" s="137">
        <f>Q114+R114</f>
        <v>147.4744</v>
      </c>
      <c r="M114" s="137">
        <f>IF(J114=K114+L114,0,Y114)</f>
        <v>0</v>
      </c>
      <c r="N114" s="138">
        <v>460.3306</v>
      </c>
      <c r="O114" s="137">
        <v>423.375</v>
      </c>
      <c r="P114" s="137">
        <v>0</v>
      </c>
      <c r="Q114" s="137">
        <v>96.6694</v>
      </c>
      <c r="R114" s="137">
        <v>50.805</v>
      </c>
      <c r="S114" s="138">
        <v>883.7056</v>
      </c>
      <c r="T114" s="137">
        <v>1031.18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0</v>
      </c>
      <c r="AA114" s="137">
        <v>0</v>
      </c>
      <c r="AB114" s="137">
        <v>1031.18</v>
      </c>
      <c r="AC114" s="137">
        <v>0</v>
      </c>
      <c r="AD114" s="137">
        <v>0</v>
      </c>
      <c r="AE114" s="139">
        <v>0</v>
      </c>
      <c r="AF114" s="56">
        <v>8.97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106</v>
      </c>
      <c r="G115" s="134">
        <v>46132</v>
      </c>
      <c r="H115" s="135">
        <v>0.4970023148148148</v>
      </c>
      <c r="I115" s="136">
        <v>166004699</v>
      </c>
      <c r="J115" s="137">
        <v>133</v>
      </c>
      <c r="K115" s="137">
        <f>N115+O115+P115</f>
        <v>119.0179</v>
      </c>
      <c r="L115" s="137">
        <f>Q115+R115</f>
        <v>14.2821</v>
      </c>
      <c r="M115" s="137">
        <f>IF(J115=K115+L115,0,Y115)</f>
        <v>-0.3</v>
      </c>
      <c r="N115" s="138">
        <v>0</v>
      </c>
      <c r="O115" s="137">
        <v>119.0179</v>
      </c>
      <c r="P115" s="137">
        <v>0</v>
      </c>
      <c r="Q115" s="137">
        <v>0</v>
      </c>
      <c r="R115" s="137">
        <v>14.2821</v>
      </c>
      <c r="S115" s="138">
        <v>119.0179</v>
      </c>
      <c r="T115" s="137">
        <v>133.3</v>
      </c>
      <c r="U115" s="137">
        <v>0</v>
      </c>
      <c r="V115" s="137">
        <v>0</v>
      </c>
      <c r="W115" s="137">
        <v>0</v>
      </c>
      <c r="X115" s="137">
        <v>0</v>
      </c>
      <c r="Y115" s="137">
        <v>-0.3</v>
      </c>
      <c r="Z115" s="138">
        <v>150</v>
      </c>
      <c r="AA115" s="137">
        <v>0</v>
      </c>
      <c r="AB115" s="137">
        <v>0</v>
      </c>
      <c r="AC115" s="137"/>
      <c r="AD115" s="137">
        <v>0</v>
      </c>
      <c r="AE115" s="139">
        <v>-17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46132</v>
      </c>
      <c r="H116" s="135">
        <v>0.4975115740740741</v>
      </c>
      <c r="I116" s="136">
        <v>166004700</v>
      </c>
      <c r="J116" s="137">
        <v>547</v>
      </c>
      <c r="K116" s="137">
        <f>N116+O116+P116</f>
        <v>476.52880000000005</v>
      </c>
      <c r="L116" s="137">
        <f>Q116+R116</f>
        <v>70.0512</v>
      </c>
      <c r="M116" s="137">
        <f>IF(J116=K116+L116,0,Y116)</f>
        <v>0.42</v>
      </c>
      <c r="N116" s="138">
        <v>142.9752</v>
      </c>
      <c r="O116" s="137">
        <v>333.5536</v>
      </c>
      <c r="P116" s="137">
        <v>0</v>
      </c>
      <c r="Q116" s="137">
        <v>30.0248</v>
      </c>
      <c r="R116" s="137">
        <v>40.0264</v>
      </c>
      <c r="S116" s="138">
        <v>476.5288</v>
      </c>
      <c r="T116" s="137">
        <v>546.58</v>
      </c>
      <c r="U116" s="137">
        <v>0</v>
      </c>
      <c r="V116" s="137">
        <v>0</v>
      </c>
      <c r="W116" s="137">
        <v>0</v>
      </c>
      <c r="X116" s="137">
        <v>0</v>
      </c>
      <c r="Y116" s="137">
        <v>0.42</v>
      </c>
      <c r="Z116" s="138">
        <v>1000</v>
      </c>
      <c r="AA116" s="137">
        <v>0</v>
      </c>
      <c r="AB116" s="137">
        <v>0</v>
      </c>
      <c r="AC116" s="137"/>
      <c r="AD116" s="137">
        <v>0</v>
      </c>
      <c r="AE116" s="139">
        <v>-453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106</v>
      </c>
      <c r="G117" s="134">
        <v>46132</v>
      </c>
      <c r="H117" s="135">
        <v>0.4979050925925926</v>
      </c>
      <c r="I117" s="136">
        <v>166004701</v>
      </c>
      <c r="J117" s="137">
        <v>19.9</v>
      </c>
      <c r="K117" s="137">
        <f>N117+O117+P117</f>
        <v>17.7679</v>
      </c>
      <c r="L117" s="137">
        <f>Q117+R117</f>
        <v>2.1321</v>
      </c>
      <c r="M117" s="137">
        <f>IF(J117=K117+L117,0,Y117)</f>
        <v>0</v>
      </c>
      <c r="N117" s="138">
        <v>0</v>
      </c>
      <c r="O117" s="137">
        <v>17.7679</v>
      </c>
      <c r="P117" s="137">
        <v>0</v>
      </c>
      <c r="Q117" s="137">
        <v>0</v>
      </c>
      <c r="R117" s="137">
        <v>2.1321</v>
      </c>
      <c r="S117" s="138">
        <v>17.7679</v>
      </c>
      <c r="T117" s="137">
        <v>19.9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19.9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106</v>
      </c>
      <c r="G118" s="134">
        <v>46132</v>
      </c>
      <c r="H118" s="135">
        <v>0.4986921296296296</v>
      </c>
      <c r="I118" s="136">
        <v>166004702</v>
      </c>
      <c r="J118" s="137">
        <v>639.82</v>
      </c>
      <c r="K118" s="137">
        <f>N118+O118+P118</f>
        <v>571.0155</v>
      </c>
      <c r="L118" s="137">
        <f>Q118+R118</f>
        <v>68.8045</v>
      </c>
      <c r="M118" s="137">
        <f>IF(J118=K118+L118,0,Y118)</f>
        <v>0</v>
      </c>
      <c r="N118" s="138">
        <v>3.1404</v>
      </c>
      <c r="O118" s="137">
        <v>567.8751</v>
      </c>
      <c r="P118" s="137">
        <v>0</v>
      </c>
      <c r="Q118" s="137">
        <v>0.6596</v>
      </c>
      <c r="R118" s="137">
        <v>68.1449</v>
      </c>
      <c r="S118" s="138">
        <v>571.0155</v>
      </c>
      <c r="T118" s="137">
        <v>639.82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0</v>
      </c>
      <c r="AA118" s="137">
        <v>0</v>
      </c>
      <c r="AB118" s="137">
        <v>639.82</v>
      </c>
      <c r="AC118" s="137">
        <v>0</v>
      </c>
      <c r="AD118" s="137">
        <v>0</v>
      </c>
      <c r="AE118" s="139">
        <v>0</v>
      </c>
      <c r="AF118" s="56">
        <v>142.08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46132</v>
      </c>
      <c r="H119" s="135">
        <v>0.49899305555555556</v>
      </c>
      <c r="I119" s="136">
        <v>166004703</v>
      </c>
      <c r="J119" s="137">
        <v>91</v>
      </c>
      <c r="K119" s="137">
        <f>N119+O119+P119</f>
        <v>80.8036</v>
      </c>
      <c r="L119" s="137">
        <f>Q119+R119</f>
        <v>9.6964</v>
      </c>
      <c r="M119" s="137">
        <f>IF(J119=K119+L119,0,Y119)</f>
        <v>0.5</v>
      </c>
      <c r="N119" s="138">
        <v>0</v>
      </c>
      <c r="O119" s="137">
        <v>80.8036</v>
      </c>
      <c r="P119" s="137">
        <v>0</v>
      </c>
      <c r="Q119" s="137">
        <v>0</v>
      </c>
      <c r="R119" s="137">
        <v>9.6964</v>
      </c>
      <c r="S119" s="138">
        <v>80.8036</v>
      </c>
      <c r="T119" s="137">
        <v>90.5</v>
      </c>
      <c r="U119" s="137">
        <v>0</v>
      </c>
      <c r="V119" s="137">
        <v>0</v>
      </c>
      <c r="W119" s="137">
        <v>0</v>
      </c>
      <c r="X119" s="137">
        <v>0</v>
      </c>
      <c r="Y119" s="137">
        <v>0.5</v>
      </c>
      <c r="Z119" s="138">
        <v>91</v>
      </c>
      <c r="AA119" s="137">
        <v>0</v>
      </c>
      <c r="AB119" s="137">
        <v>0</v>
      </c>
      <c r="AC119" s="137"/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46132</v>
      </c>
      <c r="H120" s="135">
        <v>0.5000925925925926</v>
      </c>
      <c r="I120" s="136">
        <v>166004704</v>
      </c>
      <c r="J120" s="137">
        <v>101.83</v>
      </c>
      <c r="K120" s="137">
        <f>N120+O120+P120</f>
        <v>90.9197</v>
      </c>
      <c r="L120" s="137">
        <f>Q120+R120</f>
        <v>10.9103</v>
      </c>
      <c r="M120" s="137">
        <f>IF(J120=K120+L120,0,Y120)</f>
        <v>0</v>
      </c>
      <c r="N120" s="138">
        <v>0</v>
      </c>
      <c r="O120" s="137">
        <v>90.9197</v>
      </c>
      <c r="P120" s="137">
        <v>0</v>
      </c>
      <c r="Q120" s="137">
        <v>0</v>
      </c>
      <c r="R120" s="137">
        <v>10.9103</v>
      </c>
      <c r="S120" s="138">
        <v>90.9197</v>
      </c>
      <c r="T120" s="137">
        <v>101.83</v>
      </c>
      <c r="U120" s="137">
        <v>0</v>
      </c>
      <c r="V120" s="137">
        <v>0</v>
      </c>
      <c r="W120" s="137">
        <v>0</v>
      </c>
      <c r="X120" s="137">
        <v>0</v>
      </c>
      <c r="Y120" s="137">
        <v>0</v>
      </c>
      <c r="Z120" s="138">
        <v>0</v>
      </c>
      <c r="AA120" s="137">
        <v>0</v>
      </c>
      <c r="AB120" s="137">
        <v>101.83</v>
      </c>
      <c r="AC120" s="137">
        <v>0</v>
      </c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106</v>
      </c>
      <c r="G121" s="134">
        <v>46132</v>
      </c>
      <c r="H121" s="135">
        <v>0.501099537037037</v>
      </c>
      <c r="I121" s="136">
        <v>166004705</v>
      </c>
      <c r="J121" s="137">
        <v>108.71</v>
      </c>
      <c r="K121" s="137">
        <f>N121+O121+P121</f>
        <v>97.0625</v>
      </c>
      <c r="L121" s="137">
        <f>Q121+R121</f>
        <v>11.6475</v>
      </c>
      <c r="M121" s="137">
        <f>IF(J121=K121+L121,0,Y121)</f>
        <v>0</v>
      </c>
      <c r="N121" s="138">
        <v>0</v>
      </c>
      <c r="O121" s="137">
        <v>97.0625</v>
      </c>
      <c r="P121" s="137">
        <v>0</v>
      </c>
      <c r="Q121" s="137">
        <v>0</v>
      </c>
      <c r="R121" s="137">
        <v>11.6475</v>
      </c>
      <c r="S121" s="138">
        <v>97.0625</v>
      </c>
      <c r="T121" s="137">
        <v>108.71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108.71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106</v>
      </c>
      <c r="G122" s="134">
        <v>46132</v>
      </c>
      <c r="H122" s="135">
        <v>0.5027777777777778</v>
      </c>
      <c r="I122" s="136">
        <v>166004706</v>
      </c>
      <c r="J122" s="137">
        <v>34.8</v>
      </c>
      <c r="K122" s="137">
        <f>N122+O122+P122</f>
        <v>29.7499</v>
      </c>
      <c r="L122" s="137">
        <f>Q122+R122</f>
        <v>5.0501000000000005</v>
      </c>
      <c r="M122" s="137">
        <f>IF(J122=K122+L122,0,Y122)</f>
        <v>0</v>
      </c>
      <c r="N122" s="138">
        <v>16.4463</v>
      </c>
      <c r="O122" s="137">
        <v>13.3036</v>
      </c>
      <c r="P122" s="137">
        <v>0</v>
      </c>
      <c r="Q122" s="137">
        <v>3.4537</v>
      </c>
      <c r="R122" s="137">
        <v>1.5964</v>
      </c>
      <c r="S122" s="138">
        <v>29.7499</v>
      </c>
      <c r="T122" s="137">
        <v>34.8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34.8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106</v>
      </c>
      <c r="G123" s="134">
        <v>46132</v>
      </c>
      <c r="H123" s="135">
        <v>0.5032175925925926</v>
      </c>
      <c r="I123" s="136">
        <v>166004707</v>
      </c>
      <c r="J123" s="137">
        <v>17</v>
      </c>
      <c r="K123" s="137">
        <f>N123+O123+P123</f>
        <v>15.0893</v>
      </c>
      <c r="L123" s="137">
        <f>Q123+R123</f>
        <v>1.8107</v>
      </c>
      <c r="M123" s="137">
        <f>IF(J123=K123+L123,0,Y123)</f>
        <v>0.1</v>
      </c>
      <c r="N123" s="138">
        <v>0</v>
      </c>
      <c r="O123" s="137">
        <v>15.0893</v>
      </c>
      <c r="P123" s="137">
        <v>0</v>
      </c>
      <c r="Q123" s="137">
        <v>0</v>
      </c>
      <c r="R123" s="137">
        <v>1.8107</v>
      </c>
      <c r="S123" s="138">
        <v>15.0893</v>
      </c>
      <c r="T123" s="137">
        <v>16.9</v>
      </c>
      <c r="U123" s="137">
        <v>0</v>
      </c>
      <c r="V123" s="137">
        <v>0</v>
      </c>
      <c r="W123" s="137">
        <v>0</v>
      </c>
      <c r="X123" s="137">
        <v>0</v>
      </c>
      <c r="Y123" s="137">
        <v>0.1</v>
      </c>
      <c r="Z123" s="138">
        <v>17</v>
      </c>
      <c r="AA123" s="137">
        <v>0</v>
      </c>
      <c r="AB123" s="137">
        <v>0</v>
      </c>
      <c r="AC123" s="137"/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106</v>
      </c>
      <c r="G124" s="134">
        <v>46132</v>
      </c>
      <c r="H124" s="135">
        <v>0.5047222222222222</v>
      </c>
      <c r="I124" s="136">
        <v>166004708</v>
      </c>
      <c r="J124" s="137">
        <v>26.9</v>
      </c>
      <c r="K124" s="137">
        <f>N124+O124+P124</f>
        <v>22.2314</v>
      </c>
      <c r="L124" s="137">
        <f>Q124+R124</f>
        <v>4.6686</v>
      </c>
      <c r="M124" s="137">
        <f>IF(J124=K124+L124,0,Y124)</f>
        <v>0</v>
      </c>
      <c r="N124" s="138">
        <v>22.2314</v>
      </c>
      <c r="O124" s="137">
        <v>0</v>
      </c>
      <c r="P124" s="137">
        <v>0</v>
      </c>
      <c r="Q124" s="137">
        <v>4.6686</v>
      </c>
      <c r="R124" s="137">
        <v>0</v>
      </c>
      <c r="S124" s="138">
        <v>22.2314</v>
      </c>
      <c r="T124" s="137">
        <v>26.9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26.9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106</v>
      </c>
      <c r="G125" s="134">
        <v>46132</v>
      </c>
      <c r="H125" s="135">
        <v>0.5048263888888889</v>
      </c>
      <c r="I125" s="136">
        <v>166004709</v>
      </c>
      <c r="J125" s="137">
        <v>5</v>
      </c>
      <c r="K125" s="137">
        <f>N125+O125+P125</f>
        <v>4.0179</v>
      </c>
      <c r="L125" s="137">
        <f>Q125+R125</f>
        <v>0.4821</v>
      </c>
      <c r="M125" s="137">
        <f>IF(J125=K125+L125,0,Y125)</f>
        <v>0.5</v>
      </c>
      <c r="N125" s="138">
        <v>0</v>
      </c>
      <c r="O125" s="137">
        <v>4.0179</v>
      </c>
      <c r="P125" s="137">
        <v>0</v>
      </c>
      <c r="Q125" s="137">
        <v>0</v>
      </c>
      <c r="R125" s="137">
        <v>0.4821</v>
      </c>
      <c r="S125" s="138">
        <v>4.0179</v>
      </c>
      <c r="T125" s="137">
        <v>4.5</v>
      </c>
      <c r="U125" s="137">
        <v>0</v>
      </c>
      <c r="V125" s="137">
        <v>0</v>
      </c>
      <c r="W125" s="137">
        <v>0</v>
      </c>
      <c r="X125" s="137">
        <v>0</v>
      </c>
      <c r="Y125" s="137">
        <v>0.5</v>
      </c>
      <c r="Z125" s="138">
        <v>5</v>
      </c>
      <c r="AA125" s="137">
        <v>0</v>
      </c>
      <c r="AB125" s="137">
        <v>0</v>
      </c>
      <c r="AC125" s="137"/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106</v>
      </c>
      <c r="G126" s="134">
        <v>46132</v>
      </c>
      <c r="H126" s="135">
        <v>0.5063310185185185</v>
      </c>
      <c r="I126" s="136">
        <v>166004710</v>
      </c>
      <c r="J126" s="137">
        <v>341.82</v>
      </c>
      <c r="K126" s="137">
        <f>N126+O126+P126</f>
        <v>305.0704</v>
      </c>
      <c r="L126" s="137">
        <f>Q126+R126</f>
        <v>36.7496</v>
      </c>
      <c r="M126" s="137">
        <f>IF(J126=K126+L126,0,Y126)</f>
        <v>0</v>
      </c>
      <c r="N126" s="138">
        <v>1.5702</v>
      </c>
      <c r="O126" s="137">
        <v>303.5002</v>
      </c>
      <c r="P126" s="137">
        <v>0</v>
      </c>
      <c r="Q126" s="137">
        <v>0.3298</v>
      </c>
      <c r="R126" s="137">
        <v>36.4198</v>
      </c>
      <c r="S126" s="138">
        <v>305.0704</v>
      </c>
      <c r="T126" s="137">
        <v>341.82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341.82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107</v>
      </c>
      <c r="F127" s="133" t="s">
        <v>106</v>
      </c>
      <c r="G127" s="134">
        <v>46132</v>
      </c>
      <c r="H127" s="135">
        <v>0.506875</v>
      </c>
      <c r="I127" s="136">
        <v>166004711</v>
      </c>
      <c r="J127" s="137">
        <v>256.6</v>
      </c>
      <c r="K127" s="137">
        <f>N127+O127+P127</f>
        <v>218.5478</v>
      </c>
      <c r="L127" s="137">
        <f>Q127+R127</f>
        <v>38.0522</v>
      </c>
      <c r="M127" s="137">
        <f>IF(J127=K127+L127,0,Y127)</f>
        <v>0</v>
      </c>
      <c r="N127" s="138">
        <v>131.405</v>
      </c>
      <c r="O127" s="137">
        <v>87.1428</v>
      </c>
      <c r="P127" s="137">
        <v>0</v>
      </c>
      <c r="Q127" s="137">
        <v>27.595</v>
      </c>
      <c r="R127" s="137">
        <v>10.4572</v>
      </c>
      <c r="S127" s="138">
        <v>218.5478</v>
      </c>
      <c r="T127" s="137">
        <v>256.6</v>
      </c>
      <c r="U127" s="137">
        <v>0</v>
      </c>
      <c r="V127" s="137">
        <v>0</v>
      </c>
      <c r="W127" s="137">
        <v>0</v>
      </c>
      <c r="X127" s="137">
        <v>0</v>
      </c>
      <c r="Y127" s="137">
        <v>0</v>
      </c>
      <c r="Z127" s="138">
        <v>0</v>
      </c>
      <c r="AA127" s="137">
        <v>0</v>
      </c>
      <c r="AB127" s="137">
        <v>256.6</v>
      </c>
      <c r="AC127" s="137">
        <v>0</v>
      </c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107</v>
      </c>
      <c r="F128" s="133" t="s">
        <v>106</v>
      </c>
      <c r="G128" s="134">
        <v>46132</v>
      </c>
      <c r="H128" s="135">
        <v>0.5421296296296296</v>
      </c>
      <c r="I128" s="136">
        <v>166004712</v>
      </c>
      <c r="J128" s="137">
        <v>64</v>
      </c>
      <c r="K128" s="137">
        <f>N128+O128+P128</f>
        <v>55.11150000000001</v>
      </c>
      <c r="L128" s="137">
        <f>Q128+R128</f>
        <v>8.688500000000001</v>
      </c>
      <c r="M128" s="137">
        <f>IF(J128=K128+L128,0,Y128)</f>
        <v>0.2</v>
      </c>
      <c r="N128" s="138">
        <v>23.0579</v>
      </c>
      <c r="O128" s="137">
        <v>32.0536</v>
      </c>
      <c r="P128" s="137">
        <v>0</v>
      </c>
      <c r="Q128" s="137">
        <v>4.8421</v>
      </c>
      <c r="R128" s="137">
        <v>3.8464</v>
      </c>
      <c r="S128" s="138">
        <v>55.1115</v>
      </c>
      <c r="T128" s="137">
        <v>63.8</v>
      </c>
      <c r="U128" s="137">
        <v>0</v>
      </c>
      <c r="V128" s="137">
        <v>0</v>
      </c>
      <c r="W128" s="137">
        <v>0</v>
      </c>
      <c r="X128" s="137">
        <v>0</v>
      </c>
      <c r="Y128" s="137">
        <v>0.2</v>
      </c>
      <c r="Z128" s="138">
        <v>100</v>
      </c>
      <c r="AA128" s="137">
        <v>0</v>
      </c>
      <c r="AB128" s="137">
        <v>0</v>
      </c>
      <c r="AC128" s="137"/>
      <c r="AD128" s="137">
        <v>0</v>
      </c>
      <c r="AE128" s="139">
        <v>-36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107</v>
      </c>
      <c r="F129" s="133" t="s">
        <v>106</v>
      </c>
      <c r="G129" s="134">
        <v>46132</v>
      </c>
      <c r="H129" s="135">
        <v>0.5425347222222222</v>
      </c>
      <c r="I129" s="136">
        <v>166004713</v>
      </c>
      <c r="J129" s="137">
        <v>96</v>
      </c>
      <c r="K129" s="137">
        <f>N129+O129+P129</f>
        <v>79.1736</v>
      </c>
      <c r="L129" s="137">
        <f>Q129+R129</f>
        <v>16.6264</v>
      </c>
      <c r="M129" s="137">
        <f>IF(J129=K129+L129,0,Y129)</f>
        <v>0.2</v>
      </c>
      <c r="N129" s="138">
        <v>79.1736</v>
      </c>
      <c r="O129" s="137">
        <v>0</v>
      </c>
      <c r="P129" s="137">
        <v>0</v>
      </c>
      <c r="Q129" s="137">
        <v>16.6264</v>
      </c>
      <c r="R129" s="137">
        <v>0</v>
      </c>
      <c r="S129" s="138">
        <v>79.1736</v>
      </c>
      <c r="T129" s="137">
        <v>95.8</v>
      </c>
      <c r="U129" s="137">
        <v>0</v>
      </c>
      <c r="V129" s="137">
        <v>0</v>
      </c>
      <c r="W129" s="137">
        <v>0</v>
      </c>
      <c r="X129" s="137">
        <v>0</v>
      </c>
      <c r="Y129" s="137">
        <v>0.2</v>
      </c>
      <c r="Z129" s="138">
        <v>100</v>
      </c>
      <c r="AA129" s="137">
        <v>0</v>
      </c>
      <c r="AB129" s="137">
        <v>0</v>
      </c>
      <c r="AC129" s="137"/>
      <c r="AD129" s="137">
        <v>0</v>
      </c>
      <c r="AE129" s="139">
        <v>-4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107</v>
      </c>
      <c r="F130" s="133" t="s">
        <v>106</v>
      </c>
      <c r="G130" s="134">
        <v>46132</v>
      </c>
      <c r="H130" s="135">
        <v>0.5437731481481481</v>
      </c>
      <c r="I130" s="136">
        <v>166004714</v>
      </c>
      <c r="J130" s="137">
        <v>6</v>
      </c>
      <c r="K130" s="137">
        <f>N130+O130+P130</f>
        <v>5.3393</v>
      </c>
      <c r="L130" s="137">
        <f>Q130+R130</f>
        <v>0.6407</v>
      </c>
      <c r="M130" s="137">
        <f>IF(J130=K130+L130,0,Y130)</f>
        <v>0.02</v>
      </c>
      <c r="N130" s="138">
        <v>0</v>
      </c>
      <c r="O130" s="137">
        <v>5.3393</v>
      </c>
      <c r="P130" s="137">
        <v>0</v>
      </c>
      <c r="Q130" s="137">
        <v>0</v>
      </c>
      <c r="R130" s="137">
        <v>0.6407</v>
      </c>
      <c r="S130" s="138">
        <v>5.3393</v>
      </c>
      <c r="T130" s="137">
        <v>5.98</v>
      </c>
      <c r="U130" s="137">
        <v>0</v>
      </c>
      <c r="V130" s="137">
        <v>0</v>
      </c>
      <c r="W130" s="137">
        <v>0</v>
      </c>
      <c r="X130" s="137">
        <v>0</v>
      </c>
      <c r="Y130" s="137">
        <v>0.02</v>
      </c>
      <c r="Z130" s="138">
        <v>50</v>
      </c>
      <c r="AA130" s="137">
        <v>0</v>
      </c>
      <c r="AB130" s="137">
        <v>0</v>
      </c>
      <c r="AC130" s="137"/>
      <c r="AD130" s="137">
        <v>0</v>
      </c>
      <c r="AE130" s="139">
        <v>-44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107</v>
      </c>
      <c r="F131" s="133" t="s">
        <v>106</v>
      </c>
      <c r="G131" s="134">
        <v>46132</v>
      </c>
      <c r="H131" s="135">
        <v>0.5454282407407407</v>
      </c>
      <c r="I131" s="136">
        <v>166004715</v>
      </c>
      <c r="J131" s="137">
        <v>1160</v>
      </c>
      <c r="K131" s="137">
        <f>N131+O131+P131</f>
        <v>958.6776</v>
      </c>
      <c r="L131" s="137">
        <f>Q131+R131</f>
        <v>201.3224</v>
      </c>
      <c r="M131" s="137">
        <f>IF(J131=K131+L131,0,Y131)</f>
        <v>0</v>
      </c>
      <c r="N131" s="138">
        <v>958.6776</v>
      </c>
      <c r="O131" s="137">
        <v>0</v>
      </c>
      <c r="P131" s="137">
        <v>0</v>
      </c>
      <c r="Q131" s="137">
        <v>201.3224</v>
      </c>
      <c r="R131" s="137">
        <v>0</v>
      </c>
      <c r="S131" s="138">
        <v>958.6776</v>
      </c>
      <c r="T131" s="137">
        <v>1160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1160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107</v>
      </c>
      <c r="F132" s="133" t="s">
        <v>106</v>
      </c>
      <c r="G132" s="134">
        <v>46132</v>
      </c>
      <c r="H132" s="135">
        <v>0.5457407407407407</v>
      </c>
      <c r="I132" s="136">
        <v>166004716</v>
      </c>
      <c r="J132" s="137">
        <v>81</v>
      </c>
      <c r="K132" s="137">
        <f>N132+O132+P132</f>
        <v>70.2008</v>
      </c>
      <c r="L132" s="137">
        <f>Q132+R132</f>
        <v>10.4992</v>
      </c>
      <c r="M132" s="137">
        <f>IF(J132=K132+L132,0,Y132)</f>
        <v>0.3</v>
      </c>
      <c r="N132" s="138">
        <v>23.0579</v>
      </c>
      <c r="O132" s="137">
        <v>47.1429</v>
      </c>
      <c r="P132" s="137">
        <v>0</v>
      </c>
      <c r="Q132" s="137">
        <v>4.8421</v>
      </c>
      <c r="R132" s="137">
        <v>5.6571</v>
      </c>
      <c r="S132" s="138">
        <v>70.2008</v>
      </c>
      <c r="T132" s="137">
        <v>80.7</v>
      </c>
      <c r="U132" s="137">
        <v>0</v>
      </c>
      <c r="V132" s="137">
        <v>0</v>
      </c>
      <c r="W132" s="137">
        <v>0</v>
      </c>
      <c r="X132" s="137">
        <v>0</v>
      </c>
      <c r="Y132" s="137">
        <v>0.3</v>
      </c>
      <c r="Z132" s="138">
        <v>100</v>
      </c>
      <c r="AA132" s="137">
        <v>0</v>
      </c>
      <c r="AB132" s="137">
        <v>0</v>
      </c>
      <c r="AC132" s="137"/>
      <c r="AD132" s="137">
        <v>0</v>
      </c>
      <c r="AE132" s="139">
        <v>-19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107</v>
      </c>
      <c r="F133" s="133" t="s">
        <v>106</v>
      </c>
      <c r="G133" s="134">
        <v>46132</v>
      </c>
      <c r="H133" s="135">
        <v>0.546886574074074</v>
      </c>
      <c r="I133" s="136">
        <v>166004717</v>
      </c>
      <c r="J133" s="137">
        <v>359.6</v>
      </c>
      <c r="K133" s="137">
        <f>N133+O133+P133</f>
        <v>310.3793</v>
      </c>
      <c r="L133" s="137">
        <f>Q133+R133</f>
        <v>49.2207</v>
      </c>
      <c r="M133" s="137">
        <f>IF(J133=K133+L133,0,Y133)</f>
        <v>0</v>
      </c>
      <c r="N133" s="138">
        <v>133.0579</v>
      </c>
      <c r="O133" s="137">
        <v>177.3214</v>
      </c>
      <c r="P133" s="137">
        <v>0</v>
      </c>
      <c r="Q133" s="137">
        <v>27.9421</v>
      </c>
      <c r="R133" s="137">
        <v>21.2786</v>
      </c>
      <c r="S133" s="138">
        <v>310.3793</v>
      </c>
      <c r="T133" s="137">
        <v>359.6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359.6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107</v>
      </c>
      <c r="F134" s="133" t="s">
        <v>106</v>
      </c>
      <c r="G134" s="134">
        <v>46132</v>
      </c>
      <c r="H134" s="135">
        <v>0.5471875</v>
      </c>
      <c r="I134" s="136">
        <v>166004718</v>
      </c>
      <c r="J134" s="137">
        <v>140</v>
      </c>
      <c r="K134" s="137">
        <f>N134+O134+P134</f>
        <v>124.5167</v>
      </c>
      <c r="L134" s="137">
        <f>Q134+R134</f>
        <v>15.083300000000001</v>
      </c>
      <c r="M134" s="137">
        <f>IF(J134=K134+L134,0,Y134)</f>
        <v>0.4</v>
      </c>
      <c r="N134" s="138">
        <v>1.5702</v>
      </c>
      <c r="O134" s="137">
        <v>122.9465</v>
      </c>
      <c r="P134" s="137">
        <v>0</v>
      </c>
      <c r="Q134" s="137">
        <v>0.3298</v>
      </c>
      <c r="R134" s="137">
        <v>14.7535</v>
      </c>
      <c r="S134" s="138">
        <v>124.5167</v>
      </c>
      <c r="T134" s="137">
        <v>139.6</v>
      </c>
      <c r="U134" s="137">
        <v>0</v>
      </c>
      <c r="V134" s="137">
        <v>0</v>
      </c>
      <c r="W134" s="137">
        <v>0</v>
      </c>
      <c r="X134" s="137">
        <v>0</v>
      </c>
      <c r="Y134" s="137">
        <v>0.4</v>
      </c>
      <c r="Z134" s="138">
        <v>150</v>
      </c>
      <c r="AA134" s="137">
        <v>0</v>
      </c>
      <c r="AB134" s="137">
        <v>0</v>
      </c>
      <c r="AC134" s="137"/>
      <c r="AD134" s="137">
        <v>0</v>
      </c>
      <c r="AE134" s="139">
        <v>-10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107</v>
      </c>
      <c r="F135" s="133" t="s">
        <v>106</v>
      </c>
      <c r="G135" s="134">
        <v>46132</v>
      </c>
      <c r="H135" s="135">
        <v>0.5473726851851852</v>
      </c>
      <c r="I135" s="136">
        <v>166004719</v>
      </c>
      <c r="J135" s="137">
        <v>11</v>
      </c>
      <c r="K135" s="137">
        <f>N135+O135+P135</f>
        <v>10.1786</v>
      </c>
      <c r="L135" s="137">
        <f>Q135+R135</f>
        <v>1.2214</v>
      </c>
      <c r="M135" s="137">
        <f>IF(J135=K135+L135,0,Y135)</f>
        <v>-0.4</v>
      </c>
      <c r="N135" s="138">
        <v>0</v>
      </c>
      <c r="O135" s="137">
        <v>10.1786</v>
      </c>
      <c r="P135" s="137">
        <v>0</v>
      </c>
      <c r="Q135" s="137">
        <v>0</v>
      </c>
      <c r="R135" s="137">
        <v>1.2214</v>
      </c>
      <c r="S135" s="138">
        <v>10.1786</v>
      </c>
      <c r="T135" s="137">
        <v>11.4</v>
      </c>
      <c r="U135" s="137">
        <v>0</v>
      </c>
      <c r="V135" s="137">
        <v>0</v>
      </c>
      <c r="W135" s="137">
        <v>0</v>
      </c>
      <c r="X135" s="137">
        <v>0</v>
      </c>
      <c r="Y135" s="137">
        <v>-0.4</v>
      </c>
      <c r="Z135" s="138">
        <v>11</v>
      </c>
      <c r="AA135" s="137">
        <v>0</v>
      </c>
      <c r="AB135" s="137">
        <v>0</v>
      </c>
      <c r="AC135" s="137"/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107</v>
      </c>
      <c r="F136" s="133" t="s">
        <v>106</v>
      </c>
      <c r="G136" s="134">
        <v>46132</v>
      </c>
      <c r="H136" s="135">
        <v>0.547488425925926</v>
      </c>
      <c r="I136" s="136">
        <v>166004720</v>
      </c>
      <c r="J136" s="137">
        <v>38</v>
      </c>
      <c r="K136" s="137">
        <f>N136+O136+P136</f>
        <v>34.2857</v>
      </c>
      <c r="L136" s="137">
        <f>Q136+R136</f>
        <v>4.1143</v>
      </c>
      <c r="M136" s="137">
        <f>IF(J136=K136+L136,0,Y136)</f>
        <v>-0.4</v>
      </c>
      <c r="N136" s="138">
        <v>0</v>
      </c>
      <c r="O136" s="137">
        <v>34.2857</v>
      </c>
      <c r="P136" s="137">
        <v>0</v>
      </c>
      <c r="Q136" s="137">
        <v>0</v>
      </c>
      <c r="R136" s="137">
        <v>4.1143</v>
      </c>
      <c r="S136" s="138">
        <v>34.2857</v>
      </c>
      <c r="T136" s="137">
        <v>38.4</v>
      </c>
      <c r="U136" s="137">
        <v>0</v>
      </c>
      <c r="V136" s="137">
        <v>0</v>
      </c>
      <c r="W136" s="137">
        <v>0</v>
      </c>
      <c r="X136" s="137">
        <v>0</v>
      </c>
      <c r="Y136" s="137">
        <v>-0.4</v>
      </c>
      <c r="Z136" s="138">
        <v>50</v>
      </c>
      <c r="AA136" s="137">
        <v>0</v>
      </c>
      <c r="AB136" s="137">
        <v>0</v>
      </c>
      <c r="AC136" s="137"/>
      <c r="AD136" s="137">
        <v>0</v>
      </c>
      <c r="AE136" s="139">
        <v>-12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107</v>
      </c>
      <c r="F137" s="133" t="s">
        <v>106</v>
      </c>
      <c r="G137" s="134">
        <v>46132</v>
      </c>
      <c r="H137" s="135">
        <v>0.5481828703703704</v>
      </c>
      <c r="I137" s="136">
        <v>166004721</v>
      </c>
      <c r="J137" s="137">
        <v>312.58</v>
      </c>
      <c r="K137" s="137">
        <f>N137+O137+P137</f>
        <v>279.0891</v>
      </c>
      <c r="L137" s="137">
        <f>Q137+R137</f>
        <v>33.4909</v>
      </c>
      <c r="M137" s="137">
        <f>IF(J137=K137+L137,0,Y137)</f>
        <v>0</v>
      </c>
      <c r="N137" s="138">
        <v>0</v>
      </c>
      <c r="O137" s="137">
        <v>279.0891</v>
      </c>
      <c r="P137" s="137">
        <v>0</v>
      </c>
      <c r="Q137" s="137">
        <v>0</v>
      </c>
      <c r="R137" s="137">
        <v>33.4909</v>
      </c>
      <c r="S137" s="138">
        <v>279.0891</v>
      </c>
      <c r="T137" s="137">
        <v>312.58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312.58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107</v>
      </c>
      <c r="F138" s="133" t="s">
        <v>106</v>
      </c>
      <c r="G138" s="134">
        <v>46132</v>
      </c>
      <c r="H138" s="135">
        <v>0.5485648148148148</v>
      </c>
      <c r="I138" s="136">
        <v>166004722</v>
      </c>
      <c r="J138" s="137">
        <v>151.9</v>
      </c>
      <c r="K138" s="137">
        <f>N138+O138+P138</f>
        <v>135.625</v>
      </c>
      <c r="L138" s="137">
        <f>Q138+R138</f>
        <v>16.275</v>
      </c>
      <c r="M138" s="137">
        <f>IF(J138=K138+L138,0,Y138)</f>
        <v>0</v>
      </c>
      <c r="N138" s="138">
        <v>0</v>
      </c>
      <c r="O138" s="137">
        <v>135.625</v>
      </c>
      <c r="P138" s="137">
        <v>0</v>
      </c>
      <c r="Q138" s="137">
        <v>0</v>
      </c>
      <c r="R138" s="137">
        <v>16.275</v>
      </c>
      <c r="S138" s="138">
        <v>135.625</v>
      </c>
      <c r="T138" s="137">
        <v>151.9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151.9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107</v>
      </c>
      <c r="F139" s="133" t="s">
        <v>106</v>
      </c>
      <c r="G139" s="134">
        <v>46132</v>
      </c>
      <c r="H139" s="135">
        <v>0.5488541666666666</v>
      </c>
      <c r="I139" s="136">
        <v>166004723</v>
      </c>
      <c r="J139" s="137">
        <v>22.8</v>
      </c>
      <c r="K139" s="137">
        <f>N139+O139+P139</f>
        <v>18.843</v>
      </c>
      <c r="L139" s="137">
        <f>Q139+R139</f>
        <v>3.957</v>
      </c>
      <c r="M139" s="137">
        <f>IF(J139=K139+L139,0,Y139)</f>
        <v>0</v>
      </c>
      <c r="N139" s="138">
        <v>18.843</v>
      </c>
      <c r="O139" s="137">
        <v>0</v>
      </c>
      <c r="P139" s="137">
        <v>0</v>
      </c>
      <c r="Q139" s="137">
        <v>3.957</v>
      </c>
      <c r="R139" s="137">
        <v>0</v>
      </c>
      <c r="S139" s="138">
        <v>18.843</v>
      </c>
      <c r="T139" s="137">
        <v>22.8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22.8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107</v>
      </c>
      <c r="F140" s="133" t="s">
        <v>106</v>
      </c>
      <c r="G140" s="134">
        <v>46132</v>
      </c>
      <c r="H140" s="135">
        <v>0.5494675925925926</v>
      </c>
      <c r="I140" s="136">
        <v>166004724</v>
      </c>
      <c r="J140" s="137">
        <v>157.96</v>
      </c>
      <c r="K140" s="137">
        <f>N140+O140+P140</f>
        <v>141.0357</v>
      </c>
      <c r="L140" s="137">
        <f>Q140+R140</f>
        <v>16.9243</v>
      </c>
      <c r="M140" s="137">
        <f>IF(J140=K140+L140,0,Y140)</f>
        <v>0</v>
      </c>
      <c r="N140" s="138">
        <v>0</v>
      </c>
      <c r="O140" s="137">
        <v>141.0357</v>
      </c>
      <c r="P140" s="137">
        <v>0</v>
      </c>
      <c r="Q140" s="137">
        <v>0</v>
      </c>
      <c r="R140" s="137">
        <v>16.9243</v>
      </c>
      <c r="S140" s="138">
        <v>141.0357</v>
      </c>
      <c r="T140" s="137">
        <v>157.96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0</v>
      </c>
      <c r="AA140" s="137">
        <v>0</v>
      </c>
      <c r="AB140" s="137">
        <v>157.96</v>
      </c>
      <c r="AC140" s="137">
        <v>0</v>
      </c>
      <c r="AD140" s="137">
        <v>0</v>
      </c>
      <c r="AE140" s="139">
        <v>0</v>
      </c>
      <c r="AF140" s="56">
        <v>9.54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107</v>
      </c>
      <c r="F141" s="133" t="s">
        <v>106</v>
      </c>
      <c r="G141" s="134">
        <v>46132</v>
      </c>
      <c r="H141" s="135">
        <v>0.5495949074074075</v>
      </c>
      <c r="I141" s="136">
        <v>166004725</v>
      </c>
      <c r="J141" s="137">
        <v>50</v>
      </c>
      <c r="K141" s="137">
        <f>N141+O141+P141</f>
        <v>44.5536</v>
      </c>
      <c r="L141" s="137">
        <f>Q141+R141</f>
        <v>5.3464</v>
      </c>
      <c r="M141" s="137">
        <f>IF(J141=K141+L141,0,Y141)</f>
        <v>0.1</v>
      </c>
      <c r="N141" s="138">
        <v>0</v>
      </c>
      <c r="O141" s="137">
        <v>44.5536</v>
      </c>
      <c r="P141" s="137">
        <v>0</v>
      </c>
      <c r="Q141" s="137">
        <v>0</v>
      </c>
      <c r="R141" s="137">
        <v>5.3464</v>
      </c>
      <c r="S141" s="138">
        <v>44.5536</v>
      </c>
      <c r="T141" s="137">
        <v>49.9</v>
      </c>
      <c r="U141" s="137">
        <v>0</v>
      </c>
      <c r="V141" s="137">
        <v>0</v>
      </c>
      <c r="W141" s="137">
        <v>0</v>
      </c>
      <c r="X141" s="137">
        <v>0</v>
      </c>
      <c r="Y141" s="137">
        <v>0.1</v>
      </c>
      <c r="Z141" s="138">
        <v>100</v>
      </c>
      <c r="AA141" s="137">
        <v>0</v>
      </c>
      <c r="AB141" s="137">
        <v>0</v>
      </c>
      <c r="AC141" s="137"/>
      <c r="AD141" s="137">
        <v>0</v>
      </c>
      <c r="AE141" s="139">
        <v>-50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107</v>
      </c>
      <c r="F142" s="133" t="s">
        <v>106</v>
      </c>
      <c r="G142" s="134">
        <v>46132</v>
      </c>
      <c r="H142" s="135">
        <v>0.5498611111111111</v>
      </c>
      <c r="I142" s="136">
        <v>166004726</v>
      </c>
      <c r="J142" s="137">
        <v>60</v>
      </c>
      <c r="K142" s="137">
        <f>N142+O142+P142</f>
        <v>53.9465</v>
      </c>
      <c r="L142" s="137">
        <f>Q142+R142</f>
        <v>6.4735</v>
      </c>
      <c r="M142" s="137">
        <f>IF(J142=K142+L142,0,Y142)</f>
        <v>-0.42</v>
      </c>
      <c r="N142" s="138">
        <v>0</v>
      </c>
      <c r="O142" s="137">
        <v>53.9465</v>
      </c>
      <c r="P142" s="137">
        <v>0</v>
      </c>
      <c r="Q142" s="137">
        <v>0</v>
      </c>
      <c r="R142" s="137">
        <v>6.4735</v>
      </c>
      <c r="S142" s="138">
        <v>53.9465</v>
      </c>
      <c r="T142" s="137">
        <v>60.42</v>
      </c>
      <c r="U142" s="137">
        <v>0</v>
      </c>
      <c r="V142" s="137">
        <v>0</v>
      </c>
      <c r="W142" s="137">
        <v>0</v>
      </c>
      <c r="X142" s="137">
        <v>0</v>
      </c>
      <c r="Y142" s="137">
        <v>-0.42</v>
      </c>
      <c r="Z142" s="138">
        <v>200</v>
      </c>
      <c r="AA142" s="137">
        <v>0</v>
      </c>
      <c r="AB142" s="137">
        <v>0</v>
      </c>
      <c r="AC142" s="137"/>
      <c r="AD142" s="137">
        <v>0</v>
      </c>
      <c r="AE142" s="139">
        <v>-140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107</v>
      </c>
      <c r="F143" s="133" t="s">
        <v>106</v>
      </c>
      <c r="G143" s="134">
        <v>46132</v>
      </c>
      <c r="H143" s="135">
        <v>0.5508912037037037</v>
      </c>
      <c r="I143" s="136">
        <v>166004727</v>
      </c>
      <c r="J143" s="137">
        <v>209</v>
      </c>
      <c r="K143" s="137">
        <f>N143+O143+P143</f>
        <v>186.7488</v>
      </c>
      <c r="L143" s="137">
        <f>Q143+R143</f>
        <v>22.551199999999998</v>
      </c>
      <c r="M143" s="137">
        <f>IF(J143=K143+L143,0,Y143)</f>
        <v>-0.3</v>
      </c>
      <c r="N143" s="138">
        <v>1.5702</v>
      </c>
      <c r="O143" s="137">
        <v>185.1786</v>
      </c>
      <c r="P143" s="137">
        <v>0</v>
      </c>
      <c r="Q143" s="137">
        <v>0.3298</v>
      </c>
      <c r="R143" s="137">
        <v>22.2214</v>
      </c>
      <c r="S143" s="138">
        <v>186.7488</v>
      </c>
      <c r="T143" s="137">
        <v>209.3</v>
      </c>
      <c r="U143" s="137">
        <v>0</v>
      </c>
      <c r="V143" s="137">
        <v>0</v>
      </c>
      <c r="W143" s="137">
        <v>0</v>
      </c>
      <c r="X143" s="137">
        <v>0</v>
      </c>
      <c r="Y143" s="137">
        <v>-0.3</v>
      </c>
      <c r="Z143" s="138">
        <v>500</v>
      </c>
      <c r="AA143" s="137">
        <v>0</v>
      </c>
      <c r="AB143" s="137">
        <v>0</v>
      </c>
      <c r="AC143" s="137"/>
      <c r="AD143" s="137">
        <v>0</v>
      </c>
      <c r="AE143" s="139">
        <v>-291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107</v>
      </c>
      <c r="F144" s="133" t="s">
        <v>106</v>
      </c>
      <c r="G144" s="134">
        <v>46132</v>
      </c>
      <c r="H144" s="135">
        <v>0.5511458333333333</v>
      </c>
      <c r="I144" s="136">
        <v>166004728</v>
      </c>
      <c r="J144" s="137">
        <v>15</v>
      </c>
      <c r="K144" s="137">
        <f>N144+O144+P144</f>
        <v>12.9464</v>
      </c>
      <c r="L144" s="137">
        <f>Q144+R144</f>
        <v>1.5536</v>
      </c>
      <c r="M144" s="137">
        <f>IF(J144=K144+L144,0,Y144)</f>
        <v>0.5</v>
      </c>
      <c r="N144" s="138">
        <v>0</v>
      </c>
      <c r="O144" s="137">
        <v>12.9464</v>
      </c>
      <c r="P144" s="137">
        <v>0</v>
      </c>
      <c r="Q144" s="137">
        <v>0</v>
      </c>
      <c r="R144" s="137">
        <v>1.5536</v>
      </c>
      <c r="S144" s="138">
        <v>12.9464</v>
      </c>
      <c r="T144" s="137">
        <v>14.5</v>
      </c>
      <c r="U144" s="137">
        <v>0</v>
      </c>
      <c r="V144" s="137">
        <v>0</v>
      </c>
      <c r="W144" s="137">
        <v>0</v>
      </c>
      <c r="X144" s="137">
        <v>0</v>
      </c>
      <c r="Y144" s="137">
        <v>0.5</v>
      </c>
      <c r="Z144" s="138">
        <v>20</v>
      </c>
      <c r="AA144" s="137">
        <v>0</v>
      </c>
      <c r="AB144" s="137">
        <v>0</v>
      </c>
      <c r="AC144" s="137"/>
      <c r="AD144" s="137">
        <v>0</v>
      </c>
      <c r="AE144" s="139">
        <v>-5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107</v>
      </c>
      <c r="F145" s="133" t="s">
        <v>106</v>
      </c>
      <c r="G145" s="134">
        <v>46132</v>
      </c>
      <c r="H145" s="135">
        <v>0.5514814814814815</v>
      </c>
      <c r="I145" s="136">
        <v>166004729</v>
      </c>
      <c r="J145" s="137">
        <v>54</v>
      </c>
      <c r="K145" s="137">
        <f>N145+O145+P145</f>
        <v>44.3802</v>
      </c>
      <c r="L145" s="137">
        <f>Q145+R145</f>
        <v>9.3198</v>
      </c>
      <c r="M145" s="137">
        <f>IF(J145=K145+L145,0,Y145)</f>
        <v>0.3</v>
      </c>
      <c r="N145" s="138">
        <v>44.3802</v>
      </c>
      <c r="O145" s="137">
        <v>0</v>
      </c>
      <c r="P145" s="137">
        <v>0</v>
      </c>
      <c r="Q145" s="137">
        <v>9.3198</v>
      </c>
      <c r="R145" s="137">
        <v>0</v>
      </c>
      <c r="S145" s="138">
        <v>44.3802</v>
      </c>
      <c r="T145" s="137">
        <v>53.7</v>
      </c>
      <c r="U145" s="137">
        <v>0</v>
      </c>
      <c r="V145" s="137">
        <v>0</v>
      </c>
      <c r="W145" s="137">
        <v>0</v>
      </c>
      <c r="X145" s="137">
        <v>0</v>
      </c>
      <c r="Y145" s="137">
        <v>0.3</v>
      </c>
      <c r="Z145" s="138">
        <v>54</v>
      </c>
      <c r="AA145" s="137">
        <v>0</v>
      </c>
      <c r="AB145" s="137">
        <v>0</v>
      </c>
      <c r="AC145" s="137"/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107</v>
      </c>
      <c r="F146" s="133" t="s">
        <v>106</v>
      </c>
      <c r="G146" s="134">
        <v>46132</v>
      </c>
      <c r="H146" s="135">
        <v>0.5522685185185185</v>
      </c>
      <c r="I146" s="136">
        <v>166004730</v>
      </c>
      <c r="J146" s="137">
        <v>230.11</v>
      </c>
      <c r="K146" s="137">
        <f>N146+O146+P146</f>
        <v>205.4554</v>
      </c>
      <c r="L146" s="137">
        <f>Q146+R146</f>
        <v>24.6546</v>
      </c>
      <c r="M146" s="137">
        <f>IF(J146=K146+L146,0,Y146)</f>
        <v>0</v>
      </c>
      <c r="N146" s="138">
        <v>0</v>
      </c>
      <c r="O146" s="137">
        <v>205.4554</v>
      </c>
      <c r="P146" s="137">
        <v>0</v>
      </c>
      <c r="Q146" s="137">
        <v>0</v>
      </c>
      <c r="R146" s="137">
        <v>24.6546</v>
      </c>
      <c r="S146" s="138">
        <v>205.4554</v>
      </c>
      <c r="T146" s="137">
        <v>230.11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230.11</v>
      </c>
      <c r="AC146" s="137">
        <v>0</v>
      </c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107</v>
      </c>
      <c r="F147" s="133" t="s">
        <v>106</v>
      </c>
      <c r="G147" s="134">
        <v>46132</v>
      </c>
      <c r="H147" s="135">
        <v>0.5523842592592593</v>
      </c>
      <c r="I147" s="136">
        <v>166004731</v>
      </c>
      <c r="J147" s="137">
        <v>60</v>
      </c>
      <c r="K147" s="137">
        <f>N147+O147+P147</f>
        <v>53.3928</v>
      </c>
      <c r="L147" s="137">
        <f>Q147+R147</f>
        <v>6.4072</v>
      </c>
      <c r="M147" s="137">
        <f>IF(J147=K147+L147,0,Y147)</f>
        <v>0.2</v>
      </c>
      <c r="N147" s="138">
        <v>0</v>
      </c>
      <c r="O147" s="137">
        <v>53.3928</v>
      </c>
      <c r="P147" s="137">
        <v>0</v>
      </c>
      <c r="Q147" s="137">
        <v>0</v>
      </c>
      <c r="R147" s="137">
        <v>6.4072</v>
      </c>
      <c r="S147" s="138">
        <v>53.3928</v>
      </c>
      <c r="T147" s="137">
        <v>59.8</v>
      </c>
      <c r="U147" s="137">
        <v>0</v>
      </c>
      <c r="V147" s="137">
        <v>0</v>
      </c>
      <c r="W147" s="137">
        <v>0</v>
      </c>
      <c r="X147" s="137">
        <v>0</v>
      </c>
      <c r="Y147" s="137">
        <v>0.2</v>
      </c>
      <c r="Z147" s="138">
        <v>100</v>
      </c>
      <c r="AA147" s="137">
        <v>0</v>
      </c>
      <c r="AB147" s="137">
        <v>0</v>
      </c>
      <c r="AC147" s="137"/>
      <c r="AD147" s="137">
        <v>0</v>
      </c>
      <c r="AE147" s="139">
        <v>-40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107</v>
      </c>
      <c r="F148" s="133" t="s">
        <v>106</v>
      </c>
      <c r="G148" s="134">
        <v>46132</v>
      </c>
      <c r="H148" s="135">
        <v>0.5533333333333333</v>
      </c>
      <c r="I148" s="136">
        <v>166004732</v>
      </c>
      <c r="J148" s="137">
        <v>477.4</v>
      </c>
      <c r="K148" s="137">
        <f>N148+O148+P148</f>
        <v>414.1698</v>
      </c>
      <c r="L148" s="137">
        <f>Q148+R148</f>
        <v>63.230199999999996</v>
      </c>
      <c r="M148" s="137">
        <f>IF(J148=K148+L148,0,Y148)</f>
        <v>0</v>
      </c>
      <c r="N148" s="138">
        <v>150.3306</v>
      </c>
      <c r="O148" s="137">
        <v>263.8392</v>
      </c>
      <c r="P148" s="137">
        <v>0</v>
      </c>
      <c r="Q148" s="137">
        <v>31.5694</v>
      </c>
      <c r="R148" s="137">
        <v>31.6608</v>
      </c>
      <c r="S148" s="138">
        <v>414.1698</v>
      </c>
      <c r="T148" s="137">
        <v>477.4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477.4</v>
      </c>
      <c r="AC148" s="137">
        <v>0</v>
      </c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107</v>
      </c>
      <c r="F149" s="133" t="s">
        <v>106</v>
      </c>
      <c r="G149" s="134">
        <v>46132</v>
      </c>
      <c r="H149" s="135">
        <v>0.5542361111111112</v>
      </c>
      <c r="I149" s="136">
        <v>166004733</v>
      </c>
      <c r="J149" s="137">
        <v>140</v>
      </c>
      <c r="K149" s="137">
        <f>N149+O149+P149</f>
        <v>122.477</v>
      </c>
      <c r="L149" s="137">
        <f>Q149+R149</f>
        <v>17.293</v>
      </c>
      <c r="M149" s="137">
        <f>IF(J149=K149+L149,0,Y149)</f>
        <v>0.23</v>
      </c>
      <c r="N149" s="138">
        <v>28.843</v>
      </c>
      <c r="O149" s="137">
        <v>93.634</v>
      </c>
      <c r="P149" s="137">
        <v>0</v>
      </c>
      <c r="Q149" s="137">
        <v>6.057</v>
      </c>
      <c r="R149" s="137">
        <v>11.236</v>
      </c>
      <c r="S149" s="138">
        <v>122.477</v>
      </c>
      <c r="T149" s="137">
        <v>139.77</v>
      </c>
      <c r="U149" s="137">
        <v>0</v>
      </c>
      <c r="V149" s="137">
        <v>0</v>
      </c>
      <c r="W149" s="137">
        <v>0</v>
      </c>
      <c r="X149" s="137">
        <v>0</v>
      </c>
      <c r="Y149" s="137">
        <v>0.23</v>
      </c>
      <c r="Z149" s="138">
        <v>200</v>
      </c>
      <c r="AA149" s="137">
        <v>0</v>
      </c>
      <c r="AB149" s="137">
        <v>0</v>
      </c>
      <c r="AC149" s="137"/>
      <c r="AD149" s="137">
        <v>0</v>
      </c>
      <c r="AE149" s="139">
        <v>-60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107</v>
      </c>
      <c r="F150" s="133" t="s">
        <v>106</v>
      </c>
      <c r="G150" s="134">
        <v>46132</v>
      </c>
      <c r="H150" s="135">
        <v>0.554537037037037</v>
      </c>
      <c r="I150" s="136">
        <v>166004734</v>
      </c>
      <c r="J150" s="137">
        <v>35</v>
      </c>
      <c r="K150" s="137">
        <f>N150+O150+P150</f>
        <v>28.843</v>
      </c>
      <c r="L150" s="137">
        <f>Q150+R150</f>
        <v>6.057</v>
      </c>
      <c r="M150" s="137">
        <f>IF(J150=K150+L150,0,Y150)</f>
        <v>0.1</v>
      </c>
      <c r="N150" s="138">
        <v>28.843</v>
      </c>
      <c r="O150" s="137">
        <v>0</v>
      </c>
      <c r="P150" s="137">
        <v>0</v>
      </c>
      <c r="Q150" s="137">
        <v>6.057</v>
      </c>
      <c r="R150" s="137">
        <v>0</v>
      </c>
      <c r="S150" s="138">
        <v>28.843</v>
      </c>
      <c r="T150" s="137">
        <v>34.9</v>
      </c>
      <c r="U150" s="137">
        <v>0</v>
      </c>
      <c r="V150" s="137">
        <v>0</v>
      </c>
      <c r="W150" s="137">
        <v>0</v>
      </c>
      <c r="X150" s="137">
        <v>0</v>
      </c>
      <c r="Y150" s="137">
        <v>0.1</v>
      </c>
      <c r="Z150" s="138">
        <v>50</v>
      </c>
      <c r="AA150" s="137">
        <v>0</v>
      </c>
      <c r="AB150" s="137">
        <v>0</v>
      </c>
      <c r="AC150" s="137"/>
      <c r="AD150" s="137">
        <v>0</v>
      </c>
      <c r="AE150" s="139">
        <v>-15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107</v>
      </c>
      <c r="F151" s="133" t="s">
        <v>106</v>
      </c>
      <c r="G151" s="134">
        <v>46132</v>
      </c>
      <c r="H151" s="135">
        <v>0.5552430555555555</v>
      </c>
      <c r="I151" s="136">
        <v>166004735</v>
      </c>
      <c r="J151" s="137">
        <v>102</v>
      </c>
      <c r="K151" s="137">
        <f>N151+O151+P151</f>
        <v>90.7143</v>
      </c>
      <c r="L151" s="137">
        <f>Q151+R151</f>
        <v>10.8857</v>
      </c>
      <c r="M151" s="137">
        <f>IF(J151=K151+L151,0,Y151)</f>
        <v>0.4</v>
      </c>
      <c r="N151" s="138">
        <v>0</v>
      </c>
      <c r="O151" s="137">
        <v>90.7143</v>
      </c>
      <c r="P151" s="137">
        <v>0</v>
      </c>
      <c r="Q151" s="137">
        <v>0</v>
      </c>
      <c r="R151" s="137">
        <v>10.8857</v>
      </c>
      <c r="S151" s="138">
        <v>90.7143</v>
      </c>
      <c r="T151" s="137">
        <v>101.6</v>
      </c>
      <c r="U151" s="137">
        <v>0</v>
      </c>
      <c r="V151" s="137">
        <v>0</v>
      </c>
      <c r="W151" s="137">
        <v>0</v>
      </c>
      <c r="X151" s="137">
        <v>0</v>
      </c>
      <c r="Y151" s="137">
        <v>0.4</v>
      </c>
      <c r="Z151" s="138">
        <v>102</v>
      </c>
      <c r="AA151" s="137">
        <v>0</v>
      </c>
      <c r="AB151" s="137">
        <v>0</v>
      </c>
      <c r="AC151" s="137"/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107</v>
      </c>
      <c r="F152" s="133" t="s">
        <v>106</v>
      </c>
      <c r="G152" s="134">
        <v>46132</v>
      </c>
      <c r="H152" s="135">
        <v>0.5554398148148149</v>
      </c>
      <c r="I152" s="136">
        <v>166004736</v>
      </c>
      <c r="J152" s="137">
        <v>17</v>
      </c>
      <c r="K152" s="137">
        <f>N152+O152+P152</f>
        <v>15.0893</v>
      </c>
      <c r="L152" s="137">
        <f>Q152+R152</f>
        <v>1.8107</v>
      </c>
      <c r="M152" s="137">
        <f>IF(J152=K152+L152,0,Y152)</f>
        <v>0.1</v>
      </c>
      <c r="N152" s="138">
        <v>0</v>
      </c>
      <c r="O152" s="137">
        <v>15.0893</v>
      </c>
      <c r="P152" s="137">
        <v>0</v>
      </c>
      <c r="Q152" s="137">
        <v>0</v>
      </c>
      <c r="R152" s="137">
        <v>1.8107</v>
      </c>
      <c r="S152" s="138">
        <v>15.0893</v>
      </c>
      <c r="T152" s="137">
        <v>16.9</v>
      </c>
      <c r="U152" s="137">
        <v>0</v>
      </c>
      <c r="V152" s="137">
        <v>0</v>
      </c>
      <c r="W152" s="137">
        <v>0</v>
      </c>
      <c r="X152" s="137">
        <v>0</v>
      </c>
      <c r="Y152" s="137">
        <v>0.1</v>
      </c>
      <c r="Z152" s="138">
        <v>17</v>
      </c>
      <c r="AA152" s="137">
        <v>0</v>
      </c>
      <c r="AB152" s="137">
        <v>0</v>
      </c>
      <c r="AC152" s="137"/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107</v>
      </c>
      <c r="F153" s="133" t="s">
        <v>106</v>
      </c>
      <c r="G153" s="134">
        <v>46132</v>
      </c>
      <c r="H153" s="135">
        <v>0.5562731481481481</v>
      </c>
      <c r="I153" s="136">
        <v>166004737</v>
      </c>
      <c r="J153" s="137">
        <v>30</v>
      </c>
      <c r="K153" s="137">
        <f>N153+O153+P153</f>
        <v>24.7107</v>
      </c>
      <c r="L153" s="137">
        <f>Q153+R153</f>
        <v>5.1893</v>
      </c>
      <c r="M153" s="137">
        <f>IF(J153=K153+L153,0,Y153)</f>
        <v>0.1</v>
      </c>
      <c r="N153" s="138">
        <v>24.7107</v>
      </c>
      <c r="O153" s="137">
        <v>0</v>
      </c>
      <c r="P153" s="137">
        <v>0</v>
      </c>
      <c r="Q153" s="137">
        <v>5.1893</v>
      </c>
      <c r="R153" s="137">
        <v>0</v>
      </c>
      <c r="S153" s="138">
        <v>24.7107</v>
      </c>
      <c r="T153" s="137">
        <v>29.9</v>
      </c>
      <c r="U153" s="137">
        <v>0</v>
      </c>
      <c r="V153" s="137">
        <v>0</v>
      </c>
      <c r="W153" s="137">
        <v>0</v>
      </c>
      <c r="X153" s="137">
        <v>0</v>
      </c>
      <c r="Y153" s="137">
        <v>0.1</v>
      </c>
      <c r="Z153" s="138">
        <v>500</v>
      </c>
      <c r="AA153" s="137">
        <v>0</v>
      </c>
      <c r="AB153" s="137">
        <v>0</v>
      </c>
      <c r="AC153" s="137"/>
      <c r="AD153" s="137">
        <v>0</v>
      </c>
      <c r="AE153" s="139">
        <v>-470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106</v>
      </c>
      <c r="G154" s="134">
        <v>46132</v>
      </c>
      <c r="H154" s="135">
        <v>0.5577662037037037</v>
      </c>
      <c r="I154" s="136">
        <v>166004738</v>
      </c>
      <c r="J154" s="137">
        <v>207.6</v>
      </c>
      <c r="K154" s="137">
        <f>N154+O154+P154</f>
        <v>185.1048</v>
      </c>
      <c r="L154" s="137">
        <f>Q154+R154</f>
        <v>22.4952</v>
      </c>
      <c r="M154" s="137">
        <f>IF(J154=K154+L154,0,Y154)</f>
        <v>0</v>
      </c>
      <c r="N154" s="138">
        <v>3.1404</v>
      </c>
      <c r="O154" s="137">
        <v>181.9644</v>
      </c>
      <c r="P154" s="137">
        <v>0</v>
      </c>
      <c r="Q154" s="137">
        <v>0.6596</v>
      </c>
      <c r="R154" s="137">
        <v>21.8356</v>
      </c>
      <c r="S154" s="138">
        <v>185.1048</v>
      </c>
      <c r="T154" s="137">
        <v>207.6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8">
        <v>0</v>
      </c>
      <c r="AA154" s="137">
        <v>0</v>
      </c>
      <c r="AB154" s="137">
        <v>207.6</v>
      </c>
      <c r="AC154" s="137">
        <v>0</v>
      </c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106</v>
      </c>
      <c r="G155" s="134">
        <v>46132</v>
      </c>
      <c r="H155" s="135">
        <v>0.5580439814814815</v>
      </c>
      <c r="I155" s="136">
        <v>166004739</v>
      </c>
      <c r="J155" s="137">
        <v>256</v>
      </c>
      <c r="K155" s="137">
        <f>N155+O155+P155</f>
        <v>211.2397</v>
      </c>
      <c r="L155" s="137">
        <f>Q155+R155</f>
        <v>44.3603</v>
      </c>
      <c r="M155" s="137">
        <f>IF(J155=K155+L155,0,Y155)</f>
        <v>0.4</v>
      </c>
      <c r="N155" s="138">
        <v>211.2397</v>
      </c>
      <c r="O155" s="137">
        <v>0</v>
      </c>
      <c r="P155" s="137">
        <v>0</v>
      </c>
      <c r="Q155" s="137">
        <v>44.3603</v>
      </c>
      <c r="R155" s="137">
        <v>0</v>
      </c>
      <c r="S155" s="138">
        <v>211.2397</v>
      </c>
      <c r="T155" s="137">
        <v>255.6</v>
      </c>
      <c r="U155" s="137">
        <v>0</v>
      </c>
      <c r="V155" s="137">
        <v>0</v>
      </c>
      <c r="W155" s="137">
        <v>0</v>
      </c>
      <c r="X155" s="137">
        <v>0</v>
      </c>
      <c r="Y155" s="137">
        <v>0.4</v>
      </c>
      <c r="Z155" s="138">
        <v>500</v>
      </c>
      <c r="AA155" s="137">
        <v>0</v>
      </c>
      <c r="AB155" s="137">
        <v>0</v>
      </c>
      <c r="AC155" s="137"/>
      <c r="AD155" s="137">
        <v>0</v>
      </c>
      <c r="AE155" s="139">
        <v>-244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106</v>
      </c>
      <c r="G156" s="134">
        <v>46132</v>
      </c>
      <c r="H156" s="135">
        <v>0.5588541666666667</v>
      </c>
      <c r="I156" s="136">
        <v>166004740</v>
      </c>
      <c r="J156" s="137">
        <v>36</v>
      </c>
      <c r="K156" s="137">
        <f>N156+O156+P156</f>
        <v>32.0536</v>
      </c>
      <c r="L156" s="137">
        <f>Q156+R156</f>
        <v>3.8464</v>
      </c>
      <c r="M156" s="137">
        <f>IF(J156=K156+L156,0,Y156)</f>
        <v>0.1</v>
      </c>
      <c r="N156" s="138">
        <v>0</v>
      </c>
      <c r="O156" s="137">
        <v>32.0536</v>
      </c>
      <c r="P156" s="137">
        <v>0</v>
      </c>
      <c r="Q156" s="137">
        <v>0</v>
      </c>
      <c r="R156" s="137">
        <v>3.8464</v>
      </c>
      <c r="S156" s="138">
        <v>32.0536</v>
      </c>
      <c r="T156" s="137">
        <v>35.9</v>
      </c>
      <c r="U156" s="137">
        <v>0</v>
      </c>
      <c r="V156" s="137">
        <v>0</v>
      </c>
      <c r="W156" s="137">
        <v>0</v>
      </c>
      <c r="X156" s="137">
        <v>0</v>
      </c>
      <c r="Y156" s="137">
        <v>0.1</v>
      </c>
      <c r="Z156" s="138">
        <v>100</v>
      </c>
      <c r="AA156" s="137">
        <v>0</v>
      </c>
      <c r="AB156" s="137">
        <v>0</v>
      </c>
      <c r="AC156" s="137"/>
      <c r="AD156" s="137">
        <v>0</v>
      </c>
      <c r="AE156" s="139">
        <v>-64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106</v>
      </c>
      <c r="G157" s="134">
        <v>46132</v>
      </c>
      <c r="H157" s="135">
        <v>0.5602777777777778</v>
      </c>
      <c r="I157" s="136">
        <v>166004741</v>
      </c>
      <c r="J157" s="137">
        <v>29</v>
      </c>
      <c r="K157" s="137">
        <f>N157+O157+P157</f>
        <v>25.7143</v>
      </c>
      <c r="L157" s="137">
        <f>Q157+R157</f>
        <v>3.0857</v>
      </c>
      <c r="M157" s="137">
        <f>IF(J157=K157+L157,0,Y157)</f>
        <v>0.2</v>
      </c>
      <c r="N157" s="138">
        <v>0</v>
      </c>
      <c r="O157" s="137">
        <v>25.7143</v>
      </c>
      <c r="P157" s="137">
        <v>0</v>
      </c>
      <c r="Q157" s="137">
        <v>0</v>
      </c>
      <c r="R157" s="137">
        <v>3.0857</v>
      </c>
      <c r="S157" s="138">
        <v>25.7143</v>
      </c>
      <c r="T157" s="137">
        <v>28.8</v>
      </c>
      <c r="U157" s="137">
        <v>0</v>
      </c>
      <c r="V157" s="137">
        <v>0</v>
      </c>
      <c r="W157" s="137">
        <v>0</v>
      </c>
      <c r="X157" s="137">
        <v>0</v>
      </c>
      <c r="Y157" s="137">
        <v>0.2</v>
      </c>
      <c r="Z157" s="138">
        <v>100</v>
      </c>
      <c r="AA157" s="137">
        <v>0</v>
      </c>
      <c r="AB157" s="137">
        <v>0</v>
      </c>
      <c r="AC157" s="137"/>
      <c r="AD157" s="137">
        <v>0</v>
      </c>
      <c r="AE157" s="139">
        <v>-71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106</v>
      </c>
      <c r="G158" s="134">
        <v>46132</v>
      </c>
      <c r="H158" s="135">
        <v>0.5604745370370371</v>
      </c>
      <c r="I158" s="136">
        <v>166004742</v>
      </c>
      <c r="J158" s="137">
        <v>20</v>
      </c>
      <c r="K158" s="137">
        <f>N158+O158+P158</f>
        <v>17.7679</v>
      </c>
      <c r="L158" s="137">
        <f>Q158+R158</f>
        <v>2.1321</v>
      </c>
      <c r="M158" s="137">
        <f>IF(J158=K158+L158,0,Y158)</f>
        <v>0.1</v>
      </c>
      <c r="N158" s="138">
        <v>0</v>
      </c>
      <c r="O158" s="137">
        <v>17.7679</v>
      </c>
      <c r="P158" s="137">
        <v>0</v>
      </c>
      <c r="Q158" s="137">
        <v>0</v>
      </c>
      <c r="R158" s="137">
        <v>2.1321</v>
      </c>
      <c r="S158" s="138">
        <v>17.7679</v>
      </c>
      <c r="T158" s="137">
        <v>19.9</v>
      </c>
      <c r="U158" s="137">
        <v>0</v>
      </c>
      <c r="V158" s="137">
        <v>0</v>
      </c>
      <c r="W158" s="137">
        <v>0</v>
      </c>
      <c r="X158" s="137">
        <v>0</v>
      </c>
      <c r="Y158" s="137">
        <v>0.1</v>
      </c>
      <c r="Z158" s="138">
        <v>20</v>
      </c>
      <c r="AA158" s="137">
        <v>0</v>
      </c>
      <c r="AB158" s="137">
        <v>0</v>
      </c>
      <c r="AC158" s="137"/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106</v>
      </c>
      <c r="G159" s="134">
        <v>46132</v>
      </c>
      <c r="H159" s="135">
        <v>0.5605555555555556</v>
      </c>
      <c r="I159" s="136">
        <v>166004743</v>
      </c>
      <c r="J159" s="137">
        <v>20</v>
      </c>
      <c r="K159" s="137">
        <f>N159+O159+P159</f>
        <v>17.7679</v>
      </c>
      <c r="L159" s="137">
        <f>Q159+R159</f>
        <v>2.1321</v>
      </c>
      <c r="M159" s="137">
        <f>IF(J159=K159+L159,0,Y159)</f>
        <v>0.1</v>
      </c>
      <c r="N159" s="138">
        <v>0</v>
      </c>
      <c r="O159" s="137">
        <v>17.7679</v>
      </c>
      <c r="P159" s="137">
        <v>0</v>
      </c>
      <c r="Q159" s="137">
        <v>0</v>
      </c>
      <c r="R159" s="137">
        <v>2.1321</v>
      </c>
      <c r="S159" s="138">
        <v>17.7679</v>
      </c>
      <c r="T159" s="137">
        <v>19.9</v>
      </c>
      <c r="U159" s="137">
        <v>0</v>
      </c>
      <c r="V159" s="137">
        <v>0</v>
      </c>
      <c r="W159" s="137">
        <v>0</v>
      </c>
      <c r="X159" s="137">
        <v>0</v>
      </c>
      <c r="Y159" s="137">
        <v>0.1</v>
      </c>
      <c r="Z159" s="138">
        <v>20</v>
      </c>
      <c r="AA159" s="137">
        <v>0</v>
      </c>
      <c r="AB159" s="137">
        <v>0</v>
      </c>
      <c r="AC159" s="137"/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106</v>
      </c>
      <c r="G160" s="134">
        <v>46132</v>
      </c>
      <c r="H160" s="135">
        <v>0.5611342592592593</v>
      </c>
      <c r="I160" s="136">
        <v>166004744</v>
      </c>
      <c r="J160" s="137">
        <v>28</v>
      </c>
      <c r="K160" s="137">
        <f>N160+O160+P160</f>
        <v>24.9107</v>
      </c>
      <c r="L160" s="137">
        <f>Q160+R160</f>
        <v>2.9893</v>
      </c>
      <c r="M160" s="137">
        <f>IF(J160=K160+L160,0,Y160)</f>
        <v>0.1</v>
      </c>
      <c r="N160" s="138">
        <v>0</v>
      </c>
      <c r="O160" s="137">
        <v>24.9107</v>
      </c>
      <c r="P160" s="137">
        <v>0</v>
      </c>
      <c r="Q160" s="137">
        <v>0</v>
      </c>
      <c r="R160" s="137">
        <v>2.9893</v>
      </c>
      <c r="S160" s="138">
        <v>24.9107</v>
      </c>
      <c r="T160" s="137">
        <v>27.9</v>
      </c>
      <c r="U160" s="137">
        <v>0</v>
      </c>
      <c r="V160" s="137">
        <v>0</v>
      </c>
      <c r="W160" s="137">
        <v>0</v>
      </c>
      <c r="X160" s="137">
        <v>0</v>
      </c>
      <c r="Y160" s="137">
        <v>0.1</v>
      </c>
      <c r="Z160" s="138">
        <v>28</v>
      </c>
      <c r="AA160" s="137">
        <v>0</v>
      </c>
      <c r="AB160" s="137">
        <v>0</v>
      </c>
      <c r="AC160" s="137"/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106</v>
      </c>
      <c r="G161" s="134">
        <v>46132</v>
      </c>
      <c r="H161" s="135">
        <v>0.5632754629629629</v>
      </c>
      <c r="I161" s="136">
        <v>166004745</v>
      </c>
      <c r="J161" s="137">
        <v>59.8</v>
      </c>
      <c r="K161" s="137">
        <f>N161+O161+P161</f>
        <v>53.3929</v>
      </c>
      <c r="L161" s="137">
        <f>Q161+R161</f>
        <v>6.4071</v>
      </c>
      <c r="M161" s="137">
        <f>IF(J161=K161+L161,0,Y161)</f>
        <v>0</v>
      </c>
      <c r="N161" s="138">
        <v>0</v>
      </c>
      <c r="O161" s="137">
        <v>53.3929</v>
      </c>
      <c r="P161" s="137">
        <v>0</v>
      </c>
      <c r="Q161" s="137">
        <v>0</v>
      </c>
      <c r="R161" s="137">
        <v>6.4071</v>
      </c>
      <c r="S161" s="138">
        <v>53.3929</v>
      </c>
      <c r="T161" s="137">
        <v>59.8</v>
      </c>
      <c r="U161" s="137">
        <v>0</v>
      </c>
      <c r="V161" s="137">
        <v>0</v>
      </c>
      <c r="W161" s="137">
        <v>0</v>
      </c>
      <c r="X161" s="137">
        <v>0</v>
      </c>
      <c r="Y161" s="137">
        <v>0</v>
      </c>
      <c r="Z161" s="138">
        <v>0</v>
      </c>
      <c r="AA161" s="137">
        <v>0</v>
      </c>
      <c r="AB161" s="137">
        <v>59.8</v>
      </c>
      <c r="AC161" s="137">
        <v>0</v>
      </c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106</v>
      </c>
      <c r="G162" s="134">
        <v>46132</v>
      </c>
      <c r="H162" s="135">
        <v>0.5645949074074074</v>
      </c>
      <c r="I162" s="136">
        <v>166004746</v>
      </c>
      <c r="J162" s="137">
        <v>206.8</v>
      </c>
      <c r="K162" s="137">
        <f>N162+O162+P162</f>
        <v>178.3073</v>
      </c>
      <c r="L162" s="137">
        <f>Q162+R162</f>
        <v>28.4927</v>
      </c>
      <c r="M162" s="137">
        <f>IF(J162=K162+L162,0,Y162)</f>
        <v>0</v>
      </c>
      <c r="N162" s="138">
        <v>78.843</v>
      </c>
      <c r="O162" s="137">
        <v>99.4643</v>
      </c>
      <c r="P162" s="137">
        <v>0</v>
      </c>
      <c r="Q162" s="137">
        <v>16.557</v>
      </c>
      <c r="R162" s="137">
        <v>11.9357</v>
      </c>
      <c r="S162" s="138">
        <v>178.3073</v>
      </c>
      <c r="T162" s="137">
        <v>206.8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206.8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106</v>
      </c>
      <c r="G163" s="134">
        <v>46132</v>
      </c>
      <c r="H163" s="135">
        <v>0.5648032407407407</v>
      </c>
      <c r="I163" s="136">
        <v>166004747</v>
      </c>
      <c r="J163" s="137">
        <v>32</v>
      </c>
      <c r="K163" s="137">
        <f>N163+O163+P163</f>
        <v>28.8304</v>
      </c>
      <c r="L163" s="137">
        <f>Q163+R163</f>
        <v>3.4596</v>
      </c>
      <c r="M163" s="137">
        <f>IF(J163=K163+L163,0,Y163)</f>
        <v>-0.29</v>
      </c>
      <c r="N163" s="138">
        <v>0</v>
      </c>
      <c r="O163" s="137">
        <v>28.8304</v>
      </c>
      <c r="P163" s="137">
        <v>0</v>
      </c>
      <c r="Q163" s="137">
        <v>0</v>
      </c>
      <c r="R163" s="137">
        <v>3.4596</v>
      </c>
      <c r="S163" s="138">
        <v>28.8304</v>
      </c>
      <c r="T163" s="137">
        <v>32.29</v>
      </c>
      <c r="U163" s="137">
        <v>0</v>
      </c>
      <c r="V163" s="137">
        <v>0</v>
      </c>
      <c r="W163" s="137">
        <v>0</v>
      </c>
      <c r="X163" s="137">
        <v>0</v>
      </c>
      <c r="Y163" s="137">
        <v>-0.29</v>
      </c>
      <c r="Z163" s="138">
        <v>52</v>
      </c>
      <c r="AA163" s="137">
        <v>0</v>
      </c>
      <c r="AB163" s="137">
        <v>0</v>
      </c>
      <c r="AC163" s="137"/>
      <c r="AD163" s="137">
        <v>0</v>
      </c>
      <c r="AE163" s="139">
        <v>-20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106</v>
      </c>
      <c r="G164" s="134">
        <v>46132</v>
      </c>
      <c r="H164" s="135">
        <v>0.5669328703703703</v>
      </c>
      <c r="I164" s="136">
        <v>166004748</v>
      </c>
      <c r="J164" s="137">
        <v>52</v>
      </c>
      <c r="K164" s="137">
        <f>N164+O164+P164</f>
        <v>46.2054</v>
      </c>
      <c r="L164" s="137">
        <f>Q164+R164</f>
        <v>5.5446</v>
      </c>
      <c r="M164" s="137">
        <f>IF(J164=K164+L164,0,Y164)</f>
        <v>0.25</v>
      </c>
      <c r="N164" s="138">
        <v>0</v>
      </c>
      <c r="O164" s="137">
        <v>46.2054</v>
      </c>
      <c r="P164" s="137">
        <v>0</v>
      </c>
      <c r="Q164" s="137">
        <v>0</v>
      </c>
      <c r="R164" s="137">
        <v>5.5446</v>
      </c>
      <c r="S164" s="138">
        <v>46.2054</v>
      </c>
      <c r="T164" s="137">
        <v>51.75</v>
      </c>
      <c r="U164" s="137">
        <v>0</v>
      </c>
      <c r="V164" s="137">
        <v>0</v>
      </c>
      <c r="W164" s="137">
        <v>0</v>
      </c>
      <c r="X164" s="137">
        <v>0</v>
      </c>
      <c r="Y164" s="137">
        <v>0.25</v>
      </c>
      <c r="Z164" s="138">
        <v>52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106</v>
      </c>
      <c r="G165" s="134">
        <v>46132</v>
      </c>
      <c r="H165" s="135">
        <v>0.5676388888888889</v>
      </c>
      <c r="I165" s="136">
        <v>166004749</v>
      </c>
      <c r="J165" s="137">
        <v>510</v>
      </c>
      <c r="K165" s="137">
        <f>N165+O165+P165</f>
        <v>442.2227</v>
      </c>
      <c r="L165" s="137">
        <f>Q165+R165</f>
        <v>67.40729999999999</v>
      </c>
      <c r="M165" s="137">
        <f>IF(J165=K165+L165,0,Y165)</f>
        <v>0.37</v>
      </c>
      <c r="N165" s="138">
        <v>159.3388</v>
      </c>
      <c r="O165" s="137">
        <v>282.8839</v>
      </c>
      <c r="P165" s="137">
        <v>0</v>
      </c>
      <c r="Q165" s="137">
        <v>33.4612</v>
      </c>
      <c r="R165" s="137">
        <v>33.9461</v>
      </c>
      <c r="S165" s="138">
        <v>442.2227</v>
      </c>
      <c r="T165" s="137">
        <v>509.63</v>
      </c>
      <c r="U165" s="137">
        <v>0</v>
      </c>
      <c r="V165" s="137">
        <v>0</v>
      </c>
      <c r="W165" s="137">
        <v>0</v>
      </c>
      <c r="X165" s="137">
        <v>0</v>
      </c>
      <c r="Y165" s="137">
        <v>0.37</v>
      </c>
      <c r="Z165" s="138">
        <v>700</v>
      </c>
      <c r="AA165" s="137">
        <v>0</v>
      </c>
      <c r="AB165" s="137">
        <v>0</v>
      </c>
      <c r="AC165" s="137"/>
      <c r="AD165" s="137">
        <v>0</v>
      </c>
      <c r="AE165" s="139">
        <v>-190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106</v>
      </c>
      <c r="G166" s="134">
        <v>46132</v>
      </c>
      <c r="H166" s="135">
        <v>0.5680787037037037</v>
      </c>
      <c r="I166" s="136">
        <v>166004750</v>
      </c>
      <c r="J166" s="137">
        <v>47.8</v>
      </c>
      <c r="K166" s="137">
        <f>N166+O166+P166</f>
        <v>39.5042</v>
      </c>
      <c r="L166" s="137">
        <f>Q166+R166</f>
        <v>8.2958</v>
      </c>
      <c r="M166" s="137">
        <f>IF(J166=K166+L166,0,Y166)</f>
        <v>0</v>
      </c>
      <c r="N166" s="138">
        <v>39.5042</v>
      </c>
      <c r="O166" s="137">
        <v>0</v>
      </c>
      <c r="P166" s="137">
        <v>0</v>
      </c>
      <c r="Q166" s="137">
        <v>8.2958</v>
      </c>
      <c r="R166" s="137">
        <v>0</v>
      </c>
      <c r="S166" s="138">
        <v>39.5042</v>
      </c>
      <c r="T166" s="137">
        <v>47.8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47.8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106</v>
      </c>
      <c r="G167" s="134">
        <v>46132</v>
      </c>
      <c r="H167" s="135">
        <v>0.569699074074074</v>
      </c>
      <c r="I167" s="136">
        <v>166004751</v>
      </c>
      <c r="J167" s="137">
        <v>424</v>
      </c>
      <c r="K167" s="137">
        <f>N167+O167+P167</f>
        <v>366.2848</v>
      </c>
      <c r="L167" s="137">
        <f>Q167+R167</f>
        <v>57.6252</v>
      </c>
      <c r="M167" s="137">
        <f>IF(J167=K167+L167,0,Y167)</f>
        <v>0.09</v>
      </c>
      <c r="N167" s="138">
        <v>151.9009</v>
      </c>
      <c r="O167" s="137">
        <v>214.3839</v>
      </c>
      <c r="P167" s="137">
        <v>0</v>
      </c>
      <c r="Q167" s="137">
        <v>31.8991</v>
      </c>
      <c r="R167" s="137">
        <v>25.7261</v>
      </c>
      <c r="S167" s="138">
        <v>366.2848</v>
      </c>
      <c r="T167" s="137">
        <v>423.91</v>
      </c>
      <c r="U167" s="137">
        <v>0</v>
      </c>
      <c r="V167" s="137">
        <v>0</v>
      </c>
      <c r="W167" s="137">
        <v>0</v>
      </c>
      <c r="X167" s="137">
        <v>0</v>
      </c>
      <c r="Y167" s="137">
        <v>0.09</v>
      </c>
      <c r="Z167" s="138">
        <v>500</v>
      </c>
      <c r="AA167" s="137">
        <v>0</v>
      </c>
      <c r="AB167" s="137">
        <v>0</v>
      </c>
      <c r="AC167" s="137"/>
      <c r="AD167" s="137">
        <v>0</v>
      </c>
      <c r="AE167" s="139">
        <v>-76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106</v>
      </c>
      <c r="G168" s="134">
        <v>46132</v>
      </c>
      <c r="H168" s="135">
        <v>0.5701273148148148</v>
      </c>
      <c r="I168" s="136">
        <v>166004752</v>
      </c>
      <c r="J168" s="137">
        <v>82.6</v>
      </c>
      <c r="K168" s="137">
        <f>N168+O168+P168</f>
        <v>71.1733</v>
      </c>
      <c r="L168" s="137">
        <f>Q168+R168</f>
        <v>11.4267</v>
      </c>
      <c r="M168" s="137">
        <f>IF(J168=K168+L168,0,Y168)</f>
        <v>0</v>
      </c>
      <c r="N168" s="138">
        <v>32.0661</v>
      </c>
      <c r="O168" s="137">
        <v>39.1072</v>
      </c>
      <c r="P168" s="137">
        <v>0</v>
      </c>
      <c r="Q168" s="137">
        <v>6.7339</v>
      </c>
      <c r="R168" s="137">
        <v>4.6928</v>
      </c>
      <c r="S168" s="138">
        <v>71.1733</v>
      </c>
      <c r="T168" s="137">
        <v>82.6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82.6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106</v>
      </c>
      <c r="G169" s="134">
        <v>46132</v>
      </c>
      <c r="H169" s="135">
        <v>0.5703472222222222</v>
      </c>
      <c r="I169" s="136">
        <v>166004753</v>
      </c>
      <c r="J169" s="137">
        <v>118</v>
      </c>
      <c r="K169" s="137">
        <f>N169+O169+P169</f>
        <v>99.3588</v>
      </c>
      <c r="L169" s="137">
        <f>Q169+R169</f>
        <v>18.1412</v>
      </c>
      <c r="M169" s="137">
        <f>IF(J169=K169+L169,0,Y169)</f>
        <v>0.5</v>
      </c>
      <c r="N169" s="138">
        <v>69.0909</v>
      </c>
      <c r="O169" s="137">
        <v>30.2679</v>
      </c>
      <c r="P169" s="137">
        <v>0</v>
      </c>
      <c r="Q169" s="137">
        <v>14.5091</v>
      </c>
      <c r="R169" s="137">
        <v>3.6321</v>
      </c>
      <c r="S169" s="138">
        <v>99.3588</v>
      </c>
      <c r="T169" s="137">
        <v>117.5</v>
      </c>
      <c r="U169" s="137">
        <v>0</v>
      </c>
      <c r="V169" s="137">
        <v>0</v>
      </c>
      <c r="W169" s="137">
        <v>0</v>
      </c>
      <c r="X169" s="137">
        <v>0</v>
      </c>
      <c r="Y169" s="137">
        <v>0.5</v>
      </c>
      <c r="Z169" s="138">
        <v>150</v>
      </c>
      <c r="AA169" s="137">
        <v>0</v>
      </c>
      <c r="AB169" s="137">
        <v>0</v>
      </c>
      <c r="AC169" s="137"/>
      <c r="AD169" s="137">
        <v>0</v>
      </c>
      <c r="AE169" s="139">
        <v>-32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106</v>
      </c>
      <c r="G170" s="134">
        <v>46132</v>
      </c>
      <c r="H170" s="135">
        <v>0.5720486111111112</v>
      </c>
      <c r="I170" s="136">
        <v>166004754</v>
      </c>
      <c r="J170" s="137">
        <v>30</v>
      </c>
      <c r="K170" s="137">
        <f>N170+O170+P170</f>
        <v>26.6964</v>
      </c>
      <c r="L170" s="137">
        <f>Q170+R170</f>
        <v>3.2036</v>
      </c>
      <c r="M170" s="137">
        <f>IF(J170=K170+L170,0,Y170)</f>
        <v>0.1</v>
      </c>
      <c r="N170" s="138">
        <v>0</v>
      </c>
      <c r="O170" s="137">
        <v>26.6964</v>
      </c>
      <c r="P170" s="137">
        <v>0</v>
      </c>
      <c r="Q170" s="137">
        <v>0</v>
      </c>
      <c r="R170" s="137">
        <v>3.2036</v>
      </c>
      <c r="S170" s="138">
        <v>26.6964</v>
      </c>
      <c r="T170" s="137">
        <v>29.9</v>
      </c>
      <c r="U170" s="137">
        <v>0</v>
      </c>
      <c r="V170" s="137">
        <v>0</v>
      </c>
      <c r="W170" s="137">
        <v>0</v>
      </c>
      <c r="X170" s="137">
        <v>0</v>
      </c>
      <c r="Y170" s="137">
        <v>0.1</v>
      </c>
      <c r="Z170" s="138">
        <v>30</v>
      </c>
      <c r="AA170" s="137">
        <v>0</v>
      </c>
      <c r="AB170" s="137">
        <v>0</v>
      </c>
      <c r="AC170" s="137"/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106</v>
      </c>
      <c r="G171" s="134">
        <v>46132</v>
      </c>
      <c r="H171" s="135">
        <v>0.5726388888888889</v>
      </c>
      <c r="I171" s="136">
        <v>166004755</v>
      </c>
      <c r="J171" s="137">
        <v>14</v>
      </c>
      <c r="K171" s="137">
        <f>N171+O171+P171</f>
        <v>12.0537</v>
      </c>
      <c r="L171" s="137">
        <f>Q171+R171</f>
        <v>1.4463</v>
      </c>
      <c r="M171" s="137">
        <f>IF(J171=K171+L171,0,Y171)</f>
        <v>0.5</v>
      </c>
      <c r="N171" s="138">
        <v>0</v>
      </c>
      <c r="O171" s="137">
        <v>12.0537</v>
      </c>
      <c r="P171" s="137">
        <v>0</v>
      </c>
      <c r="Q171" s="137">
        <v>0</v>
      </c>
      <c r="R171" s="137">
        <v>1.4463</v>
      </c>
      <c r="S171" s="138">
        <v>12.0537</v>
      </c>
      <c r="T171" s="137">
        <v>13.5</v>
      </c>
      <c r="U171" s="137">
        <v>0</v>
      </c>
      <c r="V171" s="137">
        <v>0</v>
      </c>
      <c r="W171" s="137">
        <v>0</v>
      </c>
      <c r="X171" s="137">
        <v>0</v>
      </c>
      <c r="Y171" s="137">
        <v>0.5</v>
      </c>
      <c r="Z171" s="138">
        <v>14</v>
      </c>
      <c r="AA171" s="137">
        <v>0</v>
      </c>
      <c r="AB171" s="137">
        <v>0</v>
      </c>
      <c r="AC171" s="137"/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106</v>
      </c>
      <c r="G172" s="134">
        <v>46132</v>
      </c>
      <c r="H172" s="135">
        <v>0.5753125</v>
      </c>
      <c r="I172" s="136">
        <v>166004756</v>
      </c>
      <c r="J172" s="137">
        <v>327</v>
      </c>
      <c r="K172" s="137">
        <f>N172+O172+P172</f>
        <v>281.5328</v>
      </c>
      <c r="L172" s="137">
        <f>Q172+R172</f>
        <v>45.7072</v>
      </c>
      <c r="M172" s="137">
        <f>IF(J172=K172+L172,0,Y172)</f>
        <v>-0.24</v>
      </c>
      <c r="N172" s="138">
        <v>132.4794</v>
      </c>
      <c r="O172" s="137">
        <v>149.0534</v>
      </c>
      <c r="P172" s="137">
        <v>0</v>
      </c>
      <c r="Q172" s="137">
        <v>27.8206</v>
      </c>
      <c r="R172" s="137">
        <v>17.8866</v>
      </c>
      <c r="S172" s="138">
        <v>281.5328</v>
      </c>
      <c r="T172" s="137">
        <v>327.24</v>
      </c>
      <c r="U172" s="137">
        <v>0</v>
      </c>
      <c r="V172" s="137">
        <v>0</v>
      </c>
      <c r="W172" s="137">
        <v>0</v>
      </c>
      <c r="X172" s="137">
        <v>0</v>
      </c>
      <c r="Y172" s="137">
        <v>-0.24</v>
      </c>
      <c r="Z172" s="138">
        <v>500</v>
      </c>
      <c r="AA172" s="137">
        <v>0</v>
      </c>
      <c r="AB172" s="137">
        <v>0</v>
      </c>
      <c r="AC172" s="137"/>
      <c r="AD172" s="137">
        <v>0</v>
      </c>
      <c r="AE172" s="139">
        <v>-173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106</v>
      </c>
      <c r="G173" s="134">
        <v>46132</v>
      </c>
      <c r="H173" s="135">
        <v>0.575787037037037</v>
      </c>
      <c r="I173" s="136">
        <v>166004757</v>
      </c>
      <c r="J173" s="137">
        <v>90.3</v>
      </c>
      <c r="K173" s="137">
        <f>N173+O173+P173</f>
        <v>80.6251</v>
      </c>
      <c r="L173" s="137">
        <f>Q173+R173</f>
        <v>9.6749</v>
      </c>
      <c r="M173" s="137">
        <f>IF(J173=K173+L173,0,Y173)</f>
        <v>0</v>
      </c>
      <c r="N173" s="138">
        <v>0</v>
      </c>
      <c r="O173" s="137">
        <v>80.6251</v>
      </c>
      <c r="P173" s="137">
        <v>0</v>
      </c>
      <c r="Q173" s="137">
        <v>0</v>
      </c>
      <c r="R173" s="137">
        <v>9.6749</v>
      </c>
      <c r="S173" s="138">
        <v>80.6251</v>
      </c>
      <c r="T173" s="137">
        <v>90.3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90.3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106</v>
      </c>
      <c r="G174" s="134">
        <v>46132</v>
      </c>
      <c r="H174" s="135">
        <v>0.5762847222222223</v>
      </c>
      <c r="I174" s="136">
        <v>166004758</v>
      </c>
      <c r="J174" s="137">
        <v>11</v>
      </c>
      <c r="K174" s="137">
        <f>N174+O174+P174</f>
        <v>9.7321</v>
      </c>
      <c r="L174" s="137">
        <f>Q174+R174</f>
        <v>1.1679</v>
      </c>
      <c r="M174" s="137">
        <f>IF(J174=K174+L174,0,Y174)</f>
        <v>0.1</v>
      </c>
      <c r="N174" s="138">
        <v>0</v>
      </c>
      <c r="O174" s="137">
        <v>9.7321</v>
      </c>
      <c r="P174" s="137">
        <v>0</v>
      </c>
      <c r="Q174" s="137">
        <v>0</v>
      </c>
      <c r="R174" s="137">
        <v>1.1679</v>
      </c>
      <c r="S174" s="138">
        <v>9.7321</v>
      </c>
      <c r="T174" s="137">
        <v>10.9</v>
      </c>
      <c r="U174" s="137">
        <v>0</v>
      </c>
      <c r="V174" s="137">
        <v>0</v>
      </c>
      <c r="W174" s="137">
        <v>0</v>
      </c>
      <c r="X174" s="137">
        <v>0</v>
      </c>
      <c r="Y174" s="137">
        <v>0.1</v>
      </c>
      <c r="Z174" s="138">
        <v>20</v>
      </c>
      <c r="AA174" s="137">
        <v>0</v>
      </c>
      <c r="AB174" s="137">
        <v>0</v>
      </c>
      <c r="AC174" s="137"/>
      <c r="AD174" s="137">
        <v>0</v>
      </c>
      <c r="AE174" s="139">
        <v>-9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106</v>
      </c>
      <c r="G175" s="134">
        <v>46132</v>
      </c>
      <c r="H175" s="135">
        <v>0.5765972222222222</v>
      </c>
      <c r="I175" s="136">
        <v>166004759</v>
      </c>
      <c r="J175" s="137">
        <v>65</v>
      </c>
      <c r="K175" s="137">
        <f>N175+O175+P175</f>
        <v>58.3929</v>
      </c>
      <c r="L175" s="137">
        <f>Q175+R175</f>
        <v>7.0071</v>
      </c>
      <c r="M175" s="137">
        <f>IF(J175=K175+L175,0,Y175)</f>
        <v>-0.4</v>
      </c>
      <c r="N175" s="138">
        <v>0</v>
      </c>
      <c r="O175" s="137">
        <v>58.3929</v>
      </c>
      <c r="P175" s="137">
        <v>0</v>
      </c>
      <c r="Q175" s="137">
        <v>0</v>
      </c>
      <c r="R175" s="137">
        <v>7.0071</v>
      </c>
      <c r="S175" s="138">
        <v>58.3929</v>
      </c>
      <c r="T175" s="137">
        <v>65.4</v>
      </c>
      <c r="U175" s="137">
        <v>0</v>
      </c>
      <c r="V175" s="137">
        <v>0</v>
      </c>
      <c r="W175" s="137">
        <v>0</v>
      </c>
      <c r="X175" s="137">
        <v>0</v>
      </c>
      <c r="Y175" s="137">
        <v>-0.4</v>
      </c>
      <c r="Z175" s="138">
        <v>65</v>
      </c>
      <c r="AA175" s="137">
        <v>0</v>
      </c>
      <c r="AB175" s="137">
        <v>0</v>
      </c>
      <c r="AC175" s="137"/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106</v>
      </c>
      <c r="G176" s="134">
        <v>46132</v>
      </c>
      <c r="H176" s="135">
        <v>0.5778009259259259</v>
      </c>
      <c r="I176" s="136">
        <v>166004760</v>
      </c>
      <c r="J176" s="137">
        <v>354.3</v>
      </c>
      <c r="K176" s="137">
        <f>N176+O176+P176</f>
        <v>316.3391</v>
      </c>
      <c r="L176" s="137">
        <f>Q176+R176</f>
        <v>37.9609</v>
      </c>
      <c r="M176" s="137">
        <f>IF(J176=K176+L176,0,Y176)</f>
        <v>0</v>
      </c>
      <c r="N176" s="138">
        <v>0</v>
      </c>
      <c r="O176" s="137">
        <v>316.3391</v>
      </c>
      <c r="P176" s="137">
        <v>0</v>
      </c>
      <c r="Q176" s="137">
        <v>0</v>
      </c>
      <c r="R176" s="137">
        <v>37.9609</v>
      </c>
      <c r="S176" s="138">
        <v>316.3391</v>
      </c>
      <c r="T176" s="137">
        <v>354.3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354.3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106</v>
      </c>
      <c r="G177" s="134">
        <v>46132</v>
      </c>
      <c r="H177" s="135">
        <v>0.5784837962962963</v>
      </c>
      <c r="I177" s="136">
        <v>166004761</v>
      </c>
      <c r="J177" s="137">
        <v>141.55</v>
      </c>
      <c r="K177" s="137">
        <f>N177+O177+P177</f>
        <v>125.6274</v>
      </c>
      <c r="L177" s="137">
        <f>Q177+R177</f>
        <v>15.922600000000001</v>
      </c>
      <c r="M177" s="137">
        <f>IF(J177=K177+L177,0,Y177)</f>
        <v>0</v>
      </c>
      <c r="N177" s="138">
        <v>9.4215</v>
      </c>
      <c r="O177" s="137">
        <v>116.2059</v>
      </c>
      <c r="P177" s="137">
        <v>0</v>
      </c>
      <c r="Q177" s="137">
        <v>1.9785</v>
      </c>
      <c r="R177" s="137">
        <v>13.9441</v>
      </c>
      <c r="S177" s="138">
        <v>125.6274</v>
      </c>
      <c r="T177" s="137">
        <v>141.55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141.55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106</v>
      </c>
      <c r="G178" s="134">
        <v>46132</v>
      </c>
      <c r="H178" s="135">
        <v>0.5787847222222222</v>
      </c>
      <c r="I178" s="136">
        <v>166004762</v>
      </c>
      <c r="J178" s="137">
        <v>95.4</v>
      </c>
      <c r="K178" s="137">
        <f>N178+O178+P178</f>
        <v>78.843</v>
      </c>
      <c r="L178" s="137">
        <f>Q178+R178</f>
        <v>16.557</v>
      </c>
      <c r="M178" s="137">
        <f>IF(J178=K178+L178,0,Y178)</f>
        <v>0</v>
      </c>
      <c r="N178" s="138">
        <v>78.843</v>
      </c>
      <c r="O178" s="137">
        <v>0</v>
      </c>
      <c r="P178" s="137">
        <v>0</v>
      </c>
      <c r="Q178" s="137">
        <v>16.557</v>
      </c>
      <c r="R178" s="137">
        <v>0</v>
      </c>
      <c r="S178" s="138">
        <v>78.843</v>
      </c>
      <c r="T178" s="137">
        <v>95.4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95.4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106</v>
      </c>
      <c r="G179" s="134">
        <v>46132</v>
      </c>
      <c r="H179" s="135">
        <v>0.5795601851851852</v>
      </c>
      <c r="I179" s="136">
        <v>166004763</v>
      </c>
      <c r="J179" s="137">
        <v>102.6</v>
      </c>
      <c r="K179" s="137">
        <f>N179+O179+P179</f>
        <v>86.6463</v>
      </c>
      <c r="L179" s="137">
        <f>Q179+R179</f>
        <v>15.9537</v>
      </c>
      <c r="M179" s="137">
        <f>IF(J179=K179+L179,0,Y179)</f>
        <v>0</v>
      </c>
      <c r="N179" s="138">
        <v>61.7356</v>
      </c>
      <c r="O179" s="137">
        <v>24.9107</v>
      </c>
      <c r="P179" s="137">
        <v>0</v>
      </c>
      <c r="Q179" s="137">
        <v>12.9644</v>
      </c>
      <c r="R179" s="137">
        <v>2.9893</v>
      </c>
      <c r="S179" s="138">
        <v>86.6463</v>
      </c>
      <c r="T179" s="137">
        <v>102.6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102.6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107</v>
      </c>
      <c r="F180" s="133" t="s">
        <v>106</v>
      </c>
      <c r="G180" s="134">
        <v>46132</v>
      </c>
      <c r="H180" s="135">
        <v>0.5801736111111111</v>
      </c>
      <c r="I180" s="136">
        <v>166004764</v>
      </c>
      <c r="J180" s="137">
        <v>11</v>
      </c>
      <c r="K180" s="137">
        <f>N180+O180+P180</f>
        <v>9.5357</v>
      </c>
      <c r="L180" s="137">
        <f>Q180+R180</f>
        <v>1.1443</v>
      </c>
      <c r="M180" s="137">
        <f>IF(J180=K180+L180,0,Y180)</f>
        <v>0.32</v>
      </c>
      <c r="N180" s="138">
        <v>0</v>
      </c>
      <c r="O180" s="137">
        <v>9.5357</v>
      </c>
      <c r="P180" s="137">
        <v>0</v>
      </c>
      <c r="Q180" s="137">
        <v>0</v>
      </c>
      <c r="R180" s="137">
        <v>1.1443</v>
      </c>
      <c r="S180" s="138">
        <v>9.5357</v>
      </c>
      <c r="T180" s="137">
        <v>10.68</v>
      </c>
      <c r="U180" s="137">
        <v>0</v>
      </c>
      <c r="V180" s="137">
        <v>0</v>
      </c>
      <c r="W180" s="137">
        <v>0</v>
      </c>
      <c r="X180" s="137">
        <v>0</v>
      </c>
      <c r="Y180" s="137">
        <v>0.32</v>
      </c>
      <c r="Z180" s="138">
        <v>11</v>
      </c>
      <c r="AA180" s="137">
        <v>0</v>
      </c>
      <c r="AB180" s="137">
        <v>0</v>
      </c>
      <c r="AC180" s="137"/>
      <c r="AD180" s="137">
        <v>0</v>
      </c>
      <c r="AE180" s="139">
        <v>0</v>
      </c>
      <c r="AF180" s="56">
        <v>2.9144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107</v>
      </c>
      <c r="F181" s="133" t="s">
        <v>113</v>
      </c>
      <c r="G181" s="134">
        <v>46132</v>
      </c>
      <c r="H181" s="135">
        <v>0.6248726851851852</v>
      </c>
      <c r="I181" s="136">
        <v>166004765</v>
      </c>
      <c r="J181" s="137">
        <v>176.31</v>
      </c>
      <c r="K181" s="137">
        <f>N181+O181+P181</f>
        <v>157.4197</v>
      </c>
      <c r="L181" s="137">
        <f>Q181+R181</f>
        <v>18.8903</v>
      </c>
      <c r="M181" s="137">
        <f>IF(J181=K181+L181,0,Y181)</f>
        <v>0</v>
      </c>
      <c r="N181" s="138">
        <v>0</v>
      </c>
      <c r="O181" s="137">
        <v>157.4197</v>
      </c>
      <c r="P181" s="137">
        <v>0</v>
      </c>
      <c r="Q181" s="137">
        <v>0</v>
      </c>
      <c r="R181" s="137">
        <v>18.8903</v>
      </c>
      <c r="S181" s="138">
        <v>157.4197</v>
      </c>
      <c r="T181" s="137">
        <v>176.31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176.31</v>
      </c>
      <c r="AC181" s="137">
        <v>0</v>
      </c>
      <c r="AD181" s="137">
        <v>0</v>
      </c>
      <c r="AE181" s="139">
        <v>0</v>
      </c>
      <c r="AF181" s="56">
        <v>35.49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107</v>
      </c>
      <c r="F182" s="133" t="s">
        <v>113</v>
      </c>
      <c r="G182" s="134">
        <v>46132</v>
      </c>
      <c r="H182" s="135">
        <v>0.6257060185185185</v>
      </c>
      <c r="I182" s="136">
        <v>166004766</v>
      </c>
      <c r="J182" s="137">
        <v>317.66</v>
      </c>
      <c r="K182" s="137">
        <f>N182+O182+P182</f>
        <v>265.7873</v>
      </c>
      <c r="L182" s="137">
        <f>Q182+R182</f>
        <v>51.8727</v>
      </c>
      <c r="M182" s="137">
        <f>IF(J182=K182+L182,0,Y182)</f>
        <v>0</v>
      </c>
      <c r="N182" s="138">
        <v>221.9837</v>
      </c>
      <c r="O182" s="137">
        <v>43.8036</v>
      </c>
      <c r="P182" s="137">
        <v>0</v>
      </c>
      <c r="Q182" s="137">
        <v>46.6163</v>
      </c>
      <c r="R182" s="137">
        <v>5.2564</v>
      </c>
      <c r="S182" s="138">
        <v>265.7873</v>
      </c>
      <c r="T182" s="137">
        <v>317.66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8">
        <v>0</v>
      </c>
      <c r="AA182" s="137">
        <v>0</v>
      </c>
      <c r="AB182" s="137">
        <v>317.66</v>
      </c>
      <c r="AC182" s="137">
        <v>0</v>
      </c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107</v>
      </c>
      <c r="F183" s="133" t="s">
        <v>113</v>
      </c>
      <c r="G183" s="134">
        <v>46132</v>
      </c>
      <c r="H183" s="135">
        <v>0.626724537037037</v>
      </c>
      <c r="I183" s="136">
        <v>166004767</v>
      </c>
      <c r="J183" s="137">
        <v>352</v>
      </c>
      <c r="K183" s="137">
        <f>N183+O183+P183</f>
        <v>311.5029</v>
      </c>
      <c r="L183" s="137">
        <f>Q183+R183</f>
        <v>40.4971</v>
      </c>
      <c r="M183" s="137">
        <f>IF(J183=K183+L183,0,Y183)</f>
        <v>0</v>
      </c>
      <c r="N183" s="138">
        <v>34.6281</v>
      </c>
      <c r="O183" s="137">
        <v>276.8748</v>
      </c>
      <c r="P183" s="137">
        <v>0</v>
      </c>
      <c r="Q183" s="137">
        <v>7.2719</v>
      </c>
      <c r="R183" s="137">
        <v>33.2252</v>
      </c>
      <c r="S183" s="138">
        <v>311.5029</v>
      </c>
      <c r="T183" s="137">
        <v>352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352</v>
      </c>
      <c r="AC183" s="137">
        <v>0</v>
      </c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107</v>
      </c>
      <c r="F184" s="133" t="s">
        <v>113</v>
      </c>
      <c r="G184" s="134">
        <v>46132</v>
      </c>
      <c r="H184" s="135">
        <v>0.6287384259259259</v>
      </c>
      <c r="I184" s="136">
        <v>166004768</v>
      </c>
      <c r="J184" s="137">
        <v>570.9</v>
      </c>
      <c r="K184" s="137">
        <f>N184+O184+P184</f>
        <v>493.7538</v>
      </c>
      <c r="L184" s="137">
        <f>Q184+R184</f>
        <v>77.1462</v>
      </c>
      <c r="M184" s="137">
        <f>IF(J184=K184+L184,0,Y184)</f>
        <v>0</v>
      </c>
      <c r="N184" s="138">
        <v>198.8429</v>
      </c>
      <c r="O184" s="137">
        <v>294.9109</v>
      </c>
      <c r="P184" s="137">
        <v>0</v>
      </c>
      <c r="Q184" s="137">
        <v>41.7571</v>
      </c>
      <c r="R184" s="137">
        <v>35.3891</v>
      </c>
      <c r="S184" s="138">
        <v>493.7538</v>
      </c>
      <c r="T184" s="137">
        <v>570.9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570.9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107</v>
      </c>
      <c r="F185" s="133" t="s">
        <v>113</v>
      </c>
      <c r="G185" s="134">
        <v>46132</v>
      </c>
      <c r="H185" s="135">
        <v>0.6292824074074074</v>
      </c>
      <c r="I185" s="136">
        <v>166004769</v>
      </c>
      <c r="J185" s="137">
        <v>68</v>
      </c>
      <c r="K185" s="137">
        <f>N185+O185+P185</f>
        <v>60.4465</v>
      </c>
      <c r="L185" s="137">
        <f>Q185+R185</f>
        <v>7.2535</v>
      </c>
      <c r="M185" s="137">
        <f>IF(J185=K185+L185,0,Y185)</f>
        <v>0.3</v>
      </c>
      <c r="N185" s="138">
        <v>0</v>
      </c>
      <c r="O185" s="137">
        <v>60.4465</v>
      </c>
      <c r="P185" s="137">
        <v>0</v>
      </c>
      <c r="Q185" s="137">
        <v>0</v>
      </c>
      <c r="R185" s="137">
        <v>7.2535</v>
      </c>
      <c r="S185" s="138">
        <v>60.4465</v>
      </c>
      <c r="T185" s="137">
        <v>67.7</v>
      </c>
      <c r="U185" s="137">
        <v>0</v>
      </c>
      <c r="V185" s="137">
        <v>0</v>
      </c>
      <c r="W185" s="137">
        <v>0</v>
      </c>
      <c r="X185" s="137">
        <v>0</v>
      </c>
      <c r="Y185" s="137">
        <v>0.3</v>
      </c>
      <c r="Z185" s="138">
        <v>70</v>
      </c>
      <c r="AA185" s="137">
        <v>0</v>
      </c>
      <c r="AB185" s="137">
        <v>0</v>
      </c>
      <c r="AC185" s="137"/>
      <c r="AD185" s="137">
        <v>0</v>
      </c>
      <c r="AE185" s="139">
        <v>-2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107</v>
      </c>
      <c r="F186" s="133" t="s">
        <v>113</v>
      </c>
      <c r="G186" s="134">
        <v>46132</v>
      </c>
      <c r="H186" s="135">
        <v>0.6299652777777778</v>
      </c>
      <c r="I186" s="136">
        <v>166004770</v>
      </c>
      <c r="J186" s="137">
        <v>233</v>
      </c>
      <c r="K186" s="137">
        <f>N186+O186+P186</f>
        <v>205.5275</v>
      </c>
      <c r="L186" s="137">
        <f>Q186+R186</f>
        <v>27.7725</v>
      </c>
      <c r="M186" s="137">
        <f>IF(J186=K186+L186,0,Y186)</f>
        <v>-0.3</v>
      </c>
      <c r="N186" s="138">
        <v>34.5454</v>
      </c>
      <c r="O186" s="137">
        <v>170.9821</v>
      </c>
      <c r="P186" s="137">
        <v>0</v>
      </c>
      <c r="Q186" s="137">
        <v>7.2546</v>
      </c>
      <c r="R186" s="137">
        <v>20.5179</v>
      </c>
      <c r="S186" s="138">
        <v>205.5275</v>
      </c>
      <c r="T186" s="137">
        <v>233.3</v>
      </c>
      <c r="U186" s="137">
        <v>0</v>
      </c>
      <c r="V186" s="137">
        <v>0</v>
      </c>
      <c r="W186" s="137">
        <v>0</v>
      </c>
      <c r="X186" s="137">
        <v>0</v>
      </c>
      <c r="Y186" s="137">
        <v>-0.3</v>
      </c>
      <c r="Z186" s="138">
        <v>233</v>
      </c>
      <c r="AA186" s="137">
        <v>0</v>
      </c>
      <c r="AB186" s="137">
        <v>0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107</v>
      </c>
      <c r="F187" s="133" t="s">
        <v>113</v>
      </c>
      <c r="G187" s="134">
        <v>46132</v>
      </c>
      <c r="H187" s="135">
        <v>0.6304861111111111</v>
      </c>
      <c r="I187" s="136">
        <v>166004771</v>
      </c>
      <c r="J187" s="137">
        <v>150.3</v>
      </c>
      <c r="K187" s="137">
        <f>N187+O187+P187</f>
        <v>129.9727</v>
      </c>
      <c r="L187" s="137">
        <f>Q187+R187</f>
        <v>20.3273</v>
      </c>
      <c r="M187" s="137">
        <f>IF(J187=K187+L187,0,Y187)</f>
        <v>0</v>
      </c>
      <c r="N187" s="138">
        <v>52.562</v>
      </c>
      <c r="O187" s="137">
        <v>77.4107</v>
      </c>
      <c r="P187" s="137">
        <v>0</v>
      </c>
      <c r="Q187" s="137">
        <v>11.038</v>
      </c>
      <c r="R187" s="137">
        <v>9.2893</v>
      </c>
      <c r="S187" s="138">
        <v>129.9727</v>
      </c>
      <c r="T187" s="137">
        <v>150.3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150.3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107</v>
      </c>
      <c r="F188" s="133" t="s">
        <v>113</v>
      </c>
      <c r="G188" s="134">
        <v>46132</v>
      </c>
      <c r="H188" s="135">
        <v>0.6319560185185186</v>
      </c>
      <c r="I188" s="136">
        <v>166004772</v>
      </c>
      <c r="J188" s="137">
        <v>421</v>
      </c>
      <c r="K188" s="137">
        <f>N188+O188+P188</f>
        <v>368.55219999999997</v>
      </c>
      <c r="L188" s="137">
        <f>Q188+R188</f>
        <v>52.147800000000004</v>
      </c>
      <c r="M188" s="137">
        <f>IF(J188=K188+L188,0,Y188)</f>
        <v>0.3</v>
      </c>
      <c r="N188" s="138">
        <v>88.0164</v>
      </c>
      <c r="O188" s="137">
        <v>280.5358</v>
      </c>
      <c r="P188" s="137">
        <v>0</v>
      </c>
      <c r="Q188" s="137">
        <v>18.4836</v>
      </c>
      <c r="R188" s="137">
        <v>33.6642</v>
      </c>
      <c r="S188" s="138">
        <v>368.5522</v>
      </c>
      <c r="T188" s="137">
        <v>420.7</v>
      </c>
      <c r="U188" s="137">
        <v>0</v>
      </c>
      <c r="V188" s="137">
        <v>0</v>
      </c>
      <c r="W188" s="137">
        <v>0</v>
      </c>
      <c r="X188" s="137">
        <v>0</v>
      </c>
      <c r="Y188" s="137">
        <v>0.3</v>
      </c>
      <c r="Z188" s="138">
        <v>500</v>
      </c>
      <c r="AA188" s="137">
        <v>0</v>
      </c>
      <c r="AB188" s="137">
        <v>0</v>
      </c>
      <c r="AC188" s="137"/>
      <c r="AD188" s="137">
        <v>0</v>
      </c>
      <c r="AE188" s="139">
        <v>-79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107</v>
      </c>
      <c r="F189" s="133" t="s">
        <v>113</v>
      </c>
      <c r="G189" s="134">
        <v>46132</v>
      </c>
      <c r="H189" s="135">
        <v>0.6326273148148148</v>
      </c>
      <c r="I189" s="136">
        <v>166004773</v>
      </c>
      <c r="J189" s="137">
        <v>59</v>
      </c>
      <c r="K189" s="137">
        <f>N189+O189+P189</f>
        <v>52.3751</v>
      </c>
      <c r="L189" s="137">
        <f>Q189+R189</f>
        <v>6.2849</v>
      </c>
      <c r="M189" s="137">
        <f>IF(J189=K189+L189,0,Y189)</f>
        <v>0.34</v>
      </c>
      <c r="N189" s="138">
        <v>0</v>
      </c>
      <c r="O189" s="137">
        <v>52.3751</v>
      </c>
      <c r="P189" s="137">
        <v>0</v>
      </c>
      <c r="Q189" s="137">
        <v>0</v>
      </c>
      <c r="R189" s="137">
        <v>6.2849</v>
      </c>
      <c r="S189" s="138">
        <v>52.3751</v>
      </c>
      <c r="T189" s="137">
        <v>58.66</v>
      </c>
      <c r="U189" s="137">
        <v>0</v>
      </c>
      <c r="V189" s="137">
        <v>0</v>
      </c>
      <c r="W189" s="137">
        <v>0</v>
      </c>
      <c r="X189" s="137">
        <v>0</v>
      </c>
      <c r="Y189" s="137">
        <v>0.34</v>
      </c>
      <c r="Z189" s="138">
        <v>59</v>
      </c>
      <c r="AA189" s="137">
        <v>0</v>
      </c>
      <c r="AB189" s="137">
        <v>0</v>
      </c>
      <c r="AC189" s="137"/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107</v>
      </c>
      <c r="F190" s="133" t="s">
        <v>113</v>
      </c>
      <c r="G190" s="134">
        <v>46132</v>
      </c>
      <c r="H190" s="135">
        <v>0.6329282407407407</v>
      </c>
      <c r="I190" s="136">
        <v>166004774</v>
      </c>
      <c r="J190" s="137">
        <v>60</v>
      </c>
      <c r="K190" s="137">
        <f>N190+O190+P190</f>
        <v>51.73909999999999</v>
      </c>
      <c r="L190" s="137">
        <f>Q190+R190</f>
        <v>8.0609</v>
      </c>
      <c r="M190" s="137">
        <f>IF(J190=K190+L190,0,Y190)</f>
        <v>0.2</v>
      </c>
      <c r="N190" s="138">
        <v>20.5785</v>
      </c>
      <c r="O190" s="137">
        <v>31.1606</v>
      </c>
      <c r="P190" s="137">
        <v>0</v>
      </c>
      <c r="Q190" s="137">
        <v>4.3215</v>
      </c>
      <c r="R190" s="137">
        <v>3.7394</v>
      </c>
      <c r="S190" s="138">
        <v>51.7391</v>
      </c>
      <c r="T190" s="137">
        <v>59.8</v>
      </c>
      <c r="U190" s="137">
        <v>0</v>
      </c>
      <c r="V190" s="137">
        <v>0</v>
      </c>
      <c r="W190" s="137">
        <v>0</v>
      </c>
      <c r="X190" s="137">
        <v>0</v>
      </c>
      <c r="Y190" s="137">
        <v>0.2</v>
      </c>
      <c r="Z190" s="138">
        <v>200</v>
      </c>
      <c r="AA190" s="137">
        <v>0</v>
      </c>
      <c r="AB190" s="137">
        <v>0</v>
      </c>
      <c r="AC190" s="137"/>
      <c r="AD190" s="137">
        <v>0</v>
      </c>
      <c r="AE190" s="139">
        <v>-140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107</v>
      </c>
      <c r="F191" s="133" t="s">
        <v>113</v>
      </c>
      <c r="G191" s="134">
        <v>46132</v>
      </c>
      <c r="H191" s="135">
        <v>0.6335416666666667</v>
      </c>
      <c r="I191" s="136">
        <v>166004775</v>
      </c>
      <c r="J191" s="137">
        <v>190</v>
      </c>
      <c r="K191" s="137">
        <f>N191+O191+P191</f>
        <v>159.0031</v>
      </c>
      <c r="L191" s="137">
        <f>Q191+R191</f>
        <v>31.1969</v>
      </c>
      <c r="M191" s="137">
        <f>IF(J191=K191+L191,0,Y191)</f>
        <v>-0.2</v>
      </c>
      <c r="N191" s="138">
        <v>134.6281</v>
      </c>
      <c r="O191" s="137">
        <v>24.375</v>
      </c>
      <c r="P191" s="137">
        <v>0</v>
      </c>
      <c r="Q191" s="137">
        <v>28.2719</v>
      </c>
      <c r="R191" s="137">
        <v>2.925</v>
      </c>
      <c r="S191" s="138">
        <v>159.0031</v>
      </c>
      <c r="T191" s="137">
        <v>190.2</v>
      </c>
      <c r="U191" s="137">
        <v>0</v>
      </c>
      <c r="V191" s="137">
        <v>0</v>
      </c>
      <c r="W191" s="137">
        <v>0</v>
      </c>
      <c r="X191" s="137">
        <v>0</v>
      </c>
      <c r="Y191" s="137">
        <v>-0.2</v>
      </c>
      <c r="Z191" s="138">
        <v>200</v>
      </c>
      <c r="AA191" s="137">
        <v>0</v>
      </c>
      <c r="AB191" s="137">
        <v>0</v>
      </c>
      <c r="AC191" s="137"/>
      <c r="AD191" s="137">
        <v>0</v>
      </c>
      <c r="AE191" s="139">
        <v>-10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107</v>
      </c>
      <c r="F192" s="133" t="s">
        <v>113</v>
      </c>
      <c r="G192" s="134">
        <v>46132</v>
      </c>
      <c r="H192" s="135">
        <v>0.6358912037037037</v>
      </c>
      <c r="I192" s="136">
        <v>166004776</v>
      </c>
      <c r="J192" s="137">
        <v>153</v>
      </c>
      <c r="K192" s="137">
        <f>N192+O192+P192</f>
        <v>136.25</v>
      </c>
      <c r="L192" s="137">
        <f>Q192+R192</f>
        <v>16.35</v>
      </c>
      <c r="M192" s="137">
        <f>IF(J192=K192+L192,0,Y192)</f>
        <v>0.4</v>
      </c>
      <c r="N192" s="138">
        <v>0</v>
      </c>
      <c r="O192" s="137">
        <v>136.25</v>
      </c>
      <c r="P192" s="137">
        <v>0</v>
      </c>
      <c r="Q192" s="137">
        <v>0</v>
      </c>
      <c r="R192" s="137">
        <v>16.35</v>
      </c>
      <c r="S192" s="138">
        <v>136.25</v>
      </c>
      <c r="T192" s="137">
        <v>152.6</v>
      </c>
      <c r="U192" s="137">
        <v>0</v>
      </c>
      <c r="V192" s="137">
        <v>0</v>
      </c>
      <c r="W192" s="137">
        <v>0</v>
      </c>
      <c r="X192" s="137">
        <v>0</v>
      </c>
      <c r="Y192" s="137">
        <v>0.4</v>
      </c>
      <c r="Z192" s="138">
        <v>155</v>
      </c>
      <c r="AA192" s="137">
        <v>0</v>
      </c>
      <c r="AB192" s="137">
        <v>0</v>
      </c>
      <c r="AC192" s="137"/>
      <c r="AD192" s="137">
        <v>0</v>
      </c>
      <c r="AE192" s="139">
        <v>-2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107</v>
      </c>
      <c r="F193" s="133" t="s">
        <v>113</v>
      </c>
      <c r="G193" s="134">
        <v>46132</v>
      </c>
      <c r="H193" s="135">
        <v>0.6369675925925926</v>
      </c>
      <c r="I193" s="136">
        <v>166004777</v>
      </c>
      <c r="J193" s="137">
        <v>219.67</v>
      </c>
      <c r="K193" s="137">
        <f>N193+O193+P193</f>
        <v>196.1339</v>
      </c>
      <c r="L193" s="137">
        <f>Q193+R193</f>
        <v>23.5361</v>
      </c>
      <c r="M193" s="137">
        <f>IF(J193=K193+L193,0,Y193)</f>
        <v>0</v>
      </c>
      <c r="N193" s="138">
        <v>0</v>
      </c>
      <c r="O193" s="137">
        <v>196.1339</v>
      </c>
      <c r="P193" s="137">
        <v>0</v>
      </c>
      <c r="Q193" s="137">
        <v>0</v>
      </c>
      <c r="R193" s="137">
        <v>23.5361</v>
      </c>
      <c r="S193" s="138">
        <v>196.1339</v>
      </c>
      <c r="T193" s="137">
        <v>219.67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219.67</v>
      </c>
      <c r="AC193" s="137">
        <v>0</v>
      </c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107</v>
      </c>
      <c r="F194" s="133" t="s">
        <v>113</v>
      </c>
      <c r="G194" s="134">
        <v>46132</v>
      </c>
      <c r="H194" s="135">
        <v>0.6382291666666666</v>
      </c>
      <c r="I194" s="136">
        <v>166004778</v>
      </c>
      <c r="J194" s="137">
        <v>705.07</v>
      </c>
      <c r="K194" s="137">
        <f>N194+O194+P194</f>
        <v>595.1327</v>
      </c>
      <c r="L194" s="137">
        <f>Q194+R194</f>
        <v>109.9373</v>
      </c>
      <c r="M194" s="137">
        <f>IF(J194=K194+L194,0,Y194)</f>
        <v>0</v>
      </c>
      <c r="N194" s="138">
        <v>428.0166</v>
      </c>
      <c r="O194" s="137">
        <v>167.1161</v>
      </c>
      <c r="P194" s="137">
        <v>0</v>
      </c>
      <c r="Q194" s="137">
        <v>89.8834</v>
      </c>
      <c r="R194" s="137">
        <v>20.0539</v>
      </c>
      <c r="S194" s="138">
        <v>595.1327</v>
      </c>
      <c r="T194" s="137">
        <v>705.07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705.07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107</v>
      </c>
      <c r="F195" s="133" t="s">
        <v>113</v>
      </c>
      <c r="G195" s="134">
        <v>46132</v>
      </c>
      <c r="H195" s="135">
        <v>0.6385532407407407</v>
      </c>
      <c r="I195" s="136">
        <v>166004779</v>
      </c>
      <c r="J195" s="137">
        <v>168.33</v>
      </c>
      <c r="K195" s="137">
        <f>N195+O195+P195</f>
        <v>150.2946</v>
      </c>
      <c r="L195" s="137">
        <f>Q195+R195</f>
        <v>18.0354</v>
      </c>
      <c r="M195" s="137">
        <f>IF(J195=K195+L195,0,Y195)</f>
        <v>0</v>
      </c>
      <c r="N195" s="138">
        <v>0</v>
      </c>
      <c r="O195" s="137">
        <v>150.2946</v>
      </c>
      <c r="P195" s="137">
        <v>0</v>
      </c>
      <c r="Q195" s="137">
        <v>0</v>
      </c>
      <c r="R195" s="137">
        <v>18.0354</v>
      </c>
      <c r="S195" s="138">
        <v>150.2946</v>
      </c>
      <c r="T195" s="137">
        <v>168.33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168.33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107</v>
      </c>
      <c r="F196" s="133" t="s">
        <v>113</v>
      </c>
      <c r="G196" s="134">
        <v>46132</v>
      </c>
      <c r="H196" s="135">
        <v>0.6393981481481481</v>
      </c>
      <c r="I196" s="136">
        <v>166004780</v>
      </c>
      <c r="J196" s="137">
        <v>23</v>
      </c>
      <c r="K196" s="137">
        <f>N196+O196+P196</f>
        <v>20.4464</v>
      </c>
      <c r="L196" s="137">
        <f>Q196+R196</f>
        <v>2.4536</v>
      </c>
      <c r="M196" s="137">
        <f>IF(J196=K196+L196,0,Y196)</f>
        <v>0.1</v>
      </c>
      <c r="N196" s="138">
        <v>0</v>
      </c>
      <c r="O196" s="137">
        <v>20.4464</v>
      </c>
      <c r="P196" s="137">
        <v>0</v>
      </c>
      <c r="Q196" s="137">
        <v>0</v>
      </c>
      <c r="R196" s="137">
        <v>2.4536</v>
      </c>
      <c r="S196" s="138">
        <v>20.4464</v>
      </c>
      <c r="T196" s="137">
        <v>22.9</v>
      </c>
      <c r="U196" s="137">
        <v>0</v>
      </c>
      <c r="V196" s="137">
        <v>0</v>
      </c>
      <c r="W196" s="137">
        <v>0</v>
      </c>
      <c r="X196" s="137">
        <v>0</v>
      </c>
      <c r="Y196" s="137">
        <v>0.1</v>
      </c>
      <c r="Z196" s="138">
        <v>24</v>
      </c>
      <c r="AA196" s="137">
        <v>0</v>
      </c>
      <c r="AB196" s="137">
        <v>0</v>
      </c>
      <c r="AC196" s="137"/>
      <c r="AD196" s="137">
        <v>0</v>
      </c>
      <c r="AE196" s="139">
        <v>-1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107</v>
      </c>
      <c r="F197" s="133" t="s">
        <v>113</v>
      </c>
      <c r="G197" s="134">
        <v>46132</v>
      </c>
      <c r="H197" s="135">
        <v>0.6398958333333333</v>
      </c>
      <c r="I197" s="136">
        <v>166004781</v>
      </c>
      <c r="J197" s="137">
        <v>91.6</v>
      </c>
      <c r="K197" s="137">
        <f>N197+O197+P197</f>
        <v>78.02019999999999</v>
      </c>
      <c r="L197" s="137">
        <f>Q197+R197</f>
        <v>13.5798</v>
      </c>
      <c r="M197" s="137">
        <f>IF(J197=K197+L197,0,Y197)</f>
        <v>0</v>
      </c>
      <c r="N197" s="138">
        <v>46.8595</v>
      </c>
      <c r="O197" s="137">
        <v>31.1607</v>
      </c>
      <c r="P197" s="137">
        <v>0</v>
      </c>
      <c r="Q197" s="137">
        <v>9.8405</v>
      </c>
      <c r="R197" s="137">
        <v>3.7393</v>
      </c>
      <c r="S197" s="138">
        <v>78.0202</v>
      </c>
      <c r="T197" s="137">
        <v>91.6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91.6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107</v>
      </c>
      <c r="F198" s="133" t="s">
        <v>113</v>
      </c>
      <c r="G198" s="134">
        <v>46132</v>
      </c>
      <c r="H198" s="135">
        <v>0.6417476851851852</v>
      </c>
      <c r="I198" s="136">
        <v>166004782</v>
      </c>
      <c r="J198" s="137">
        <v>317.3</v>
      </c>
      <c r="K198" s="137">
        <f>N198+O198+P198</f>
        <v>274.9889</v>
      </c>
      <c r="L198" s="137">
        <f>Q198+R198</f>
        <v>42.311099999999996</v>
      </c>
      <c r="M198" s="137">
        <f>IF(J198=K198+L198,0,Y198)</f>
        <v>0</v>
      </c>
      <c r="N198" s="138">
        <v>103.471</v>
      </c>
      <c r="O198" s="137">
        <v>171.5179</v>
      </c>
      <c r="P198" s="137">
        <v>0</v>
      </c>
      <c r="Q198" s="137">
        <v>21.729</v>
      </c>
      <c r="R198" s="137">
        <v>20.5821</v>
      </c>
      <c r="S198" s="138">
        <v>274.9889</v>
      </c>
      <c r="T198" s="137">
        <v>317.3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317.3</v>
      </c>
      <c r="AC198" s="137">
        <v>0</v>
      </c>
      <c r="AD198" s="137">
        <v>0</v>
      </c>
      <c r="AE198" s="139">
        <v>0</v>
      </c>
      <c r="AF198" s="56">
        <v>14.5719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107</v>
      </c>
      <c r="F199" s="133" t="s">
        <v>113</v>
      </c>
      <c r="G199" s="134">
        <v>46132</v>
      </c>
      <c r="H199" s="135">
        <v>0.6522337962962963</v>
      </c>
      <c r="I199" s="136">
        <v>166004783</v>
      </c>
      <c r="J199" s="137">
        <v>483</v>
      </c>
      <c r="K199" s="137">
        <f>N199+O199+P199</f>
        <v>399.3391</v>
      </c>
      <c r="L199" s="137">
        <f>Q199+R199</f>
        <v>83.8609</v>
      </c>
      <c r="M199" s="137">
        <f>IF(J199=K199+L199,0,Y199)</f>
        <v>-0.2</v>
      </c>
      <c r="N199" s="138">
        <v>399.3391</v>
      </c>
      <c r="O199" s="137">
        <v>0</v>
      </c>
      <c r="P199" s="137">
        <v>0</v>
      </c>
      <c r="Q199" s="137">
        <v>83.8609</v>
      </c>
      <c r="R199" s="137">
        <v>0</v>
      </c>
      <c r="S199" s="138">
        <v>399.3391</v>
      </c>
      <c r="T199" s="137">
        <v>483.2</v>
      </c>
      <c r="U199" s="137">
        <v>0</v>
      </c>
      <c r="V199" s="137">
        <v>0</v>
      </c>
      <c r="W199" s="137">
        <v>0</v>
      </c>
      <c r="X199" s="137">
        <v>0</v>
      </c>
      <c r="Y199" s="137">
        <v>-0.2</v>
      </c>
      <c r="Z199" s="138">
        <v>500</v>
      </c>
      <c r="AA199" s="137">
        <v>0</v>
      </c>
      <c r="AB199" s="137">
        <v>0</v>
      </c>
      <c r="AC199" s="137"/>
      <c r="AD199" s="137">
        <v>0</v>
      </c>
      <c r="AE199" s="139">
        <v>-17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107</v>
      </c>
      <c r="F200" s="133" t="s">
        <v>113</v>
      </c>
      <c r="G200" s="134">
        <v>46132</v>
      </c>
      <c r="H200" s="135">
        <v>0.6539236111111111</v>
      </c>
      <c r="I200" s="136">
        <v>166004784</v>
      </c>
      <c r="J200" s="137">
        <v>148</v>
      </c>
      <c r="K200" s="137">
        <f>N200+O200+P200</f>
        <v>131.7857</v>
      </c>
      <c r="L200" s="137">
        <f>Q200+R200</f>
        <v>15.8143</v>
      </c>
      <c r="M200" s="137">
        <f>IF(J200=K200+L200,0,Y200)</f>
        <v>0.4</v>
      </c>
      <c r="N200" s="138">
        <v>0</v>
      </c>
      <c r="O200" s="137">
        <v>131.7857</v>
      </c>
      <c r="P200" s="137">
        <v>0</v>
      </c>
      <c r="Q200" s="137">
        <v>0</v>
      </c>
      <c r="R200" s="137">
        <v>15.8143</v>
      </c>
      <c r="S200" s="138">
        <v>131.7857</v>
      </c>
      <c r="T200" s="137">
        <v>147.6</v>
      </c>
      <c r="U200" s="137">
        <v>0</v>
      </c>
      <c r="V200" s="137">
        <v>0</v>
      </c>
      <c r="W200" s="137">
        <v>0</v>
      </c>
      <c r="X200" s="137">
        <v>0</v>
      </c>
      <c r="Y200" s="137">
        <v>0.4</v>
      </c>
      <c r="Z200" s="138">
        <v>1050</v>
      </c>
      <c r="AA200" s="137">
        <v>0</v>
      </c>
      <c r="AB200" s="137">
        <v>0</v>
      </c>
      <c r="AC200" s="137"/>
      <c r="AD200" s="137">
        <v>0</v>
      </c>
      <c r="AE200" s="139">
        <v>-902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107</v>
      </c>
      <c r="F201" s="133" t="s">
        <v>113</v>
      </c>
      <c r="G201" s="134">
        <v>46132</v>
      </c>
      <c r="H201" s="135">
        <v>0.6552430555555555</v>
      </c>
      <c r="I201" s="136">
        <v>166004785</v>
      </c>
      <c r="J201" s="137">
        <v>90</v>
      </c>
      <c r="K201" s="137">
        <f>N201+O201+P201</f>
        <v>77.2308</v>
      </c>
      <c r="L201" s="137">
        <f>Q201+R201</f>
        <v>12.979199999999999</v>
      </c>
      <c r="M201" s="137">
        <f>IF(J201=K201+L201,0,Y201)</f>
        <v>-0.21</v>
      </c>
      <c r="N201" s="138">
        <v>41.2397</v>
      </c>
      <c r="O201" s="137">
        <v>35.9911</v>
      </c>
      <c r="P201" s="137">
        <v>0</v>
      </c>
      <c r="Q201" s="137">
        <v>8.6603</v>
      </c>
      <c r="R201" s="137">
        <v>4.3189</v>
      </c>
      <c r="S201" s="138">
        <v>77.2308</v>
      </c>
      <c r="T201" s="137">
        <v>90.21</v>
      </c>
      <c r="U201" s="137">
        <v>0</v>
      </c>
      <c r="V201" s="137">
        <v>0</v>
      </c>
      <c r="W201" s="137">
        <v>0</v>
      </c>
      <c r="X201" s="137">
        <v>0</v>
      </c>
      <c r="Y201" s="137">
        <v>-0.21</v>
      </c>
      <c r="Z201" s="138">
        <v>90</v>
      </c>
      <c r="AA201" s="137">
        <v>0</v>
      </c>
      <c r="AB201" s="137">
        <v>0</v>
      </c>
      <c r="AC201" s="137"/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107</v>
      </c>
      <c r="F202" s="133" t="s">
        <v>113</v>
      </c>
      <c r="G202" s="134">
        <v>46132</v>
      </c>
      <c r="H202" s="135">
        <v>0.6554861111111111</v>
      </c>
      <c r="I202" s="136">
        <v>166004786</v>
      </c>
      <c r="J202" s="137">
        <v>26</v>
      </c>
      <c r="K202" s="137">
        <f>N202+O202+P202</f>
        <v>22.725099999999998</v>
      </c>
      <c r="L202" s="137">
        <f>Q202+R202</f>
        <v>3.5749</v>
      </c>
      <c r="M202" s="137">
        <f>IF(J202=K202+L202,0,Y202)</f>
        <v>-0.3</v>
      </c>
      <c r="N202" s="138">
        <v>9.4215</v>
      </c>
      <c r="O202" s="137">
        <v>13.3036</v>
      </c>
      <c r="P202" s="137">
        <v>0</v>
      </c>
      <c r="Q202" s="137">
        <v>1.9785</v>
      </c>
      <c r="R202" s="137">
        <v>1.5964</v>
      </c>
      <c r="S202" s="138">
        <v>22.7251</v>
      </c>
      <c r="T202" s="137">
        <v>26.3</v>
      </c>
      <c r="U202" s="137">
        <v>0</v>
      </c>
      <c r="V202" s="137">
        <v>0</v>
      </c>
      <c r="W202" s="137">
        <v>0</v>
      </c>
      <c r="X202" s="137">
        <v>0</v>
      </c>
      <c r="Y202" s="137">
        <v>-0.3</v>
      </c>
      <c r="Z202" s="138">
        <v>30</v>
      </c>
      <c r="AA202" s="137">
        <v>0</v>
      </c>
      <c r="AB202" s="137">
        <v>0</v>
      </c>
      <c r="AC202" s="137"/>
      <c r="AD202" s="137">
        <v>0</v>
      </c>
      <c r="AE202" s="139">
        <v>-4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107</v>
      </c>
      <c r="F203" s="133" t="s">
        <v>113</v>
      </c>
      <c r="G203" s="134">
        <v>46132</v>
      </c>
      <c r="H203" s="135">
        <v>0.6557060185185185</v>
      </c>
      <c r="I203" s="136">
        <v>166004787</v>
      </c>
      <c r="J203" s="137">
        <v>15</v>
      </c>
      <c r="K203" s="137">
        <f>N203+O203+P203</f>
        <v>13.3036</v>
      </c>
      <c r="L203" s="137">
        <f>Q203+R203</f>
        <v>1.5964</v>
      </c>
      <c r="M203" s="137">
        <f>IF(J203=K203+L203,0,Y203)</f>
        <v>0.1</v>
      </c>
      <c r="N203" s="138">
        <v>0</v>
      </c>
      <c r="O203" s="137">
        <v>13.3036</v>
      </c>
      <c r="P203" s="137">
        <v>0</v>
      </c>
      <c r="Q203" s="137">
        <v>0</v>
      </c>
      <c r="R203" s="137">
        <v>1.5964</v>
      </c>
      <c r="S203" s="138">
        <v>13.3036</v>
      </c>
      <c r="T203" s="137">
        <v>14.9</v>
      </c>
      <c r="U203" s="137">
        <v>0</v>
      </c>
      <c r="V203" s="137">
        <v>0</v>
      </c>
      <c r="W203" s="137">
        <v>0</v>
      </c>
      <c r="X203" s="137">
        <v>0</v>
      </c>
      <c r="Y203" s="137">
        <v>0.1</v>
      </c>
      <c r="Z203" s="138">
        <v>15</v>
      </c>
      <c r="AA203" s="137">
        <v>0</v>
      </c>
      <c r="AB203" s="137">
        <v>0</v>
      </c>
      <c r="AC203" s="137"/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107</v>
      </c>
      <c r="F204" s="133" t="s">
        <v>113</v>
      </c>
      <c r="G204" s="134">
        <v>46132</v>
      </c>
      <c r="H204" s="135">
        <v>0.6559490740740741</v>
      </c>
      <c r="I204" s="136">
        <v>166004788</v>
      </c>
      <c r="J204" s="137">
        <v>66</v>
      </c>
      <c r="K204" s="137">
        <f>N204+O204+P204</f>
        <v>55.9659</v>
      </c>
      <c r="L204" s="137">
        <f>Q204+R204</f>
        <v>10.2341</v>
      </c>
      <c r="M204" s="137">
        <f>IF(J204=K204+L204,0,Y204)</f>
        <v>-0.2</v>
      </c>
      <c r="N204" s="138">
        <v>39.0909</v>
      </c>
      <c r="O204" s="137">
        <v>16.875</v>
      </c>
      <c r="P204" s="137">
        <v>0</v>
      </c>
      <c r="Q204" s="137">
        <v>8.2091</v>
      </c>
      <c r="R204" s="137">
        <v>2.025</v>
      </c>
      <c r="S204" s="138">
        <v>55.9659</v>
      </c>
      <c r="T204" s="137">
        <v>66.2</v>
      </c>
      <c r="U204" s="137">
        <v>0</v>
      </c>
      <c r="V204" s="137">
        <v>0</v>
      </c>
      <c r="W204" s="137">
        <v>0</v>
      </c>
      <c r="X204" s="137">
        <v>0</v>
      </c>
      <c r="Y204" s="137">
        <v>-0.2</v>
      </c>
      <c r="Z204" s="138">
        <v>70</v>
      </c>
      <c r="AA204" s="137">
        <v>0</v>
      </c>
      <c r="AB204" s="137">
        <v>0</v>
      </c>
      <c r="AC204" s="137"/>
      <c r="AD204" s="137">
        <v>0</v>
      </c>
      <c r="AE204" s="139">
        <v>-4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107</v>
      </c>
      <c r="F205" s="133" t="s">
        <v>113</v>
      </c>
      <c r="G205" s="134">
        <v>46132</v>
      </c>
      <c r="H205" s="135">
        <v>0.7055324074074074</v>
      </c>
      <c r="I205" s="136">
        <v>166004789</v>
      </c>
      <c r="J205" s="137">
        <v>46</v>
      </c>
      <c r="K205" s="137">
        <f>N205+O205+P205</f>
        <v>40.8928</v>
      </c>
      <c r="L205" s="137">
        <f>Q205+R205</f>
        <v>4.9072</v>
      </c>
      <c r="M205" s="137">
        <f>IF(J205=K205+L205,0,Y205)</f>
        <v>0.2</v>
      </c>
      <c r="N205" s="138">
        <v>0</v>
      </c>
      <c r="O205" s="137">
        <v>40.8928</v>
      </c>
      <c r="P205" s="137">
        <v>0</v>
      </c>
      <c r="Q205" s="137">
        <v>0</v>
      </c>
      <c r="R205" s="137">
        <v>4.9072</v>
      </c>
      <c r="S205" s="138">
        <v>40.8928</v>
      </c>
      <c r="T205" s="137">
        <v>45.8</v>
      </c>
      <c r="U205" s="137">
        <v>0</v>
      </c>
      <c r="V205" s="137">
        <v>0</v>
      </c>
      <c r="W205" s="137">
        <v>0</v>
      </c>
      <c r="X205" s="137">
        <v>0</v>
      </c>
      <c r="Y205" s="137">
        <v>0.2</v>
      </c>
      <c r="Z205" s="138">
        <v>50</v>
      </c>
      <c r="AA205" s="137">
        <v>0</v>
      </c>
      <c r="AB205" s="137">
        <v>0</v>
      </c>
      <c r="AC205" s="137"/>
      <c r="AD205" s="137">
        <v>0</v>
      </c>
      <c r="AE205" s="139">
        <v>-4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107</v>
      </c>
      <c r="F206" s="133" t="s">
        <v>113</v>
      </c>
      <c r="G206" s="134">
        <v>46132</v>
      </c>
      <c r="H206" s="135">
        <v>0.7061111111111111</v>
      </c>
      <c r="I206" s="136">
        <v>166004790</v>
      </c>
      <c r="J206" s="137">
        <v>32.65</v>
      </c>
      <c r="K206" s="137">
        <f>N206+O206+P206</f>
        <v>29.1518</v>
      </c>
      <c r="L206" s="137">
        <f>Q206+R206</f>
        <v>3.4982</v>
      </c>
      <c r="M206" s="137">
        <f>IF(J206=K206+L206,0,Y206)</f>
        <v>0</v>
      </c>
      <c r="N206" s="138">
        <v>0</v>
      </c>
      <c r="O206" s="137">
        <v>29.1518</v>
      </c>
      <c r="P206" s="137">
        <v>0</v>
      </c>
      <c r="Q206" s="137">
        <v>0</v>
      </c>
      <c r="R206" s="137">
        <v>3.4982</v>
      </c>
      <c r="S206" s="138">
        <v>29.1518</v>
      </c>
      <c r="T206" s="137">
        <v>32.65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32.65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107</v>
      </c>
      <c r="F207" s="133" t="s">
        <v>113</v>
      </c>
      <c r="G207" s="134">
        <v>46132</v>
      </c>
      <c r="H207" s="135">
        <v>0.7062268518518519</v>
      </c>
      <c r="I207" s="136">
        <v>166004791</v>
      </c>
      <c r="J207" s="137">
        <v>28</v>
      </c>
      <c r="K207" s="137">
        <f>N207+O207+P207</f>
        <v>23.0579</v>
      </c>
      <c r="L207" s="137">
        <f>Q207+R207</f>
        <v>4.8421</v>
      </c>
      <c r="M207" s="137">
        <f>IF(J207=K207+L207,0,Y207)</f>
        <v>0.1</v>
      </c>
      <c r="N207" s="138">
        <v>23.0579</v>
      </c>
      <c r="O207" s="137">
        <v>0</v>
      </c>
      <c r="P207" s="137">
        <v>0</v>
      </c>
      <c r="Q207" s="137">
        <v>4.8421</v>
      </c>
      <c r="R207" s="137">
        <v>0</v>
      </c>
      <c r="S207" s="138">
        <v>23.0579</v>
      </c>
      <c r="T207" s="137">
        <v>27.9</v>
      </c>
      <c r="U207" s="137">
        <v>0</v>
      </c>
      <c r="V207" s="137">
        <v>0</v>
      </c>
      <c r="W207" s="137">
        <v>0</v>
      </c>
      <c r="X207" s="137">
        <v>0</v>
      </c>
      <c r="Y207" s="137">
        <v>0.1</v>
      </c>
      <c r="Z207" s="138">
        <v>40</v>
      </c>
      <c r="AA207" s="137">
        <v>0</v>
      </c>
      <c r="AB207" s="137">
        <v>0</v>
      </c>
      <c r="AC207" s="137"/>
      <c r="AD207" s="137">
        <v>0</v>
      </c>
      <c r="AE207" s="139">
        <v>-12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107</v>
      </c>
      <c r="F208" s="133" t="s">
        <v>113</v>
      </c>
      <c r="G208" s="134">
        <v>46132</v>
      </c>
      <c r="H208" s="135">
        <v>0.7064236111111111</v>
      </c>
      <c r="I208" s="136">
        <v>166004792</v>
      </c>
      <c r="J208" s="137">
        <v>28</v>
      </c>
      <c r="K208" s="137">
        <f>N208+O208+P208</f>
        <v>25.2678</v>
      </c>
      <c r="L208" s="137">
        <f>Q208+R208</f>
        <v>3.0322</v>
      </c>
      <c r="M208" s="137">
        <f>IF(J208=K208+L208,0,Y208)</f>
        <v>-0.3</v>
      </c>
      <c r="N208" s="138">
        <v>0</v>
      </c>
      <c r="O208" s="137">
        <v>25.2678</v>
      </c>
      <c r="P208" s="137">
        <v>0</v>
      </c>
      <c r="Q208" s="137">
        <v>0</v>
      </c>
      <c r="R208" s="137">
        <v>3.0322</v>
      </c>
      <c r="S208" s="138">
        <v>25.2678</v>
      </c>
      <c r="T208" s="137">
        <v>28.3</v>
      </c>
      <c r="U208" s="137">
        <v>0</v>
      </c>
      <c r="V208" s="137">
        <v>0</v>
      </c>
      <c r="W208" s="137">
        <v>0</v>
      </c>
      <c r="X208" s="137">
        <v>0</v>
      </c>
      <c r="Y208" s="137">
        <v>-0.3</v>
      </c>
      <c r="Z208" s="138">
        <v>30</v>
      </c>
      <c r="AA208" s="137">
        <v>0</v>
      </c>
      <c r="AB208" s="137">
        <v>0</v>
      </c>
      <c r="AC208" s="137"/>
      <c r="AD208" s="137">
        <v>0</v>
      </c>
      <c r="AE208" s="139">
        <v>-2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101</v>
      </c>
      <c r="F209" s="133" t="s">
        <v>100</v>
      </c>
      <c r="G209" s="134">
        <v>46132</v>
      </c>
      <c r="H209" s="135">
        <v>0.7226851851851852</v>
      </c>
      <c r="I209" s="136">
        <v>163000354</v>
      </c>
      <c r="J209" s="137">
        <v>59.9</v>
      </c>
      <c r="K209" s="137">
        <f>N209+O209+P209</f>
        <v>53.48</v>
      </c>
      <c r="L209" s="137">
        <f>Q209+R209</f>
        <v>6.42</v>
      </c>
      <c r="M209" s="137">
        <f>IF(J209=K209+L209,0,Y209)</f>
        <v>0</v>
      </c>
      <c r="N209" s="138">
        <v>0</v>
      </c>
      <c r="O209" s="137">
        <v>53.48</v>
      </c>
      <c r="P209" s="137">
        <v>0</v>
      </c>
      <c r="Q209" s="137">
        <v>0</v>
      </c>
      <c r="R209" s="137">
        <v>6.42</v>
      </c>
      <c r="S209" s="138">
        <v>53.48</v>
      </c>
      <c r="T209" s="137">
        <v>59.9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59.9</v>
      </c>
      <c r="AC209" s="137"/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101</v>
      </c>
      <c r="F210" s="133" t="s">
        <v>100</v>
      </c>
      <c r="G210" s="134">
        <v>46132</v>
      </c>
      <c r="H210" s="135">
        <v>0.7656481481481482</v>
      </c>
      <c r="I210" s="136">
        <v>163000355</v>
      </c>
      <c r="J210" s="137">
        <v>114.9</v>
      </c>
      <c r="K210" s="137">
        <f>N210+O210+P210</f>
        <v>99.58</v>
      </c>
      <c r="L210" s="137">
        <f>Q210+R210</f>
        <v>15.32</v>
      </c>
      <c r="M210" s="137">
        <f>IF(J210=K210+L210,0,Y210)</f>
        <v>0</v>
      </c>
      <c r="N210" s="138">
        <v>37.1</v>
      </c>
      <c r="O210" s="137">
        <v>62.48</v>
      </c>
      <c r="P210" s="137">
        <v>0</v>
      </c>
      <c r="Q210" s="137">
        <v>7.8</v>
      </c>
      <c r="R210" s="137">
        <v>7.52</v>
      </c>
      <c r="S210" s="138">
        <v>99.58</v>
      </c>
      <c r="T210" s="137">
        <v>114.9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114.9</v>
      </c>
      <c r="AC210" s="137"/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101</v>
      </c>
      <c r="F211" s="133" t="s">
        <v>100</v>
      </c>
      <c r="G211" s="134">
        <v>46132</v>
      </c>
      <c r="H211" s="135">
        <v>0.7757986111111111</v>
      </c>
      <c r="I211" s="136">
        <v>163000356</v>
      </c>
      <c r="J211" s="137">
        <v>13.87</v>
      </c>
      <c r="K211" s="137">
        <f>N211+O211+P211</f>
        <v>12.38</v>
      </c>
      <c r="L211" s="137">
        <f>Q211+R211</f>
        <v>1.49</v>
      </c>
      <c r="M211" s="137">
        <f>IF(J211=K211+L211,0,Y211)</f>
        <v>0</v>
      </c>
      <c r="N211" s="138">
        <v>0</v>
      </c>
      <c r="O211" s="137">
        <v>12.38</v>
      </c>
      <c r="P211" s="137">
        <v>0</v>
      </c>
      <c r="Q211" s="137">
        <v>0</v>
      </c>
      <c r="R211" s="137">
        <v>1.49</v>
      </c>
      <c r="S211" s="138">
        <v>12.38</v>
      </c>
      <c r="T211" s="137">
        <v>13.87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13.87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101</v>
      </c>
      <c r="F212" s="133" t="s">
        <v>100</v>
      </c>
      <c r="G212" s="134">
        <v>46132</v>
      </c>
      <c r="H212" s="135">
        <v>0.7958449074074074</v>
      </c>
      <c r="I212" s="136">
        <v>163000357</v>
      </c>
      <c r="J212" s="137">
        <v>80.8</v>
      </c>
      <c r="K212" s="137">
        <f>N212+O212+P212</f>
        <v>72.14</v>
      </c>
      <c r="L212" s="137">
        <f>Q212+R212</f>
        <v>8.66</v>
      </c>
      <c r="M212" s="137">
        <f>IF(J212=K212+L212,0,Y212)</f>
        <v>0</v>
      </c>
      <c r="N212" s="138">
        <v>0</v>
      </c>
      <c r="O212" s="137">
        <v>72.14</v>
      </c>
      <c r="P212" s="137">
        <v>0</v>
      </c>
      <c r="Q212" s="137">
        <v>0</v>
      </c>
      <c r="R212" s="137">
        <v>8.66</v>
      </c>
      <c r="S212" s="138">
        <v>72.14</v>
      </c>
      <c r="T212" s="137">
        <v>80.8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80.8</v>
      </c>
      <c r="AC212" s="137"/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105</v>
      </c>
      <c r="F213" s="133" t="s">
        <v>100</v>
      </c>
      <c r="G213" s="134">
        <v>46132</v>
      </c>
      <c r="H213" s="135">
        <v>0.3162962962962963</v>
      </c>
      <c r="I213" s="136">
        <v>161000330</v>
      </c>
      <c r="J213" s="137">
        <v>32.9</v>
      </c>
      <c r="K213" s="137">
        <f>N213+O213+P213</f>
        <v>29.37</v>
      </c>
      <c r="L213" s="137">
        <f>Q213+R213</f>
        <v>3.53</v>
      </c>
      <c r="M213" s="137">
        <f>IF(J213=K213+L213,0,Y213)</f>
        <v>0</v>
      </c>
      <c r="N213" s="138">
        <v>0</v>
      </c>
      <c r="O213" s="137">
        <v>29.37</v>
      </c>
      <c r="P213" s="137">
        <v>0</v>
      </c>
      <c r="Q213" s="137">
        <v>0</v>
      </c>
      <c r="R213" s="137">
        <v>3.53</v>
      </c>
      <c r="S213" s="138">
        <v>29.37</v>
      </c>
      <c r="T213" s="137">
        <v>32.9</v>
      </c>
      <c r="U213" s="137">
        <v>0</v>
      </c>
      <c r="V213" s="137">
        <v>0</v>
      </c>
      <c r="W213" s="137">
        <v>0</v>
      </c>
      <c r="X213" s="137">
        <v>0</v>
      </c>
      <c r="Y213" s="137">
        <v>0</v>
      </c>
      <c r="Z213" s="138">
        <v>0</v>
      </c>
      <c r="AA213" s="137">
        <v>0</v>
      </c>
      <c r="AB213" s="137">
        <v>32.9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105</v>
      </c>
      <c r="F214" s="133" t="s">
        <v>100</v>
      </c>
      <c r="G214" s="134">
        <v>46132</v>
      </c>
      <c r="H214" s="135">
        <v>0.3180208333333333</v>
      </c>
      <c r="I214" s="136">
        <v>161000331</v>
      </c>
      <c r="J214" s="137">
        <v>23.9</v>
      </c>
      <c r="K214" s="137">
        <f>N214+O214+P214</f>
        <v>19.75</v>
      </c>
      <c r="L214" s="137">
        <f>Q214+R214</f>
        <v>4.15</v>
      </c>
      <c r="M214" s="137">
        <f>IF(J214=K214+L214,0,Y214)</f>
        <v>0</v>
      </c>
      <c r="N214" s="138">
        <v>19.75</v>
      </c>
      <c r="O214" s="137">
        <v>0</v>
      </c>
      <c r="P214" s="137">
        <v>0</v>
      </c>
      <c r="Q214" s="137">
        <v>4.15</v>
      </c>
      <c r="R214" s="137">
        <v>0</v>
      </c>
      <c r="S214" s="138">
        <v>19.75</v>
      </c>
      <c r="T214" s="137">
        <v>23.9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23.9</v>
      </c>
      <c r="AC214" s="137"/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105</v>
      </c>
      <c r="F215" s="133" t="s">
        <v>100</v>
      </c>
      <c r="G215" s="134">
        <v>46132</v>
      </c>
      <c r="H215" s="135">
        <v>0.33067129629629627</v>
      </c>
      <c r="I215" s="136">
        <v>161000332</v>
      </c>
      <c r="J215" s="137">
        <v>75.55</v>
      </c>
      <c r="K215" s="137">
        <f>N215+O215+P215</f>
        <v>67.28999999999999</v>
      </c>
      <c r="L215" s="137">
        <f>Q215+R215</f>
        <v>8.26</v>
      </c>
      <c r="M215" s="137">
        <f>IF(J215=K215+L215,0,Y215)</f>
        <v>0</v>
      </c>
      <c r="N215" s="138">
        <v>1.57</v>
      </c>
      <c r="O215" s="137">
        <v>65.72</v>
      </c>
      <c r="P215" s="137">
        <v>0</v>
      </c>
      <c r="Q215" s="137">
        <v>0.33</v>
      </c>
      <c r="R215" s="137">
        <v>7.93</v>
      </c>
      <c r="S215" s="138">
        <v>67.29</v>
      </c>
      <c r="T215" s="137">
        <v>75.55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75.55</v>
      </c>
      <c r="AC215" s="137"/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105</v>
      </c>
      <c r="F216" s="133" t="s">
        <v>100</v>
      </c>
      <c r="G216" s="134">
        <v>46132</v>
      </c>
      <c r="H216" s="135">
        <v>0.3580787037037037</v>
      </c>
      <c r="I216" s="136">
        <v>161000333</v>
      </c>
      <c r="J216" s="137">
        <v>85.4</v>
      </c>
      <c r="K216" s="137">
        <f>N216+O216+P216</f>
        <v>76.23</v>
      </c>
      <c r="L216" s="137">
        <f>Q216+R216</f>
        <v>9.17</v>
      </c>
      <c r="M216" s="137">
        <f>IF(J216=K216+L216,0,Y216)</f>
        <v>0</v>
      </c>
      <c r="N216" s="138">
        <v>0</v>
      </c>
      <c r="O216" s="137">
        <v>76.23</v>
      </c>
      <c r="P216" s="137">
        <v>0</v>
      </c>
      <c r="Q216" s="137">
        <v>0</v>
      </c>
      <c r="R216" s="137">
        <v>9.17</v>
      </c>
      <c r="S216" s="138">
        <v>76.23</v>
      </c>
      <c r="T216" s="137">
        <v>85.4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85.4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105</v>
      </c>
      <c r="F217" s="133" t="s">
        <v>100</v>
      </c>
      <c r="G217" s="134">
        <v>46132</v>
      </c>
      <c r="H217" s="135">
        <v>0.3677199074074074</v>
      </c>
      <c r="I217" s="136">
        <v>161000334</v>
      </c>
      <c r="J217" s="137">
        <v>92.6</v>
      </c>
      <c r="K217" s="137">
        <f>N217+O217+P217</f>
        <v>82.67</v>
      </c>
      <c r="L217" s="137">
        <f>Q217+R217</f>
        <v>9.93</v>
      </c>
      <c r="M217" s="137">
        <f>IF(J217=K217+L217,0,Y217)</f>
        <v>0</v>
      </c>
      <c r="N217" s="138">
        <v>0</v>
      </c>
      <c r="O217" s="137">
        <v>82.67</v>
      </c>
      <c r="P217" s="137">
        <v>0</v>
      </c>
      <c r="Q217" s="137">
        <v>0</v>
      </c>
      <c r="R217" s="137">
        <v>9.93</v>
      </c>
      <c r="S217" s="138">
        <v>82.67</v>
      </c>
      <c r="T217" s="137">
        <v>92.6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92.6</v>
      </c>
      <c r="AC217" s="137"/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105</v>
      </c>
      <c r="F218" s="133" t="s">
        <v>100</v>
      </c>
      <c r="G218" s="134">
        <v>46132</v>
      </c>
      <c r="H218" s="135">
        <v>0.37863425925925925</v>
      </c>
      <c r="I218" s="136">
        <v>161000335</v>
      </c>
      <c r="J218" s="137">
        <v>129.6</v>
      </c>
      <c r="K218" s="137">
        <f>N218+O218+P218</f>
        <v>110.4</v>
      </c>
      <c r="L218" s="137">
        <f>Q218+R218</f>
        <v>19.2</v>
      </c>
      <c r="M218" s="137">
        <f>IF(J218=K218+L218,0,Y218)</f>
        <v>0</v>
      </c>
      <c r="N218" s="138">
        <v>65.94</v>
      </c>
      <c r="O218" s="137">
        <v>44.46</v>
      </c>
      <c r="P218" s="137">
        <v>0</v>
      </c>
      <c r="Q218" s="137">
        <v>13.86</v>
      </c>
      <c r="R218" s="137">
        <v>5.34</v>
      </c>
      <c r="S218" s="138">
        <v>110.4</v>
      </c>
      <c r="T218" s="137">
        <v>129.6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129.6</v>
      </c>
      <c r="AC218" s="137"/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105</v>
      </c>
      <c r="F219" s="133" t="s">
        <v>100</v>
      </c>
      <c r="G219" s="134">
        <v>46132</v>
      </c>
      <c r="H219" s="135">
        <v>0.3839930555555556</v>
      </c>
      <c r="I219" s="136">
        <v>161000336</v>
      </c>
      <c r="J219" s="137">
        <v>54.8</v>
      </c>
      <c r="K219" s="137">
        <f>N219+O219+P219</f>
        <v>47.260000000000005</v>
      </c>
      <c r="L219" s="137">
        <f>Q219+R219</f>
        <v>7.54</v>
      </c>
      <c r="M219" s="137">
        <f>IF(J219=K219+L219,0,Y219)</f>
        <v>0</v>
      </c>
      <c r="N219" s="138">
        <v>20.57</v>
      </c>
      <c r="O219" s="137">
        <v>26.69</v>
      </c>
      <c r="P219" s="137">
        <v>0</v>
      </c>
      <c r="Q219" s="137">
        <v>4.33</v>
      </c>
      <c r="R219" s="137">
        <v>3.21</v>
      </c>
      <c r="S219" s="138">
        <v>47.26</v>
      </c>
      <c r="T219" s="137">
        <v>54.8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54.8</v>
      </c>
      <c r="AC219" s="137"/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105</v>
      </c>
      <c r="F220" s="133" t="s">
        <v>100</v>
      </c>
      <c r="G220" s="134">
        <v>46132</v>
      </c>
      <c r="H220" s="135">
        <v>0.40315972222222224</v>
      </c>
      <c r="I220" s="136">
        <v>161000337</v>
      </c>
      <c r="J220" s="137">
        <v>39.3</v>
      </c>
      <c r="K220" s="137">
        <f>N220+O220+P220</f>
        <v>35.08</v>
      </c>
      <c r="L220" s="137">
        <f>Q220+R220</f>
        <v>4.22</v>
      </c>
      <c r="M220" s="137">
        <f>IF(J220=K220+L220,0,Y220)</f>
        <v>0</v>
      </c>
      <c r="N220" s="138">
        <v>0</v>
      </c>
      <c r="O220" s="137">
        <v>35.08</v>
      </c>
      <c r="P220" s="137">
        <v>0</v>
      </c>
      <c r="Q220" s="137">
        <v>0</v>
      </c>
      <c r="R220" s="137">
        <v>4.22</v>
      </c>
      <c r="S220" s="138">
        <v>35.08</v>
      </c>
      <c r="T220" s="137">
        <v>39.3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39.3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105</v>
      </c>
      <c r="F221" s="133" t="s">
        <v>100</v>
      </c>
      <c r="G221" s="134">
        <v>46132</v>
      </c>
      <c r="H221" s="135">
        <v>0.4294675925925926</v>
      </c>
      <c r="I221" s="136">
        <v>161000338</v>
      </c>
      <c r="J221" s="137">
        <v>113.5</v>
      </c>
      <c r="K221" s="137">
        <f>N221+O221+P221</f>
        <v>98.41999999999999</v>
      </c>
      <c r="L221" s="137">
        <f>Q221+R221</f>
        <v>15.08</v>
      </c>
      <c r="M221" s="137">
        <f>IF(J221=K221+L221,0,Y221)</f>
        <v>0</v>
      </c>
      <c r="N221" s="138">
        <v>36.19</v>
      </c>
      <c r="O221" s="137">
        <v>62.23</v>
      </c>
      <c r="P221" s="137">
        <v>0</v>
      </c>
      <c r="Q221" s="137">
        <v>7.61</v>
      </c>
      <c r="R221" s="137">
        <v>7.47</v>
      </c>
      <c r="S221" s="138">
        <v>98.42</v>
      </c>
      <c r="T221" s="137">
        <v>113.5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113.5</v>
      </c>
      <c r="AC221" s="137"/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105</v>
      </c>
      <c r="F222" s="133" t="s">
        <v>100</v>
      </c>
      <c r="G222" s="134">
        <v>46132</v>
      </c>
      <c r="H222" s="135">
        <v>0.43596064814814817</v>
      </c>
      <c r="I222" s="136">
        <v>161000339</v>
      </c>
      <c r="J222" s="137">
        <v>37.9</v>
      </c>
      <c r="K222" s="137">
        <f>N222+O222+P222</f>
        <v>33.83</v>
      </c>
      <c r="L222" s="137">
        <f>Q222+R222</f>
        <v>4.07</v>
      </c>
      <c r="M222" s="137">
        <f>IF(J222=K222+L222,0,Y222)</f>
        <v>0</v>
      </c>
      <c r="N222" s="138">
        <v>0</v>
      </c>
      <c r="O222" s="137">
        <v>33.83</v>
      </c>
      <c r="P222" s="137">
        <v>0</v>
      </c>
      <c r="Q222" s="137">
        <v>0</v>
      </c>
      <c r="R222" s="137">
        <v>4.07</v>
      </c>
      <c r="S222" s="138">
        <v>33.83</v>
      </c>
      <c r="T222" s="137">
        <v>37.9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37.9</v>
      </c>
      <c r="AC222" s="137"/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105</v>
      </c>
      <c r="F223" s="133" t="s">
        <v>100</v>
      </c>
      <c r="G223" s="134">
        <v>46132</v>
      </c>
      <c r="H223" s="135">
        <v>0.445625</v>
      </c>
      <c r="I223" s="136">
        <v>161000340</v>
      </c>
      <c r="J223" s="137">
        <v>89.01</v>
      </c>
      <c r="K223" s="137">
        <f>N223+O223+P223</f>
        <v>79.46</v>
      </c>
      <c r="L223" s="137">
        <f>Q223+R223</f>
        <v>9.55</v>
      </c>
      <c r="M223" s="137">
        <f>IF(J223=K223+L223,0,Y223)</f>
        <v>0</v>
      </c>
      <c r="N223" s="138">
        <v>0</v>
      </c>
      <c r="O223" s="137">
        <v>79.46</v>
      </c>
      <c r="P223" s="137">
        <v>0</v>
      </c>
      <c r="Q223" s="137">
        <v>0</v>
      </c>
      <c r="R223" s="137">
        <v>9.55</v>
      </c>
      <c r="S223" s="138">
        <v>79.46</v>
      </c>
      <c r="T223" s="137">
        <v>89.01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89.01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105</v>
      </c>
      <c r="F224" s="133" t="s">
        <v>100</v>
      </c>
      <c r="G224" s="134">
        <v>46132</v>
      </c>
      <c r="H224" s="135">
        <v>0.4469212962962963</v>
      </c>
      <c r="I224" s="136">
        <v>161000341</v>
      </c>
      <c r="J224" s="137">
        <v>75.7</v>
      </c>
      <c r="K224" s="137">
        <f>N224+O224+P224</f>
        <v>65.86</v>
      </c>
      <c r="L224" s="137">
        <f>Q224+R224</f>
        <v>9.84</v>
      </c>
      <c r="M224" s="137">
        <f>IF(J224=K224+L224,0,Y224)</f>
        <v>0</v>
      </c>
      <c r="N224" s="138">
        <v>21.4</v>
      </c>
      <c r="O224" s="137">
        <v>44.46</v>
      </c>
      <c r="P224" s="137">
        <v>0</v>
      </c>
      <c r="Q224" s="137">
        <v>4.5</v>
      </c>
      <c r="R224" s="137">
        <v>5.34</v>
      </c>
      <c r="S224" s="138">
        <v>65.86</v>
      </c>
      <c r="T224" s="137">
        <v>75.7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75.7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105</v>
      </c>
      <c r="F225" s="133" t="s">
        <v>100</v>
      </c>
      <c r="G225" s="134">
        <v>46132</v>
      </c>
      <c r="H225" s="135">
        <v>0.44766203703703705</v>
      </c>
      <c r="I225" s="136">
        <v>161000342</v>
      </c>
      <c r="J225" s="137">
        <v>22.7</v>
      </c>
      <c r="K225" s="137">
        <f>N225+O225+P225</f>
        <v>20.25</v>
      </c>
      <c r="L225" s="137">
        <f>Q225+R225</f>
        <v>2.45</v>
      </c>
      <c r="M225" s="137">
        <f>IF(J225=K225+L225,0,Y225)</f>
        <v>0</v>
      </c>
      <c r="N225" s="138">
        <v>0</v>
      </c>
      <c r="O225" s="137">
        <v>20.25</v>
      </c>
      <c r="P225" s="137">
        <v>0</v>
      </c>
      <c r="Q225" s="137">
        <v>0</v>
      </c>
      <c r="R225" s="137">
        <v>2.45</v>
      </c>
      <c r="S225" s="138">
        <v>20.25</v>
      </c>
      <c r="T225" s="137">
        <v>22.7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22.7</v>
      </c>
      <c r="AC225" s="137"/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105</v>
      </c>
      <c r="F226" s="133" t="s">
        <v>100</v>
      </c>
      <c r="G226" s="134">
        <v>46132</v>
      </c>
      <c r="H226" s="135">
        <v>0.4510300925925926</v>
      </c>
      <c r="I226" s="136">
        <v>161000343</v>
      </c>
      <c r="J226" s="137">
        <v>53.7</v>
      </c>
      <c r="K226" s="137">
        <f>N226+O226+P226</f>
        <v>47.94</v>
      </c>
      <c r="L226" s="137">
        <f>Q226+R226</f>
        <v>5.76</v>
      </c>
      <c r="M226" s="137">
        <f>IF(J226=K226+L226,0,Y226)</f>
        <v>0</v>
      </c>
      <c r="N226" s="138">
        <v>0</v>
      </c>
      <c r="O226" s="137">
        <v>47.94</v>
      </c>
      <c r="P226" s="137">
        <v>0</v>
      </c>
      <c r="Q226" s="137">
        <v>0</v>
      </c>
      <c r="R226" s="137">
        <v>5.76</v>
      </c>
      <c r="S226" s="138">
        <v>47.94</v>
      </c>
      <c r="T226" s="137">
        <v>53.7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53.7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105</v>
      </c>
      <c r="F227" s="133" t="s">
        <v>100</v>
      </c>
      <c r="G227" s="134">
        <v>46132</v>
      </c>
      <c r="H227" s="135">
        <v>0.45368055555555553</v>
      </c>
      <c r="I227" s="136">
        <v>161000344</v>
      </c>
      <c r="J227" s="137">
        <v>47.6</v>
      </c>
      <c r="K227" s="137">
        <f>N227+O227+P227</f>
        <v>42.48</v>
      </c>
      <c r="L227" s="137">
        <f>Q227+R227</f>
        <v>5.12</v>
      </c>
      <c r="M227" s="137">
        <f>IF(J227=K227+L227,0,Y227)</f>
        <v>0</v>
      </c>
      <c r="N227" s="138">
        <v>0</v>
      </c>
      <c r="O227" s="137">
        <v>42.48</v>
      </c>
      <c r="P227" s="137">
        <v>0</v>
      </c>
      <c r="Q227" s="137">
        <v>0</v>
      </c>
      <c r="R227" s="137">
        <v>5.12</v>
      </c>
      <c r="S227" s="138">
        <v>42.48</v>
      </c>
      <c r="T227" s="137">
        <v>47.6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47.6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105</v>
      </c>
      <c r="F228" s="133" t="s">
        <v>100</v>
      </c>
      <c r="G228" s="134">
        <v>46132</v>
      </c>
      <c r="H228" s="135">
        <v>0.4602662037037037</v>
      </c>
      <c r="I228" s="136">
        <v>161000345</v>
      </c>
      <c r="J228" s="137">
        <v>110.7</v>
      </c>
      <c r="K228" s="137">
        <f>N228+O228+P228</f>
        <v>97.16999999999999</v>
      </c>
      <c r="L228" s="137">
        <f>Q228+R228</f>
        <v>13.53</v>
      </c>
      <c r="M228" s="137">
        <f>IF(J228=K228+L228,0,Y228)</f>
        <v>0</v>
      </c>
      <c r="N228" s="138">
        <v>20.57</v>
      </c>
      <c r="O228" s="137">
        <v>76.6</v>
      </c>
      <c r="P228" s="137">
        <v>0</v>
      </c>
      <c r="Q228" s="137">
        <v>4.33</v>
      </c>
      <c r="R228" s="137">
        <v>9.2</v>
      </c>
      <c r="S228" s="138">
        <v>97.17</v>
      </c>
      <c r="T228" s="137">
        <v>110.7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110.7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105</v>
      </c>
      <c r="F229" s="133" t="s">
        <v>100</v>
      </c>
      <c r="G229" s="134">
        <v>46132</v>
      </c>
      <c r="H229" s="135">
        <v>0.4807175925925926</v>
      </c>
      <c r="I229" s="136">
        <v>161000346</v>
      </c>
      <c r="J229" s="137">
        <v>8.4</v>
      </c>
      <c r="K229" s="137">
        <f>N229+O229+P229</f>
        <v>7.5</v>
      </c>
      <c r="L229" s="137">
        <f>Q229+R229</f>
        <v>0.9</v>
      </c>
      <c r="M229" s="137">
        <f>IF(J229=K229+L229,0,Y229)</f>
        <v>0</v>
      </c>
      <c r="N229" s="138">
        <v>0</v>
      </c>
      <c r="O229" s="137">
        <v>7.5</v>
      </c>
      <c r="P229" s="137">
        <v>0</v>
      </c>
      <c r="Q229" s="137">
        <v>0</v>
      </c>
      <c r="R229" s="137">
        <v>0.9</v>
      </c>
      <c r="S229" s="138">
        <v>7.5</v>
      </c>
      <c r="T229" s="137">
        <v>8.4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8.4</v>
      </c>
      <c r="AC229" s="137"/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105</v>
      </c>
      <c r="F230" s="133" t="s">
        <v>100</v>
      </c>
      <c r="G230" s="134">
        <v>46132</v>
      </c>
      <c r="H230" s="135">
        <v>0.49940972222222224</v>
      </c>
      <c r="I230" s="136">
        <v>161000347</v>
      </c>
      <c r="J230" s="137">
        <v>67.8</v>
      </c>
      <c r="K230" s="137">
        <f>N230+O230+P230</f>
        <v>60.53</v>
      </c>
      <c r="L230" s="137">
        <f>Q230+R230</f>
        <v>7.27</v>
      </c>
      <c r="M230" s="137">
        <f>IF(J230=K230+L230,0,Y230)</f>
        <v>0</v>
      </c>
      <c r="N230" s="138">
        <v>0</v>
      </c>
      <c r="O230" s="137">
        <v>60.53</v>
      </c>
      <c r="P230" s="137">
        <v>0</v>
      </c>
      <c r="Q230" s="137">
        <v>0</v>
      </c>
      <c r="R230" s="137">
        <v>7.27</v>
      </c>
      <c r="S230" s="138">
        <v>60.53</v>
      </c>
      <c r="T230" s="137">
        <v>67.8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67.8</v>
      </c>
      <c r="AC230" s="137"/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105</v>
      </c>
      <c r="F231" s="133" t="s">
        <v>100</v>
      </c>
      <c r="G231" s="134">
        <v>46132</v>
      </c>
      <c r="H231" s="135">
        <v>0.5022685185185185</v>
      </c>
      <c r="I231" s="136">
        <v>161000348</v>
      </c>
      <c r="J231" s="137">
        <v>43.8</v>
      </c>
      <c r="K231" s="137">
        <f>N231+O231+P231</f>
        <v>36.18</v>
      </c>
      <c r="L231" s="137">
        <f>Q231+R231</f>
        <v>7.62</v>
      </c>
      <c r="M231" s="137">
        <f>IF(J231=K231+L231,0,Y231)</f>
        <v>0</v>
      </c>
      <c r="N231" s="138">
        <v>36.18</v>
      </c>
      <c r="O231" s="137">
        <v>0</v>
      </c>
      <c r="P231" s="137">
        <v>0</v>
      </c>
      <c r="Q231" s="137">
        <v>7.62</v>
      </c>
      <c r="R231" s="137">
        <v>0</v>
      </c>
      <c r="S231" s="138">
        <v>36.18</v>
      </c>
      <c r="T231" s="137">
        <v>43.8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43.8</v>
      </c>
      <c r="AC231" s="137"/>
      <c r="AD231" s="137">
        <v>0</v>
      </c>
      <c r="AE231" s="139">
        <v>0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105</v>
      </c>
      <c r="F232" s="133" t="s">
        <v>100</v>
      </c>
      <c r="G232" s="134">
        <v>46132</v>
      </c>
      <c r="H232" s="135">
        <v>0.5121990740740741</v>
      </c>
      <c r="I232" s="136">
        <v>161000349</v>
      </c>
      <c r="J232" s="137">
        <v>42.8</v>
      </c>
      <c r="K232" s="137">
        <f>N232+O232+P232</f>
        <v>36.35</v>
      </c>
      <c r="L232" s="137">
        <f>Q232+R232</f>
        <v>6.449999999999999</v>
      </c>
      <c r="M232" s="137">
        <f>IF(J232=K232+L232,0,Y232)</f>
        <v>0</v>
      </c>
      <c r="N232" s="138">
        <v>23.05</v>
      </c>
      <c r="O232" s="137">
        <v>13.3</v>
      </c>
      <c r="P232" s="137">
        <v>0</v>
      </c>
      <c r="Q232" s="137">
        <v>4.85</v>
      </c>
      <c r="R232" s="137">
        <v>1.6</v>
      </c>
      <c r="S232" s="138">
        <v>36.35</v>
      </c>
      <c r="T232" s="137">
        <v>42.8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42.8</v>
      </c>
      <c r="AC232" s="137"/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105</v>
      </c>
      <c r="F233" s="133" t="s">
        <v>100</v>
      </c>
      <c r="G233" s="134">
        <v>46132</v>
      </c>
      <c r="H233" s="135">
        <v>0.5184027777777778</v>
      </c>
      <c r="I233" s="136">
        <v>161000350</v>
      </c>
      <c r="J233" s="137">
        <v>15.9</v>
      </c>
      <c r="K233" s="137">
        <f>N233+O233+P233</f>
        <v>13.43</v>
      </c>
      <c r="L233" s="137">
        <f>Q233+R233</f>
        <v>2.4699999999999998</v>
      </c>
      <c r="M233" s="137">
        <f>IF(J233=K233+L233,0,Y233)</f>
        <v>0</v>
      </c>
      <c r="N233" s="138">
        <v>9.42</v>
      </c>
      <c r="O233" s="137">
        <v>4.01</v>
      </c>
      <c r="P233" s="137">
        <v>0</v>
      </c>
      <c r="Q233" s="137">
        <v>1.98</v>
      </c>
      <c r="R233" s="137">
        <v>0.49</v>
      </c>
      <c r="S233" s="138">
        <v>13.43</v>
      </c>
      <c r="T233" s="137">
        <v>15.9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15.9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105</v>
      </c>
      <c r="F234" s="133" t="s">
        <v>100</v>
      </c>
      <c r="G234" s="134">
        <v>46132</v>
      </c>
      <c r="H234" s="135">
        <v>0.5424305555555555</v>
      </c>
      <c r="I234" s="136">
        <v>161000351</v>
      </c>
      <c r="J234" s="137">
        <v>145.38</v>
      </c>
      <c r="K234" s="137">
        <f>N234+O234+P234</f>
        <v>129.79</v>
      </c>
      <c r="L234" s="137">
        <f>Q234+R234</f>
        <v>15.59</v>
      </c>
      <c r="M234" s="137">
        <f>IF(J234=K234+L234,0,Y234)</f>
        <v>0</v>
      </c>
      <c r="N234" s="138">
        <v>0</v>
      </c>
      <c r="O234" s="137">
        <v>129.79</v>
      </c>
      <c r="P234" s="137">
        <v>0</v>
      </c>
      <c r="Q234" s="137">
        <v>0</v>
      </c>
      <c r="R234" s="137">
        <v>15.59</v>
      </c>
      <c r="S234" s="138">
        <v>129.79</v>
      </c>
      <c r="T234" s="137">
        <v>145.38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145.38</v>
      </c>
      <c r="AC234" s="137"/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105</v>
      </c>
      <c r="F235" s="133" t="s">
        <v>100</v>
      </c>
      <c r="G235" s="134">
        <v>46132</v>
      </c>
      <c r="H235" s="135">
        <v>0.545775462962963</v>
      </c>
      <c r="I235" s="136">
        <v>161000352</v>
      </c>
      <c r="J235" s="137">
        <v>29.9</v>
      </c>
      <c r="K235" s="137">
        <f>N235+O235+P235</f>
        <v>24.71</v>
      </c>
      <c r="L235" s="137">
        <f>Q235+R235</f>
        <v>5.19</v>
      </c>
      <c r="M235" s="137">
        <f>IF(J235=K235+L235,0,Y235)</f>
        <v>0</v>
      </c>
      <c r="N235" s="138">
        <v>24.71</v>
      </c>
      <c r="O235" s="137">
        <v>0</v>
      </c>
      <c r="P235" s="137">
        <v>0</v>
      </c>
      <c r="Q235" s="137">
        <v>5.19</v>
      </c>
      <c r="R235" s="137">
        <v>0</v>
      </c>
      <c r="S235" s="138">
        <v>24.71</v>
      </c>
      <c r="T235" s="137">
        <v>29.9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29.9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105</v>
      </c>
      <c r="F236" s="133" t="s">
        <v>100</v>
      </c>
      <c r="G236" s="134">
        <v>46132</v>
      </c>
      <c r="H236" s="135">
        <v>0.5474189814814815</v>
      </c>
      <c r="I236" s="136">
        <v>161000353</v>
      </c>
      <c r="J236" s="137">
        <v>93.5</v>
      </c>
      <c r="K236" s="137">
        <f>N236+O236+P236</f>
        <v>81.47</v>
      </c>
      <c r="L236" s="137">
        <f>Q236+R236</f>
        <v>12.030000000000001</v>
      </c>
      <c r="M236" s="137">
        <f>IF(J236=K236+L236,0,Y236)</f>
        <v>0</v>
      </c>
      <c r="N236" s="138">
        <v>24.71</v>
      </c>
      <c r="O236" s="137">
        <v>56.76</v>
      </c>
      <c r="P236" s="137">
        <v>0</v>
      </c>
      <c r="Q236" s="137">
        <v>5.19</v>
      </c>
      <c r="R236" s="137">
        <v>6.84</v>
      </c>
      <c r="S236" s="138">
        <v>81.47</v>
      </c>
      <c r="T236" s="137">
        <v>93.5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93.5</v>
      </c>
      <c r="AC236" s="137"/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105</v>
      </c>
      <c r="F237" s="133" t="s">
        <v>100</v>
      </c>
      <c r="G237" s="134">
        <v>46132</v>
      </c>
      <c r="H237" s="135">
        <v>0.5609953703703704</v>
      </c>
      <c r="I237" s="136">
        <v>161000354</v>
      </c>
      <c r="J237" s="137">
        <v>41.9</v>
      </c>
      <c r="K237" s="137">
        <f>N237+O237+P237</f>
        <v>34.62</v>
      </c>
      <c r="L237" s="137">
        <f>Q237+R237</f>
        <v>7.28</v>
      </c>
      <c r="M237" s="137">
        <f>IF(J237=K237+L237,0,Y237)</f>
        <v>0</v>
      </c>
      <c r="N237" s="138">
        <v>34.62</v>
      </c>
      <c r="O237" s="137">
        <v>0</v>
      </c>
      <c r="P237" s="137">
        <v>0</v>
      </c>
      <c r="Q237" s="137">
        <v>7.28</v>
      </c>
      <c r="R237" s="137">
        <v>0</v>
      </c>
      <c r="S237" s="138">
        <v>34.62</v>
      </c>
      <c r="T237" s="137">
        <v>41.9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41.9</v>
      </c>
      <c r="AC237" s="137"/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105</v>
      </c>
      <c r="F238" s="133" t="s">
        <v>100</v>
      </c>
      <c r="G238" s="134">
        <v>46132</v>
      </c>
      <c r="H238" s="135">
        <v>0.5630787037037037</v>
      </c>
      <c r="I238" s="136">
        <v>161000355</v>
      </c>
      <c r="J238" s="137">
        <v>103.5</v>
      </c>
      <c r="K238" s="137">
        <f>N238+O238+P238</f>
        <v>90.62</v>
      </c>
      <c r="L238" s="137">
        <f>Q238+R238</f>
        <v>12.88</v>
      </c>
      <c r="M238" s="137">
        <f>IF(J238=K238+L238,0,Y238)</f>
        <v>0</v>
      </c>
      <c r="N238" s="138">
        <v>22.23</v>
      </c>
      <c r="O238" s="137">
        <v>68.39</v>
      </c>
      <c r="P238" s="137">
        <v>0</v>
      </c>
      <c r="Q238" s="137">
        <v>4.67</v>
      </c>
      <c r="R238" s="137">
        <v>8.21</v>
      </c>
      <c r="S238" s="138">
        <v>90.62</v>
      </c>
      <c r="T238" s="137">
        <v>103.5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103.5</v>
      </c>
      <c r="AC238" s="137"/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105</v>
      </c>
      <c r="F239" s="133" t="s">
        <v>100</v>
      </c>
      <c r="G239" s="134">
        <v>46132</v>
      </c>
      <c r="H239" s="135">
        <v>0.5657407407407408</v>
      </c>
      <c r="I239" s="136">
        <v>161000356</v>
      </c>
      <c r="J239" s="137">
        <v>12.4</v>
      </c>
      <c r="K239" s="137">
        <f>N239+O239+P239</f>
        <v>11.07</v>
      </c>
      <c r="L239" s="137">
        <f>Q239+R239</f>
        <v>1.33</v>
      </c>
      <c r="M239" s="137">
        <f>IF(J239=K239+L239,0,Y239)</f>
        <v>0</v>
      </c>
      <c r="N239" s="138">
        <v>0</v>
      </c>
      <c r="O239" s="137">
        <v>11.07</v>
      </c>
      <c r="P239" s="137">
        <v>0</v>
      </c>
      <c r="Q239" s="137">
        <v>0</v>
      </c>
      <c r="R239" s="137">
        <v>1.33</v>
      </c>
      <c r="S239" s="138">
        <v>11.07</v>
      </c>
      <c r="T239" s="137">
        <v>12.4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12.4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105</v>
      </c>
      <c r="F240" s="133" t="s">
        <v>100</v>
      </c>
      <c r="G240" s="134">
        <v>46132</v>
      </c>
      <c r="H240" s="135">
        <v>0.5695601851851851</v>
      </c>
      <c r="I240" s="136">
        <v>161000357</v>
      </c>
      <c r="J240" s="137">
        <v>19.9</v>
      </c>
      <c r="K240" s="137">
        <f>N240+O240+P240</f>
        <v>17.76</v>
      </c>
      <c r="L240" s="137">
        <f>Q240+R240</f>
        <v>2.14</v>
      </c>
      <c r="M240" s="137">
        <f>IF(J240=K240+L240,0,Y240)</f>
        <v>0</v>
      </c>
      <c r="N240" s="138">
        <v>0</v>
      </c>
      <c r="O240" s="137">
        <v>17.76</v>
      </c>
      <c r="P240" s="137">
        <v>0</v>
      </c>
      <c r="Q240" s="137">
        <v>0</v>
      </c>
      <c r="R240" s="137">
        <v>2.14</v>
      </c>
      <c r="S240" s="138">
        <v>17.76</v>
      </c>
      <c r="T240" s="137">
        <v>19.9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19.9</v>
      </c>
      <c r="AC240" s="137"/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105</v>
      </c>
      <c r="F241" s="133" t="s">
        <v>100</v>
      </c>
      <c r="G241" s="134">
        <v>46132</v>
      </c>
      <c r="H241" s="135">
        <v>0.5747800925925926</v>
      </c>
      <c r="I241" s="136">
        <v>161000358</v>
      </c>
      <c r="J241" s="137">
        <v>19.9</v>
      </c>
      <c r="K241" s="137">
        <f>N241+O241+P241</f>
        <v>16.44</v>
      </c>
      <c r="L241" s="137">
        <f>Q241+R241</f>
        <v>3.46</v>
      </c>
      <c r="M241" s="137">
        <f>IF(J241=K241+L241,0,Y241)</f>
        <v>0</v>
      </c>
      <c r="N241" s="138">
        <v>16.44</v>
      </c>
      <c r="O241" s="137">
        <v>0</v>
      </c>
      <c r="P241" s="137">
        <v>0</v>
      </c>
      <c r="Q241" s="137">
        <v>3.46</v>
      </c>
      <c r="R241" s="137">
        <v>0</v>
      </c>
      <c r="S241" s="138">
        <v>16.44</v>
      </c>
      <c r="T241" s="137">
        <v>19.9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19.9</v>
      </c>
      <c r="AC241" s="137"/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105</v>
      </c>
      <c r="F242" s="133" t="s">
        <v>100</v>
      </c>
      <c r="G242" s="134">
        <v>46132</v>
      </c>
      <c r="H242" s="135">
        <v>0.5832523148148148</v>
      </c>
      <c r="I242" s="136">
        <v>161000359</v>
      </c>
      <c r="J242" s="137">
        <v>15.9</v>
      </c>
      <c r="K242" s="137">
        <f>N242+O242+P242</f>
        <v>14.19</v>
      </c>
      <c r="L242" s="137">
        <f>Q242+R242</f>
        <v>1.71</v>
      </c>
      <c r="M242" s="137">
        <f>IF(J242=K242+L242,0,Y242)</f>
        <v>0</v>
      </c>
      <c r="N242" s="138">
        <v>0</v>
      </c>
      <c r="O242" s="137">
        <v>14.19</v>
      </c>
      <c r="P242" s="137">
        <v>0</v>
      </c>
      <c r="Q242" s="137">
        <v>0</v>
      </c>
      <c r="R242" s="137">
        <v>1.71</v>
      </c>
      <c r="S242" s="138">
        <v>14.19</v>
      </c>
      <c r="T242" s="137">
        <v>15.9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15.9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105</v>
      </c>
      <c r="F243" s="133" t="s">
        <v>100</v>
      </c>
      <c r="G243" s="134">
        <v>46132</v>
      </c>
      <c r="H243" s="135">
        <v>0.5923032407407407</v>
      </c>
      <c r="I243" s="136">
        <v>161000360</v>
      </c>
      <c r="J243" s="137">
        <v>57.8</v>
      </c>
      <c r="K243" s="137">
        <f>N243+O243+P243</f>
        <v>51.59</v>
      </c>
      <c r="L243" s="137">
        <f>Q243+R243</f>
        <v>6.21</v>
      </c>
      <c r="M243" s="137">
        <f>IF(J243=K243+L243,0,Y243)</f>
        <v>0</v>
      </c>
      <c r="N243" s="138">
        <v>0</v>
      </c>
      <c r="O243" s="137">
        <v>51.59</v>
      </c>
      <c r="P243" s="137">
        <v>0</v>
      </c>
      <c r="Q243" s="137">
        <v>0</v>
      </c>
      <c r="R243" s="137">
        <v>6.21</v>
      </c>
      <c r="S243" s="138">
        <v>51.59</v>
      </c>
      <c r="T243" s="137">
        <v>57.8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57.8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105</v>
      </c>
      <c r="F244" s="133" t="s">
        <v>100</v>
      </c>
      <c r="G244" s="134">
        <v>46132</v>
      </c>
      <c r="H244" s="135">
        <v>0.6027893518518519</v>
      </c>
      <c r="I244" s="136">
        <v>161000361</v>
      </c>
      <c r="J244" s="137">
        <v>77.8</v>
      </c>
      <c r="K244" s="137">
        <f>N244+O244+P244</f>
        <v>69.46</v>
      </c>
      <c r="L244" s="137">
        <f>Q244+R244</f>
        <v>8.34</v>
      </c>
      <c r="M244" s="137">
        <f>IF(J244=K244+L244,0,Y244)</f>
        <v>0</v>
      </c>
      <c r="N244" s="138">
        <v>0</v>
      </c>
      <c r="O244" s="137">
        <v>69.46</v>
      </c>
      <c r="P244" s="137">
        <v>0</v>
      </c>
      <c r="Q244" s="137">
        <v>0</v>
      </c>
      <c r="R244" s="137">
        <v>8.34</v>
      </c>
      <c r="S244" s="138">
        <v>69.46</v>
      </c>
      <c r="T244" s="137">
        <v>77.8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77.8</v>
      </c>
      <c r="AC244" s="137"/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105</v>
      </c>
      <c r="F245" s="133" t="s">
        <v>100</v>
      </c>
      <c r="G245" s="134">
        <v>46132</v>
      </c>
      <c r="H245" s="135">
        <v>0.606412037037037</v>
      </c>
      <c r="I245" s="136">
        <v>161000362</v>
      </c>
      <c r="J245" s="137">
        <v>180.14</v>
      </c>
      <c r="K245" s="137">
        <f>N245+O245+P245</f>
        <v>160.81</v>
      </c>
      <c r="L245" s="137">
        <f>Q245+R245</f>
        <v>19.33</v>
      </c>
      <c r="M245" s="137">
        <f>IF(J245=K245+L245,0,Y245)</f>
        <v>0</v>
      </c>
      <c r="N245" s="138">
        <v>0</v>
      </c>
      <c r="O245" s="137">
        <v>160.81</v>
      </c>
      <c r="P245" s="137">
        <v>0</v>
      </c>
      <c r="Q245" s="137">
        <v>0</v>
      </c>
      <c r="R245" s="137">
        <v>19.33</v>
      </c>
      <c r="S245" s="138">
        <v>160.81</v>
      </c>
      <c r="T245" s="137">
        <v>180.14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180.14</v>
      </c>
      <c r="AC245" s="137"/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105</v>
      </c>
      <c r="F246" s="133" t="s">
        <v>100</v>
      </c>
      <c r="G246" s="134">
        <v>46132</v>
      </c>
      <c r="H246" s="135">
        <v>0.609212962962963</v>
      </c>
      <c r="I246" s="136">
        <v>161000363</v>
      </c>
      <c r="J246" s="137">
        <v>78.5</v>
      </c>
      <c r="K246" s="137">
        <f>N246+O246+P246</f>
        <v>70.08</v>
      </c>
      <c r="L246" s="137">
        <f>Q246+R246</f>
        <v>8.42</v>
      </c>
      <c r="M246" s="137">
        <f>IF(J246=K246+L246,0,Y246)</f>
        <v>0</v>
      </c>
      <c r="N246" s="138">
        <v>0</v>
      </c>
      <c r="O246" s="137">
        <v>70.08</v>
      </c>
      <c r="P246" s="137">
        <v>0</v>
      </c>
      <c r="Q246" s="137">
        <v>0</v>
      </c>
      <c r="R246" s="137">
        <v>8.42</v>
      </c>
      <c r="S246" s="138">
        <v>70.08</v>
      </c>
      <c r="T246" s="137">
        <v>78.5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78.5</v>
      </c>
      <c r="AC246" s="137"/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105</v>
      </c>
      <c r="F247" s="133" t="s">
        <v>100</v>
      </c>
      <c r="G247" s="134">
        <v>46132</v>
      </c>
      <c r="H247" s="135">
        <v>0.6116550925925925</v>
      </c>
      <c r="I247" s="136">
        <v>161000364</v>
      </c>
      <c r="J247" s="137">
        <v>260.8</v>
      </c>
      <c r="K247" s="137">
        <f>N247+O247+P247</f>
        <v>230.16</v>
      </c>
      <c r="L247" s="137">
        <f>Q247+R247</f>
        <v>30.64</v>
      </c>
      <c r="M247" s="137">
        <f>IF(J247=K247+L247,0,Y247)</f>
        <v>0</v>
      </c>
      <c r="N247" s="138">
        <v>32.97</v>
      </c>
      <c r="O247" s="137">
        <v>197.19</v>
      </c>
      <c r="P247" s="137">
        <v>0</v>
      </c>
      <c r="Q247" s="137">
        <v>6.93</v>
      </c>
      <c r="R247" s="137">
        <v>23.71</v>
      </c>
      <c r="S247" s="138">
        <v>230.16</v>
      </c>
      <c r="T247" s="137">
        <v>260.8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260.8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105</v>
      </c>
      <c r="F248" s="133" t="s">
        <v>100</v>
      </c>
      <c r="G248" s="134">
        <v>46132</v>
      </c>
      <c r="H248" s="135">
        <v>0.6124421296296296</v>
      </c>
      <c r="I248" s="136">
        <v>161000365</v>
      </c>
      <c r="J248" s="137">
        <v>49.8</v>
      </c>
      <c r="K248" s="137">
        <f>N248+O248+P248</f>
        <v>43.13</v>
      </c>
      <c r="L248" s="137">
        <f>Q248+R248</f>
        <v>6.67</v>
      </c>
      <c r="M248" s="137">
        <f>IF(J248=K248+L248,0,Y248)</f>
        <v>0</v>
      </c>
      <c r="N248" s="138">
        <v>16.44</v>
      </c>
      <c r="O248" s="137">
        <v>26.69</v>
      </c>
      <c r="P248" s="137">
        <v>0</v>
      </c>
      <c r="Q248" s="137">
        <v>3.46</v>
      </c>
      <c r="R248" s="137">
        <v>3.21</v>
      </c>
      <c r="S248" s="138">
        <v>43.13</v>
      </c>
      <c r="T248" s="137">
        <v>49.8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49.8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105</v>
      </c>
      <c r="F249" s="133" t="s">
        <v>100</v>
      </c>
      <c r="G249" s="134">
        <v>46132</v>
      </c>
      <c r="H249" s="135">
        <v>0.617199074074074</v>
      </c>
      <c r="I249" s="136">
        <v>161000366</v>
      </c>
      <c r="J249" s="137">
        <v>16.9</v>
      </c>
      <c r="K249" s="137">
        <f>N249+O249+P249</f>
        <v>15.08</v>
      </c>
      <c r="L249" s="137">
        <f>Q249+R249</f>
        <v>1.82</v>
      </c>
      <c r="M249" s="137">
        <f>IF(J249=K249+L249,0,Y249)</f>
        <v>0</v>
      </c>
      <c r="N249" s="138">
        <v>0</v>
      </c>
      <c r="O249" s="137">
        <v>15.08</v>
      </c>
      <c r="P249" s="137">
        <v>0</v>
      </c>
      <c r="Q249" s="137">
        <v>0</v>
      </c>
      <c r="R249" s="137">
        <v>1.82</v>
      </c>
      <c r="S249" s="138">
        <v>15.08</v>
      </c>
      <c r="T249" s="137">
        <v>16.9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16.9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105</v>
      </c>
      <c r="F250" s="133" t="s">
        <v>100</v>
      </c>
      <c r="G250" s="134">
        <v>46132</v>
      </c>
      <c r="H250" s="135">
        <v>0.6186111111111111</v>
      </c>
      <c r="I250" s="136">
        <v>161000367</v>
      </c>
      <c r="J250" s="137">
        <v>261.14</v>
      </c>
      <c r="K250" s="137">
        <f>N250+O250+P250</f>
        <v>228.9</v>
      </c>
      <c r="L250" s="137">
        <f>Q250+R250</f>
        <v>32.239999999999995</v>
      </c>
      <c r="M250" s="137">
        <f>IF(J250=K250+L250,0,Y250)</f>
        <v>0</v>
      </c>
      <c r="N250" s="138">
        <v>52.56</v>
      </c>
      <c r="O250" s="137">
        <v>176.34</v>
      </c>
      <c r="P250" s="137">
        <v>0</v>
      </c>
      <c r="Q250" s="137">
        <v>11.04</v>
      </c>
      <c r="R250" s="137">
        <v>21.2</v>
      </c>
      <c r="S250" s="138">
        <v>228.9</v>
      </c>
      <c r="T250" s="137">
        <v>261.14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261.14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105</v>
      </c>
      <c r="F251" s="133" t="s">
        <v>100</v>
      </c>
      <c r="G251" s="134">
        <v>46132</v>
      </c>
      <c r="H251" s="135">
        <v>0.6224421296296296</v>
      </c>
      <c r="I251" s="136">
        <v>161000368</v>
      </c>
      <c r="J251" s="137">
        <v>16.31</v>
      </c>
      <c r="K251" s="137">
        <f>N251+O251+P251</f>
        <v>14.55</v>
      </c>
      <c r="L251" s="137">
        <f>Q251+R251</f>
        <v>1.76</v>
      </c>
      <c r="M251" s="137">
        <f>IF(J251=K251+L251,0,Y251)</f>
        <v>0</v>
      </c>
      <c r="N251" s="138">
        <v>0</v>
      </c>
      <c r="O251" s="137">
        <v>14.55</v>
      </c>
      <c r="P251" s="137">
        <v>0</v>
      </c>
      <c r="Q251" s="137">
        <v>0</v>
      </c>
      <c r="R251" s="137">
        <v>1.76</v>
      </c>
      <c r="S251" s="138">
        <v>14.55</v>
      </c>
      <c r="T251" s="137">
        <v>16.31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16.31</v>
      </c>
      <c r="AC251" s="137"/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105</v>
      </c>
      <c r="F252" s="133" t="s">
        <v>100</v>
      </c>
      <c r="G252" s="134">
        <v>46132</v>
      </c>
      <c r="H252" s="135">
        <v>0.6275347222222222</v>
      </c>
      <c r="I252" s="136">
        <v>161000369</v>
      </c>
      <c r="J252" s="137">
        <v>62.9</v>
      </c>
      <c r="K252" s="137">
        <f>N252+O252+P252</f>
        <v>56.16</v>
      </c>
      <c r="L252" s="137">
        <f>Q252+R252</f>
        <v>6.74</v>
      </c>
      <c r="M252" s="137">
        <f>IF(J252=K252+L252,0,Y252)</f>
        <v>0</v>
      </c>
      <c r="N252" s="138">
        <v>0</v>
      </c>
      <c r="O252" s="137">
        <v>56.16</v>
      </c>
      <c r="P252" s="137">
        <v>0</v>
      </c>
      <c r="Q252" s="137">
        <v>0</v>
      </c>
      <c r="R252" s="137">
        <v>6.74</v>
      </c>
      <c r="S252" s="138">
        <v>56.16</v>
      </c>
      <c r="T252" s="137">
        <v>62.9</v>
      </c>
      <c r="U252" s="137">
        <v>0</v>
      </c>
      <c r="V252" s="137">
        <v>0</v>
      </c>
      <c r="W252" s="137">
        <v>0</v>
      </c>
      <c r="X252" s="137">
        <v>0</v>
      </c>
      <c r="Y252" s="137">
        <v>0</v>
      </c>
      <c r="Z252" s="138">
        <v>0</v>
      </c>
      <c r="AA252" s="137">
        <v>0</v>
      </c>
      <c r="AB252" s="137">
        <v>62.9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105</v>
      </c>
      <c r="F253" s="133" t="s">
        <v>100</v>
      </c>
      <c r="G253" s="134">
        <v>46132</v>
      </c>
      <c r="H253" s="135">
        <v>0.6293055555555556</v>
      </c>
      <c r="I253" s="136">
        <v>161000370</v>
      </c>
      <c r="J253" s="137">
        <v>55.2</v>
      </c>
      <c r="K253" s="137">
        <f>N253+O253+P253</f>
        <v>49.28</v>
      </c>
      <c r="L253" s="137">
        <f>Q253+R253</f>
        <v>5.92</v>
      </c>
      <c r="M253" s="137">
        <f>IF(J253=K253+L253,0,Y253)</f>
        <v>0</v>
      </c>
      <c r="N253" s="138">
        <v>0</v>
      </c>
      <c r="O253" s="137">
        <v>49.28</v>
      </c>
      <c r="P253" s="137">
        <v>0</v>
      </c>
      <c r="Q253" s="137">
        <v>0</v>
      </c>
      <c r="R253" s="137">
        <v>5.92</v>
      </c>
      <c r="S253" s="138">
        <v>49.28</v>
      </c>
      <c r="T253" s="137">
        <v>55.2</v>
      </c>
      <c r="U253" s="137">
        <v>0</v>
      </c>
      <c r="V253" s="137">
        <v>0</v>
      </c>
      <c r="W253" s="137">
        <v>0</v>
      </c>
      <c r="X253" s="137">
        <v>0</v>
      </c>
      <c r="Y253" s="137">
        <v>0</v>
      </c>
      <c r="Z253" s="138">
        <v>0</v>
      </c>
      <c r="AA253" s="137">
        <v>0</v>
      </c>
      <c r="AB253" s="137">
        <v>55.2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105</v>
      </c>
      <c r="F254" s="133" t="s">
        <v>100</v>
      </c>
      <c r="G254" s="134">
        <v>46132</v>
      </c>
      <c r="H254" s="135">
        <v>0.6346412037037037</v>
      </c>
      <c r="I254" s="136">
        <v>161000371</v>
      </c>
      <c r="J254" s="137">
        <v>33.8</v>
      </c>
      <c r="K254" s="137">
        <f>N254+O254+P254</f>
        <v>30.17</v>
      </c>
      <c r="L254" s="137">
        <f>Q254+R254</f>
        <v>3.63</v>
      </c>
      <c r="M254" s="137">
        <f>IF(J254=K254+L254,0,Y254)</f>
        <v>0</v>
      </c>
      <c r="N254" s="138">
        <v>0</v>
      </c>
      <c r="O254" s="137">
        <v>30.17</v>
      </c>
      <c r="P254" s="137">
        <v>0</v>
      </c>
      <c r="Q254" s="137">
        <v>0</v>
      </c>
      <c r="R254" s="137">
        <v>3.63</v>
      </c>
      <c r="S254" s="138">
        <v>30.17</v>
      </c>
      <c r="T254" s="137">
        <v>33.8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33.8</v>
      </c>
      <c r="AC254" s="137"/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105</v>
      </c>
      <c r="F255" s="133" t="s">
        <v>100</v>
      </c>
      <c r="G255" s="134">
        <v>46132</v>
      </c>
      <c r="H255" s="135">
        <v>0.6405902777777778</v>
      </c>
      <c r="I255" s="136">
        <v>161000372</v>
      </c>
      <c r="J255" s="137">
        <v>106.6</v>
      </c>
      <c r="K255" s="137">
        <f>N255+O255+P255</f>
        <v>95.16</v>
      </c>
      <c r="L255" s="137">
        <f>Q255+R255</f>
        <v>11.44</v>
      </c>
      <c r="M255" s="137">
        <f>IF(J255=K255+L255,0,Y255)</f>
        <v>0</v>
      </c>
      <c r="N255" s="138">
        <v>0</v>
      </c>
      <c r="O255" s="137">
        <v>95.16</v>
      </c>
      <c r="P255" s="137">
        <v>0</v>
      </c>
      <c r="Q255" s="137">
        <v>0</v>
      </c>
      <c r="R255" s="137">
        <v>11.44</v>
      </c>
      <c r="S255" s="138">
        <v>95.16</v>
      </c>
      <c r="T255" s="137">
        <v>106.6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106.6</v>
      </c>
      <c r="AC255" s="137"/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105</v>
      </c>
      <c r="F256" s="133" t="s">
        <v>100</v>
      </c>
      <c r="G256" s="134">
        <v>46132</v>
      </c>
      <c r="H256" s="135">
        <v>0.6459953703703704</v>
      </c>
      <c r="I256" s="136">
        <v>161000373</v>
      </c>
      <c r="J256" s="137">
        <v>167.2</v>
      </c>
      <c r="K256" s="137">
        <f>N256+O256+P256</f>
        <v>149.25</v>
      </c>
      <c r="L256" s="137">
        <f>Q256+R256</f>
        <v>17.95</v>
      </c>
      <c r="M256" s="137">
        <f>IF(J256=K256+L256,0,Y256)</f>
        <v>0</v>
      </c>
      <c r="N256" s="138">
        <v>0</v>
      </c>
      <c r="O256" s="137">
        <v>149.25</v>
      </c>
      <c r="P256" s="137">
        <v>0</v>
      </c>
      <c r="Q256" s="137">
        <v>0</v>
      </c>
      <c r="R256" s="137">
        <v>17.95</v>
      </c>
      <c r="S256" s="138">
        <v>149.25</v>
      </c>
      <c r="T256" s="137">
        <v>167.2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167.2</v>
      </c>
      <c r="AC256" s="137"/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105</v>
      </c>
      <c r="F257" s="133" t="s">
        <v>100</v>
      </c>
      <c r="G257" s="134">
        <v>46132</v>
      </c>
      <c r="H257" s="135">
        <v>0.6519212962962962</v>
      </c>
      <c r="I257" s="136">
        <v>161000374</v>
      </c>
      <c r="J257" s="137">
        <v>91.8</v>
      </c>
      <c r="K257" s="137">
        <f>N257+O257+P257</f>
        <v>79.64</v>
      </c>
      <c r="L257" s="137">
        <f>Q257+R257</f>
        <v>12.16</v>
      </c>
      <c r="M257" s="137">
        <f>IF(J257=K257+L257,0,Y257)</f>
        <v>0</v>
      </c>
      <c r="N257" s="138">
        <v>28.84</v>
      </c>
      <c r="O257" s="137">
        <v>50.8</v>
      </c>
      <c r="P257" s="137">
        <v>0</v>
      </c>
      <c r="Q257" s="137">
        <v>6.06</v>
      </c>
      <c r="R257" s="137">
        <v>6.1</v>
      </c>
      <c r="S257" s="138">
        <v>79.64</v>
      </c>
      <c r="T257" s="137">
        <v>91.8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91.8</v>
      </c>
      <c r="AC257" s="137"/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105</v>
      </c>
      <c r="F258" s="133" t="s">
        <v>100</v>
      </c>
      <c r="G258" s="134">
        <v>46132</v>
      </c>
      <c r="H258" s="135">
        <v>0.6560185185185186</v>
      </c>
      <c r="I258" s="136">
        <v>161000375</v>
      </c>
      <c r="J258" s="137">
        <v>271.44</v>
      </c>
      <c r="K258" s="137">
        <f>N258+O258+P258</f>
        <v>240.60999999999999</v>
      </c>
      <c r="L258" s="137">
        <f>Q258+R258</f>
        <v>30.83</v>
      </c>
      <c r="M258" s="137">
        <f>IF(J258=K258+L258,0,Y258)</f>
        <v>0</v>
      </c>
      <c r="N258" s="138">
        <v>20.57</v>
      </c>
      <c r="O258" s="137">
        <v>220.04</v>
      </c>
      <c r="P258" s="137">
        <v>0</v>
      </c>
      <c r="Q258" s="137">
        <v>4.33</v>
      </c>
      <c r="R258" s="137">
        <v>26.5</v>
      </c>
      <c r="S258" s="138">
        <v>240.61</v>
      </c>
      <c r="T258" s="137">
        <v>271.44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271.44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105</v>
      </c>
      <c r="F259" s="133" t="s">
        <v>100</v>
      </c>
      <c r="G259" s="134">
        <v>46132</v>
      </c>
      <c r="H259" s="135">
        <v>0.6582060185185186</v>
      </c>
      <c r="I259" s="136">
        <v>161000376</v>
      </c>
      <c r="J259" s="137">
        <v>47.6</v>
      </c>
      <c r="K259" s="137">
        <f>N259+O259+P259</f>
        <v>42.5</v>
      </c>
      <c r="L259" s="137">
        <f>Q259+R259</f>
        <v>5.1</v>
      </c>
      <c r="M259" s="137">
        <f>IF(J259=K259+L259,0,Y259)</f>
        <v>0</v>
      </c>
      <c r="N259" s="138">
        <v>0</v>
      </c>
      <c r="O259" s="137">
        <v>42.5</v>
      </c>
      <c r="P259" s="137">
        <v>0</v>
      </c>
      <c r="Q259" s="137">
        <v>0</v>
      </c>
      <c r="R259" s="137">
        <v>5.1</v>
      </c>
      <c r="S259" s="138">
        <v>42.5</v>
      </c>
      <c r="T259" s="137">
        <v>47.6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47.6</v>
      </c>
      <c r="AC259" s="137"/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105</v>
      </c>
      <c r="F260" s="133" t="s">
        <v>100</v>
      </c>
      <c r="G260" s="134">
        <v>46132</v>
      </c>
      <c r="H260" s="135">
        <v>0.6671064814814814</v>
      </c>
      <c r="I260" s="136">
        <v>161000377</v>
      </c>
      <c r="J260" s="137">
        <v>18.44</v>
      </c>
      <c r="K260" s="137">
        <f>N260+O260+P260</f>
        <v>16.46</v>
      </c>
      <c r="L260" s="137">
        <f>Q260+R260</f>
        <v>1.98</v>
      </c>
      <c r="M260" s="137">
        <f>IF(J260=K260+L260,0,Y260)</f>
        <v>0</v>
      </c>
      <c r="N260" s="138">
        <v>0</v>
      </c>
      <c r="O260" s="137">
        <v>16.46</v>
      </c>
      <c r="P260" s="137">
        <v>0</v>
      </c>
      <c r="Q260" s="137">
        <v>0</v>
      </c>
      <c r="R260" s="137">
        <v>1.98</v>
      </c>
      <c r="S260" s="138">
        <v>16.46</v>
      </c>
      <c r="T260" s="137">
        <v>18.44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18.44</v>
      </c>
      <c r="AC260" s="137"/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105</v>
      </c>
      <c r="F261" s="133" t="s">
        <v>100</v>
      </c>
      <c r="G261" s="134">
        <v>46132</v>
      </c>
      <c r="H261" s="135">
        <v>0.6888541666666667</v>
      </c>
      <c r="I261" s="136">
        <v>161000378</v>
      </c>
      <c r="J261" s="137">
        <v>197.96</v>
      </c>
      <c r="K261" s="137">
        <f>N261+O261+P261</f>
        <v>172.07999999999998</v>
      </c>
      <c r="L261" s="137">
        <f>Q261+R261</f>
        <v>25.880000000000003</v>
      </c>
      <c r="M261" s="137">
        <f>IF(J261=K261+L261,0,Y261)</f>
        <v>0</v>
      </c>
      <c r="N261" s="138">
        <v>57.76</v>
      </c>
      <c r="O261" s="137">
        <v>114.32</v>
      </c>
      <c r="P261" s="137">
        <v>0</v>
      </c>
      <c r="Q261" s="137">
        <v>12.14</v>
      </c>
      <c r="R261" s="137">
        <v>13.74</v>
      </c>
      <c r="S261" s="138">
        <v>172.08</v>
      </c>
      <c r="T261" s="137">
        <v>197.96</v>
      </c>
      <c r="U261" s="137">
        <v>0</v>
      </c>
      <c r="V261" s="137">
        <v>0</v>
      </c>
      <c r="W261" s="137">
        <v>0</v>
      </c>
      <c r="X261" s="137">
        <v>0</v>
      </c>
      <c r="Y261" s="137">
        <v>0</v>
      </c>
      <c r="Z261" s="138">
        <v>0</v>
      </c>
      <c r="AA261" s="137">
        <v>0</v>
      </c>
      <c r="AB261" s="137">
        <v>197.96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105</v>
      </c>
      <c r="F262" s="133" t="s">
        <v>100</v>
      </c>
      <c r="G262" s="134">
        <v>46132</v>
      </c>
      <c r="H262" s="135">
        <v>0.6937037037037037</v>
      </c>
      <c r="I262" s="136">
        <v>161000379</v>
      </c>
      <c r="J262" s="137">
        <v>324.1</v>
      </c>
      <c r="K262" s="137">
        <f>N262+O262+P262</f>
        <v>289.34</v>
      </c>
      <c r="L262" s="137">
        <f>Q262+R262</f>
        <v>34.76</v>
      </c>
      <c r="M262" s="137">
        <f>IF(J262=K262+L262,0,Y262)</f>
        <v>0</v>
      </c>
      <c r="N262" s="138">
        <v>0</v>
      </c>
      <c r="O262" s="137">
        <v>289.34</v>
      </c>
      <c r="P262" s="137">
        <v>0</v>
      </c>
      <c r="Q262" s="137">
        <v>0</v>
      </c>
      <c r="R262" s="137">
        <v>34.76</v>
      </c>
      <c r="S262" s="138">
        <v>289.34</v>
      </c>
      <c r="T262" s="137">
        <v>324.1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324.1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105</v>
      </c>
      <c r="F263" s="133" t="s">
        <v>100</v>
      </c>
      <c r="G263" s="134">
        <v>46132</v>
      </c>
      <c r="H263" s="135">
        <v>0.6977777777777778</v>
      </c>
      <c r="I263" s="136">
        <v>161000380</v>
      </c>
      <c r="J263" s="137">
        <v>16.9</v>
      </c>
      <c r="K263" s="137">
        <f>N263+O263+P263</f>
        <v>15.08</v>
      </c>
      <c r="L263" s="137">
        <f>Q263+R263</f>
        <v>1.82</v>
      </c>
      <c r="M263" s="137">
        <f>IF(J263=K263+L263,0,Y263)</f>
        <v>0</v>
      </c>
      <c r="N263" s="138">
        <v>0</v>
      </c>
      <c r="O263" s="137">
        <v>15.08</v>
      </c>
      <c r="P263" s="137">
        <v>0</v>
      </c>
      <c r="Q263" s="137">
        <v>0</v>
      </c>
      <c r="R263" s="137">
        <v>1.82</v>
      </c>
      <c r="S263" s="138">
        <v>15.08</v>
      </c>
      <c r="T263" s="137">
        <v>16.9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16.9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105</v>
      </c>
      <c r="F264" s="133" t="s">
        <v>100</v>
      </c>
      <c r="G264" s="134">
        <v>46132</v>
      </c>
      <c r="H264" s="135">
        <v>0.6985416666666666</v>
      </c>
      <c r="I264" s="136">
        <v>161000381</v>
      </c>
      <c r="J264" s="137">
        <v>22.9</v>
      </c>
      <c r="K264" s="137">
        <f>N264+O264+P264</f>
        <v>18.92</v>
      </c>
      <c r="L264" s="137">
        <f>Q264+R264</f>
        <v>3.98</v>
      </c>
      <c r="M264" s="137">
        <f>IF(J264=K264+L264,0,Y264)</f>
        <v>0</v>
      </c>
      <c r="N264" s="138">
        <v>18.92</v>
      </c>
      <c r="O264" s="137">
        <v>0</v>
      </c>
      <c r="P264" s="137">
        <v>0</v>
      </c>
      <c r="Q264" s="137">
        <v>3.98</v>
      </c>
      <c r="R264" s="137">
        <v>0</v>
      </c>
      <c r="S264" s="138">
        <v>18.92</v>
      </c>
      <c r="T264" s="137">
        <v>22.9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22.9</v>
      </c>
      <c r="AC264" s="137"/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105</v>
      </c>
      <c r="F265" s="133" t="s">
        <v>100</v>
      </c>
      <c r="G265" s="134">
        <v>46132</v>
      </c>
      <c r="H265" s="135">
        <v>0.7023958333333333</v>
      </c>
      <c r="I265" s="136">
        <v>161000382</v>
      </c>
      <c r="J265" s="137">
        <v>22.9</v>
      </c>
      <c r="K265" s="137">
        <f>N265+O265+P265</f>
        <v>18.92</v>
      </c>
      <c r="L265" s="137">
        <f>Q265+R265</f>
        <v>3.98</v>
      </c>
      <c r="M265" s="137">
        <f>IF(J265=K265+L265,0,Y265)</f>
        <v>0</v>
      </c>
      <c r="N265" s="138">
        <v>18.92</v>
      </c>
      <c r="O265" s="137">
        <v>0</v>
      </c>
      <c r="P265" s="137">
        <v>0</v>
      </c>
      <c r="Q265" s="137">
        <v>3.98</v>
      </c>
      <c r="R265" s="137">
        <v>0</v>
      </c>
      <c r="S265" s="138">
        <v>18.92</v>
      </c>
      <c r="T265" s="137">
        <v>22.9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22.9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105</v>
      </c>
      <c r="F266" s="133" t="s">
        <v>100</v>
      </c>
      <c r="G266" s="134">
        <v>46132</v>
      </c>
      <c r="H266" s="135">
        <v>0.7055092592592592</v>
      </c>
      <c r="I266" s="136">
        <v>161000383</v>
      </c>
      <c r="J266" s="137">
        <v>143.3</v>
      </c>
      <c r="K266" s="137">
        <f>N266+O266+P266</f>
        <v>127.92</v>
      </c>
      <c r="L266" s="137">
        <f>Q266+R266</f>
        <v>15.38</v>
      </c>
      <c r="M266" s="137">
        <f>IF(J266=K266+L266,0,Y266)</f>
        <v>0</v>
      </c>
      <c r="N266" s="138">
        <v>0</v>
      </c>
      <c r="O266" s="137">
        <v>127.92</v>
      </c>
      <c r="P266" s="137">
        <v>0</v>
      </c>
      <c r="Q266" s="137">
        <v>0</v>
      </c>
      <c r="R266" s="137">
        <v>15.38</v>
      </c>
      <c r="S266" s="138">
        <v>127.92</v>
      </c>
      <c r="T266" s="137">
        <v>143.3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143.3</v>
      </c>
      <c r="AC266" s="137"/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105</v>
      </c>
      <c r="F267" s="133" t="s">
        <v>100</v>
      </c>
      <c r="G267" s="134">
        <v>46132</v>
      </c>
      <c r="H267" s="135">
        <v>0.7071180555555555</v>
      </c>
      <c r="I267" s="136">
        <v>161000384</v>
      </c>
      <c r="J267" s="137">
        <v>44.7</v>
      </c>
      <c r="K267" s="137">
        <f>N267+O267+P267</f>
        <v>39.89</v>
      </c>
      <c r="L267" s="137">
        <f>Q267+R267</f>
        <v>4.81</v>
      </c>
      <c r="M267" s="137">
        <f>IF(J267=K267+L267,0,Y267)</f>
        <v>0</v>
      </c>
      <c r="N267" s="138">
        <v>0</v>
      </c>
      <c r="O267" s="137">
        <v>39.89</v>
      </c>
      <c r="P267" s="137">
        <v>0</v>
      </c>
      <c r="Q267" s="137">
        <v>0</v>
      </c>
      <c r="R267" s="137">
        <v>4.81</v>
      </c>
      <c r="S267" s="138">
        <v>39.89</v>
      </c>
      <c r="T267" s="137">
        <v>44.7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44.7</v>
      </c>
      <c r="AC267" s="137"/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105</v>
      </c>
      <c r="F268" s="133" t="s">
        <v>100</v>
      </c>
      <c r="G268" s="134">
        <v>46132</v>
      </c>
      <c r="H268" s="135">
        <v>0.7164351851851852</v>
      </c>
      <c r="I268" s="136">
        <v>161000385</v>
      </c>
      <c r="J268" s="137">
        <v>95.8</v>
      </c>
      <c r="K268" s="137">
        <f>N268+O268+P268</f>
        <v>82.21</v>
      </c>
      <c r="L268" s="137">
        <f>Q268+R268</f>
        <v>13.59</v>
      </c>
      <c r="M268" s="137">
        <f>IF(J268=K268+L268,0,Y268)</f>
        <v>0</v>
      </c>
      <c r="N268" s="138">
        <v>41.23</v>
      </c>
      <c r="O268" s="137">
        <v>40.98</v>
      </c>
      <c r="P268" s="137">
        <v>0</v>
      </c>
      <c r="Q268" s="137">
        <v>8.67</v>
      </c>
      <c r="R268" s="137">
        <v>4.92</v>
      </c>
      <c r="S268" s="138">
        <v>82.21</v>
      </c>
      <c r="T268" s="137">
        <v>95.8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95.8</v>
      </c>
      <c r="AC268" s="137"/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105</v>
      </c>
      <c r="F269" s="133" t="s">
        <v>100</v>
      </c>
      <c r="G269" s="134">
        <v>46132</v>
      </c>
      <c r="H269" s="135">
        <v>0.7223495370370371</v>
      </c>
      <c r="I269" s="136">
        <v>161000386</v>
      </c>
      <c r="J269" s="137">
        <v>82.3</v>
      </c>
      <c r="K269" s="137">
        <f>N269+O269+P269</f>
        <v>71.28</v>
      </c>
      <c r="L269" s="137">
        <f>Q269+R269</f>
        <v>11.02</v>
      </c>
      <c r="M269" s="137">
        <f>IF(J269=K269+L269,0,Y269)</f>
        <v>0</v>
      </c>
      <c r="N269" s="138">
        <v>27.19</v>
      </c>
      <c r="O269" s="137">
        <v>44.09</v>
      </c>
      <c r="P269" s="137">
        <v>0</v>
      </c>
      <c r="Q269" s="137">
        <v>5.71</v>
      </c>
      <c r="R269" s="137">
        <v>5.31</v>
      </c>
      <c r="S269" s="138">
        <v>71.28</v>
      </c>
      <c r="T269" s="137">
        <v>82.3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82.3</v>
      </c>
      <c r="AC269" s="137"/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105</v>
      </c>
      <c r="F270" s="133" t="s">
        <v>100</v>
      </c>
      <c r="G270" s="134">
        <v>46132</v>
      </c>
      <c r="H270" s="135">
        <v>0.7242361111111111</v>
      </c>
      <c r="I270" s="136">
        <v>161000387</v>
      </c>
      <c r="J270" s="137">
        <v>8.9</v>
      </c>
      <c r="K270" s="137">
        <f>N270+O270+P270</f>
        <v>7.94</v>
      </c>
      <c r="L270" s="137">
        <f>Q270+R270</f>
        <v>0.96</v>
      </c>
      <c r="M270" s="137">
        <f>IF(J270=K270+L270,0,Y270)</f>
        <v>0</v>
      </c>
      <c r="N270" s="138">
        <v>0</v>
      </c>
      <c r="O270" s="137">
        <v>7.94</v>
      </c>
      <c r="P270" s="137">
        <v>0</v>
      </c>
      <c r="Q270" s="137">
        <v>0</v>
      </c>
      <c r="R270" s="137">
        <v>0.96</v>
      </c>
      <c r="S270" s="138">
        <v>7.94</v>
      </c>
      <c r="T270" s="137">
        <v>8.9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8.9</v>
      </c>
      <c r="AC270" s="137"/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105</v>
      </c>
      <c r="F271" s="133" t="s">
        <v>100</v>
      </c>
      <c r="G271" s="134">
        <v>46132</v>
      </c>
      <c r="H271" s="135">
        <v>0.7314467592592593</v>
      </c>
      <c r="I271" s="136">
        <v>161000388</v>
      </c>
      <c r="J271" s="137">
        <v>21.9</v>
      </c>
      <c r="K271" s="137">
        <f>N271+O271+P271</f>
        <v>19.55</v>
      </c>
      <c r="L271" s="137">
        <f>Q271+R271</f>
        <v>2.35</v>
      </c>
      <c r="M271" s="137">
        <f>IF(J271=K271+L271,0,Y271)</f>
        <v>0</v>
      </c>
      <c r="N271" s="138">
        <v>0</v>
      </c>
      <c r="O271" s="137">
        <v>19.55</v>
      </c>
      <c r="P271" s="137">
        <v>0</v>
      </c>
      <c r="Q271" s="137">
        <v>0</v>
      </c>
      <c r="R271" s="137">
        <v>2.35</v>
      </c>
      <c r="S271" s="138">
        <v>19.55</v>
      </c>
      <c r="T271" s="137">
        <v>21.9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21.9</v>
      </c>
      <c r="AC271" s="137"/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105</v>
      </c>
      <c r="F272" s="133" t="s">
        <v>100</v>
      </c>
      <c r="G272" s="134">
        <v>46132</v>
      </c>
      <c r="H272" s="135">
        <v>0.7449652777777778</v>
      </c>
      <c r="I272" s="136">
        <v>161000389</v>
      </c>
      <c r="J272" s="137">
        <v>29.9</v>
      </c>
      <c r="K272" s="137">
        <f>N272+O272+P272</f>
        <v>26.69</v>
      </c>
      <c r="L272" s="137">
        <f>Q272+R272</f>
        <v>3.21</v>
      </c>
      <c r="M272" s="137">
        <f>IF(J272=K272+L272,0,Y272)</f>
        <v>0</v>
      </c>
      <c r="N272" s="138">
        <v>0</v>
      </c>
      <c r="O272" s="137">
        <v>26.69</v>
      </c>
      <c r="P272" s="137">
        <v>0</v>
      </c>
      <c r="Q272" s="137">
        <v>0</v>
      </c>
      <c r="R272" s="137">
        <v>3.21</v>
      </c>
      <c r="S272" s="138">
        <v>26.69</v>
      </c>
      <c r="T272" s="137">
        <v>29.9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29.9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105</v>
      </c>
      <c r="F273" s="133" t="s">
        <v>100</v>
      </c>
      <c r="G273" s="134">
        <v>46132</v>
      </c>
      <c r="H273" s="135">
        <v>0.7468287037037037</v>
      </c>
      <c r="I273" s="136">
        <v>161000390</v>
      </c>
      <c r="J273" s="137">
        <v>94.6</v>
      </c>
      <c r="K273" s="137">
        <f>N273+O273+P273</f>
        <v>84.45</v>
      </c>
      <c r="L273" s="137">
        <f>Q273+R273</f>
        <v>10.15</v>
      </c>
      <c r="M273" s="137">
        <f>IF(J273=K273+L273,0,Y273)</f>
        <v>0</v>
      </c>
      <c r="N273" s="138">
        <v>0</v>
      </c>
      <c r="O273" s="137">
        <v>84.45</v>
      </c>
      <c r="P273" s="137">
        <v>0</v>
      </c>
      <c r="Q273" s="137">
        <v>0</v>
      </c>
      <c r="R273" s="137">
        <v>10.15</v>
      </c>
      <c r="S273" s="138">
        <v>84.45</v>
      </c>
      <c r="T273" s="137">
        <v>94.6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94.6</v>
      </c>
      <c r="AC273" s="137"/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105</v>
      </c>
      <c r="F274" s="133" t="s">
        <v>100</v>
      </c>
      <c r="G274" s="134">
        <v>46132</v>
      </c>
      <c r="H274" s="135">
        <v>0.7533217592592593</v>
      </c>
      <c r="I274" s="136">
        <v>161000391</v>
      </c>
      <c r="J274" s="137">
        <v>159.4</v>
      </c>
      <c r="K274" s="137">
        <f>N274+O274+P274</f>
        <v>134.34</v>
      </c>
      <c r="L274" s="137">
        <f>Q274+R274</f>
        <v>25.060000000000002</v>
      </c>
      <c r="M274" s="137">
        <f>IF(J274=K274+L274,0,Y274)</f>
        <v>0</v>
      </c>
      <c r="N274" s="138">
        <v>98.82</v>
      </c>
      <c r="O274" s="137">
        <v>35.52</v>
      </c>
      <c r="P274" s="137">
        <v>0</v>
      </c>
      <c r="Q274" s="137">
        <v>20.78</v>
      </c>
      <c r="R274" s="137">
        <v>4.28</v>
      </c>
      <c r="S274" s="138">
        <v>134.34</v>
      </c>
      <c r="T274" s="137">
        <v>159.4</v>
      </c>
      <c r="U274" s="137">
        <v>0</v>
      </c>
      <c r="V274" s="137">
        <v>0</v>
      </c>
      <c r="W274" s="137">
        <v>0</v>
      </c>
      <c r="X274" s="137">
        <v>0</v>
      </c>
      <c r="Y274" s="137">
        <v>0</v>
      </c>
      <c r="Z274" s="138">
        <v>0</v>
      </c>
      <c r="AA274" s="137">
        <v>0</v>
      </c>
      <c r="AB274" s="137">
        <v>159.4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105</v>
      </c>
      <c r="F275" s="133" t="s">
        <v>100</v>
      </c>
      <c r="G275" s="134">
        <v>46132</v>
      </c>
      <c r="H275" s="135">
        <v>0.7638425925925926</v>
      </c>
      <c r="I275" s="136">
        <v>161000392</v>
      </c>
      <c r="J275" s="137">
        <v>31.8</v>
      </c>
      <c r="K275" s="137">
        <f>N275+O275+P275</f>
        <v>26.28</v>
      </c>
      <c r="L275" s="137">
        <f>Q275+R275</f>
        <v>5.52</v>
      </c>
      <c r="M275" s="137">
        <f>IF(J275=K275+L275,0,Y275)</f>
        <v>0</v>
      </c>
      <c r="N275" s="138">
        <v>26.28</v>
      </c>
      <c r="O275" s="137">
        <v>0</v>
      </c>
      <c r="P275" s="137">
        <v>0</v>
      </c>
      <c r="Q275" s="137">
        <v>5.52</v>
      </c>
      <c r="R275" s="137">
        <v>0</v>
      </c>
      <c r="S275" s="138">
        <v>26.28</v>
      </c>
      <c r="T275" s="137">
        <v>31.8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31.8</v>
      </c>
      <c r="AC275" s="137"/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105</v>
      </c>
      <c r="F276" s="133" t="s">
        <v>100</v>
      </c>
      <c r="G276" s="134">
        <v>46132</v>
      </c>
      <c r="H276" s="135">
        <v>0.764988425925926</v>
      </c>
      <c r="I276" s="136">
        <v>161000393</v>
      </c>
      <c r="J276" s="137">
        <v>49.8</v>
      </c>
      <c r="K276" s="137">
        <f>N276+O276+P276</f>
        <v>41.14</v>
      </c>
      <c r="L276" s="137">
        <f>Q276+R276</f>
        <v>8.66</v>
      </c>
      <c r="M276" s="137">
        <f>IF(J276=K276+L276,0,Y276)</f>
        <v>0</v>
      </c>
      <c r="N276" s="138">
        <v>41.14</v>
      </c>
      <c r="O276" s="137">
        <v>0</v>
      </c>
      <c r="P276" s="137">
        <v>0</v>
      </c>
      <c r="Q276" s="137">
        <v>8.66</v>
      </c>
      <c r="R276" s="137">
        <v>0</v>
      </c>
      <c r="S276" s="138">
        <v>41.14</v>
      </c>
      <c r="T276" s="137">
        <v>49.8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49.8</v>
      </c>
      <c r="AC276" s="137"/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105</v>
      </c>
      <c r="F277" s="133" t="s">
        <v>100</v>
      </c>
      <c r="G277" s="134">
        <v>46132</v>
      </c>
      <c r="H277" s="135">
        <v>0.7669675925925926</v>
      </c>
      <c r="I277" s="136">
        <v>161000394</v>
      </c>
      <c r="J277" s="137">
        <v>127.6</v>
      </c>
      <c r="K277" s="137">
        <f>N277+O277+P277</f>
        <v>113.9</v>
      </c>
      <c r="L277" s="137">
        <f>Q277+R277</f>
        <v>13.7</v>
      </c>
      <c r="M277" s="137">
        <f>IF(J277=K277+L277,0,Y277)</f>
        <v>0</v>
      </c>
      <c r="N277" s="138">
        <v>0</v>
      </c>
      <c r="O277" s="137">
        <v>113.9</v>
      </c>
      <c r="P277" s="137">
        <v>0</v>
      </c>
      <c r="Q277" s="137">
        <v>0</v>
      </c>
      <c r="R277" s="137">
        <v>13.7</v>
      </c>
      <c r="S277" s="138">
        <v>113.9</v>
      </c>
      <c r="T277" s="137">
        <v>127.6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127.6</v>
      </c>
      <c r="AC277" s="137"/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105</v>
      </c>
      <c r="F278" s="133" t="s">
        <v>100</v>
      </c>
      <c r="G278" s="134">
        <v>46132</v>
      </c>
      <c r="H278" s="135">
        <v>0.768449074074074</v>
      </c>
      <c r="I278" s="136">
        <v>161000395</v>
      </c>
      <c r="J278" s="137">
        <v>32.8</v>
      </c>
      <c r="K278" s="137">
        <f>N278+O278+P278</f>
        <v>29.28</v>
      </c>
      <c r="L278" s="137">
        <f>Q278+R278</f>
        <v>3.52</v>
      </c>
      <c r="M278" s="137">
        <f>IF(J278=K278+L278,0,Y278)</f>
        <v>0</v>
      </c>
      <c r="N278" s="138">
        <v>0</v>
      </c>
      <c r="O278" s="137">
        <v>29.28</v>
      </c>
      <c r="P278" s="137">
        <v>0</v>
      </c>
      <c r="Q278" s="137">
        <v>0</v>
      </c>
      <c r="R278" s="137">
        <v>3.52</v>
      </c>
      <c r="S278" s="138">
        <v>29.28</v>
      </c>
      <c r="T278" s="137">
        <v>32.8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32.8</v>
      </c>
      <c r="AC278" s="137"/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105</v>
      </c>
      <c r="F279" s="133" t="s">
        <v>100</v>
      </c>
      <c r="G279" s="134">
        <v>46132</v>
      </c>
      <c r="H279" s="135">
        <v>0.7743402777777778</v>
      </c>
      <c r="I279" s="136">
        <v>161000396</v>
      </c>
      <c r="J279" s="137">
        <v>25.2</v>
      </c>
      <c r="K279" s="137">
        <f>N279+O279+P279</f>
        <v>22.48</v>
      </c>
      <c r="L279" s="137">
        <f>Q279+R279</f>
        <v>2.72</v>
      </c>
      <c r="M279" s="137">
        <f>IF(J279=K279+L279,0,Y279)</f>
        <v>0</v>
      </c>
      <c r="N279" s="138">
        <v>0</v>
      </c>
      <c r="O279" s="137">
        <v>22.48</v>
      </c>
      <c r="P279" s="137">
        <v>0</v>
      </c>
      <c r="Q279" s="137">
        <v>0</v>
      </c>
      <c r="R279" s="137">
        <v>2.72</v>
      </c>
      <c r="S279" s="138">
        <v>22.48</v>
      </c>
      <c r="T279" s="137">
        <v>25.2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0</v>
      </c>
      <c r="AA279" s="137">
        <v>0</v>
      </c>
      <c r="AB279" s="137">
        <v>25.2</v>
      </c>
      <c r="AC279" s="137"/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105</v>
      </c>
      <c r="F280" s="133" t="s">
        <v>100</v>
      </c>
      <c r="G280" s="134">
        <v>46132</v>
      </c>
      <c r="H280" s="135">
        <v>0.7755902777777778</v>
      </c>
      <c r="I280" s="136">
        <v>161000397</v>
      </c>
      <c r="J280" s="137">
        <v>100.6</v>
      </c>
      <c r="K280" s="137">
        <f>N280+O280+P280</f>
        <v>89.8</v>
      </c>
      <c r="L280" s="137">
        <f>Q280+R280</f>
        <v>10.8</v>
      </c>
      <c r="M280" s="137">
        <f>IF(J280=K280+L280,0,Y280)</f>
        <v>0</v>
      </c>
      <c r="N280" s="138">
        <v>0</v>
      </c>
      <c r="O280" s="137">
        <v>89.8</v>
      </c>
      <c r="P280" s="137">
        <v>0</v>
      </c>
      <c r="Q280" s="137">
        <v>0</v>
      </c>
      <c r="R280" s="137">
        <v>10.8</v>
      </c>
      <c r="S280" s="138">
        <v>89.8</v>
      </c>
      <c r="T280" s="137">
        <v>100.6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100.6</v>
      </c>
      <c r="AC280" s="137"/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105</v>
      </c>
      <c r="F281" s="133" t="s">
        <v>100</v>
      </c>
      <c r="G281" s="134">
        <v>46132</v>
      </c>
      <c r="H281" s="135">
        <v>0.7783912037037037</v>
      </c>
      <c r="I281" s="136">
        <v>161000398</v>
      </c>
      <c r="J281" s="137">
        <v>91.5</v>
      </c>
      <c r="K281" s="137">
        <f>N281+O281+P281</f>
        <v>81.67</v>
      </c>
      <c r="L281" s="137">
        <f>Q281+R281</f>
        <v>9.83</v>
      </c>
      <c r="M281" s="137">
        <f>IF(J281=K281+L281,0,Y281)</f>
        <v>0</v>
      </c>
      <c r="N281" s="138">
        <v>0</v>
      </c>
      <c r="O281" s="137">
        <v>81.67</v>
      </c>
      <c r="P281" s="137">
        <v>0</v>
      </c>
      <c r="Q281" s="137">
        <v>0</v>
      </c>
      <c r="R281" s="137">
        <v>9.83</v>
      </c>
      <c r="S281" s="138">
        <v>81.67</v>
      </c>
      <c r="T281" s="137">
        <v>91.5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91.5</v>
      </c>
      <c r="AC281" s="137"/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105</v>
      </c>
      <c r="F282" s="133" t="s">
        <v>100</v>
      </c>
      <c r="G282" s="134">
        <v>46132</v>
      </c>
      <c r="H282" s="135">
        <v>0.8179976851851852</v>
      </c>
      <c r="I282" s="136">
        <v>161000399</v>
      </c>
      <c r="J282" s="137">
        <v>61.7</v>
      </c>
      <c r="K282" s="137">
        <f>N282+O282+P282</f>
        <v>55.08</v>
      </c>
      <c r="L282" s="137">
        <f>Q282+R282</f>
        <v>6.62</v>
      </c>
      <c r="M282" s="137">
        <f>IF(J282=K282+L282,0,Y282)</f>
        <v>0</v>
      </c>
      <c r="N282" s="138">
        <v>0</v>
      </c>
      <c r="O282" s="137">
        <v>55.08</v>
      </c>
      <c r="P282" s="137">
        <v>0</v>
      </c>
      <c r="Q282" s="137">
        <v>0</v>
      </c>
      <c r="R282" s="137">
        <v>6.62</v>
      </c>
      <c r="S282" s="138">
        <v>55.08</v>
      </c>
      <c r="T282" s="137">
        <v>61.7</v>
      </c>
      <c r="U282" s="137">
        <v>0</v>
      </c>
      <c r="V282" s="137">
        <v>0</v>
      </c>
      <c r="W282" s="137">
        <v>0</v>
      </c>
      <c r="X282" s="137">
        <v>0</v>
      </c>
      <c r="Y282" s="137">
        <v>0</v>
      </c>
      <c r="Z282" s="138">
        <v>0</v>
      </c>
      <c r="AA282" s="137">
        <v>0</v>
      </c>
      <c r="AB282" s="137">
        <v>61.7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107</v>
      </c>
      <c r="F283" s="133" t="s">
        <v>106</v>
      </c>
      <c r="G283" s="134">
        <v>46132</v>
      </c>
      <c r="H283" s="135">
        <v>0.2931944444444444</v>
      </c>
      <c r="I283" s="136">
        <v>166004504</v>
      </c>
      <c r="J283" s="137">
        <v>69.7</v>
      </c>
      <c r="K283" s="137">
        <f>N283+O283+P283</f>
        <v>59.848</v>
      </c>
      <c r="L283" s="137">
        <f>Q283+R283</f>
        <v>9.852</v>
      </c>
      <c r="M283" s="137">
        <f>IF(J283=K283+L283,0,Y283)</f>
        <v>0</v>
      </c>
      <c r="N283" s="138">
        <v>29.6694</v>
      </c>
      <c r="O283" s="137">
        <v>30.1786</v>
      </c>
      <c r="P283" s="137">
        <v>0</v>
      </c>
      <c r="Q283" s="137">
        <v>6.2306</v>
      </c>
      <c r="R283" s="137">
        <v>3.6214</v>
      </c>
      <c r="S283" s="138">
        <v>59.848</v>
      </c>
      <c r="T283" s="137">
        <v>69.7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69.7</v>
      </c>
      <c r="AC283" s="137">
        <v>0</v>
      </c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107</v>
      </c>
      <c r="F284" s="133" t="s">
        <v>106</v>
      </c>
      <c r="G284" s="134">
        <v>46132</v>
      </c>
      <c r="H284" s="135">
        <v>0.294375</v>
      </c>
      <c r="I284" s="136">
        <v>166004505</v>
      </c>
      <c r="J284" s="137">
        <v>51.4</v>
      </c>
      <c r="K284" s="137">
        <f>N284+O284+P284</f>
        <v>42.4793</v>
      </c>
      <c r="L284" s="137">
        <f>Q284+R284</f>
        <v>8.9207</v>
      </c>
      <c r="M284" s="137">
        <f>IF(J284=K284+L284,0,Y284)</f>
        <v>0</v>
      </c>
      <c r="N284" s="138">
        <v>42.4793</v>
      </c>
      <c r="O284" s="137">
        <v>0</v>
      </c>
      <c r="P284" s="137">
        <v>0</v>
      </c>
      <c r="Q284" s="137">
        <v>8.9207</v>
      </c>
      <c r="R284" s="137">
        <v>0</v>
      </c>
      <c r="S284" s="138">
        <v>42.4793</v>
      </c>
      <c r="T284" s="137">
        <v>51.4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51.4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107</v>
      </c>
      <c r="F285" s="133" t="s">
        <v>106</v>
      </c>
      <c r="G285" s="134">
        <v>46132</v>
      </c>
      <c r="H285" s="135">
        <v>0.2945023148148148</v>
      </c>
      <c r="I285" s="136">
        <v>166004506</v>
      </c>
      <c r="J285" s="137">
        <v>38</v>
      </c>
      <c r="K285" s="137">
        <f>N285+O285+P285</f>
        <v>31.2396</v>
      </c>
      <c r="L285" s="137">
        <f>Q285+R285</f>
        <v>6.5604</v>
      </c>
      <c r="M285" s="137">
        <f>IF(J285=K285+L285,0,Y285)</f>
        <v>0.2</v>
      </c>
      <c r="N285" s="138">
        <v>31.2396</v>
      </c>
      <c r="O285" s="137">
        <v>0</v>
      </c>
      <c r="P285" s="137">
        <v>0</v>
      </c>
      <c r="Q285" s="137">
        <v>6.5604</v>
      </c>
      <c r="R285" s="137">
        <v>0</v>
      </c>
      <c r="S285" s="138">
        <v>31.2396</v>
      </c>
      <c r="T285" s="137">
        <v>37.8</v>
      </c>
      <c r="U285" s="137">
        <v>0</v>
      </c>
      <c r="V285" s="137">
        <v>0</v>
      </c>
      <c r="W285" s="137">
        <v>0</v>
      </c>
      <c r="X285" s="137">
        <v>0</v>
      </c>
      <c r="Y285" s="137">
        <v>0.2</v>
      </c>
      <c r="Z285" s="138">
        <v>50</v>
      </c>
      <c r="AA285" s="137">
        <v>0</v>
      </c>
      <c r="AB285" s="137">
        <v>0</v>
      </c>
      <c r="AC285" s="137"/>
      <c r="AD285" s="137">
        <v>0</v>
      </c>
      <c r="AE285" s="139">
        <v>-12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107</v>
      </c>
      <c r="F286" s="133" t="s">
        <v>106</v>
      </c>
      <c r="G286" s="134">
        <v>46132</v>
      </c>
      <c r="H286" s="135">
        <v>0.29476851851851854</v>
      </c>
      <c r="I286" s="136">
        <v>166004507</v>
      </c>
      <c r="J286" s="137">
        <v>70</v>
      </c>
      <c r="K286" s="137">
        <f>N286+O286+P286</f>
        <v>62.8572</v>
      </c>
      <c r="L286" s="137">
        <f>Q286+R286</f>
        <v>7.5428</v>
      </c>
      <c r="M286" s="137">
        <f>IF(J286=K286+L286,0,Y286)</f>
        <v>-0.4</v>
      </c>
      <c r="N286" s="138">
        <v>0</v>
      </c>
      <c r="O286" s="137">
        <v>62.8572</v>
      </c>
      <c r="P286" s="137">
        <v>0</v>
      </c>
      <c r="Q286" s="137">
        <v>0</v>
      </c>
      <c r="R286" s="137">
        <v>7.5428</v>
      </c>
      <c r="S286" s="138">
        <v>62.8572</v>
      </c>
      <c r="T286" s="137">
        <v>70.4</v>
      </c>
      <c r="U286" s="137">
        <v>0</v>
      </c>
      <c r="V286" s="137">
        <v>0</v>
      </c>
      <c r="W286" s="137">
        <v>0</v>
      </c>
      <c r="X286" s="137">
        <v>0</v>
      </c>
      <c r="Y286" s="137">
        <v>-0.4</v>
      </c>
      <c r="Z286" s="138">
        <v>100</v>
      </c>
      <c r="AA286" s="137">
        <v>0</v>
      </c>
      <c r="AB286" s="137">
        <v>0</v>
      </c>
      <c r="AC286" s="137"/>
      <c r="AD286" s="137">
        <v>0</v>
      </c>
      <c r="AE286" s="139">
        <v>-30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107</v>
      </c>
      <c r="F287" s="133" t="s">
        <v>106</v>
      </c>
      <c r="G287" s="134">
        <v>46132</v>
      </c>
      <c r="H287" s="135">
        <v>0.29726851851851854</v>
      </c>
      <c r="I287" s="136">
        <v>166004508</v>
      </c>
      <c r="J287" s="137">
        <v>253</v>
      </c>
      <c r="K287" s="137">
        <f>N287+O287+P287</f>
        <v>219.21089999999998</v>
      </c>
      <c r="L287" s="137">
        <f>Q287+R287</f>
        <v>33.6391</v>
      </c>
      <c r="M287" s="137">
        <f>IF(J287=K287+L287,0,Y287)</f>
        <v>0.15</v>
      </c>
      <c r="N287" s="138">
        <v>81.4875</v>
      </c>
      <c r="O287" s="137">
        <v>137.7234</v>
      </c>
      <c r="P287" s="137">
        <v>0</v>
      </c>
      <c r="Q287" s="137">
        <v>17.1125</v>
      </c>
      <c r="R287" s="137">
        <v>16.5266</v>
      </c>
      <c r="S287" s="138">
        <v>219.2109</v>
      </c>
      <c r="T287" s="137">
        <v>252.85</v>
      </c>
      <c r="U287" s="137">
        <v>0</v>
      </c>
      <c r="V287" s="137">
        <v>0</v>
      </c>
      <c r="W287" s="137">
        <v>0</v>
      </c>
      <c r="X287" s="137">
        <v>0</v>
      </c>
      <c r="Y287" s="137">
        <v>0.15</v>
      </c>
      <c r="Z287" s="138">
        <v>500</v>
      </c>
      <c r="AA287" s="137">
        <v>0</v>
      </c>
      <c r="AB287" s="137">
        <v>0</v>
      </c>
      <c r="AC287" s="137"/>
      <c r="AD287" s="137">
        <v>0</v>
      </c>
      <c r="AE287" s="139">
        <v>-247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107</v>
      </c>
      <c r="F288" s="133" t="s">
        <v>106</v>
      </c>
      <c r="G288" s="134">
        <v>46132</v>
      </c>
      <c r="H288" s="135">
        <v>0.2978472222222222</v>
      </c>
      <c r="I288" s="136">
        <v>166004509</v>
      </c>
      <c r="J288" s="137">
        <v>32</v>
      </c>
      <c r="K288" s="137">
        <f>N288+O288+P288</f>
        <v>26.281</v>
      </c>
      <c r="L288" s="137">
        <f>Q288+R288</f>
        <v>5.519</v>
      </c>
      <c r="M288" s="137">
        <f>IF(J288=K288+L288,0,Y288)</f>
        <v>0.2</v>
      </c>
      <c r="N288" s="138">
        <v>26.281</v>
      </c>
      <c r="O288" s="137">
        <v>0</v>
      </c>
      <c r="P288" s="137">
        <v>0</v>
      </c>
      <c r="Q288" s="137">
        <v>5.519</v>
      </c>
      <c r="R288" s="137">
        <v>0</v>
      </c>
      <c r="S288" s="138">
        <v>26.281</v>
      </c>
      <c r="T288" s="137">
        <v>31.8</v>
      </c>
      <c r="U288" s="137">
        <v>0</v>
      </c>
      <c r="V288" s="137">
        <v>0</v>
      </c>
      <c r="W288" s="137">
        <v>0</v>
      </c>
      <c r="X288" s="137">
        <v>0</v>
      </c>
      <c r="Y288" s="137">
        <v>0.2</v>
      </c>
      <c r="Z288" s="138">
        <v>32</v>
      </c>
      <c r="AA288" s="137">
        <v>0</v>
      </c>
      <c r="AB288" s="137">
        <v>0</v>
      </c>
      <c r="AC288" s="137"/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107</v>
      </c>
      <c r="F289" s="133" t="s">
        <v>106</v>
      </c>
      <c r="G289" s="134">
        <v>46132</v>
      </c>
      <c r="H289" s="135">
        <v>0.2989236111111111</v>
      </c>
      <c r="I289" s="136">
        <v>166004510</v>
      </c>
      <c r="J289" s="137">
        <v>164</v>
      </c>
      <c r="K289" s="137">
        <f>N289+O289+P289</f>
        <v>141.3984</v>
      </c>
      <c r="L289" s="137">
        <f>Q289+R289</f>
        <v>22.531599999999997</v>
      </c>
      <c r="M289" s="137">
        <f>IF(J289=K289+L289,0,Y289)</f>
        <v>0.07</v>
      </c>
      <c r="N289" s="138">
        <v>61.8182</v>
      </c>
      <c r="O289" s="137">
        <v>79.5802</v>
      </c>
      <c r="P289" s="137">
        <v>0</v>
      </c>
      <c r="Q289" s="137">
        <v>12.9818</v>
      </c>
      <c r="R289" s="137">
        <v>9.5498</v>
      </c>
      <c r="S289" s="138">
        <v>141.3984</v>
      </c>
      <c r="T289" s="137">
        <v>163.93</v>
      </c>
      <c r="U289" s="137">
        <v>0</v>
      </c>
      <c r="V289" s="137">
        <v>0</v>
      </c>
      <c r="W289" s="137">
        <v>0</v>
      </c>
      <c r="X289" s="137">
        <v>0</v>
      </c>
      <c r="Y289" s="137">
        <v>0.07</v>
      </c>
      <c r="Z289" s="138">
        <v>500</v>
      </c>
      <c r="AA289" s="137">
        <v>0</v>
      </c>
      <c r="AB289" s="137">
        <v>0</v>
      </c>
      <c r="AC289" s="137"/>
      <c r="AD289" s="137">
        <v>0</v>
      </c>
      <c r="AE289" s="139">
        <v>-336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107</v>
      </c>
      <c r="F290" s="133" t="s">
        <v>106</v>
      </c>
      <c r="G290" s="134">
        <v>46132</v>
      </c>
      <c r="H290" s="135">
        <v>0.3004398148148148</v>
      </c>
      <c r="I290" s="136">
        <v>166004511</v>
      </c>
      <c r="J290" s="137">
        <v>198.41</v>
      </c>
      <c r="K290" s="137">
        <f>N290+O290+P290</f>
        <v>175.8304</v>
      </c>
      <c r="L290" s="137">
        <f>Q290+R290</f>
        <v>22.579600000000003</v>
      </c>
      <c r="M290" s="137">
        <f>IF(J290=K290+L290,0,Y290)</f>
        <v>0</v>
      </c>
      <c r="N290" s="138">
        <v>16.4463</v>
      </c>
      <c r="O290" s="137">
        <v>159.3841</v>
      </c>
      <c r="P290" s="137">
        <v>0</v>
      </c>
      <c r="Q290" s="137">
        <v>3.4537</v>
      </c>
      <c r="R290" s="137">
        <v>19.1259</v>
      </c>
      <c r="S290" s="138">
        <v>175.8304</v>
      </c>
      <c r="T290" s="137">
        <v>198.41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198.41</v>
      </c>
      <c r="AC290" s="137">
        <v>0</v>
      </c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107</v>
      </c>
      <c r="F291" s="133" t="s">
        <v>106</v>
      </c>
      <c r="G291" s="134">
        <v>46132</v>
      </c>
      <c r="H291" s="135">
        <v>0.30211805555555554</v>
      </c>
      <c r="I291" s="136">
        <v>166004512</v>
      </c>
      <c r="J291" s="137">
        <v>200</v>
      </c>
      <c r="K291" s="137">
        <f>N291+O291+P291</f>
        <v>165.2893</v>
      </c>
      <c r="L291" s="137">
        <f>Q291+R291</f>
        <v>34.7107</v>
      </c>
      <c r="M291" s="137">
        <f>IF(J291=K291+L291,0,Y291)</f>
        <v>0</v>
      </c>
      <c r="N291" s="138">
        <v>165.2893</v>
      </c>
      <c r="O291" s="137">
        <v>0</v>
      </c>
      <c r="P291" s="137">
        <v>0</v>
      </c>
      <c r="Q291" s="137">
        <v>34.7107</v>
      </c>
      <c r="R291" s="137">
        <v>0</v>
      </c>
      <c r="S291" s="138">
        <v>165.2893</v>
      </c>
      <c r="T291" s="137">
        <v>200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200</v>
      </c>
      <c r="AA291" s="137">
        <v>0</v>
      </c>
      <c r="AB291" s="137">
        <v>0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107</v>
      </c>
      <c r="F292" s="133" t="s">
        <v>106</v>
      </c>
      <c r="G292" s="134">
        <v>46132</v>
      </c>
      <c r="H292" s="135">
        <v>0.3036111111111111</v>
      </c>
      <c r="I292" s="136">
        <v>166004513</v>
      </c>
      <c r="J292" s="137">
        <v>67.42</v>
      </c>
      <c r="K292" s="137">
        <f>N292+O292+P292</f>
        <v>60.1964</v>
      </c>
      <c r="L292" s="137">
        <f>Q292+R292</f>
        <v>7.2236</v>
      </c>
      <c r="M292" s="137">
        <f>IF(J292=K292+L292,0,Y292)</f>
        <v>0</v>
      </c>
      <c r="N292" s="138">
        <v>0</v>
      </c>
      <c r="O292" s="137">
        <v>60.1964</v>
      </c>
      <c r="P292" s="137">
        <v>0</v>
      </c>
      <c r="Q292" s="137">
        <v>0</v>
      </c>
      <c r="R292" s="137">
        <v>7.2236</v>
      </c>
      <c r="S292" s="138">
        <v>60.1964</v>
      </c>
      <c r="T292" s="137">
        <v>67.42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67.42</v>
      </c>
      <c r="AC292" s="137">
        <v>0</v>
      </c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107</v>
      </c>
      <c r="F293" s="133" t="s">
        <v>106</v>
      </c>
      <c r="G293" s="134">
        <v>46132</v>
      </c>
      <c r="H293" s="135">
        <v>0.30443287037037037</v>
      </c>
      <c r="I293" s="136">
        <v>166004514</v>
      </c>
      <c r="J293" s="137">
        <v>104</v>
      </c>
      <c r="K293" s="137">
        <f>N293+O293+P293</f>
        <v>88.1936</v>
      </c>
      <c r="L293" s="137">
        <f>Q293+R293</f>
        <v>16.2064</v>
      </c>
      <c r="M293" s="137">
        <f>IF(J293=K293+L293,0,Y293)</f>
        <v>-0.4</v>
      </c>
      <c r="N293" s="138">
        <v>62.4794</v>
      </c>
      <c r="O293" s="137">
        <v>25.7142</v>
      </c>
      <c r="P293" s="137">
        <v>0</v>
      </c>
      <c r="Q293" s="137">
        <v>13.1206</v>
      </c>
      <c r="R293" s="137">
        <v>3.0858</v>
      </c>
      <c r="S293" s="138">
        <v>88.1936</v>
      </c>
      <c r="T293" s="137">
        <v>104.4</v>
      </c>
      <c r="U293" s="137">
        <v>0</v>
      </c>
      <c r="V293" s="137">
        <v>0</v>
      </c>
      <c r="W293" s="137">
        <v>0</v>
      </c>
      <c r="X293" s="137">
        <v>0</v>
      </c>
      <c r="Y293" s="137">
        <v>-0.4</v>
      </c>
      <c r="Z293" s="138">
        <v>150</v>
      </c>
      <c r="AA293" s="137">
        <v>0</v>
      </c>
      <c r="AB293" s="137">
        <v>0</v>
      </c>
      <c r="AC293" s="137"/>
      <c r="AD293" s="137">
        <v>0</v>
      </c>
      <c r="AE293" s="139">
        <v>-46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107</v>
      </c>
      <c r="F294" s="133" t="s">
        <v>106</v>
      </c>
      <c r="G294" s="134">
        <v>46132</v>
      </c>
      <c r="H294" s="135">
        <v>0.30663194444444447</v>
      </c>
      <c r="I294" s="136">
        <v>166004515</v>
      </c>
      <c r="J294" s="137">
        <v>209.2</v>
      </c>
      <c r="K294" s="137">
        <f>N294+O294+P294</f>
        <v>186.7857</v>
      </c>
      <c r="L294" s="137">
        <f>Q294+R294</f>
        <v>22.4143</v>
      </c>
      <c r="M294" s="137">
        <f>IF(J294=K294+L294,0,Y294)</f>
        <v>0</v>
      </c>
      <c r="N294" s="138">
        <v>0</v>
      </c>
      <c r="O294" s="137">
        <v>186.7857</v>
      </c>
      <c r="P294" s="137">
        <v>0</v>
      </c>
      <c r="Q294" s="137">
        <v>0</v>
      </c>
      <c r="R294" s="137">
        <v>22.4143</v>
      </c>
      <c r="S294" s="138">
        <v>186.7857</v>
      </c>
      <c r="T294" s="137">
        <v>209.2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209.2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107</v>
      </c>
      <c r="F295" s="133" t="s">
        <v>106</v>
      </c>
      <c r="G295" s="134">
        <v>46132</v>
      </c>
      <c r="H295" s="135">
        <v>0.3095486111111111</v>
      </c>
      <c r="I295" s="136">
        <v>166004516</v>
      </c>
      <c r="J295" s="137">
        <v>59</v>
      </c>
      <c r="K295" s="137">
        <f>N295+O295+P295</f>
        <v>52.384</v>
      </c>
      <c r="L295" s="137">
        <f>Q295+R295</f>
        <v>6.286</v>
      </c>
      <c r="M295" s="137">
        <f>IF(J295=K295+L295,0,Y295)</f>
        <v>0.33</v>
      </c>
      <c r="N295" s="138">
        <v>0</v>
      </c>
      <c r="O295" s="137">
        <v>52.384</v>
      </c>
      <c r="P295" s="137">
        <v>0</v>
      </c>
      <c r="Q295" s="137">
        <v>0</v>
      </c>
      <c r="R295" s="137">
        <v>6.286</v>
      </c>
      <c r="S295" s="138">
        <v>52.384</v>
      </c>
      <c r="T295" s="137">
        <v>58.67</v>
      </c>
      <c r="U295" s="137">
        <v>0</v>
      </c>
      <c r="V295" s="137">
        <v>0</v>
      </c>
      <c r="W295" s="137">
        <v>0</v>
      </c>
      <c r="X295" s="137">
        <v>0</v>
      </c>
      <c r="Y295" s="137">
        <v>0.33</v>
      </c>
      <c r="Z295" s="138">
        <v>59</v>
      </c>
      <c r="AA295" s="137">
        <v>0</v>
      </c>
      <c r="AB295" s="137">
        <v>0</v>
      </c>
      <c r="AC295" s="137"/>
      <c r="AD295" s="137">
        <v>0</v>
      </c>
      <c r="AE295" s="139">
        <v>0</v>
      </c>
      <c r="AF295" s="56">
        <v>12.7163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107</v>
      </c>
      <c r="F296" s="133" t="s">
        <v>106</v>
      </c>
      <c r="G296" s="134">
        <v>46132</v>
      </c>
      <c r="H296" s="135">
        <v>0.31048611111111113</v>
      </c>
      <c r="I296" s="136">
        <v>166004517</v>
      </c>
      <c r="J296" s="137">
        <v>171</v>
      </c>
      <c r="K296" s="137">
        <f>N296+O296+P296</f>
        <v>150.16809999999998</v>
      </c>
      <c r="L296" s="137">
        <f>Q296+R296</f>
        <v>20.831899999999997</v>
      </c>
      <c r="M296" s="137">
        <f>IF(J296=K296+L296,0,Y296)</f>
        <v>0</v>
      </c>
      <c r="N296" s="138">
        <v>31.2397</v>
      </c>
      <c r="O296" s="137">
        <v>118.9284</v>
      </c>
      <c r="P296" s="137">
        <v>0</v>
      </c>
      <c r="Q296" s="137">
        <v>6.5603</v>
      </c>
      <c r="R296" s="137">
        <v>14.2716</v>
      </c>
      <c r="S296" s="138">
        <v>150.1681</v>
      </c>
      <c r="T296" s="137">
        <v>171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500</v>
      </c>
      <c r="AA296" s="137">
        <v>0</v>
      </c>
      <c r="AB296" s="137">
        <v>0</v>
      </c>
      <c r="AC296" s="137"/>
      <c r="AD296" s="137">
        <v>0</v>
      </c>
      <c r="AE296" s="139">
        <v>-329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107</v>
      </c>
      <c r="F297" s="133" t="s">
        <v>106</v>
      </c>
      <c r="G297" s="134">
        <v>46132</v>
      </c>
      <c r="H297" s="135">
        <v>0.3128472222222222</v>
      </c>
      <c r="I297" s="136">
        <v>166004518</v>
      </c>
      <c r="J297" s="137">
        <v>16</v>
      </c>
      <c r="K297" s="137">
        <f>N297+O297+P297</f>
        <v>13.1405</v>
      </c>
      <c r="L297" s="137">
        <f>Q297+R297</f>
        <v>2.7595</v>
      </c>
      <c r="M297" s="137">
        <f>IF(J297=K297+L297,0,Y297)</f>
        <v>0.1</v>
      </c>
      <c r="N297" s="138">
        <v>13.1405</v>
      </c>
      <c r="O297" s="137">
        <v>0</v>
      </c>
      <c r="P297" s="137">
        <v>0</v>
      </c>
      <c r="Q297" s="137">
        <v>2.7595</v>
      </c>
      <c r="R297" s="137">
        <v>0</v>
      </c>
      <c r="S297" s="138">
        <v>13.1405</v>
      </c>
      <c r="T297" s="137">
        <v>15.9</v>
      </c>
      <c r="U297" s="137">
        <v>0</v>
      </c>
      <c r="V297" s="137">
        <v>0</v>
      </c>
      <c r="W297" s="137">
        <v>0</v>
      </c>
      <c r="X297" s="137">
        <v>0</v>
      </c>
      <c r="Y297" s="137">
        <v>0.1</v>
      </c>
      <c r="Z297" s="138">
        <v>16</v>
      </c>
      <c r="AA297" s="137">
        <v>0</v>
      </c>
      <c r="AB297" s="137">
        <v>0</v>
      </c>
      <c r="AC297" s="137"/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107</v>
      </c>
      <c r="F298" s="133" t="s">
        <v>106</v>
      </c>
      <c r="G298" s="134">
        <v>46132</v>
      </c>
      <c r="H298" s="135">
        <v>0.3148958333333333</v>
      </c>
      <c r="I298" s="136">
        <v>166004519</v>
      </c>
      <c r="J298" s="137">
        <v>67</v>
      </c>
      <c r="K298" s="137">
        <f>N298+O298+P298</f>
        <v>58.2755</v>
      </c>
      <c r="L298" s="137">
        <f>Q298+R298</f>
        <v>8.3245</v>
      </c>
      <c r="M298" s="137">
        <f>IF(J298=K298+L298,0,Y298)</f>
        <v>0.4</v>
      </c>
      <c r="N298" s="138">
        <v>14.7934</v>
      </c>
      <c r="O298" s="137">
        <v>43.4821</v>
      </c>
      <c r="P298" s="137">
        <v>0</v>
      </c>
      <c r="Q298" s="137">
        <v>3.1066</v>
      </c>
      <c r="R298" s="137">
        <v>5.2179</v>
      </c>
      <c r="S298" s="138">
        <v>58.2755</v>
      </c>
      <c r="T298" s="137">
        <v>66.6</v>
      </c>
      <c r="U298" s="137">
        <v>0</v>
      </c>
      <c r="V298" s="137">
        <v>0</v>
      </c>
      <c r="W298" s="137">
        <v>0</v>
      </c>
      <c r="X298" s="137">
        <v>0</v>
      </c>
      <c r="Y298" s="137">
        <v>0.4</v>
      </c>
      <c r="Z298" s="138">
        <v>200</v>
      </c>
      <c r="AA298" s="137">
        <v>0</v>
      </c>
      <c r="AB298" s="137">
        <v>0</v>
      </c>
      <c r="AC298" s="137"/>
      <c r="AD298" s="137">
        <v>0</v>
      </c>
      <c r="AE298" s="139">
        <v>-133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107</v>
      </c>
      <c r="F299" s="133" t="s">
        <v>106</v>
      </c>
      <c r="G299" s="134">
        <v>46132</v>
      </c>
      <c r="H299" s="135">
        <v>0.3163425925925926</v>
      </c>
      <c r="I299" s="136">
        <v>166004520</v>
      </c>
      <c r="J299" s="137">
        <v>69.8</v>
      </c>
      <c r="K299" s="137">
        <f>N299+O299+P299</f>
        <v>62.3214</v>
      </c>
      <c r="L299" s="137">
        <f>Q299+R299</f>
        <v>7.4786</v>
      </c>
      <c r="M299" s="137">
        <f>IF(J299=K299+L299,0,Y299)</f>
        <v>0</v>
      </c>
      <c r="N299" s="138">
        <v>0</v>
      </c>
      <c r="O299" s="137">
        <v>62.3214</v>
      </c>
      <c r="P299" s="137">
        <v>0</v>
      </c>
      <c r="Q299" s="137">
        <v>0</v>
      </c>
      <c r="R299" s="137">
        <v>7.4786</v>
      </c>
      <c r="S299" s="138">
        <v>62.3214</v>
      </c>
      <c r="T299" s="137">
        <v>69.8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69.8</v>
      </c>
      <c r="AC299" s="137">
        <v>0</v>
      </c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107</v>
      </c>
      <c r="F300" s="133" t="s">
        <v>106</v>
      </c>
      <c r="G300" s="134">
        <v>46132</v>
      </c>
      <c r="H300" s="135">
        <v>0.3166087962962963</v>
      </c>
      <c r="I300" s="136">
        <v>166004521</v>
      </c>
      <c r="J300" s="137">
        <v>161</v>
      </c>
      <c r="K300" s="137">
        <f>N300+O300+P300</f>
        <v>133.0579</v>
      </c>
      <c r="L300" s="137">
        <f>Q300+R300</f>
        <v>27.9421</v>
      </c>
      <c r="M300" s="137">
        <f>IF(J300=K300+L300,0,Y300)</f>
        <v>0</v>
      </c>
      <c r="N300" s="138">
        <v>133.0579</v>
      </c>
      <c r="O300" s="137">
        <v>0</v>
      </c>
      <c r="P300" s="137">
        <v>0</v>
      </c>
      <c r="Q300" s="137">
        <v>27.9421</v>
      </c>
      <c r="R300" s="137">
        <v>0</v>
      </c>
      <c r="S300" s="138">
        <v>133.0579</v>
      </c>
      <c r="T300" s="137">
        <v>161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200</v>
      </c>
      <c r="AA300" s="137">
        <v>0</v>
      </c>
      <c r="AB300" s="137">
        <v>0</v>
      </c>
      <c r="AC300" s="137"/>
      <c r="AD300" s="137">
        <v>0</v>
      </c>
      <c r="AE300" s="139">
        <v>-39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107</v>
      </c>
      <c r="F301" s="133" t="s">
        <v>106</v>
      </c>
      <c r="G301" s="134">
        <v>46132</v>
      </c>
      <c r="H301" s="135">
        <v>0.3168402777777778</v>
      </c>
      <c r="I301" s="136">
        <v>166004522</v>
      </c>
      <c r="J301" s="137">
        <v>32</v>
      </c>
      <c r="K301" s="137">
        <f>N301+O301+P301</f>
        <v>28.3928</v>
      </c>
      <c r="L301" s="137">
        <f>Q301+R301</f>
        <v>3.4072</v>
      </c>
      <c r="M301" s="137">
        <f>IF(J301=K301+L301,0,Y301)</f>
        <v>0.2</v>
      </c>
      <c r="N301" s="138">
        <v>0</v>
      </c>
      <c r="O301" s="137">
        <v>28.3928</v>
      </c>
      <c r="P301" s="137">
        <v>0</v>
      </c>
      <c r="Q301" s="137">
        <v>0</v>
      </c>
      <c r="R301" s="137">
        <v>3.4072</v>
      </c>
      <c r="S301" s="138">
        <v>28.3928</v>
      </c>
      <c r="T301" s="137">
        <v>31.8</v>
      </c>
      <c r="U301" s="137">
        <v>0</v>
      </c>
      <c r="V301" s="137">
        <v>0</v>
      </c>
      <c r="W301" s="137">
        <v>0</v>
      </c>
      <c r="X301" s="137">
        <v>0</v>
      </c>
      <c r="Y301" s="137">
        <v>0.2</v>
      </c>
      <c r="Z301" s="138">
        <v>100</v>
      </c>
      <c r="AA301" s="137">
        <v>0</v>
      </c>
      <c r="AB301" s="137">
        <v>0</v>
      </c>
      <c r="AC301" s="137"/>
      <c r="AD301" s="137">
        <v>0</v>
      </c>
      <c r="AE301" s="139">
        <v>-68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107</v>
      </c>
      <c r="F302" s="133" t="s">
        <v>106</v>
      </c>
      <c r="G302" s="134">
        <v>46132</v>
      </c>
      <c r="H302" s="135">
        <v>0.31710648148148146</v>
      </c>
      <c r="I302" s="136">
        <v>166004523</v>
      </c>
      <c r="J302" s="137">
        <v>32</v>
      </c>
      <c r="K302" s="137">
        <f>N302+O302+P302</f>
        <v>26.3636</v>
      </c>
      <c r="L302" s="137">
        <f>Q302+R302</f>
        <v>5.5364</v>
      </c>
      <c r="M302" s="137">
        <f>IF(J302=K302+L302,0,Y302)</f>
        <v>0.1</v>
      </c>
      <c r="N302" s="138">
        <v>26.3636</v>
      </c>
      <c r="O302" s="137">
        <v>0</v>
      </c>
      <c r="P302" s="137">
        <v>0</v>
      </c>
      <c r="Q302" s="137">
        <v>5.5364</v>
      </c>
      <c r="R302" s="137">
        <v>0</v>
      </c>
      <c r="S302" s="138">
        <v>26.3636</v>
      </c>
      <c r="T302" s="137">
        <v>31.9</v>
      </c>
      <c r="U302" s="137">
        <v>0</v>
      </c>
      <c r="V302" s="137">
        <v>0</v>
      </c>
      <c r="W302" s="137">
        <v>0</v>
      </c>
      <c r="X302" s="137">
        <v>0</v>
      </c>
      <c r="Y302" s="137">
        <v>0.1</v>
      </c>
      <c r="Z302" s="138">
        <v>32</v>
      </c>
      <c r="AA302" s="137">
        <v>0</v>
      </c>
      <c r="AB302" s="137">
        <v>0</v>
      </c>
      <c r="AC302" s="137"/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107</v>
      </c>
      <c r="F303" s="133" t="s">
        <v>106</v>
      </c>
      <c r="G303" s="134">
        <v>46132</v>
      </c>
      <c r="H303" s="135">
        <v>0.3177199074074074</v>
      </c>
      <c r="I303" s="136">
        <v>166004524</v>
      </c>
      <c r="J303" s="137">
        <v>77</v>
      </c>
      <c r="K303" s="137">
        <f>N303+O303+P303</f>
        <v>68.4809</v>
      </c>
      <c r="L303" s="137">
        <f>Q303+R303</f>
        <v>8.3591</v>
      </c>
      <c r="M303" s="137">
        <f>IF(J303=K303+L303,0,Y303)</f>
        <v>0.16</v>
      </c>
      <c r="N303" s="138">
        <v>1.5702</v>
      </c>
      <c r="O303" s="137">
        <v>66.9107</v>
      </c>
      <c r="P303" s="137">
        <v>0</v>
      </c>
      <c r="Q303" s="137">
        <v>0.3298</v>
      </c>
      <c r="R303" s="137">
        <v>8.0293</v>
      </c>
      <c r="S303" s="138">
        <v>68.4809</v>
      </c>
      <c r="T303" s="137">
        <v>76.84</v>
      </c>
      <c r="U303" s="137">
        <v>0</v>
      </c>
      <c r="V303" s="137">
        <v>0</v>
      </c>
      <c r="W303" s="137">
        <v>0</v>
      </c>
      <c r="X303" s="137">
        <v>0</v>
      </c>
      <c r="Y303" s="137">
        <v>0.16</v>
      </c>
      <c r="Z303" s="138">
        <v>200</v>
      </c>
      <c r="AA303" s="137">
        <v>0</v>
      </c>
      <c r="AB303" s="137">
        <v>0</v>
      </c>
      <c r="AC303" s="137"/>
      <c r="AD303" s="137">
        <v>0</v>
      </c>
      <c r="AE303" s="139">
        <v>-123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107</v>
      </c>
      <c r="F304" s="133" t="s">
        <v>106</v>
      </c>
      <c r="G304" s="134">
        <v>46132</v>
      </c>
      <c r="H304" s="135">
        <v>0.31811342592592595</v>
      </c>
      <c r="I304" s="136">
        <v>166004525</v>
      </c>
      <c r="J304" s="137">
        <v>36</v>
      </c>
      <c r="K304" s="137">
        <f>N304+O304+P304</f>
        <v>31.7767</v>
      </c>
      <c r="L304" s="137">
        <f>Q304+R304</f>
        <v>3.8133</v>
      </c>
      <c r="M304" s="137">
        <f>IF(J304=K304+L304,0,Y304)</f>
        <v>0.41</v>
      </c>
      <c r="N304" s="138">
        <v>0</v>
      </c>
      <c r="O304" s="137">
        <v>31.7767</v>
      </c>
      <c r="P304" s="137">
        <v>0</v>
      </c>
      <c r="Q304" s="137">
        <v>0</v>
      </c>
      <c r="R304" s="137">
        <v>3.8133</v>
      </c>
      <c r="S304" s="138">
        <v>31.7767</v>
      </c>
      <c r="T304" s="137">
        <v>35.59</v>
      </c>
      <c r="U304" s="137">
        <v>0</v>
      </c>
      <c r="V304" s="137">
        <v>0</v>
      </c>
      <c r="W304" s="137">
        <v>0</v>
      </c>
      <c r="X304" s="137">
        <v>0</v>
      </c>
      <c r="Y304" s="137">
        <v>0.41</v>
      </c>
      <c r="Z304" s="138">
        <v>100</v>
      </c>
      <c r="AA304" s="137">
        <v>0</v>
      </c>
      <c r="AB304" s="137">
        <v>0</v>
      </c>
      <c r="AC304" s="137"/>
      <c r="AD304" s="137">
        <v>0</v>
      </c>
      <c r="AE304" s="139">
        <v>-64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107</v>
      </c>
      <c r="F305" s="133" t="s">
        <v>106</v>
      </c>
      <c r="G305" s="134">
        <v>46132</v>
      </c>
      <c r="H305" s="135">
        <v>0.3197453703703704</v>
      </c>
      <c r="I305" s="136">
        <v>166004526</v>
      </c>
      <c r="J305" s="137">
        <v>210</v>
      </c>
      <c r="K305" s="137">
        <f>N305+O305+P305</f>
        <v>187.857</v>
      </c>
      <c r="L305" s="137">
        <f>Q305+R305</f>
        <v>22.543</v>
      </c>
      <c r="M305" s="137">
        <f>IF(J305=K305+L305,0,Y305)</f>
        <v>-0.4</v>
      </c>
      <c r="N305" s="138">
        <v>0</v>
      </c>
      <c r="O305" s="137">
        <v>187.857</v>
      </c>
      <c r="P305" s="137">
        <v>0</v>
      </c>
      <c r="Q305" s="137">
        <v>0</v>
      </c>
      <c r="R305" s="137">
        <v>22.543</v>
      </c>
      <c r="S305" s="138">
        <v>187.857</v>
      </c>
      <c r="T305" s="137">
        <v>210.4</v>
      </c>
      <c r="U305" s="137">
        <v>0</v>
      </c>
      <c r="V305" s="137">
        <v>0</v>
      </c>
      <c r="W305" s="137">
        <v>0</v>
      </c>
      <c r="X305" s="137">
        <v>0</v>
      </c>
      <c r="Y305" s="137">
        <v>-0.4</v>
      </c>
      <c r="Z305" s="138">
        <v>210</v>
      </c>
      <c r="AA305" s="137">
        <v>0</v>
      </c>
      <c r="AB305" s="137">
        <v>0</v>
      </c>
      <c r="AC305" s="137"/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107</v>
      </c>
      <c r="F306" s="133" t="s">
        <v>106</v>
      </c>
      <c r="G306" s="134">
        <v>46132</v>
      </c>
      <c r="H306" s="135">
        <v>0.32405092592592594</v>
      </c>
      <c r="I306" s="136">
        <v>166004527</v>
      </c>
      <c r="J306" s="137">
        <v>145</v>
      </c>
      <c r="K306" s="137">
        <f>N306+O306+P306</f>
        <v>119.8347</v>
      </c>
      <c r="L306" s="137">
        <f>Q306+R306</f>
        <v>25.1653</v>
      </c>
      <c r="M306" s="137">
        <f>IF(J306=K306+L306,0,Y306)</f>
        <v>0</v>
      </c>
      <c r="N306" s="138">
        <v>119.8347</v>
      </c>
      <c r="O306" s="137">
        <v>0</v>
      </c>
      <c r="P306" s="137">
        <v>0</v>
      </c>
      <c r="Q306" s="137">
        <v>25.1653</v>
      </c>
      <c r="R306" s="137">
        <v>0</v>
      </c>
      <c r="S306" s="138">
        <v>119.8347</v>
      </c>
      <c r="T306" s="137">
        <v>145</v>
      </c>
      <c r="U306" s="137">
        <v>0</v>
      </c>
      <c r="V306" s="137">
        <v>0</v>
      </c>
      <c r="W306" s="137">
        <v>0</v>
      </c>
      <c r="X306" s="137">
        <v>0</v>
      </c>
      <c r="Y306" s="137">
        <v>0</v>
      </c>
      <c r="Z306" s="138">
        <v>0</v>
      </c>
      <c r="AA306" s="137">
        <v>0</v>
      </c>
      <c r="AB306" s="137">
        <v>145</v>
      </c>
      <c r="AC306" s="137">
        <v>0</v>
      </c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107</v>
      </c>
      <c r="F307" s="133" t="s">
        <v>106</v>
      </c>
      <c r="G307" s="134">
        <v>46132</v>
      </c>
      <c r="H307" s="135">
        <v>0.3268402777777778</v>
      </c>
      <c r="I307" s="136">
        <v>166004528</v>
      </c>
      <c r="J307" s="137">
        <v>460</v>
      </c>
      <c r="K307" s="137">
        <f>N307+O307+P307</f>
        <v>388.2116</v>
      </c>
      <c r="L307" s="137">
        <f>Q307+R307</f>
        <v>71.7184</v>
      </c>
      <c r="M307" s="137">
        <f>IF(J307=K307+L307,0,Y307)</f>
        <v>0.07</v>
      </c>
      <c r="N307" s="138">
        <v>279.2562</v>
      </c>
      <c r="O307" s="137">
        <v>108.9554</v>
      </c>
      <c r="P307" s="137">
        <v>0</v>
      </c>
      <c r="Q307" s="137">
        <v>58.6438</v>
      </c>
      <c r="R307" s="137">
        <v>13.0746</v>
      </c>
      <c r="S307" s="138">
        <v>388.2116</v>
      </c>
      <c r="T307" s="137">
        <v>459.93</v>
      </c>
      <c r="U307" s="137">
        <v>0</v>
      </c>
      <c r="V307" s="137">
        <v>0</v>
      </c>
      <c r="W307" s="137">
        <v>0</v>
      </c>
      <c r="X307" s="137">
        <v>0</v>
      </c>
      <c r="Y307" s="137">
        <v>0.07</v>
      </c>
      <c r="Z307" s="138">
        <v>500</v>
      </c>
      <c r="AA307" s="137">
        <v>0</v>
      </c>
      <c r="AB307" s="137">
        <v>0</v>
      </c>
      <c r="AC307" s="137"/>
      <c r="AD307" s="137">
        <v>0</v>
      </c>
      <c r="AE307" s="139">
        <v>-40</v>
      </c>
      <c r="AF307" s="56">
        <v>7.4062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107</v>
      </c>
      <c r="F308" s="133" t="s">
        <v>106</v>
      </c>
      <c r="G308" s="134">
        <v>46132</v>
      </c>
      <c r="H308" s="135">
        <v>0.3282407407407407</v>
      </c>
      <c r="I308" s="136">
        <v>166004529</v>
      </c>
      <c r="J308" s="137">
        <v>608</v>
      </c>
      <c r="K308" s="137">
        <f>N308+O308+P308</f>
        <v>533.2121</v>
      </c>
      <c r="L308" s="137">
        <f>Q308+R308</f>
        <v>75.0679</v>
      </c>
      <c r="M308" s="137">
        <f>IF(J308=K308+L308,0,Y308)</f>
        <v>-0.28</v>
      </c>
      <c r="N308" s="138">
        <v>123.1405</v>
      </c>
      <c r="O308" s="137">
        <v>410.0716</v>
      </c>
      <c r="P308" s="137">
        <v>0</v>
      </c>
      <c r="Q308" s="137">
        <v>25.8595</v>
      </c>
      <c r="R308" s="137">
        <v>49.2084</v>
      </c>
      <c r="S308" s="138">
        <v>533.2121</v>
      </c>
      <c r="T308" s="137">
        <v>608.28</v>
      </c>
      <c r="U308" s="137">
        <v>0</v>
      </c>
      <c r="V308" s="137">
        <v>0</v>
      </c>
      <c r="W308" s="137">
        <v>0</v>
      </c>
      <c r="X308" s="137">
        <v>0</v>
      </c>
      <c r="Y308" s="137">
        <v>-0.28</v>
      </c>
      <c r="Z308" s="138">
        <v>2000</v>
      </c>
      <c r="AA308" s="137">
        <v>0</v>
      </c>
      <c r="AB308" s="137">
        <v>0</v>
      </c>
      <c r="AC308" s="137"/>
      <c r="AD308" s="137">
        <v>0</v>
      </c>
      <c r="AE308" s="139">
        <v>-1392</v>
      </c>
      <c r="AF308" s="56">
        <v>14.533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107</v>
      </c>
      <c r="F309" s="133" t="s">
        <v>106</v>
      </c>
      <c r="G309" s="134">
        <v>46132</v>
      </c>
      <c r="H309" s="135">
        <v>0.3285532407407407</v>
      </c>
      <c r="I309" s="136">
        <v>166004530</v>
      </c>
      <c r="J309" s="137">
        <v>161</v>
      </c>
      <c r="K309" s="137">
        <f>N309+O309+P309</f>
        <v>133.0579</v>
      </c>
      <c r="L309" s="137">
        <f>Q309+R309</f>
        <v>27.9421</v>
      </c>
      <c r="M309" s="137">
        <f>IF(J309=K309+L309,0,Y309)</f>
        <v>0</v>
      </c>
      <c r="N309" s="138">
        <v>133.0579</v>
      </c>
      <c r="O309" s="137">
        <v>0</v>
      </c>
      <c r="P309" s="137">
        <v>0</v>
      </c>
      <c r="Q309" s="137">
        <v>27.9421</v>
      </c>
      <c r="R309" s="137">
        <v>0</v>
      </c>
      <c r="S309" s="138">
        <v>133.0579</v>
      </c>
      <c r="T309" s="137">
        <v>161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200</v>
      </c>
      <c r="AA309" s="137">
        <v>0</v>
      </c>
      <c r="AB309" s="137">
        <v>0</v>
      </c>
      <c r="AC309" s="137"/>
      <c r="AD309" s="137">
        <v>0</v>
      </c>
      <c r="AE309" s="139">
        <v>-39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107</v>
      </c>
      <c r="F310" s="133" t="s">
        <v>106</v>
      </c>
      <c r="G310" s="134">
        <v>46132</v>
      </c>
      <c r="H310" s="135">
        <v>0.32880787037037035</v>
      </c>
      <c r="I310" s="136">
        <v>166004531</v>
      </c>
      <c r="J310" s="137">
        <v>98</v>
      </c>
      <c r="K310" s="137">
        <f>N310+O310+P310</f>
        <v>86.9585</v>
      </c>
      <c r="L310" s="137">
        <f>Q310+R310</f>
        <v>11.1715</v>
      </c>
      <c r="M310" s="137">
        <f>IF(J310=K310+L310,0,Y310)</f>
        <v>-0.13</v>
      </c>
      <c r="N310" s="138">
        <v>8.1818</v>
      </c>
      <c r="O310" s="137">
        <v>78.7767</v>
      </c>
      <c r="P310" s="137">
        <v>0</v>
      </c>
      <c r="Q310" s="137">
        <v>1.7182</v>
      </c>
      <c r="R310" s="137">
        <v>9.4533</v>
      </c>
      <c r="S310" s="138">
        <v>86.9585</v>
      </c>
      <c r="T310" s="137">
        <v>98.13</v>
      </c>
      <c r="U310" s="137">
        <v>0</v>
      </c>
      <c r="V310" s="137">
        <v>0</v>
      </c>
      <c r="W310" s="137">
        <v>0</v>
      </c>
      <c r="X310" s="137">
        <v>0</v>
      </c>
      <c r="Y310" s="137">
        <v>-0.13</v>
      </c>
      <c r="Z310" s="138">
        <v>100</v>
      </c>
      <c r="AA310" s="137">
        <v>0</v>
      </c>
      <c r="AB310" s="137">
        <v>0</v>
      </c>
      <c r="AC310" s="137"/>
      <c r="AD310" s="137">
        <v>0</v>
      </c>
      <c r="AE310" s="139">
        <v>-2</v>
      </c>
      <c r="AF310" s="56">
        <v>17.37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107</v>
      </c>
      <c r="F311" s="133" t="s">
        <v>106</v>
      </c>
      <c r="G311" s="134">
        <v>46132</v>
      </c>
      <c r="H311" s="135">
        <v>0.329375</v>
      </c>
      <c r="I311" s="136">
        <v>166004532</v>
      </c>
      <c r="J311" s="137">
        <v>292.38</v>
      </c>
      <c r="K311" s="137">
        <f>N311+O311+P311</f>
        <v>257.40749999999997</v>
      </c>
      <c r="L311" s="137">
        <f>Q311+R311</f>
        <v>34.972500000000004</v>
      </c>
      <c r="M311" s="137">
        <f>IF(J311=K311+L311,0,Y311)</f>
        <v>0</v>
      </c>
      <c r="N311" s="138">
        <v>45.3719</v>
      </c>
      <c r="O311" s="137">
        <v>212.0356</v>
      </c>
      <c r="P311" s="137">
        <v>0</v>
      </c>
      <c r="Q311" s="137">
        <v>9.5281</v>
      </c>
      <c r="R311" s="137">
        <v>25.4444</v>
      </c>
      <c r="S311" s="138">
        <v>257.4075</v>
      </c>
      <c r="T311" s="137">
        <v>292.38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292.38</v>
      </c>
      <c r="AC311" s="137">
        <v>0</v>
      </c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107</v>
      </c>
      <c r="F312" s="133" t="s">
        <v>106</v>
      </c>
      <c r="G312" s="134">
        <v>46132</v>
      </c>
      <c r="H312" s="135">
        <v>0.33113425925925927</v>
      </c>
      <c r="I312" s="136">
        <v>166004533</v>
      </c>
      <c r="J312" s="137">
        <v>6</v>
      </c>
      <c r="K312" s="137">
        <f>N312+O312+P312</f>
        <v>5.1786</v>
      </c>
      <c r="L312" s="137">
        <f>Q312+R312</f>
        <v>0.6214</v>
      </c>
      <c r="M312" s="137">
        <f>IF(J312=K312+L312,0,Y312)</f>
        <v>0.2</v>
      </c>
      <c r="N312" s="138">
        <v>0</v>
      </c>
      <c r="O312" s="137">
        <v>5.1786</v>
      </c>
      <c r="P312" s="137">
        <v>0</v>
      </c>
      <c r="Q312" s="137">
        <v>0</v>
      </c>
      <c r="R312" s="137">
        <v>0.6214</v>
      </c>
      <c r="S312" s="138">
        <v>5.1786</v>
      </c>
      <c r="T312" s="137">
        <v>5.8</v>
      </c>
      <c r="U312" s="137">
        <v>0</v>
      </c>
      <c r="V312" s="137">
        <v>0</v>
      </c>
      <c r="W312" s="137">
        <v>0</v>
      </c>
      <c r="X312" s="137">
        <v>0</v>
      </c>
      <c r="Y312" s="137">
        <v>0.2</v>
      </c>
      <c r="Z312" s="138">
        <v>6</v>
      </c>
      <c r="AA312" s="137">
        <v>0</v>
      </c>
      <c r="AB312" s="137">
        <v>0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107</v>
      </c>
      <c r="F313" s="133" t="s">
        <v>106</v>
      </c>
      <c r="G313" s="134">
        <v>46132</v>
      </c>
      <c r="H313" s="135">
        <v>0.33251157407407406</v>
      </c>
      <c r="I313" s="136">
        <v>166004534</v>
      </c>
      <c r="J313" s="137">
        <v>35.6</v>
      </c>
      <c r="K313" s="137">
        <f>N313+O313+P313</f>
        <v>31.7857</v>
      </c>
      <c r="L313" s="137">
        <f>Q313+R313</f>
        <v>3.8143</v>
      </c>
      <c r="M313" s="137">
        <f>IF(J313=K313+L313,0,Y313)</f>
        <v>0</v>
      </c>
      <c r="N313" s="138">
        <v>0</v>
      </c>
      <c r="O313" s="137">
        <v>31.7857</v>
      </c>
      <c r="P313" s="137">
        <v>0</v>
      </c>
      <c r="Q313" s="137">
        <v>0</v>
      </c>
      <c r="R313" s="137">
        <v>3.8143</v>
      </c>
      <c r="S313" s="138">
        <v>31.7857</v>
      </c>
      <c r="T313" s="137">
        <v>35.6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35.6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107</v>
      </c>
      <c r="F314" s="133" t="s">
        <v>106</v>
      </c>
      <c r="G314" s="134">
        <v>46132</v>
      </c>
      <c r="H314" s="135">
        <v>0.33337962962962964</v>
      </c>
      <c r="I314" s="136">
        <v>166004535</v>
      </c>
      <c r="J314" s="137">
        <v>392.9</v>
      </c>
      <c r="K314" s="137">
        <f>N314+O314+P314</f>
        <v>346.0355</v>
      </c>
      <c r="L314" s="137">
        <f>Q314+R314</f>
        <v>46.8645</v>
      </c>
      <c r="M314" s="137">
        <f>IF(J314=K314+L314,0,Y314)</f>
        <v>0</v>
      </c>
      <c r="N314" s="138">
        <v>59.3388</v>
      </c>
      <c r="O314" s="137">
        <v>286.6967</v>
      </c>
      <c r="P314" s="137">
        <v>0</v>
      </c>
      <c r="Q314" s="137">
        <v>12.4612</v>
      </c>
      <c r="R314" s="137">
        <v>34.4033</v>
      </c>
      <c r="S314" s="138">
        <v>346.0355</v>
      </c>
      <c r="T314" s="137">
        <v>392.9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392.9</v>
      </c>
      <c r="AC314" s="137">
        <v>0</v>
      </c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107</v>
      </c>
      <c r="F315" s="133" t="s">
        <v>106</v>
      </c>
      <c r="G315" s="134">
        <v>46132</v>
      </c>
      <c r="H315" s="135">
        <v>0.33413194444444444</v>
      </c>
      <c r="I315" s="136">
        <v>166004536</v>
      </c>
      <c r="J315" s="137">
        <v>24</v>
      </c>
      <c r="K315" s="137">
        <f>N315+O315+P315</f>
        <v>20.9821</v>
      </c>
      <c r="L315" s="137">
        <f>Q315+R315</f>
        <v>2.5179</v>
      </c>
      <c r="M315" s="137">
        <f>IF(J315=K315+L315,0,Y315)</f>
        <v>0.5</v>
      </c>
      <c r="N315" s="138">
        <v>0</v>
      </c>
      <c r="O315" s="137">
        <v>20.9821</v>
      </c>
      <c r="P315" s="137">
        <v>0</v>
      </c>
      <c r="Q315" s="137">
        <v>0</v>
      </c>
      <c r="R315" s="137">
        <v>2.5179</v>
      </c>
      <c r="S315" s="138">
        <v>20.9821</v>
      </c>
      <c r="T315" s="137">
        <v>23.5</v>
      </c>
      <c r="U315" s="137">
        <v>0</v>
      </c>
      <c r="V315" s="137">
        <v>0</v>
      </c>
      <c r="W315" s="137">
        <v>0</v>
      </c>
      <c r="X315" s="137">
        <v>0</v>
      </c>
      <c r="Y315" s="137">
        <v>0.5</v>
      </c>
      <c r="Z315" s="138">
        <v>100</v>
      </c>
      <c r="AA315" s="137">
        <v>0</v>
      </c>
      <c r="AB315" s="137">
        <v>0</v>
      </c>
      <c r="AC315" s="137"/>
      <c r="AD315" s="137">
        <v>0</v>
      </c>
      <c r="AE315" s="139">
        <v>-76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107</v>
      </c>
      <c r="F316" s="133" t="s">
        <v>106</v>
      </c>
      <c r="G316" s="134">
        <v>46132</v>
      </c>
      <c r="H316" s="135">
        <v>0.3349537037037037</v>
      </c>
      <c r="I316" s="136">
        <v>166004537</v>
      </c>
      <c r="J316" s="137">
        <v>174.5</v>
      </c>
      <c r="K316" s="137">
        <f>N316+O316+P316</f>
        <v>155.8035</v>
      </c>
      <c r="L316" s="137">
        <f>Q316+R316</f>
        <v>18.6965</v>
      </c>
      <c r="M316" s="137">
        <f>IF(J316=K316+L316,0,Y316)</f>
        <v>0</v>
      </c>
      <c r="N316" s="138">
        <v>0</v>
      </c>
      <c r="O316" s="137">
        <v>155.8035</v>
      </c>
      <c r="P316" s="137">
        <v>0</v>
      </c>
      <c r="Q316" s="137">
        <v>0</v>
      </c>
      <c r="R316" s="137">
        <v>18.6965</v>
      </c>
      <c r="S316" s="138">
        <v>155.8035</v>
      </c>
      <c r="T316" s="137">
        <v>174.5</v>
      </c>
      <c r="U316" s="137">
        <v>0</v>
      </c>
      <c r="V316" s="137">
        <v>0</v>
      </c>
      <c r="W316" s="137">
        <v>0</v>
      </c>
      <c r="X316" s="137">
        <v>0</v>
      </c>
      <c r="Y316" s="137">
        <v>0</v>
      </c>
      <c r="Z316" s="138">
        <v>0</v>
      </c>
      <c r="AA316" s="137">
        <v>0</v>
      </c>
      <c r="AB316" s="137">
        <v>174.5</v>
      </c>
      <c r="AC316" s="137">
        <v>0</v>
      </c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107</v>
      </c>
      <c r="F317" s="133" t="s">
        <v>106</v>
      </c>
      <c r="G317" s="134">
        <v>46132</v>
      </c>
      <c r="H317" s="135">
        <v>0.3356018518518519</v>
      </c>
      <c r="I317" s="136">
        <v>166004538</v>
      </c>
      <c r="J317" s="137">
        <v>84</v>
      </c>
      <c r="K317" s="137">
        <f>N317+O317+P317</f>
        <v>72.48740000000001</v>
      </c>
      <c r="L317" s="137">
        <f>Q317+R317</f>
        <v>11.2126</v>
      </c>
      <c r="M317" s="137">
        <f>IF(J317=K317+L317,0,Y317)</f>
        <v>0.3</v>
      </c>
      <c r="N317" s="138">
        <v>27.9338</v>
      </c>
      <c r="O317" s="137">
        <v>44.5536</v>
      </c>
      <c r="P317" s="137">
        <v>0</v>
      </c>
      <c r="Q317" s="137">
        <v>5.8662</v>
      </c>
      <c r="R317" s="137">
        <v>5.3464</v>
      </c>
      <c r="S317" s="138">
        <v>72.4874</v>
      </c>
      <c r="T317" s="137">
        <v>83.7</v>
      </c>
      <c r="U317" s="137">
        <v>0</v>
      </c>
      <c r="V317" s="137">
        <v>0</v>
      </c>
      <c r="W317" s="137">
        <v>0</v>
      </c>
      <c r="X317" s="137">
        <v>0</v>
      </c>
      <c r="Y317" s="137">
        <v>0.3</v>
      </c>
      <c r="Z317" s="138">
        <v>1000</v>
      </c>
      <c r="AA317" s="137">
        <v>0</v>
      </c>
      <c r="AB317" s="137">
        <v>0</v>
      </c>
      <c r="AC317" s="137"/>
      <c r="AD317" s="137">
        <v>0</v>
      </c>
      <c r="AE317" s="139">
        <v>-916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107</v>
      </c>
      <c r="F318" s="133" t="s">
        <v>106</v>
      </c>
      <c r="G318" s="134">
        <v>46132</v>
      </c>
      <c r="H318" s="135">
        <v>0.3380902777777778</v>
      </c>
      <c r="I318" s="136">
        <v>166004539</v>
      </c>
      <c r="J318" s="137">
        <v>76.6</v>
      </c>
      <c r="K318" s="137">
        <f>N318+O318+P318</f>
        <v>66.208</v>
      </c>
      <c r="L318" s="137">
        <f>Q318+R318</f>
        <v>10.392</v>
      </c>
      <c r="M318" s="137">
        <f>IF(J318=K318+L318,0,Y318)</f>
        <v>0</v>
      </c>
      <c r="N318" s="138">
        <v>27.1901</v>
      </c>
      <c r="O318" s="137">
        <v>39.0179</v>
      </c>
      <c r="P318" s="137">
        <v>0</v>
      </c>
      <c r="Q318" s="137">
        <v>5.7099</v>
      </c>
      <c r="R318" s="137">
        <v>4.6821</v>
      </c>
      <c r="S318" s="138">
        <v>66.208</v>
      </c>
      <c r="T318" s="137">
        <v>76.6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76.6</v>
      </c>
      <c r="AC318" s="137">
        <v>0</v>
      </c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107</v>
      </c>
      <c r="F319" s="133" t="s">
        <v>106</v>
      </c>
      <c r="G319" s="134">
        <v>46132</v>
      </c>
      <c r="H319" s="135">
        <v>0.33824074074074073</v>
      </c>
      <c r="I319" s="136">
        <v>166004540</v>
      </c>
      <c r="J319" s="137">
        <v>81</v>
      </c>
      <c r="K319" s="137">
        <f>N319+O319+P319</f>
        <v>68.7072</v>
      </c>
      <c r="L319" s="137">
        <f>Q319+R319</f>
        <v>11.7928</v>
      </c>
      <c r="M319" s="137">
        <f>IF(J319=K319+L319,0,Y319)</f>
        <v>0.5</v>
      </c>
      <c r="N319" s="138">
        <v>39.4215</v>
      </c>
      <c r="O319" s="137">
        <v>29.2857</v>
      </c>
      <c r="P319" s="137">
        <v>0</v>
      </c>
      <c r="Q319" s="137">
        <v>8.2785</v>
      </c>
      <c r="R319" s="137">
        <v>3.5143</v>
      </c>
      <c r="S319" s="138">
        <v>68.7072</v>
      </c>
      <c r="T319" s="137">
        <v>80.5</v>
      </c>
      <c r="U319" s="137">
        <v>0</v>
      </c>
      <c r="V319" s="137">
        <v>0</v>
      </c>
      <c r="W319" s="137">
        <v>0</v>
      </c>
      <c r="X319" s="137">
        <v>0</v>
      </c>
      <c r="Y319" s="137">
        <v>0.5</v>
      </c>
      <c r="Z319" s="138">
        <v>200</v>
      </c>
      <c r="AA319" s="137">
        <v>0</v>
      </c>
      <c r="AB319" s="137">
        <v>0</v>
      </c>
      <c r="AC319" s="137"/>
      <c r="AD319" s="137">
        <v>0</v>
      </c>
      <c r="AE319" s="139">
        <v>-119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107</v>
      </c>
      <c r="F320" s="133" t="s">
        <v>106</v>
      </c>
      <c r="G320" s="134">
        <v>46132</v>
      </c>
      <c r="H320" s="135">
        <v>0.3387847222222222</v>
      </c>
      <c r="I320" s="136">
        <v>166004541</v>
      </c>
      <c r="J320" s="137">
        <v>47.7</v>
      </c>
      <c r="K320" s="137">
        <f>N320+O320+P320</f>
        <v>42.5893</v>
      </c>
      <c r="L320" s="137">
        <f>Q320+R320</f>
        <v>5.1107</v>
      </c>
      <c r="M320" s="137">
        <f>IF(J320=K320+L320,0,Y320)</f>
        <v>0</v>
      </c>
      <c r="N320" s="138">
        <v>0</v>
      </c>
      <c r="O320" s="137">
        <v>42.5893</v>
      </c>
      <c r="P320" s="137">
        <v>0</v>
      </c>
      <c r="Q320" s="137">
        <v>0</v>
      </c>
      <c r="R320" s="137">
        <v>5.1107</v>
      </c>
      <c r="S320" s="138">
        <v>42.5893</v>
      </c>
      <c r="T320" s="137">
        <v>47.7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47.7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107</v>
      </c>
      <c r="F321" s="133" t="s">
        <v>106</v>
      </c>
      <c r="G321" s="134">
        <v>46132</v>
      </c>
      <c r="H321" s="135">
        <v>0.3390625</v>
      </c>
      <c r="I321" s="136">
        <v>166004542</v>
      </c>
      <c r="J321" s="137">
        <v>120.6</v>
      </c>
      <c r="K321" s="137">
        <f>N321+O321+P321</f>
        <v>105.0355</v>
      </c>
      <c r="L321" s="137">
        <f>Q321+R321</f>
        <v>15.564499999999999</v>
      </c>
      <c r="M321" s="137">
        <f>IF(J321=K321+L321,0,Y321)</f>
        <v>0</v>
      </c>
      <c r="N321" s="138">
        <v>32.8926</v>
      </c>
      <c r="O321" s="137">
        <v>72.1429</v>
      </c>
      <c r="P321" s="137">
        <v>0</v>
      </c>
      <c r="Q321" s="137">
        <v>6.9074</v>
      </c>
      <c r="R321" s="137">
        <v>8.6571</v>
      </c>
      <c r="S321" s="138">
        <v>105.0355</v>
      </c>
      <c r="T321" s="137">
        <v>120.6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120.6</v>
      </c>
      <c r="AC321" s="137">
        <v>0</v>
      </c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107</v>
      </c>
      <c r="F322" s="133" t="s">
        <v>106</v>
      </c>
      <c r="G322" s="134">
        <v>46132</v>
      </c>
      <c r="H322" s="135">
        <v>0.3396064814814815</v>
      </c>
      <c r="I322" s="136">
        <v>166004543</v>
      </c>
      <c r="J322" s="137">
        <v>169.3</v>
      </c>
      <c r="K322" s="137">
        <f>N322+O322+P322</f>
        <v>149.8391</v>
      </c>
      <c r="L322" s="137">
        <f>Q322+R322</f>
        <v>19.460900000000002</v>
      </c>
      <c r="M322" s="137">
        <f>IF(J322=K322+L322,0,Y322)</f>
        <v>0</v>
      </c>
      <c r="N322" s="138">
        <v>16.4463</v>
      </c>
      <c r="O322" s="137">
        <v>133.3928</v>
      </c>
      <c r="P322" s="137">
        <v>0</v>
      </c>
      <c r="Q322" s="137">
        <v>3.4537</v>
      </c>
      <c r="R322" s="137">
        <v>16.0072</v>
      </c>
      <c r="S322" s="138">
        <v>149.8391</v>
      </c>
      <c r="T322" s="137">
        <v>169.3</v>
      </c>
      <c r="U322" s="137">
        <v>0</v>
      </c>
      <c r="V322" s="137">
        <v>0</v>
      </c>
      <c r="W322" s="137">
        <v>0</v>
      </c>
      <c r="X322" s="137">
        <v>0</v>
      </c>
      <c r="Y322" s="137">
        <v>0</v>
      </c>
      <c r="Z322" s="138">
        <v>0</v>
      </c>
      <c r="AA322" s="137">
        <v>0</v>
      </c>
      <c r="AB322" s="137">
        <v>169.3</v>
      </c>
      <c r="AC322" s="137">
        <v>0</v>
      </c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107</v>
      </c>
      <c r="F323" s="133" t="s">
        <v>106</v>
      </c>
      <c r="G323" s="134">
        <v>46132</v>
      </c>
      <c r="H323" s="135">
        <v>0.3400810185185185</v>
      </c>
      <c r="I323" s="136">
        <v>166004544</v>
      </c>
      <c r="J323" s="137">
        <v>71</v>
      </c>
      <c r="K323" s="137">
        <f>N323+O323+P323</f>
        <v>61.4595</v>
      </c>
      <c r="L323" s="137">
        <f>Q323+R323</f>
        <v>9.7405</v>
      </c>
      <c r="M323" s="137">
        <f>IF(J323=K323+L323,0,Y323)</f>
        <v>-0.2</v>
      </c>
      <c r="N323" s="138">
        <v>26.281</v>
      </c>
      <c r="O323" s="137">
        <v>35.1785</v>
      </c>
      <c r="P323" s="137">
        <v>0</v>
      </c>
      <c r="Q323" s="137">
        <v>5.519</v>
      </c>
      <c r="R323" s="137">
        <v>4.2215</v>
      </c>
      <c r="S323" s="138">
        <v>61.4595</v>
      </c>
      <c r="T323" s="137">
        <v>71.2</v>
      </c>
      <c r="U323" s="137">
        <v>0</v>
      </c>
      <c r="V323" s="137">
        <v>0</v>
      </c>
      <c r="W323" s="137">
        <v>0</v>
      </c>
      <c r="X323" s="137">
        <v>0</v>
      </c>
      <c r="Y323" s="137">
        <v>-0.2</v>
      </c>
      <c r="Z323" s="138">
        <v>200</v>
      </c>
      <c r="AA323" s="137">
        <v>0</v>
      </c>
      <c r="AB323" s="137">
        <v>0</v>
      </c>
      <c r="AC323" s="137"/>
      <c r="AD323" s="137">
        <v>0</v>
      </c>
      <c r="AE323" s="139">
        <v>-129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107</v>
      </c>
      <c r="F324" s="133" t="s">
        <v>106</v>
      </c>
      <c r="G324" s="134">
        <v>46132</v>
      </c>
      <c r="H324" s="135">
        <v>0.34219907407407407</v>
      </c>
      <c r="I324" s="136">
        <v>166004545</v>
      </c>
      <c r="J324" s="137">
        <v>107</v>
      </c>
      <c r="K324" s="137">
        <f>N324+O324+P324</f>
        <v>89.468</v>
      </c>
      <c r="L324" s="137">
        <f>Q324+R324</f>
        <v>17.831999999999997</v>
      </c>
      <c r="M324" s="137">
        <f>IF(J324=K324+L324,0,Y324)</f>
        <v>-0.3</v>
      </c>
      <c r="N324" s="138">
        <v>78.843</v>
      </c>
      <c r="O324" s="137">
        <v>10.625</v>
      </c>
      <c r="P324" s="137">
        <v>0</v>
      </c>
      <c r="Q324" s="137">
        <v>16.557</v>
      </c>
      <c r="R324" s="137">
        <v>1.275</v>
      </c>
      <c r="S324" s="138">
        <v>89.468</v>
      </c>
      <c r="T324" s="137">
        <v>107.3</v>
      </c>
      <c r="U324" s="137">
        <v>0</v>
      </c>
      <c r="V324" s="137">
        <v>0</v>
      </c>
      <c r="W324" s="137">
        <v>0</v>
      </c>
      <c r="X324" s="137">
        <v>0</v>
      </c>
      <c r="Y324" s="137">
        <v>-0.3</v>
      </c>
      <c r="Z324" s="138">
        <v>200</v>
      </c>
      <c r="AA324" s="137">
        <v>0</v>
      </c>
      <c r="AB324" s="137">
        <v>0</v>
      </c>
      <c r="AC324" s="137"/>
      <c r="AD324" s="137">
        <v>0</v>
      </c>
      <c r="AE324" s="139">
        <v>-93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107</v>
      </c>
      <c r="F325" s="133" t="s">
        <v>106</v>
      </c>
      <c r="G325" s="134">
        <v>46132</v>
      </c>
      <c r="H325" s="135">
        <v>0.3437615740740741</v>
      </c>
      <c r="I325" s="136">
        <v>166004546</v>
      </c>
      <c r="J325" s="137">
        <v>57</v>
      </c>
      <c r="K325" s="137">
        <f>N325+O325+P325</f>
        <v>50.8929</v>
      </c>
      <c r="L325" s="137">
        <f>Q325+R325</f>
        <v>6.1071</v>
      </c>
      <c r="M325" s="137">
        <f>IF(J325=K325+L325,0,Y325)</f>
        <v>0</v>
      </c>
      <c r="N325" s="138">
        <v>0</v>
      </c>
      <c r="O325" s="137">
        <v>50.8929</v>
      </c>
      <c r="P325" s="137">
        <v>0</v>
      </c>
      <c r="Q325" s="137">
        <v>0</v>
      </c>
      <c r="R325" s="137">
        <v>6.1071</v>
      </c>
      <c r="S325" s="138">
        <v>50.8929</v>
      </c>
      <c r="T325" s="137">
        <v>57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200</v>
      </c>
      <c r="AA325" s="137">
        <v>0</v>
      </c>
      <c r="AB325" s="137">
        <v>0</v>
      </c>
      <c r="AC325" s="137"/>
      <c r="AD325" s="137">
        <v>0</v>
      </c>
      <c r="AE325" s="139">
        <v>-143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107</v>
      </c>
      <c r="F326" s="133" t="s">
        <v>106</v>
      </c>
      <c r="G326" s="134">
        <v>46132</v>
      </c>
      <c r="H326" s="135">
        <v>0.34457175925925926</v>
      </c>
      <c r="I326" s="136">
        <v>166004547</v>
      </c>
      <c r="J326" s="137">
        <v>239.4</v>
      </c>
      <c r="K326" s="137">
        <f>N326+O326+P326</f>
        <v>208.7824</v>
      </c>
      <c r="L326" s="137">
        <f>Q326+R326</f>
        <v>30.6176</v>
      </c>
      <c r="M326" s="137">
        <f>IF(J326=K326+L326,0,Y326)</f>
        <v>0</v>
      </c>
      <c r="N326" s="138">
        <v>61.8181</v>
      </c>
      <c r="O326" s="137">
        <v>146.9643</v>
      </c>
      <c r="P326" s="137">
        <v>0</v>
      </c>
      <c r="Q326" s="137">
        <v>12.9819</v>
      </c>
      <c r="R326" s="137">
        <v>17.6357</v>
      </c>
      <c r="S326" s="138">
        <v>208.7824</v>
      </c>
      <c r="T326" s="137">
        <v>239.4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239.4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107</v>
      </c>
      <c r="F327" s="133" t="s">
        <v>106</v>
      </c>
      <c r="G327" s="134">
        <v>46132</v>
      </c>
      <c r="H327" s="135">
        <v>0.34630787037037036</v>
      </c>
      <c r="I327" s="136">
        <v>166004548</v>
      </c>
      <c r="J327" s="137">
        <v>91.4</v>
      </c>
      <c r="K327" s="137">
        <f>N327+O327+P327</f>
        <v>81.6071</v>
      </c>
      <c r="L327" s="137">
        <f>Q327+R327</f>
        <v>9.7929</v>
      </c>
      <c r="M327" s="137">
        <f>IF(J327=K327+L327,0,Y327)</f>
        <v>0</v>
      </c>
      <c r="N327" s="138">
        <v>0</v>
      </c>
      <c r="O327" s="137">
        <v>81.6071</v>
      </c>
      <c r="P327" s="137">
        <v>0</v>
      </c>
      <c r="Q327" s="137">
        <v>0</v>
      </c>
      <c r="R327" s="137">
        <v>9.7929</v>
      </c>
      <c r="S327" s="138">
        <v>81.6071</v>
      </c>
      <c r="T327" s="137">
        <v>91.4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91.4</v>
      </c>
      <c r="AC327" s="137">
        <v>0</v>
      </c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107</v>
      </c>
      <c r="F328" s="133" t="s">
        <v>106</v>
      </c>
      <c r="G328" s="134">
        <v>46132</v>
      </c>
      <c r="H328" s="135">
        <v>0.3469212962962963</v>
      </c>
      <c r="I328" s="136">
        <v>166004549</v>
      </c>
      <c r="J328" s="137">
        <v>211.96</v>
      </c>
      <c r="K328" s="137">
        <f>N328+O328+P328</f>
        <v>189.2501</v>
      </c>
      <c r="L328" s="137">
        <f>Q328+R328</f>
        <v>22.7099</v>
      </c>
      <c r="M328" s="137">
        <f>IF(J328=K328+L328,0,Y328)</f>
        <v>0</v>
      </c>
      <c r="N328" s="138">
        <v>0</v>
      </c>
      <c r="O328" s="137">
        <v>189.2501</v>
      </c>
      <c r="P328" s="137">
        <v>0</v>
      </c>
      <c r="Q328" s="137">
        <v>0</v>
      </c>
      <c r="R328" s="137">
        <v>22.7099</v>
      </c>
      <c r="S328" s="138">
        <v>189.2501</v>
      </c>
      <c r="T328" s="137">
        <v>211.96</v>
      </c>
      <c r="U328" s="137">
        <v>0</v>
      </c>
      <c r="V328" s="137">
        <v>0</v>
      </c>
      <c r="W328" s="137">
        <v>0</v>
      </c>
      <c r="X328" s="137">
        <v>0</v>
      </c>
      <c r="Y328" s="137">
        <v>0</v>
      </c>
      <c r="Z328" s="138">
        <v>0</v>
      </c>
      <c r="AA328" s="137">
        <v>0</v>
      </c>
      <c r="AB328" s="137">
        <v>211.96</v>
      </c>
      <c r="AC328" s="137">
        <v>0</v>
      </c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107</v>
      </c>
      <c r="F329" s="133" t="s">
        <v>106</v>
      </c>
      <c r="G329" s="134">
        <v>46132</v>
      </c>
      <c r="H329" s="135">
        <v>0.3476273148148148</v>
      </c>
      <c r="I329" s="136">
        <v>166004550</v>
      </c>
      <c r="J329" s="137">
        <v>338</v>
      </c>
      <c r="K329" s="137">
        <f>N329+O329+P329</f>
        <v>302.0537</v>
      </c>
      <c r="L329" s="137">
        <f>Q329+R329</f>
        <v>36.2463</v>
      </c>
      <c r="M329" s="137">
        <f>IF(J329=K329+L329,0,Y329)</f>
        <v>-0.3</v>
      </c>
      <c r="N329" s="138">
        <v>0</v>
      </c>
      <c r="O329" s="137">
        <v>302.0537</v>
      </c>
      <c r="P329" s="137">
        <v>0</v>
      </c>
      <c r="Q329" s="137">
        <v>0</v>
      </c>
      <c r="R329" s="137">
        <v>36.2463</v>
      </c>
      <c r="S329" s="138">
        <v>302.0537</v>
      </c>
      <c r="T329" s="137">
        <v>338.3</v>
      </c>
      <c r="U329" s="137">
        <v>0</v>
      </c>
      <c r="V329" s="137">
        <v>0</v>
      </c>
      <c r="W329" s="137">
        <v>0</v>
      </c>
      <c r="X329" s="137">
        <v>0</v>
      </c>
      <c r="Y329" s="137">
        <v>-0.3</v>
      </c>
      <c r="Z329" s="138">
        <v>338</v>
      </c>
      <c r="AA329" s="137">
        <v>0</v>
      </c>
      <c r="AB329" s="137">
        <v>0</v>
      </c>
      <c r="AC329" s="137"/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107</v>
      </c>
      <c r="F330" s="133" t="s">
        <v>106</v>
      </c>
      <c r="G330" s="134">
        <v>46132</v>
      </c>
      <c r="H330" s="135">
        <v>0.3490625</v>
      </c>
      <c r="I330" s="136">
        <v>166004551</v>
      </c>
      <c r="J330" s="137">
        <v>133.6</v>
      </c>
      <c r="K330" s="137">
        <f>N330+O330+P330</f>
        <v>112.7244</v>
      </c>
      <c r="L330" s="137">
        <f>Q330+R330</f>
        <v>20.8756</v>
      </c>
      <c r="M330" s="137">
        <f>IF(J330=K330+L330,0,Y330)</f>
        <v>0</v>
      </c>
      <c r="N330" s="138">
        <v>81.6529</v>
      </c>
      <c r="O330" s="137">
        <v>31.0715</v>
      </c>
      <c r="P330" s="137">
        <v>0</v>
      </c>
      <c r="Q330" s="137">
        <v>17.1471</v>
      </c>
      <c r="R330" s="137">
        <v>3.7285</v>
      </c>
      <c r="S330" s="138">
        <v>112.7244</v>
      </c>
      <c r="T330" s="137">
        <v>133.6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133.6</v>
      </c>
      <c r="AC330" s="137">
        <v>0</v>
      </c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107</v>
      </c>
      <c r="F331" s="133" t="s">
        <v>106</v>
      </c>
      <c r="G331" s="134">
        <v>46132</v>
      </c>
      <c r="H331" s="135">
        <v>0.3499537037037037</v>
      </c>
      <c r="I331" s="136">
        <v>166004552</v>
      </c>
      <c r="J331" s="137">
        <v>170</v>
      </c>
      <c r="K331" s="137">
        <f>N331+O331+P331</f>
        <v>149.6739</v>
      </c>
      <c r="L331" s="137">
        <f>Q331+R331</f>
        <v>20.3261</v>
      </c>
      <c r="M331" s="137">
        <f>IF(J331=K331+L331,0,Y331)</f>
        <v>0</v>
      </c>
      <c r="N331" s="138">
        <v>26.281</v>
      </c>
      <c r="O331" s="137">
        <v>123.3929</v>
      </c>
      <c r="P331" s="137">
        <v>0</v>
      </c>
      <c r="Q331" s="137">
        <v>5.519</v>
      </c>
      <c r="R331" s="137">
        <v>14.8071</v>
      </c>
      <c r="S331" s="138">
        <v>149.6739</v>
      </c>
      <c r="T331" s="137">
        <v>170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170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107</v>
      </c>
      <c r="F332" s="133" t="s">
        <v>106</v>
      </c>
      <c r="G332" s="134">
        <v>46132</v>
      </c>
      <c r="H332" s="135">
        <v>0.352650462962963</v>
      </c>
      <c r="I332" s="136">
        <v>166004553</v>
      </c>
      <c r="J332" s="137">
        <v>325.2</v>
      </c>
      <c r="K332" s="137">
        <f>N332+O332+P332</f>
        <v>284.20759999999996</v>
      </c>
      <c r="L332" s="137">
        <f>Q332+R332</f>
        <v>40.9924</v>
      </c>
      <c r="M332" s="137">
        <f>IF(J332=K332+L332,0,Y332)</f>
        <v>0</v>
      </c>
      <c r="N332" s="138">
        <v>76.529</v>
      </c>
      <c r="O332" s="137">
        <v>207.6786</v>
      </c>
      <c r="P332" s="137">
        <v>0</v>
      </c>
      <c r="Q332" s="137">
        <v>16.071</v>
      </c>
      <c r="R332" s="137">
        <v>24.9214</v>
      </c>
      <c r="S332" s="138">
        <v>284.2076</v>
      </c>
      <c r="T332" s="137">
        <v>325.2</v>
      </c>
      <c r="U332" s="137">
        <v>0</v>
      </c>
      <c r="V332" s="137">
        <v>0</v>
      </c>
      <c r="W332" s="137">
        <v>0</v>
      </c>
      <c r="X332" s="137">
        <v>0</v>
      </c>
      <c r="Y332" s="137">
        <v>0</v>
      </c>
      <c r="Z332" s="138">
        <v>0</v>
      </c>
      <c r="AA332" s="137">
        <v>0</v>
      </c>
      <c r="AB332" s="137">
        <v>325.2</v>
      </c>
      <c r="AC332" s="137">
        <v>0</v>
      </c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107</v>
      </c>
      <c r="F333" s="133" t="s">
        <v>106</v>
      </c>
      <c r="G333" s="134">
        <v>46132</v>
      </c>
      <c r="H333" s="135">
        <v>0.35325231481481484</v>
      </c>
      <c r="I333" s="136">
        <v>166004554</v>
      </c>
      <c r="J333" s="137">
        <v>23.8</v>
      </c>
      <c r="K333" s="137">
        <f>N333+O333+P333</f>
        <v>21.25</v>
      </c>
      <c r="L333" s="137">
        <f>Q333+R333</f>
        <v>2.55</v>
      </c>
      <c r="M333" s="137">
        <f>IF(J333=K333+L333,0,Y333)</f>
        <v>0</v>
      </c>
      <c r="N333" s="138">
        <v>0</v>
      </c>
      <c r="O333" s="137">
        <v>21.25</v>
      </c>
      <c r="P333" s="137">
        <v>0</v>
      </c>
      <c r="Q333" s="137">
        <v>0</v>
      </c>
      <c r="R333" s="137">
        <v>2.55</v>
      </c>
      <c r="S333" s="138">
        <v>21.25</v>
      </c>
      <c r="T333" s="137">
        <v>23.8</v>
      </c>
      <c r="U333" s="137">
        <v>0</v>
      </c>
      <c r="V333" s="137">
        <v>0</v>
      </c>
      <c r="W333" s="137">
        <v>0</v>
      </c>
      <c r="X333" s="137">
        <v>0</v>
      </c>
      <c r="Y333" s="137">
        <v>0</v>
      </c>
      <c r="Z333" s="138">
        <v>0</v>
      </c>
      <c r="AA333" s="137">
        <v>0</v>
      </c>
      <c r="AB333" s="137">
        <v>23.8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107</v>
      </c>
      <c r="F334" s="133" t="s">
        <v>106</v>
      </c>
      <c r="G334" s="134">
        <v>46132</v>
      </c>
      <c r="H334" s="135">
        <v>0.3540509259259259</v>
      </c>
      <c r="I334" s="136">
        <v>166004555</v>
      </c>
      <c r="J334" s="137">
        <v>76.35</v>
      </c>
      <c r="K334" s="137">
        <f>N334+O334+P334</f>
        <v>68.1696</v>
      </c>
      <c r="L334" s="137">
        <f>Q334+R334</f>
        <v>8.1804</v>
      </c>
      <c r="M334" s="137">
        <f>IF(J334=K334+L334,0,Y334)</f>
        <v>0</v>
      </c>
      <c r="N334" s="138">
        <v>0</v>
      </c>
      <c r="O334" s="137">
        <v>68.1696</v>
      </c>
      <c r="P334" s="137">
        <v>0</v>
      </c>
      <c r="Q334" s="137">
        <v>0</v>
      </c>
      <c r="R334" s="137">
        <v>8.1804</v>
      </c>
      <c r="S334" s="138">
        <v>68.1696</v>
      </c>
      <c r="T334" s="137">
        <v>76.35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76.35</v>
      </c>
      <c r="AC334" s="137">
        <v>0</v>
      </c>
      <c r="AD334" s="137">
        <v>0</v>
      </c>
      <c r="AE334" s="139">
        <v>0</v>
      </c>
      <c r="AF334" s="56">
        <v>9.1114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106</v>
      </c>
      <c r="G335" s="134">
        <v>46132</v>
      </c>
      <c r="H335" s="135">
        <v>0.3556944444444444</v>
      </c>
      <c r="I335" s="136">
        <v>166004556</v>
      </c>
      <c r="J335" s="137">
        <v>43</v>
      </c>
      <c r="K335" s="137">
        <f>N335+O335+P335</f>
        <v>38.3036</v>
      </c>
      <c r="L335" s="137">
        <f>Q335+R335</f>
        <v>4.5964</v>
      </c>
      <c r="M335" s="137">
        <f>IF(J335=K335+L335,0,Y335)</f>
        <v>0.1</v>
      </c>
      <c r="N335" s="138">
        <v>0</v>
      </c>
      <c r="O335" s="137">
        <v>38.3036</v>
      </c>
      <c r="P335" s="137">
        <v>0</v>
      </c>
      <c r="Q335" s="137">
        <v>0</v>
      </c>
      <c r="R335" s="137">
        <v>4.5964</v>
      </c>
      <c r="S335" s="138">
        <v>38.3036</v>
      </c>
      <c r="T335" s="137">
        <v>42.9</v>
      </c>
      <c r="U335" s="137">
        <v>0</v>
      </c>
      <c r="V335" s="137">
        <v>0</v>
      </c>
      <c r="W335" s="137">
        <v>0</v>
      </c>
      <c r="X335" s="137">
        <v>0</v>
      </c>
      <c r="Y335" s="137">
        <v>0.1</v>
      </c>
      <c r="Z335" s="138">
        <v>50</v>
      </c>
      <c r="AA335" s="137">
        <v>0</v>
      </c>
      <c r="AB335" s="137">
        <v>0</v>
      </c>
      <c r="AC335" s="137"/>
      <c r="AD335" s="137">
        <v>0</v>
      </c>
      <c r="AE335" s="139">
        <v>-7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106</v>
      </c>
      <c r="G336" s="134">
        <v>46132</v>
      </c>
      <c r="H336" s="135">
        <v>0.3567708333333333</v>
      </c>
      <c r="I336" s="136">
        <v>166004557</v>
      </c>
      <c r="J336" s="137">
        <v>154.14</v>
      </c>
      <c r="K336" s="137">
        <f>N336+O336+P336</f>
        <v>137.625</v>
      </c>
      <c r="L336" s="137">
        <f>Q336+R336</f>
        <v>16.515</v>
      </c>
      <c r="M336" s="137">
        <f>IF(J336=K336+L336,0,Y336)</f>
        <v>0</v>
      </c>
      <c r="N336" s="138">
        <v>0</v>
      </c>
      <c r="O336" s="137">
        <v>137.625</v>
      </c>
      <c r="P336" s="137">
        <v>0</v>
      </c>
      <c r="Q336" s="137">
        <v>0</v>
      </c>
      <c r="R336" s="137">
        <v>16.515</v>
      </c>
      <c r="S336" s="138">
        <v>137.625</v>
      </c>
      <c r="T336" s="137">
        <v>154.14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154.14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106</v>
      </c>
      <c r="G337" s="134">
        <v>46132</v>
      </c>
      <c r="H337" s="135">
        <v>0.35726851851851854</v>
      </c>
      <c r="I337" s="136">
        <v>166004558</v>
      </c>
      <c r="J337" s="137">
        <v>48</v>
      </c>
      <c r="K337" s="137">
        <f>N337+O337+P337</f>
        <v>42.6786</v>
      </c>
      <c r="L337" s="137">
        <f>Q337+R337</f>
        <v>5.1214</v>
      </c>
      <c r="M337" s="137">
        <f>IF(J337=K337+L337,0,Y337)</f>
        <v>0.2</v>
      </c>
      <c r="N337" s="138">
        <v>0</v>
      </c>
      <c r="O337" s="137">
        <v>42.6786</v>
      </c>
      <c r="P337" s="137">
        <v>0</v>
      </c>
      <c r="Q337" s="137">
        <v>0</v>
      </c>
      <c r="R337" s="137">
        <v>5.1214</v>
      </c>
      <c r="S337" s="138">
        <v>42.6786</v>
      </c>
      <c r="T337" s="137">
        <v>47.8</v>
      </c>
      <c r="U337" s="137">
        <v>0</v>
      </c>
      <c r="V337" s="137">
        <v>0</v>
      </c>
      <c r="W337" s="137">
        <v>0</v>
      </c>
      <c r="X337" s="137">
        <v>0</v>
      </c>
      <c r="Y337" s="137">
        <v>0.2</v>
      </c>
      <c r="Z337" s="138">
        <v>50</v>
      </c>
      <c r="AA337" s="137">
        <v>0</v>
      </c>
      <c r="AB337" s="137">
        <v>0</v>
      </c>
      <c r="AC337" s="137"/>
      <c r="AD337" s="137">
        <v>0</v>
      </c>
      <c r="AE337" s="139">
        <v>-2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106</v>
      </c>
      <c r="G338" s="134">
        <v>46132</v>
      </c>
      <c r="H338" s="135">
        <v>0.3625115740740741</v>
      </c>
      <c r="I338" s="136">
        <v>166004559</v>
      </c>
      <c r="J338" s="137">
        <v>40</v>
      </c>
      <c r="K338" s="137">
        <f>N338+O338+P338</f>
        <v>35.5357</v>
      </c>
      <c r="L338" s="137">
        <f>Q338+R338</f>
        <v>4.2643</v>
      </c>
      <c r="M338" s="137">
        <f>IF(J338=K338+L338,0,Y338)</f>
        <v>0.2</v>
      </c>
      <c r="N338" s="138">
        <v>0</v>
      </c>
      <c r="O338" s="137">
        <v>35.5357</v>
      </c>
      <c r="P338" s="137">
        <v>0</v>
      </c>
      <c r="Q338" s="137">
        <v>0</v>
      </c>
      <c r="R338" s="137">
        <v>4.2643</v>
      </c>
      <c r="S338" s="138">
        <v>35.5357</v>
      </c>
      <c r="T338" s="137">
        <v>39.8</v>
      </c>
      <c r="U338" s="137">
        <v>0</v>
      </c>
      <c r="V338" s="137">
        <v>0</v>
      </c>
      <c r="W338" s="137">
        <v>0</v>
      </c>
      <c r="X338" s="137">
        <v>0</v>
      </c>
      <c r="Y338" s="137">
        <v>0.2</v>
      </c>
      <c r="Z338" s="138">
        <v>40</v>
      </c>
      <c r="AA338" s="137">
        <v>0</v>
      </c>
      <c r="AB338" s="137">
        <v>0</v>
      </c>
      <c r="AC338" s="137"/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106</v>
      </c>
      <c r="G339" s="134">
        <v>46132</v>
      </c>
      <c r="H339" s="135">
        <v>0.36429398148148145</v>
      </c>
      <c r="I339" s="136">
        <v>166004560</v>
      </c>
      <c r="J339" s="137">
        <v>299.82</v>
      </c>
      <c r="K339" s="137">
        <f>N339+O339+P339</f>
        <v>261.08169999999996</v>
      </c>
      <c r="L339" s="137">
        <f>Q339+R339</f>
        <v>38.7383</v>
      </c>
      <c r="M339" s="137">
        <f>IF(J339=K339+L339,0,Y339)</f>
        <v>0</v>
      </c>
      <c r="N339" s="138">
        <v>82.314</v>
      </c>
      <c r="O339" s="137">
        <v>178.7677</v>
      </c>
      <c r="P339" s="137">
        <v>0</v>
      </c>
      <c r="Q339" s="137">
        <v>17.286</v>
      </c>
      <c r="R339" s="137">
        <v>21.4523</v>
      </c>
      <c r="S339" s="138">
        <v>261.0817</v>
      </c>
      <c r="T339" s="137">
        <v>299.82</v>
      </c>
      <c r="U339" s="137">
        <v>0</v>
      </c>
      <c r="V339" s="137">
        <v>0</v>
      </c>
      <c r="W339" s="137">
        <v>0</v>
      </c>
      <c r="X339" s="137">
        <v>0</v>
      </c>
      <c r="Y339" s="137">
        <v>0</v>
      </c>
      <c r="Z339" s="138">
        <v>0</v>
      </c>
      <c r="AA339" s="137">
        <v>0</v>
      </c>
      <c r="AB339" s="137">
        <v>299.82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106</v>
      </c>
      <c r="G340" s="134">
        <v>46132</v>
      </c>
      <c r="H340" s="135">
        <v>0.36484953703703704</v>
      </c>
      <c r="I340" s="136">
        <v>166004561</v>
      </c>
      <c r="J340" s="137">
        <v>284.96</v>
      </c>
      <c r="K340" s="137">
        <f>N340+O340+P340</f>
        <v>245.888</v>
      </c>
      <c r="L340" s="137">
        <f>Q340+R340</f>
        <v>39.072</v>
      </c>
      <c r="M340" s="137">
        <f>IF(J340=K340+L340,0,Y340)</f>
        <v>0</v>
      </c>
      <c r="N340" s="138">
        <v>106.281</v>
      </c>
      <c r="O340" s="137">
        <v>139.607</v>
      </c>
      <c r="P340" s="137">
        <v>0</v>
      </c>
      <c r="Q340" s="137">
        <v>22.319</v>
      </c>
      <c r="R340" s="137">
        <v>16.753</v>
      </c>
      <c r="S340" s="138">
        <v>245.888</v>
      </c>
      <c r="T340" s="137">
        <v>284.96</v>
      </c>
      <c r="U340" s="137">
        <v>0</v>
      </c>
      <c r="V340" s="137">
        <v>0</v>
      </c>
      <c r="W340" s="137">
        <v>0</v>
      </c>
      <c r="X340" s="137">
        <v>0</v>
      </c>
      <c r="Y340" s="137">
        <v>0</v>
      </c>
      <c r="Z340" s="138">
        <v>0</v>
      </c>
      <c r="AA340" s="137">
        <v>0</v>
      </c>
      <c r="AB340" s="137">
        <v>284.96</v>
      </c>
      <c r="AC340" s="137">
        <v>0</v>
      </c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106</v>
      </c>
      <c r="G341" s="134">
        <v>46132</v>
      </c>
      <c r="H341" s="135">
        <v>0.3655787037037037</v>
      </c>
      <c r="I341" s="136">
        <v>166004562</v>
      </c>
      <c r="J341" s="137">
        <v>28.8</v>
      </c>
      <c r="K341" s="137">
        <f>N341+O341+P341</f>
        <v>25.7143</v>
      </c>
      <c r="L341" s="137">
        <f>Q341+R341</f>
        <v>3.0857</v>
      </c>
      <c r="M341" s="137">
        <f>IF(J341=K341+L341,0,Y341)</f>
        <v>0</v>
      </c>
      <c r="N341" s="138">
        <v>0</v>
      </c>
      <c r="O341" s="137">
        <v>25.7143</v>
      </c>
      <c r="P341" s="137">
        <v>0</v>
      </c>
      <c r="Q341" s="137">
        <v>0</v>
      </c>
      <c r="R341" s="137">
        <v>3.0857</v>
      </c>
      <c r="S341" s="138">
        <v>25.7143</v>
      </c>
      <c r="T341" s="137">
        <v>28.8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28.8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106</v>
      </c>
      <c r="G342" s="134">
        <v>46132</v>
      </c>
      <c r="H342" s="135">
        <v>0.366087962962963</v>
      </c>
      <c r="I342" s="136">
        <v>166004563</v>
      </c>
      <c r="J342" s="137">
        <v>51</v>
      </c>
      <c r="K342" s="137">
        <f>N342+O342+P342</f>
        <v>44.301199999999994</v>
      </c>
      <c r="L342" s="137">
        <f>Q342+R342</f>
        <v>6.4988</v>
      </c>
      <c r="M342" s="137">
        <f>IF(J342=K342+L342,0,Y342)</f>
        <v>0.2</v>
      </c>
      <c r="N342" s="138">
        <v>13.1405</v>
      </c>
      <c r="O342" s="137">
        <v>31.1607</v>
      </c>
      <c r="P342" s="137">
        <v>0</v>
      </c>
      <c r="Q342" s="137">
        <v>2.7595</v>
      </c>
      <c r="R342" s="137">
        <v>3.7393</v>
      </c>
      <c r="S342" s="138">
        <v>44.3012</v>
      </c>
      <c r="T342" s="137">
        <v>50.8</v>
      </c>
      <c r="U342" s="137">
        <v>0</v>
      </c>
      <c r="V342" s="137">
        <v>0</v>
      </c>
      <c r="W342" s="137">
        <v>0</v>
      </c>
      <c r="X342" s="137">
        <v>0</v>
      </c>
      <c r="Y342" s="137">
        <v>0.2</v>
      </c>
      <c r="Z342" s="138">
        <v>201</v>
      </c>
      <c r="AA342" s="137">
        <v>0</v>
      </c>
      <c r="AB342" s="137">
        <v>0</v>
      </c>
      <c r="AC342" s="137"/>
      <c r="AD342" s="137">
        <v>0</v>
      </c>
      <c r="AE342" s="139">
        <v>-150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106</v>
      </c>
      <c r="G343" s="134">
        <v>46132</v>
      </c>
      <c r="H343" s="135">
        <v>0.3671527777777778</v>
      </c>
      <c r="I343" s="136">
        <v>166004564</v>
      </c>
      <c r="J343" s="137">
        <v>29</v>
      </c>
      <c r="K343" s="137">
        <f>N343+O343+P343</f>
        <v>25.8929</v>
      </c>
      <c r="L343" s="137">
        <f>Q343+R343</f>
        <v>3.1071</v>
      </c>
      <c r="M343" s="137">
        <f>IF(J343=K343+L343,0,Y343)</f>
        <v>0</v>
      </c>
      <c r="N343" s="138">
        <v>0</v>
      </c>
      <c r="O343" s="137">
        <v>25.8929</v>
      </c>
      <c r="P343" s="137">
        <v>0</v>
      </c>
      <c r="Q343" s="137">
        <v>0</v>
      </c>
      <c r="R343" s="137">
        <v>3.1071</v>
      </c>
      <c r="S343" s="138">
        <v>25.8929</v>
      </c>
      <c r="T343" s="137">
        <v>29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29</v>
      </c>
      <c r="AA343" s="137">
        <v>0</v>
      </c>
      <c r="AB343" s="137">
        <v>0</v>
      </c>
      <c r="AC343" s="137"/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106</v>
      </c>
      <c r="G344" s="134">
        <v>46132</v>
      </c>
      <c r="H344" s="135">
        <v>0.3680439814814815</v>
      </c>
      <c r="I344" s="136">
        <v>166004565</v>
      </c>
      <c r="J344" s="137">
        <v>232</v>
      </c>
      <c r="K344" s="137">
        <f>N344+O344+P344</f>
        <v>207.4452</v>
      </c>
      <c r="L344" s="137">
        <f>Q344+R344</f>
        <v>25.034799999999997</v>
      </c>
      <c r="M344" s="137">
        <f>IF(J344=K344+L344,0,Y344)</f>
        <v>-0.48</v>
      </c>
      <c r="N344" s="138">
        <v>1.5702</v>
      </c>
      <c r="O344" s="137">
        <v>205.875</v>
      </c>
      <c r="P344" s="137">
        <v>0</v>
      </c>
      <c r="Q344" s="137">
        <v>0.3298</v>
      </c>
      <c r="R344" s="137">
        <v>24.705</v>
      </c>
      <c r="S344" s="138">
        <v>207.4452</v>
      </c>
      <c r="T344" s="137">
        <v>232.48</v>
      </c>
      <c r="U344" s="137">
        <v>0</v>
      </c>
      <c r="V344" s="137">
        <v>0</v>
      </c>
      <c r="W344" s="137">
        <v>0</v>
      </c>
      <c r="X344" s="137">
        <v>0</v>
      </c>
      <c r="Y344" s="137">
        <v>-0.48</v>
      </c>
      <c r="Z344" s="138">
        <v>300</v>
      </c>
      <c r="AA344" s="137">
        <v>0</v>
      </c>
      <c r="AB344" s="137">
        <v>0</v>
      </c>
      <c r="AC344" s="137"/>
      <c r="AD344" s="137">
        <v>0</v>
      </c>
      <c r="AE344" s="139">
        <v>-68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106</v>
      </c>
      <c r="G345" s="134">
        <v>46132</v>
      </c>
      <c r="H345" s="135">
        <v>0.36876157407407406</v>
      </c>
      <c r="I345" s="136">
        <v>166004566</v>
      </c>
      <c r="J345" s="137">
        <v>159</v>
      </c>
      <c r="K345" s="137">
        <f>N345+O345+P345</f>
        <v>142.1966</v>
      </c>
      <c r="L345" s="137">
        <f>Q345+R345</f>
        <v>17.0634</v>
      </c>
      <c r="M345" s="137">
        <f>IF(J345=K345+L345,0,Y345)</f>
        <v>-0.26</v>
      </c>
      <c r="N345" s="138">
        <v>0</v>
      </c>
      <c r="O345" s="137">
        <v>142.1966</v>
      </c>
      <c r="P345" s="137">
        <v>0</v>
      </c>
      <c r="Q345" s="137">
        <v>0</v>
      </c>
      <c r="R345" s="137">
        <v>17.0634</v>
      </c>
      <c r="S345" s="138">
        <v>142.1966</v>
      </c>
      <c r="T345" s="137">
        <v>159.26</v>
      </c>
      <c r="U345" s="137">
        <v>0</v>
      </c>
      <c r="V345" s="137">
        <v>0</v>
      </c>
      <c r="W345" s="137">
        <v>0</v>
      </c>
      <c r="X345" s="137">
        <v>0</v>
      </c>
      <c r="Y345" s="137">
        <v>-0.26</v>
      </c>
      <c r="Z345" s="138">
        <v>160</v>
      </c>
      <c r="AA345" s="137">
        <v>0</v>
      </c>
      <c r="AB345" s="137">
        <v>0</v>
      </c>
      <c r="AC345" s="137"/>
      <c r="AD345" s="137">
        <v>0</v>
      </c>
      <c r="AE345" s="139">
        <v>-1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106</v>
      </c>
      <c r="G346" s="134">
        <v>46132</v>
      </c>
      <c r="H346" s="135">
        <v>0.36918981481481483</v>
      </c>
      <c r="I346" s="136">
        <v>166004567</v>
      </c>
      <c r="J346" s="137">
        <v>69</v>
      </c>
      <c r="K346" s="137">
        <f>N346+O346+P346</f>
        <v>61.5</v>
      </c>
      <c r="L346" s="137">
        <f>Q346+R346</f>
        <v>7.38</v>
      </c>
      <c r="M346" s="137">
        <f>IF(J346=K346+L346,0,Y346)</f>
        <v>0.12</v>
      </c>
      <c r="N346" s="138">
        <v>0</v>
      </c>
      <c r="O346" s="137">
        <v>61.5</v>
      </c>
      <c r="P346" s="137">
        <v>0</v>
      </c>
      <c r="Q346" s="137">
        <v>0</v>
      </c>
      <c r="R346" s="137">
        <v>7.38</v>
      </c>
      <c r="S346" s="138">
        <v>61.5</v>
      </c>
      <c r="T346" s="137">
        <v>68.88</v>
      </c>
      <c r="U346" s="137">
        <v>0</v>
      </c>
      <c r="V346" s="137">
        <v>0</v>
      </c>
      <c r="W346" s="137">
        <v>0</v>
      </c>
      <c r="X346" s="137">
        <v>0</v>
      </c>
      <c r="Y346" s="137">
        <v>0.12</v>
      </c>
      <c r="Z346" s="138">
        <v>100</v>
      </c>
      <c r="AA346" s="137">
        <v>0</v>
      </c>
      <c r="AB346" s="137">
        <v>0</v>
      </c>
      <c r="AC346" s="137"/>
      <c r="AD346" s="137">
        <v>0</v>
      </c>
      <c r="AE346" s="139">
        <v>-31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106</v>
      </c>
      <c r="G347" s="134">
        <v>46132</v>
      </c>
      <c r="H347" s="135">
        <v>0.37015046296296295</v>
      </c>
      <c r="I347" s="136">
        <v>166004568</v>
      </c>
      <c r="J347" s="137">
        <v>483</v>
      </c>
      <c r="K347" s="137">
        <f>N347+O347+P347</f>
        <v>399.1737</v>
      </c>
      <c r="L347" s="137">
        <f>Q347+R347</f>
        <v>83.8263</v>
      </c>
      <c r="M347" s="137">
        <f>IF(J347=K347+L347,0,Y347)</f>
        <v>0</v>
      </c>
      <c r="N347" s="138">
        <v>399.1737</v>
      </c>
      <c r="O347" s="137">
        <v>0</v>
      </c>
      <c r="P347" s="137">
        <v>0</v>
      </c>
      <c r="Q347" s="137">
        <v>83.8263</v>
      </c>
      <c r="R347" s="137">
        <v>0</v>
      </c>
      <c r="S347" s="138">
        <v>399.1737</v>
      </c>
      <c r="T347" s="137">
        <v>483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483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106</v>
      </c>
      <c r="G348" s="134">
        <v>46132</v>
      </c>
      <c r="H348" s="135">
        <v>0.3713888888888889</v>
      </c>
      <c r="I348" s="136">
        <v>166004569</v>
      </c>
      <c r="J348" s="137">
        <v>110</v>
      </c>
      <c r="K348" s="137">
        <f>N348+O348+P348</f>
        <v>98.2858</v>
      </c>
      <c r="L348" s="137">
        <f>Q348+R348</f>
        <v>11.7942</v>
      </c>
      <c r="M348" s="137">
        <f>IF(J348=K348+L348,0,Y348)</f>
        <v>-0.08</v>
      </c>
      <c r="N348" s="138">
        <v>0</v>
      </c>
      <c r="O348" s="137">
        <v>98.2858</v>
      </c>
      <c r="P348" s="137">
        <v>0</v>
      </c>
      <c r="Q348" s="137">
        <v>0</v>
      </c>
      <c r="R348" s="137">
        <v>11.7942</v>
      </c>
      <c r="S348" s="138">
        <v>98.2858</v>
      </c>
      <c r="T348" s="137">
        <v>110.08</v>
      </c>
      <c r="U348" s="137">
        <v>0</v>
      </c>
      <c r="V348" s="137">
        <v>0</v>
      </c>
      <c r="W348" s="137">
        <v>0</v>
      </c>
      <c r="X348" s="137">
        <v>0</v>
      </c>
      <c r="Y348" s="137">
        <v>-0.08</v>
      </c>
      <c r="Z348" s="138">
        <v>110</v>
      </c>
      <c r="AA348" s="137">
        <v>0</v>
      </c>
      <c r="AB348" s="137">
        <v>0</v>
      </c>
      <c r="AC348" s="137"/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106</v>
      </c>
      <c r="G349" s="134">
        <v>46132</v>
      </c>
      <c r="H349" s="135">
        <v>0.3719791666666667</v>
      </c>
      <c r="I349" s="136">
        <v>166004570</v>
      </c>
      <c r="J349" s="137">
        <v>142</v>
      </c>
      <c r="K349" s="137">
        <f>N349+O349+P349</f>
        <v>127.0537</v>
      </c>
      <c r="L349" s="137">
        <f>Q349+R349</f>
        <v>15.2463</v>
      </c>
      <c r="M349" s="137">
        <f>IF(J349=K349+L349,0,Y349)</f>
        <v>-0.3</v>
      </c>
      <c r="N349" s="138">
        <v>0</v>
      </c>
      <c r="O349" s="137">
        <v>127.0537</v>
      </c>
      <c r="P349" s="137">
        <v>0</v>
      </c>
      <c r="Q349" s="137">
        <v>0</v>
      </c>
      <c r="R349" s="137">
        <v>15.2463</v>
      </c>
      <c r="S349" s="138">
        <v>127.0537</v>
      </c>
      <c r="T349" s="137">
        <v>142.3</v>
      </c>
      <c r="U349" s="137">
        <v>0</v>
      </c>
      <c r="V349" s="137">
        <v>0</v>
      </c>
      <c r="W349" s="137">
        <v>0</v>
      </c>
      <c r="X349" s="137">
        <v>0</v>
      </c>
      <c r="Y349" s="137">
        <v>-0.3</v>
      </c>
      <c r="Z349" s="138">
        <v>142</v>
      </c>
      <c r="AA349" s="137">
        <v>0</v>
      </c>
      <c r="AB349" s="137">
        <v>0</v>
      </c>
      <c r="AC349" s="137"/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106</v>
      </c>
      <c r="G350" s="134">
        <v>46132</v>
      </c>
      <c r="H350" s="135">
        <v>0.3729398148148148</v>
      </c>
      <c r="I350" s="136">
        <v>166004571</v>
      </c>
      <c r="J350" s="137">
        <v>195.99</v>
      </c>
      <c r="K350" s="137">
        <f>N350+O350+P350</f>
        <v>174.9911</v>
      </c>
      <c r="L350" s="137">
        <f>Q350+R350</f>
        <v>20.9989</v>
      </c>
      <c r="M350" s="137">
        <f>IF(J350=K350+L350,0,Y350)</f>
        <v>0</v>
      </c>
      <c r="N350" s="138">
        <v>0</v>
      </c>
      <c r="O350" s="137">
        <v>174.9911</v>
      </c>
      <c r="P350" s="137">
        <v>0</v>
      </c>
      <c r="Q350" s="137">
        <v>0</v>
      </c>
      <c r="R350" s="137">
        <v>20.9989</v>
      </c>
      <c r="S350" s="138">
        <v>174.9911</v>
      </c>
      <c r="T350" s="137">
        <v>195.99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0</v>
      </c>
      <c r="AA350" s="137">
        <v>0</v>
      </c>
      <c r="AB350" s="137">
        <v>195.99</v>
      </c>
      <c r="AC350" s="137">
        <v>0</v>
      </c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106</v>
      </c>
      <c r="G351" s="134">
        <v>46132</v>
      </c>
      <c r="H351" s="135">
        <v>0.37332175925925926</v>
      </c>
      <c r="I351" s="136">
        <v>166004572</v>
      </c>
      <c r="J351" s="137">
        <v>25</v>
      </c>
      <c r="K351" s="137">
        <f>N351+O351+P351</f>
        <v>22.5892</v>
      </c>
      <c r="L351" s="137">
        <f>Q351+R351</f>
        <v>2.7108</v>
      </c>
      <c r="M351" s="137">
        <f>IF(J351=K351+L351,0,Y351)</f>
        <v>-0.3</v>
      </c>
      <c r="N351" s="138">
        <v>0</v>
      </c>
      <c r="O351" s="137">
        <v>22.5892</v>
      </c>
      <c r="P351" s="137">
        <v>0</v>
      </c>
      <c r="Q351" s="137">
        <v>0</v>
      </c>
      <c r="R351" s="137">
        <v>2.7108</v>
      </c>
      <c r="S351" s="138">
        <v>22.5892</v>
      </c>
      <c r="T351" s="137">
        <v>25.3</v>
      </c>
      <c r="U351" s="137">
        <v>0</v>
      </c>
      <c r="V351" s="137">
        <v>0</v>
      </c>
      <c r="W351" s="137">
        <v>0</v>
      </c>
      <c r="X351" s="137">
        <v>0</v>
      </c>
      <c r="Y351" s="137">
        <v>-0.3</v>
      </c>
      <c r="Z351" s="138">
        <v>25</v>
      </c>
      <c r="AA351" s="137">
        <v>0</v>
      </c>
      <c r="AB351" s="137">
        <v>0</v>
      </c>
      <c r="AC351" s="137"/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106</v>
      </c>
      <c r="G352" s="134">
        <v>46132</v>
      </c>
      <c r="H352" s="135">
        <v>0.3750462962962963</v>
      </c>
      <c r="I352" s="136">
        <v>166004573</v>
      </c>
      <c r="J352" s="137">
        <v>162</v>
      </c>
      <c r="K352" s="137">
        <f>N352+O352+P352</f>
        <v>142.0936</v>
      </c>
      <c r="L352" s="137">
        <f>Q352+R352</f>
        <v>19.4164</v>
      </c>
      <c r="M352" s="137">
        <f>IF(J352=K352+L352,0,Y352)</f>
        <v>0.49</v>
      </c>
      <c r="N352" s="138">
        <v>26.281</v>
      </c>
      <c r="O352" s="137">
        <v>115.8126</v>
      </c>
      <c r="P352" s="137">
        <v>0</v>
      </c>
      <c r="Q352" s="137">
        <v>5.519</v>
      </c>
      <c r="R352" s="137">
        <v>13.8974</v>
      </c>
      <c r="S352" s="138">
        <v>142.0936</v>
      </c>
      <c r="T352" s="137">
        <v>161.51</v>
      </c>
      <c r="U352" s="137">
        <v>0</v>
      </c>
      <c r="V352" s="137">
        <v>0</v>
      </c>
      <c r="W352" s="137">
        <v>0</v>
      </c>
      <c r="X352" s="137">
        <v>0</v>
      </c>
      <c r="Y352" s="137">
        <v>0.49</v>
      </c>
      <c r="Z352" s="138">
        <v>500</v>
      </c>
      <c r="AA352" s="137">
        <v>0</v>
      </c>
      <c r="AB352" s="137">
        <v>0</v>
      </c>
      <c r="AC352" s="137"/>
      <c r="AD352" s="137">
        <v>0</v>
      </c>
      <c r="AE352" s="139">
        <v>-338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106</v>
      </c>
      <c r="G353" s="134">
        <v>46132</v>
      </c>
      <c r="H353" s="135">
        <v>0.37550925925925926</v>
      </c>
      <c r="I353" s="136">
        <v>166004574</v>
      </c>
      <c r="J353" s="137">
        <v>107.5</v>
      </c>
      <c r="K353" s="137">
        <f>N353+O353+P353</f>
        <v>95.9821</v>
      </c>
      <c r="L353" s="137">
        <f>Q353+R353</f>
        <v>11.5179</v>
      </c>
      <c r="M353" s="137">
        <f>IF(J353=K353+L353,0,Y353)</f>
        <v>0</v>
      </c>
      <c r="N353" s="138">
        <v>0</v>
      </c>
      <c r="O353" s="137">
        <v>95.9821</v>
      </c>
      <c r="P353" s="137">
        <v>0</v>
      </c>
      <c r="Q353" s="137">
        <v>0</v>
      </c>
      <c r="R353" s="137">
        <v>11.5179</v>
      </c>
      <c r="S353" s="138">
        <v>95.9821</v>
      </c>
      <c r="T353" s="137">
        <v>107.5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107.5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106</v>
      </c>
      <c r="G354" s="134">
        <v>46132</v>
      </c>
      <c r="H354" s="135">
        <v>0.37655092592592593</v>
      </c>
      <c r="I354" s="136">
        <v>166004575</v>
      </c>
      <c r="J354" s="137">
        <v>213.09</v>
      </c>
      <c r="K354" s="137">
        <f>N354+O354+P354</f>
        <v>190.2591</v>
      </c>
      <c r="L354" s="137">
        <f>Q354+R354</f>
        <v>22.8309</v>
      </c>
      <c r="M354" s="137">
        <f>IF(J354=K354+L354,0,Y354)</f>
        <v>0</v>
      </c>
      <c r="N354" s="138">
        <v>0</v>
      </c>
      <c r="O354" s="137">
        <v>190.2591</v>
      </c>
      <c r="P354" s="137">
        <v>0</v>
      </c>
      <c r="Q354" s="137">
        <v>0</v>
      </c>
      <c r="R354" s="137">
        <v>22.8309</v>
      </c>
      <c r="S354" s="138">
        <v>190.2591</v>
      </c>
      <c r="T354" s="137">
        <v>213.09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213.09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106</v>
      </c>
      <c r="G355" s="134">
        <v>46132</v>
      </c>
      <c r="H355" s="135">
        <v>0.3770949074074074</v>
      </c>
      <c r="I355" s="136">
        <v>166004576</v>
      </c>
      <c r="J355" s="137">
        <v>41.3</v>
      </c>
      <c r="K355" s="137">
        <f>N355+O355+P355</f>
        <v>36.8753</v>
      </c>
      <c r="L355" s="137">
        <f>Q355+R355</f>
        <v>4.4247</v>
      </c>
      <c r="M355" s="137">
        <f>IF(J355=K355+L355,0,Y355)</f>
        <v>0</v>
      </c>
      <c r="N355" s="138">
        <v>0</v>
      </c>
      <c r="O355" s="137">
        <v>36.8753</v>
      </c>
      <c r="P355" s="137">
        <v>0</v>
      </c>
      <c r="Q355" s="137">
        <v>0</v>
      </c>
      <c r="R355" s="137">
        <v>4.4247</v>
      </c>
      <c r="S355" s="138">
        <v>36.8753</v>
      </c>
      <c r="T355" s="137">
        <v>41.3</v>
      </c>
      <c r="U355" s="137">
        <v>0</v>
      </c>
      <c r="V355" s="137">
        <v>0</v>
      </c>
      <c r="W355" s="137">
        <v>0</v>
      </c>
      <c r="X355" s="137">
        <v>0</v>
      </c>
      <c r="Y355" s="137">
        <v>0</v>
      </c>
      <c r="Z355" s="138">
        <v>0</v>
      </c>
      <c r="AA355" s="137">
        <v>0</v>
      </c>
      <c r="AB355" s="137">
        <v>41.3</v>
      </c>
      <c r="AC355" s="137">
        <v>0</v>
      </c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106</v>
      </c>
      <c r="G356" s="134">
        <v>46132</v>
      </c>
      <c r="H356" s="135">
        <v>0.37899305555555557</v>
      </c>
      <c r="I356" s="136">
        <v>166004577</v>
      </c>
      <c r="J356" s="137">
        <v>23.2</v>
      </c>
      <c r="K356" s="137">
        <f>N356+O356+P356</f>
        <v>20.7143</v>
      </c>
      <c r="L356" s="137">
        <f>Q356+R356</f>
        <v>2.4857</v>
      </c>
      <c r="M356" s="137">
        <f>IF(J356=K356+L356,0,Y356)</f>
        <v>0</v>
      </c>
      <c r="N356" s="138">
        <v>0</v>
      </c>
      <c r="O356" s="137">
        <v>20.7143</v>
      </c>
      <c r="P356" s="137">
        <v>0</v>
      </c>
      <c r="Q356" s="137">
        <v>0</v>
      </c>
      <c r="R356" s="137">
        <v>2.4857</v>
      </c>
      <c r="S356" s="138">
        <v>20.7143</v>
      </c>
      <c r="T356" s="137">
        <v>23.2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23.2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106</v>
      </c>
      <c r="G357" s="134">
        <v>46132</v>
      </c>
      <c r="H357" s="135">
        <v>0.3805439814814815</v>
      </c>
      <c r="I357" s="136">
        <v>166004578</v>
      </c>
      <c r="J357" s="137">
        <v>787.35</v>
      </c>
      <c r="K357" s="137">
        <f>N357+O357+P357</f>
        <v>702.9911</v>
      </c>
      <c r="L357" s="137">
        <f>Q357+R357</f>
        <v>84.3589</v>
      </c>
      <c r="M357" s="137">
        <f>IF(J357=K357+L357,0,Y357)</f>
        <v>0</v>
      </c>
      <c r="N357" s="138">
        <v>0</v>
      </c>
      <c r="O357" s="137">
        <v>702.9911</v>
      </c>
      <c r="P357" s="137">
        <v>0</v>
      </c>
      <c r="Q357" s="137">
        <v>0</v>
      </c>
      <c r="R357" s="137">
        <v>84.3589</v>
      </c>
      <c r="S357" s="138">
        <v>702.9911</v>
      </c>
      <c r="T357" s="137">
        <v>787.35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787.35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106</v>
      </c>
      <c r="G358" s="134">
        <v>46132</v>
      </c>
      <c r="H358" s="135">
        <v>0.3816087962962963</v>
      </c>
      <c r="I358" s="136">
        <v>166004579</v>
      </c>
      <c r="J358" s="137">
        <v>388</v>
      </c>
      <c r="K358" s="137">
        <f>N358+O358+P358</f>
        <v>332.3694</v>
      </c>
      <c r="L358" s="137">
        <f>Q358+R358</f>
        <v>55.6306</v>
      </c>
      <c r="M358" s="137">
        <f>IF(J358=K358+L358,0,Y358)</f>
        <v>0</v>
      </c>
      <c r="N358" s="138">
        <v>174.9586</v>
      </c>
      <c r="O358" s="137">
        <v>157.4108</v>
      </c>
      <c r="P358" s="137">
        <v>0</v>
      </c>
      <c r="Q358" s="137">
        <v>36.7414</v>
      </c>
      <c r="R358" s="137">
        <v>18.8892</v>
      </c>
      <c r="S358" s="138">
        <v>332.3694</v>
      </c>
      <c r="T358" s="137">
        <v>388</v>
      </c>
      <c r="U358" s="137">
        <v>0</v>
      </c>
      <c r="V358" s="137">
        <v>0</v>
      </c>
      <c r="W358" s="137">
        <v>0</v>
      </c>
      <c r="X358" s="137">
        <v>0</v>
      </c>
      <c r="Y358" s="137">
        <v>0</v>
      </c>
      <c r="Z358" s="138">
        <v>500</v>
      </c>
      <c r="AA358" s="137">
        <v>0</v>
      </c>
      <c r="AB358" s="137">
        <v>0</v>
      </c>
      <c r="AC358" s="137"/>
      <c r="AD358" s="137">
        <v>0</v>
      </c>
      <c r="AE358" s="139">
        <v>-112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107</v>
      </c>
      <c r="F359" s="133" t="s">
        <v>106</v>
      </c>
      <c r="G359" s="134">
        <v>46132</v>
      </c>
      <c r="H359" s="135">
        <v>0.3833564814814815</v>
      </c>
      <c r="I359" s="136">
        <v>166004580</v>
      </c>
      <c r="J359" s="137">
        <v>114</v>
      </c>
      <c r="K359" s="137">
        <f>N359+O359+P359</f>
        <v>102.0893</v>
      </c>
      <c r="L359" s="137">
        <f>Q359+R359</f>
        <v>12.2507</v>
      </c>
      <c r="M359" s="137">
        <f>IF(J359=K359+L359,0,Y359)</f>
        <v>-0.34</v>
      </c>
      <c r="N359" s="138">
        <v>0</v>
      </c>
      <c r="O359" s="137">
        <v>102.0893</v>
      </c>
      <c r="P359" s="137">
        <v>0</v>
      </c>
      <c r="Q359" s="137">
        <v>0</v>
      </c>
      <c r="R359" s="137">
        <v>12.2507</v>
      </c>
      <c r="S359" s="138">
        <v>102.0893</v>
      </c>
      <c r="T359" s="137">
        <v>114.34</v>
      </c>
      <c r="U359" s="137">
        <v>0</v>
      </c>
      <c r="V359" s="137">
        <v>0</v>
      </c>
      <c r="W359" s="137">
        <v>0</v>
      </c>
      <c r="X359" s="137">
        <v>0</v>
      </c>
      <c r="Y359" s="137">
        <v>-0.34</v>
      </c>
      <c r="Z359" s="138">
        <v>114</v>
      </c>
      <c r="AA359" s="137">
        <v>0</v>
      </c>
      <c r="AB359" s="137">
        <v>0</v>
      </c>
      <c r="AC359" s="137"/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107</v>
      </c>
      <c r="F360" s="133" t="s">
        <v>106</v>
      </c>
      <c r="G360" s="134">
        <v>46132</v>
      </c>
      <c r="H360" s="135">
        <v>0.38515046296296296</v>
      </c>
      <c r="I360" s="136">
        <v>166004581</v>
      </c>
      <c r="J360" s="137">
        <v>182</v>
      </c>
      <c r="K360" s="137">
        <f>N360+O360+P360</f>
        <v>162.1694</v>
      </c>
      <c r="L360" s="137">
        <f>Q360+R360</f>
        <v>19.4606</v>
      </c>
      <c r="M360" s="137">
        <f>IF(J360=K360+L360,0,Y360)</f>
        <v>0.37</v>
      </c>
      <c r="N360" s="138">
        <v>0</v>
      </c>
      <c r="O360" s="137">
        <v>162.1694</v>
      </c>
      <c r="P360" s="137">
        <v>0</v>
      </c>
      <c r="Q360" s="137">
        <v>0</v>
      </c>
      <c r="R360" s="137">
        <v>19.4606</v>
      </c>
      <c r="S360" s="138">
        <v>162.1694</v>
      </c>
      <c r="T360" s="137">
        <v>181.63</v>
      </c>
      <c r="U360" s="137">
        <v>0</v>
      </c>
      <c r="V360" s="137">
        <v>0</v>
      </c>
      <c r="W360" s="137">
        <v>0</v>
      </c>
      <c r="X360" s="137">
        <v>0</v>
      </c>
      <c r="Y360" s="137">
        <v>0.37</v>
      </c>
      <c r="Z360" s="138">
        <v>200</v>
      </c>
      <c r="AA360" s="137">
        <v>0</v>
      </c>
      <c r="AB360" s="137">
        <v>0</v>
      </c>
      <c r="AC360" s="137"/>
      <c r="AD360" s="137">
        <v>0</v>
      </c>
      <c r="AE360" s="139">
        <v>-18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107</v>
      </c>
      <c r="F361" s="133" t="s">
        <v>106</v>
      </c>
      <c r="G361" s="134">
        <v>46132</v>
      </c>
      <c r="H361" s="135">
        <v>0.38709490740740743</v>
      </c>
      <c r="I361" s="136">
        <v>166004582</v>
      </c>
      <c r="J361" s="137">
        <v>424</v>
      </c>
      <c r="K361" s="137">
        <f>N361+O361+P361</f>
        <v>378.2409</v>
      </c>
      <c r="L361" s="137">
        <f>Q361+R361</f>
        <v>45.3891</v>
      </c>
      <c r="M361" s="137">
        <f>IF(J361=K361+L361,0,Y361)</f>
        <v>0.37</v>
      </c>
      <c r="N361" s="138">
        <v>0</v>
      </c>
      <c r="O361" s="137">
        <v>378.2409</v>
      </c>
      <c r="P361" s="137">
        <v>0</v>
      </c>
      <c r="Q361" s="137">
        <v>0</v>
      </c>
      <c r="R361" s="137">
        <v>45.3891</v>
      </c>
      <c r="S361" s="138">
        <v>378.2409</v>
      </c>
      <c r="T361" s="137">
        <v>423.63</v>
      </c>
      <c r="U361" s="137">
        <v>0</v>
      </c>
      <c r="V361" s="137">
        <v>0</v>
      </c>
      <c r="W361" s="137">
        <v>0</v>
      </c>
      <c r="X361" s="137">
        <v>0</v>
      </c>
      <c r="Y361" s="137">
        <v>0.37</v>
      </c>
      <c r="Z361" s="138">
        <v>1024</v>
      </c>
      <c r="AA361" s="137">
        <v>0</v>
      </c>
      <c r="AB361" s="137">
        <v>0</v>
      </c>
      <c r="AC361" s="137"/>
      <c r="AD361" s="137">
        <v>0</v>
      </c>
      <c r="AE361" s="139">
        <v>-600</v>
      </c>
      <c r="AF361" s="56">
        <v>16.47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107</v>
      </c>
      <c r="F362" s="133" t="s">
        <v>106</v>
      </c>
      <c r="G362" s="134">
        <v>46132</v>
      </c>
      <c r="H362" s="135">
        <v>0.3876041666666667</v>
      </c>
      <c r="I362" s="136">
        <v>166004583</v>
      </c>
      <c r="J362" s="137">
        <v>9</v>
      </c>
      <c r="K362" s="137">
        <f>N362+O362+P362</f>
        <v>8.4554</v>
      </c>
      <c r="L362" s="137">
        <f>Q362+R362</f>
        <v>1.0146</v>
      </c>
      <c r="M362" s="137">
        <f>IF(J362=K362+L362,0,Y362)</f>
        <v>-0.47</v>
      </c>
      <c r="N362" s="138">
        <v>0</v>
      </c>
      <c r="O362" s="137">
        <v>8.4554</v>
      </c>
      <c r="P362" s="137">
        <v>0</v>
      </c>
      <c r="Q362" s="137">
        <v>0</v>
      </c>
      <c r="R362" s="137">
        <v>1.0146</v>
      </c>
      <c r="S362" s="138">
        <v>8.4554</v>
      </c>
      <c r="T362" s="137">
        <v>9.47</v>
      </c>
      <c r="U362" s="137">
        <v>0</v>
      </c>
      <c r="V362" s="137">
        <v>0</v>
      </c>
      <c r="W362" s="137">
        <v>0</v>
      </c>
      <c r="X362" s="137">
        <v>0</v>
      </c>
      <c r="Y362" s="137">
        <v>-0.47</v>
      </c>
      <c r="Z362" s="138">
        <v>9</v>
      </c>
      <c r="AA362" s="137">
        <v>0</v>
      </c>
      <c r="AB362" s="137">
        <v>0</v>
      </c>
      <c r="AC362" s="137"/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107</v>
      </c>
      <c r="F363" s="133" t="s">
        <v>106</v>
      </c>
      <c r="G363" s="134">
        <v>46132</v>
      </c>
      <c r="H363" s="135">
        <v>0.3879282407407407</v>
      </c>
      <c r="I363" s="136">
        <v>166004584</v>
      </c>
      <c r="J363" s="137">
        <v>155</v>
      </c>
      <c r="K363" s="137">
        <f>N363+O363+P363</f>
        <v>138.7053</v>
      </c>
      <c r="L363" s="137">
        <f>Q363+R363</f>
        <v>16.6447</v>
      </c>
      <c r="M363" s="137">
        <f>IF(J363=K363+L363,0,Y363)</f>
        <v>-0.35</v>
      </c>
      <c r="N363" s="138">
        <v>0</v>
      </c>
      <c r="O363" s="137">
        <v>138.7053</v>
      </c>
      <c r="P363" s="137">
        <v>0</v>
      </c>
      <c r="Q363" s="137">
        <v>0</v>
      </c>
      <c r="R363" s="137">
        <v>16.6447</v>
      </c>
      <c r="S363" s="138">
        <v>138.7053</v>
      </c>
      <c r="T363" s="137">
        <v>155.35</v>
      </c>
      <c r="U363" s="137">
        <v>0</v>
      </c>
      <c r="V363" s="137">
        <v>0</v>
      </c>
      <c r="W363" s="137">
        <v>0</v>
      </c>
      <c r="X363" s="137">
        <v>0</v>
      </c>
      <c r="Y363" s="137">
        <v>-0.35</v>
      </c>
      <c r="Z363" s="138">
        <v>200</v>
      </c>
      <c r="AA363" s="137">
        <v>0</v>
      </c>
      <c r="AB363" s="137">
        <v>0</v>
      </c>
      <c r="AC363" s="137"/>
      <c r="AD363" s="137">
        <v>0</v>
      </c>
      <c r="AE363" s="139">
        <v>-45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107</v>
      </c>
      <c r="F364" s="133" t="s">
        <v>106</v>
      </c>
      <c r="G364" s="134">
        <v>46132</v>
      </c>
      <c r="H364" s="135">
        <v>0.3884606481481481</v>
      </c>
      <c r="I364" s="136">
        <v>166004585</v>
      </c>
      <c r="J364" s="137">
        <v>188.8</v>
      </c>
      <c r="K364" s="137">
        <f>N364+O364+P364</f>
        <v>165.9216</v>
      </c>
      <c r="L364" s="137">
        <f>Q364+R364</f>
        <v>22.8784</v>
      </c>
      <c r="M364" s="137">
        <f>IF(J364=K364+L364,0,Y364)</f>
        <v>0</v>
      </c>
      <c r="N364" s="138">
        <v>32.9752</v>
      </c>
      <c r="O364" s="137">
        <v>132.9464</v>
      </c>
      <c r="P364" s="137">
        <v>0</v>
      </c>
      <c r="Q364" s="137">
        <v>6.9248</v>
      </c>
      <c r="R364" s="137">
        <v>15.9536</v>
      </c>
      <c r="S364" s="138">
        <v>165.9216</v>
      </c>
      <c r="T364" s="137">
        <v>188.8</v>
      </c>
      <c r="U364" s="137">
        <v>0</v>
      </c>
      <c r="V364" s="137">
        <v>0</v>
      </c>
      <c r="W364" s="137">
        <v>0</v>
      </c>
      <c r="X364" s="137">
        <v>0</v>
      </c>
      <c r="Y364" s="137">
        <v>0</v>
      </c>
      <c r="Z364" s="138">
        <v>0</v>
      </c>
      <c r="AA364" s="137">
        <v>0</v>
      </c>
      <c r="AB364" s="137">
        <v>188.8</v>
      </c>
      <c r="AC364" s="137">
        <v>0</v>
      </c>
      <c r="AD364" s="137">
        <v>0</v>
      </c>
      <c r="AE364" s="139">
        <v>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107</v>
      </c>
      <c r="F365" s="133" t="s">
        <v>106</v>
      </c>
      <c r="G365" s="134">
        <v>46132</v>
      </c>
      <c r="H365" s="135">
        <v>0.3885763888888889</v>
      </c>
      <c r="I365" s="136">
        <v>166004586</v>
      </c>
      <c r="J365" s="137">
        <v>35</v>
      </c>
      <c r="K365" s="137">
        <f>N365+O365+P365</f>
        <v>31.6161</v>
      </c>
      <c r="L365" s="137">
        <f>Q365+R365</f>
        <v>3.7939</v>
      </c>
      <c r="M365" s="137">
        <f>IF(J365=K365+L365,0,Y365)</f>
        <v>-0.41</v>
      </c>
      <c r="N365" s="138">
        <v>0</v>
      </c>
      <c r="O365" s="137">
        <v>31.6161</v>
      </c>
      <c r="P365" s="137">
        <v>0</v>
      </c>
      <c r="Q365" s="137">
        <v>0</v>
      </c>
      <c r="R365" s="137">
        <v>3.7939</v>
      </c>
      <c r="S365" s="138">
        <v>31.6161</v>
      </c>
      <c r="T365" s="137">
        <v>35.41</v>
      </c>
      <c r="U365" s="137">
        <v>0</v>
      </c>
      <c r="V365" s="137">
        <v>0</v>
      </c>
      <c r="W365" s="137">
        <v>0</v>
      </c>
      <c r="X365" s="137">
        <v>0</v>
      </c>
      <c r="Y365" s="137">
        <v>-0.41</v>
      </c>
      <c r="Z365" s="138">
        <v>40</v>
      </c>
      <c r="AA365" s="137">
        <v>0</v>
      </c>
      <c r="AB365" s="137">
        <v>0</v>
      </c>
      <c r="AC365" s="137"/>
      <c r="AD365" s="137">
        <v>0</v>
      </c>
      <c r="AE365" s="139">
        <v>-5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107</v>
      </c>
      <c r="F366" s="133" t="s">
        <v>106</v>
      </c>
      <c r="G366" s="134">
        <v>46132</v>
      </c>
      <c r="H366" s="135">
        <v>0.3908912037037037</v>
      </c>
      <c r="I366" s="136">
        <v>166004587</v>
      </c>
      <c r="J366" s="137">
        <v>213</v>
      </c>
      <c r="K366" s="137">
        <f>N366+O366+P366</f>
        <v>175.9504</v>
      </c>
      <c r="L366" s="137">
        <f>Q366+R366</f>
        <v>36.9496</v>
      </c>
      <c r="M366" s="137">
        <f>IF(J366=K366+L366,0,Y366)</f>
        <v>0.1</v>
      </c>
      <c r="N366" s="138">
        <v>175.9504</v>
      </c>
      <c r="O366" s="137">
        <v>0</v>
      </c>
      <c r="P366" s="137">
        <v>0</v>
      </c>
      <c r="Q366" s="137">
        <v>36.9496</v>
      </c>
      <c r="R366" s="137">
        <v>0</v>
      </c>
      <c r="S366" s="138">
        <v>175.9504</v>
      </c>
      <c r="T366" s="137">
        <v>212.9</v>
      </c>
      <c r="U366" s="137">
        <v>0</v>
      </c>
      <c r="V366" s="137">
        <v>0</v>
      </c>
      <c r="W366" s="137">
        <v>0</v>
      </c>
      <c r="X366" s="137">
        <v>0</v>
      </c>
      <c r="Y366" s="137">
        <v>0.1</v>
      </c>
      <c r="Z366" s="138">
        <v>220</v>
      </c>
      <c r="AA366" s="137">
        <v>0</v>
      </c>
      <c r="AB366" s="137">
        <v>0</v>
      </c>
      <c r="AC366" s="137"/>
      <c r="AD366" s="137">
        <v>0</v>
      </c>
      <c r="AE366" s="139">
        <v>-7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107</v>
      </c>
      <c r="F367" s="133" t="s">
        <v>106</v>
      </c>
      <c r="G367" s="134">
        <v>46132</v>
      </c>
      <c r="H367" s="135">
        <v>0.3913425925925926</v>
      </c>
      <c r="I367" s="136">
        <v>166004588</v>
      </c>
      <c r="J367" s="137">
        <v>225</v>
      </c>
      <c r="K367" s="137">
        <f>N367+O367+P367</f>
        <v>190.6015</v>
      </c>
      <c r="L367" s="137">
        <f>Q367+R367</f>
        <v>34.698499999999996</v>
      </c>
      <c r="M367" s="137">
        <f>IF(J367=K367+L367,0,Y367)</f>
        <v>-0.3</v>
      </c>
      <c r="N367" s="138">
        <v>131.405</v>
      </c>
      <c r="O367" s="137">
        <v>59.1965</v>
      </c>
      <c r="P367" s="137">
        <v>0</v>
      </c>
      <c r="Q367" s="137">
        <v>27.595</v>
      </c>
      <c r="R367" s="137">
        <v>7.1035</v>
      </c>
      <c r="S367" s="138">
        <v>190.6015</v>
      </c>
      <c r="T367" s="137">
        <v>225.3</v>
      </c>
      <c r="U367" s="137">
        <v>0</v>
      </c>
      <c r="V367" s="137">
        <v>0</v>
      </c>
      <c r="W367" s="137">
        <v>0</v>
      </c>
      <c r="X367" s="137">
        <v>0</v>
      </c>
      <c r="Y367" s="137">
        <v>-0.3</v>
      </c>
      <c r="Z367" s="138">
        <v>500</v>
      </c>
      <c r="AA367" s="137">
        <v>0</v>
      </c>
      <c r="AB367" s="137">
        <v>0</v>
      </c>
      <c r="AC367" s="137"/>
      <c r="AD367" s="137">
        <v>0</v>
      </c>
      <c r="AE367" s="139">
        <v>-275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107</v>
      </c>
      <c r="F368" s="133" t="s">
        <v>106</v>
      </c>
      <c r="G368" s="134">
        <v>46132</v>
      </c>
      <c r="H368" s="135">
        <v>0.3915625</v>
      </c>
      <c r="I368" s="136">
        <v>166004589</v>
      </c>
      <c r="J368" s="137">
        <v>22</v>
      </c>
      <c r="K368" s="137">
        <f>N368+O368+P368</f>
        <v>19.9107</v>
      </c>
      <c r="L368" s="137">
        <f>Q368+R368</f>
        <v>2.3893</v>
      </c>
      <c r="M368" s="137">
        <f>IF(J368=K368+L368,0,Y368)</f>
        <v>-0.3</v>
      </c>
      <c r="N368" s="138">
        <v>0</v>
      </c>
      <c r="O368" s="137">
        <v>19.9107</v>
      </c>
      <c r="P368" s="137">
        <v>0</v>
      </c>
      <c r="Q368" s="137">
        <v>0</v>
      </c>
      <c r="R368" s="137">
        <v>2.3893</v>
      </c>
      <c r="S368" s="138">
        <v>19.9107</v>
      </c>
      <c r="T368" s="137">
        <v>22.3</v>
      </c>
      <c r="U368" s="137">
        <v>0</v>
      </c>
      <c r="V368" s="137">
        <v>0</v>
      </c>
      <c r="W368" s="137">
        <v>0</v>
      </c>
      <c r="X368" s="137">
        <v>0</v>
      </c>
      <c r="Y368" s="137">
        <v>-0.3</v>
      </c>
      <c r="Z368" s="138">
        <v>50</v>
      </c>
      <c r="AA368" s="137">
        <v>0</v>
      </c>
      <c r="AB368" s="137">
        <v>0</v>
      </c>
      <c r="AC368" s="137"/>
      <c r="AD368" s="137">
        <v>0</v>
      </c>
      <c r="AE368" s="139">
        <v>-28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107</v>
      </c>
      <c r="F369" s="133" t="s">
        <v>106</v>
      </c>
      <c r="G369" s="134">
        <v>46132</v>
      </c>
      <c r="H369" s="135">
        <v>0.3922337962962963</v>
      </c>
      <c r="I369" s="136">
        <v>166004590</v>
      </c>
      <c r="J369" s="137">
        <v>240</v>
      </c>
      <c r="K369" s="137">
        <f>N369+O369+P369</f>
        <v>207.61090000000002</v>
      </c>
      <c r="L369" s="137">
        <f>Q369+R369</f>
        <v>32.0091</v>
      </c>
      <c r="M369" s="137">
        <f>IF(J369=K369+L369,0,Y369)</f>
        <v>0.38</v>
      </c>
      <c r="N369" s="138">
        <v>78.843</v>
      </c>
      <c r="O369" s="137">
        <v>128.7679</v>
      </c>
      <c r="P369" s="137">
        <v>0</v>
      </c>
      <c r="Q369" s="137">
        <v>16.557</v>
      </c>
      <c r="R369" s="137">
        <v>15.4521</v>
      </c>
      <c r="S369" s="138">
        <v>207.6109</v>
      </c>
      <c r="T369" s="137">
        <v>239.62</v>
      </c>
      <c r="U369" s="137">
        <v>0</v>
      </c>
      <c r="V369" s="137">
        <v>0</v>
      </c>
      <c r="W369" s="137">
        <v>0</v>
      </c>
      <c r="X369" s="137">
        <v>0</v>
      </c>
      <c r="Y369" s="137">
        <v>0.38</v>
      </c>
      <c r="Z369" s="138">
        <v>2000</v>
      </c>
      <c r="AA369" s="137">
        <v>0</v>
      </c>
      <c r="AB369" s="137">
        <v>0</v>
      </c>
      <c r="AC369" s="137"/>
      <c r="AD369" s="137">
        <v>0</v>
      </c>
      <c r="AE369" s="139">
        <v>-1760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107</v>
      </c>
      <c r="F370" s="133" t="s">
        <v>106</v>
      </c>
      <c r="G370" s="134">
        <v>46132</v>
      </c>
      <c r="H370" s="135">
        <v>0.3934375</v>
      </c>
      <c r="I370" s="136">
        <v>166004591</v>
      </c>
      <c r="J370" s="137">
        <v>174</v>
      </c>
      <c r="K370" s="137">
        <f>N370+O370+P370</f>
        <v>155.6251</v>
      </c>
      <c r="L370" s="137">
        <f>Q370+R370</f>
        <v>18.6749</v>
      </c>
      <c r="M370" s="137">
        <f>IF(J370=K370+L370,0,Y370)</f>
        <v>-0.3</v>
      </c>
      <c r="N370" s="138">
        <v>0</v>
      </c>
      <c r="O370" s="137">
        <v>155.6251</v>
      </c>
      <c r="P370" s="137">
        <v>0</v>
      </c>
      <c r="Q370" s="137">
        <v>0</v>
      </c>
      <c r="R370" s="137">
        <v>18.6749</v>
      </c>
      <c r="S370" s="138">
        <v>155.6251</v>
      </c>
      <c r="T370" s="137">
        <v>174.3</v>
      </c>
      <c r="U370" s="137">
        <v>0</v>
      </c>
      <c r="V370" s="137">
        <v>0</v>
      </c>
      <c r="W370" s="137">
        <v>0</v>
      </c>
      <c r="X370" s="137">
        <v>0</v>
      </c>
      <c r="Y370" s="137">
        <v>-0.3</v>
      </c>
      <c r="Z370" s="138">
        <v>204</v>
      </c>
      <c r="AA370" s="137">
        <v>0</v>
      </c>
      <c r="AB370" s="137">
        <v>0</v>
      </c>
      <c r="AC370" s="137"/>
      <c r="AD370" s="137">
        <v>0</v>
      </c>
      <c r="AE370" s="139">
        <v>-30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107</v>
      </c>
      <c r="F371" s="133" t="s">
        <v>106</v>
      </c>
      <c r="G371" s="134">
        <v>46132</v>
      </c>
      <c r="H371" s="135">
        <v>0.39386574074074077</v>
      </c>
      <c r="I371" s="136">
        <v>166004592</v>
      </c>
      <c r="J371" s="137">
        <v>182.7</v>
      </c>
      <c r="K371" s="137">
        <f>N371+O371+P371</f>
        <v>163.125</v>
      </c>
      <c r="L371" s="137">
        <f>Q371+R371</f>
        <v>19.575</v>
      </c>
      <c r="M371" s="137">
        <f>IF(J371=K371+L371,0,Y371)</f>
        <v>0</v>
      </c>
      <c r="N371" s="138">
        <v>0</v>
      </c>
      <c r="O371" s="137">
        <v>163.125</v>
      </c>
      <c r="P371" s="137">
        <v>0</v>
      </c>
      <c r="Q371" s="137">
        <v>0</v>
      </c>
      <c r="R371" s="137">
        <v>19.575</v>
      </c>
      <c r="S371" s="138">
        <v>163.125</v>
      </c>
      <c r="T371" s="137">
        <v>182.7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182.7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107</v>
      </c>
      <c r="F372" s="133" t="s">
        <v>106</v>
      </c>
      <c r="G372" s="134">
        <v>46132</v>
      </c>
      <c r="H372" s="135">
        <v>0.39652777777777776</v>
      </c>
      <c r="I372" s="136">
        <v>166004593</v>
      </c>
      <c r="J372" s="137">
        <v>326</v>
      </c>
      <c r="K372" s="137">
        <f>N372+O372+P372</f>
        <v>290.8216</v>
      </c>
      <c r="L372" s="137">
        <f>Q372+R372</f>
        <v>34.8984</v>
      </c>
      <c r="M372" s="137">
        <f>IF(J372=K372+L372,0,Y372)</f>
        <v>0.28</v>
      </c>
      <c r="N372" s="138">
        <v>0</v>
      </c>
      <c r="O372" s="137">
        <v>290.8216</v>
      </c>
      <c r="P372" s="137">
        <v>0</v>
      </c>
      <c r="Q372" s="137">
        <v>0</v>
      </c>
      <c r="R372" s="137">
        <v>34.8984</v>
      </c>
      <c r="S372" s="138">
        <v>290.8216</v>
      </c>
      <c r="T372" s="137">
        <v>325.72</v>
      </c>
      <c r="U372" s="137">
        <v>0</v>
      </c>
      <c r="V372" s="137">
        <v>0</v>
      </c>
      <c r="W372" s="137">
        <v>0</v>
      </c>
      <c r="X372" s="137">
        <v>0</v>
      </c>
      <c r="Y372" s="137">
        <v>0.28</v>
      </c>
      <c r="Z372" s="138">
        <v>326</v>
      </c>
      <c r="AA372" s="137">
        <v>0</v>
      </c>
      <c r="AB372" s="137">
        <v>0</v>
      </c>
      <c r="AC372" s="137"/>
      <c r="AD372" s="137">
        <v>0</v>
      </c>
      <c r="AE372" s="139">
        <v>0</v>
      </c>
      <c r="AF372" s="56">
        <v>7.2665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107</v>
      </c>
      <c r="F373" s="133" t="s">
        <v>106</v>
      </c>
      <c r="G373" s="134">
        <v>46132</v>
      </c>
      <c r="H373" s="135">
        <v>0.3985532407407407</v>
      </c>
      <c r="I373" s="136">
        <v>166004594</v>
      </c>
      <c r="J373" s="137">
        <v>189</v>
      </c>
      <c r="K373" s="137">
        <f>N373+O373+P373</f>
        <v>168.6606</v>
      </c>
      <c r="L373" s="137">
        <f>Q373+R373</f>
        <v>20.2394</v>
      </c>
      <c r="M373" s="137">
        <f>IF(J373=K373+L373,0,Y373)</f>
        <v>0.1</v>
      </c>
      <c r="N373" s="138">
        <v>0</v>
      </c>
      <c r="O373" s="137">
        <v>168.6606</v>
      </c>
      <c r="P373" s="137">
        <v>0</v>
      </c>
      <c r="Q373" s="137">
        <v>0</v>
      </c>
      <c r="R373" s="137">
        <v>20.2394</v>
      </c>
      <c r="S373" s="138">
        <v>168.6606</v>
      </c>
      <c r="T373" s="137">
        <v>188.9</v>
      </c>
      <c r="U373" s="137">
        <v>0</v>
      </c>
      <c r="V373" s="137">
        <v>0</v>
      </c>
      <c r="W373" s="137">
        <v>0</v>
      </c>
      <c r="X373" s="137">
        <v>0</v>
      </c>
      <c r="Y373" s="137">
        <v>0.1</v>
      </c>
      <c r="Z373" s="138">
        <v>500</v>
      </c>
      <c r="AA373" s="137">
        <v>0</v>
      </c>
      <c r="AB373" s="137">
        <v>0</v>
      </c>
      <c r="AC373" s="137"/>
      <c r="AD373" s="137">
        <v>0</v>
      </c>
      <c r="AE373" s="139">
        <v>-311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107</v>
      </c>
      <c r="F374" s="133" t="s">
        <v>106</v>
      </c>
      <c r="G374" s="134">
        <v>46132</v>
      </c>
      <c r="H374" s="135">
        <v>0.39935185185185185</v>
      </c>
      <c r="I374" s="136">
        <v>166004595</v>
      </c>
      <c r="J374" s="137">
        <v>223.94</v>
      </c>
      <c r="K374" s="137">
        <f>N374+O374+P374</f>
        <v>199.9464</v>
      </c>
      <c r="L374" s="137">
        <f>Q374+R374</f>
        <v>23.9936</v>
      </c>
      <c r="M374" s="137">
        <f>IF(J374=K374+L374,0,Y374)</f>
        <v>0</v>
      </c>
      <c r="N374" s="138">
        <v>0</v>
      </c>
      <c r="O374" s="137">
        <v>199.9464</v>
      </c>
      <c r="P374" s="137">
        <v>0</v>
      </c>
      <c r="Q374" s="137">
        <v>0</v>
      </c>
      <c r="R374" s="137">
        <v>23.9936</v>
      </c>
      <c r="S374" s="138">
        <v>199.9464</v>
      </c>
      <c r="T374" s="137">
        <v>223.94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223.94</v>
      </c>
      <c r="AC374" s="137">
        <v>0</v>
      </c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107</v>
      </c>
      <c r="F375" s="133" t="s">
        <v>106</v>
      </c>
      <c r="G375" s="134">
        <v>46132</v>
      </c>
      <c r="H375" s="135">
        <v>0.3995023148148148</v>
      </c>
      <c r="I375" s="136">
        <v>166004596</v>
      </c>
      <c r="J375" s="137">
        <v>49</v>
      </c>
      <c r="K375" s="137">
        <f>N375+O375+P375</f>
        <v>43.3035</v>
      </c>
      <c r="L375" s="137">
        <f>Q375+R375</f>
        <v>5.1965</v>
      </c>
      <c r="M375" s="137">
        <f>IF(J375=K375+L375,0,Y375)</f>
        <v>0.5</v>
      </c>
      <c r="N375" s="138">
        <v>0</v>
      </c>
      <c r="O375" s="137">
        <v>43.3035</v>
      </c>
      <c r="P375" s="137">
        <v>0</v>
      </c>
      <c r="Q375" s="137">
        <v>0</v>
      </c>
      <c r="R375" s="137">
        <v>5.1965</v>
      </c>
      <c r="S375" s="138">
        <v>43.3035</v>
      </c>
      <c r="T375" s="137">
        <v>48.5</v>
      </c>
      <c r="U375" s="137">
        <v>0</v>
      </c>
      <c r="V375" s="137">
        <v>0</v>
      </c>
      <c r="W375" s="137">
        <v>0</v>
      </c>
      <c r="X375" s="137">
        <v>0</v>
      </c>
      <c r="Y375" s="137">
        <v>0.5</v>
      </c>
      <c r="Z375" s="138">
        <v>200</v>
      </c>
      <c r="AA375" s="137">
        <v>0</v>
      </c>
      <c r="AB375" s="137">
        <v>0</v>
      </c>
      <c r="AC375" s="137"/>
      <c r="AD375" s="137">
        <v>0</v>
      </c>
      <c r="AE375" s="139">
        <v>-151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107</v>
      </c>
      <c r="F376" s="133" t="s">
        <v>106</v>
      </c>
      <c r="G376" s="134">
        <v>46132</v>
      </c>
      <c r="H376" s="135">
        <v>0.40011574074074074</v>
      </c>
      <c r="I376" s="136">
        <v>166004597</v>
      </c>
      <c r="J376" s="137">
        <v>175.35</v>
      </c>
      <c r="K376" s="137">
        <f>N376+O376+P376</f>
        <v>151.93359999999998</v>
      </c>
      <c r="L376" s="137">
        <f>Q376+R376</f>
        <v>23.4164</v>
      </c>
      <c r="M376" s="137">
        <f>IF(J376=K376+L376,0,Y376)</f>
        <v>0</v>
      </c>
      <c r="N376" s="138">
        <v>57.6033</v>
      </c>
      <c r="O376" s="137">
        <v>94.3303</v>
      </c>
      <c r="P376" s="137">
        <v>0</v>
      </c>
      <c r="Q376" s="137">
        <v>12.0967</v>
      </c>
      <c r="R376" s="137">
        <v>11.3197</v>
      </c>
      <c r="S376" s="138">
        <v>151.9336</v>
      </c>
      <c r="T376" s="137">
        <v>175.35</v>
      </c>
      <c r="U376" s="137">
        <v>0</v>
      </c>
      <c r="V376" s="137">
        <v>0</v>
      </c>
      <c r="W376" s="137">
        <v>0</v>
      </c>
      <c r="X376" s="137">
        <v>0</v>
      </c>
      <c r="Y376" s="137">
        <v>0</v>
      </c>
      <c r="Z376" s="138">
        <v>0</v>
      </c>
      <c r="AA376" s="137">
        <v>0</v>
      </c>
      <c r="AB376" s="137">
        <v>175.35</v>
      </c>
      <c r="AC376" s="137">
        <v>0</v>
      </c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107</v>
      </c>
      <c r="F377" s="133" t="s">
        <v>106</v>
      </c>
      <c r="G377" s="134">
        <v>46132</v>
      </c>
      <c r="H377" s="135">
        <v>0.40054398148148146</v>
      </c>
      <c r="I377" s="136">
        <v>166004598</v>
      </c>
      <c r="J377" s="137">
        <v>115.61</v>
      </c>
      <c r="K377" s="137">
        <f>N377+O377+P377</f>
        <v>103.2232</v>
      </c>
      <c r="L377" s="137">
        <f>Q377+R377</f>
        <v>12.3868</v>
      </c>
      <c r="M377" s="137">
        <f>IF(J377=K377+L377,0,Y377)</f>
        <v>0</v>
      </c>
      <c r="N377" s="138">
        <v>0</v>
      </c>
      <c r="O377" s="137">
        <v>103.2232</v>
      </c>
      <c r="P377" s="137">
        <v>0</v>
      </c>
      <c r="Q377" s="137">
        <v>0</v>
      </c>
      <c r="R377" s="137">
        <v>12.3868</v>
      </c>
      <c r="S377" s="138">
        <v>103.2232</v>
      </c>
      <c r="T377" s="137">
        <v>115.61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115.61</v>
      </c>
      <c r="AC377" s="137">
        <v>0</v>
      </c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107</v>
      </c>
      <c r="F378" s="133" t="s">
        <v>106</v>
      </c>
      <c r="G378" s="134">
        <v>46132</v>
      </c>
      <c r="H378" s="135">
        <v>0.4011111111111111</v>
      </c>
      <c r="I378" s="136">
        <v>166004599</v>
      </c>
      <c r="J378" s="137">
        <v>208.8</v>
      </c>
      <c r="K378" s="137">
        <f>N378+O378+P378</f>
        <v>183.6525</v>
      </c>
      <c r="L378" s="137">
        <f>Q378+R378</f>
        <v>25.1475</v>
      </c>
      <c r="M378" s="137">
        <f>IF(J378=K378+L378,0,Y378)</f>
        <v>0</v>
      </c>
      <c r="N378" s="138">
        <v>34.5454</v>
      </c>
      <c r="O378" s="137">
        <v>149.1071</v>
      </c>
      <c r="P378" s="137">
        <v>0</v>
      </c>
      <c r="Q378" s="137">
        <v>7.2546</v>
      </c>
      <c r="R378" s="137">
        <v>17.8929</v>
      </c>
      <c r="S378" s="138">
        <v>183.6525</v>
      </c>
      <c r="T378" s="137">
        <v>208.8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208.8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107</v>
      </c>
      <c r="F379" s="133" t="s">
        <v>106</v>
      </c>
      <c r="G379" s="134">
        <v>46132</v>
      </c>
      <c r="H379" s="135">
        <v>0.4032986111111111</v>
      </c>
      <c r="I379" s="136">
        <v>166004600</v>
      </c>
      <c r="J379" s="137">
        <v>79</v>
      </c>
      <c r="K379" s="137">
        <f>N379+O379+P379</f>
        <v>70.8035</v>
      </c>
      <c r="L379" s="137">
        <f>Q379+R379</f>
        <v>8.4965</v>
      </c>
      <c r="M379" s="137">
        <f>IF(J379=K379+L379,0,Y379)</f>
        <v>-0.3</v>
      </c>
      <c r="N379" s="138">
        <v>0</v>
      </c>
      <c r="O379" s="137">
        <v>70.8035</v>
      </c>
      <c r="P379" s="137">
        <v>0</v>
      </c>
      <c r="Q379" s="137">
        <v>0</v>
      </c>
      <c r="R379" s="137">
        <v>8.4965</v>
      </c>
      <c r="S379" s="138">
        <v>70.8035</v>
      </c>
      <c r="T379" s="137">
        <v>79.3</v>
      </c>
      <c r="U379" s="137">
        <v>0</v>
      </c>
      <c r="V379" s="137">
        <v>0</v>
      </c>
      <c r="W379" s="137">
        <v>0</v>
      </c>
      <c r="X379" s="137">
        <v>0</v>
      </c>
      <c r="Y379" s="137">
        <v>-0.3</v>
      </c>
      <c r="Z379" s="138">
        <v>1000</v>
      </c>
      <c r="AA379" s="137">
        <v>0</v>
      </c>
      <c r="AB379" s="137">
        <v>0</v>
      </c>
      <c r="AC379" s="137"/>
      <c r="AD379" s="137">
        <v>0</v>
      </c>
      <c r="AE379" s="139">
        <v>-921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107</v>
      </c>
      <c r="F380" s="133" t="s">
        <v>106</v>
      </c>
      <c r="G380" s="134">
        <v>46132</v>
      </c>
      <c r="H380" s="135">
        <v>0.4037615740740741</v>
      </c>
      <c r="I380" s="136">
        <v>166004601</v>
      </c>
      <c r="J380" s="137">
        <v>81.7</v>
      </c>
      <c r="K380" s="137">
        <f>N380+O380+P380</f>
        <v>72.9464</v>
      </c>
      <c r="L380" s="137">
        <f>Q380+R380</f>
        <v>8.7536</v>
      </c>
      <c r="M380" s="137">
        <f>IF(J380=K380+L380,0,Y380)</f>
        <v>0</v>
      </c>
      <c r="N380" s="138">
        <v>0</v>
      </c>
      <c r="O380" s="137">
        <v>72.9464</v>
      </c>
      <c r="P380" s="137">
        <v>0</v>
      </c>
      <c r="Q380" s="137">
        <v>0</v>
      </c>
      <c r="R380" s="137">
        <v>8.7536</v>
      </c>
      <c r="S380" s="138">
        <v>72.9464</v>
      </c>
      <c r="T380" s="137">
        <v>81.7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81.7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107</v>
      </c>
      <c r="F381" s="133" t="s">
        <v>106</v>
      </c>
      <c r="G381" s="134">
        <v>46132</v>
      </c>
      <c r="H381" s="135">
        <v>0.4039583333333333</v>
      </c>
      <c r="I381" s="136">
        <v>166004602</v>
      </c>
      <c r="J381" s="137">
        <v>29</v>
      </c>
      <c r="K381" s="137">
        <f>N381+O381+P381</f>
        <v>25.8929</v>
      </c>
      <c r="L381" s="137">
        <f>Q381+R381</f>
        <v>3.1071</v>
      </c>
      <c r="M381" s="137">
        <f>IF(J381=K381+L381,0,Y381)</f>
        <v>0</v>
      </c>
      <c r="N381" s="138">
        <v>0</v>
      </c>
      <c r="O381" s="137">
        <v>25.8929</v>
      </c>
      <c r="P381" s="137">
        <v>0</v>
      </c>
      <c r="Q381" s="137">
        <v>0</v>
      </c>
      <c r="R381" s="137">
        <v>3.1071</v>
      </c>
      <c r="S381" s="138">
        <v>25.8929</v>
      </c>
      <c r="T381" s="137">
        <v>29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50</v>
      </c>
      <c r="AA381" s="137">
        <v>0</v>
      </c>
      <c r="AB381" s="137">
        <v>0</v>
      </c>
      <c r="AC381" s="137"/>
      <c r="AD381" s="137">
        <v>0</v>
      </c>
      <c r="AE381" s="139">
        <v>-21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107</v>
      </c>
      <c r="F382" s="133" t="s">
        <v>106</v>
      </c>
      <c r="G382" s="134">
        <v>46132</v>
      </c>
      <c r="H382" s="135">
        <v>0.4046064814814815</v>
      </c>
      <c r="I382" s="136">
        <v>166004603</v>
      </c>
      <c r="J382" s="137">
        <v>51.6</v>
      </c>
      <c r="K382" s="137">
        <f>N382+O382+P382</f>
        <v>44.4178</v>
      </c>
      <c r="L382" s="137">
        <f>Q382+R382</f>
        <v>7.1822</v>
      </c>
      <c r="M382" s="137">
        <f>IF(J382=K382+L382,0,Y382)</f>
        <v>0</v>
      </c>
      <c r="N382" s="138">
        <v>20.5785</v>
      </c>
      <c r="O382" s="137">
        <v>23.8393</v>
      </c>
      <c r="P382" s="137">
        <v>0</v>
      </c>
      <c r="Q382" s="137">
        <v>4.3215</v>
      </c>
      <c r="R382" s="137">
        <v>2.8607</v>
      </c>
      <c r="S382" s="138">
        <v>44.4178</v>
      </c>
      <c r="T382" s="137">
        <v>51.6</v>
      </c>
      <c r="U382" s="137">
        <v>0</v>
      </c>
      <c r="V382" s="137">
        <v>0</v>
      </c>
      <c r="W382" s="137">
        <v>0</v>
      </c>
      <c r="X382" s="137">
        <v>0</v>
      </c>
      <c r="Y382" s="137">
        <v>0</v>
      </c>
      <c r="Z382" s="138">
        <v>0</v>
      </c>
      <c r="AA382" s="137">
        <v>0</v>
      </c>
      <c r="AB382" s="137">
        <v>51.6</v>
      </c>
      <c r="AC382" s="137">
        <v>0</v>
      </c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107</v>
      </c>
      <c r="F383" s="133" t="s">
        <v>106</v>
      </c>
      <c r="G383" s="134">
        <v>46132</v>
      </c>
      <c r="H383" s="135">
        <v>0.4048611111111111</v>
      </c>
      <c r="I383" s="136">
        <v>166004604</v>
      </c>
      <c r="J383" s="137">
        <v>71.2</v>
      </c>
      <c r="K383" s="137">
        <f>N383+O383+P383</f>
        <v>63.5714</v>
      </c>
      <c r="L383" s="137">
        <f>Q383+R383</f>
        <v>7.6286</v>
      </c>
      <c r="M383" s="137">
        <f>IF(J383=K383+L383,0,Y383)</f>
        <v>0</v>
      </c>
      <c r="N383" s="138">
        <v>0</v>
      </c>
      <c r="O383" s="137">
        <v>63.5714</v>
      </c>
      <c r="P383" s="137">
        <v>0</v>
      </c>
      <c r="Q383" s="137">
        <v>0</v>
      </c>
      <c r="R383" s="137">
        <v>7.6286</v>
      </c>
      <c r="S383" s="138">
        <v>63.5714</v>
      </c>
      <c r="T383" s="137">
        <v>71.2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71.2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107</v>
      </c>
      <c r="F384" s="133" t="s">
        <v>106</v>
      </c>
      <c r="G384" s="134">
        <v>46132</v>
      </c>
      <c r="H384" s="135">
        <v>0.4052777777777778</v>
      </c>
      <c r="I384" s="136">
        <v>166004605</v>
      </c>
      <c r="J384" s="137">
        <v>164</v>
      </c>
      <c r="K384" s="137">
        <f>N384+O384+P384</f>
        <v>135.96290000000002</v>
      </c>
      <c r="L384" s="137">
        <f>Q384+R384</f>
        <v>27.837100000000003</v>
      </c>
      <c r="M384" s="137">
        <f>IF(J384=K384+L384,0,Y384)</f>
        <v>0.2</v>
      </c>
      <c r="N384" s="138">
        <v>128.0165</v>
      </c>
      <c r="O384" s="137">
        <v>7.9464</v>
      </c>
      <c r="P384" s="137">
        <v>0</v>
      </c>
      <c r="Q384" s="137">
        <v>26.8835</v>
      </c>
      <c r="R384" s="137">
        <v>0.9536</v>
      </c>
      <c r="S384" s="138">
        <v>135.9629</v>
      </c>
      <c r="T384" s="137">
        <v>163.8</v>
      </c>
      <c r="U384" s="137">
        <v>0</v>
      </c>
      <c r="V384" s="137">
        <v>0</v>
      </c>
      <c r="W384" s="137">
        <v>0</v>
      </c>
      <c r="X384" s="137">
        <v>0</v>
      </c>
      <c r="Y384" s="137">
        <v>0.2</v>
      </c>
      <c r="Z384" s="138">
        <v>200</v>
      </c>
      <c r="AA384" s="137">
        <v>0</v>
      </c>
      <c r="AB384" s="137">
        <v>0</v>
      </c>
      <c r="AC384" s="137"/>
      <c r="AD384" s="137">
        <v>0</v>
      </c>
      <c r="AE384" s="139">
        <v>-36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107</v>
      </c>
      <c r="F385" s="133" t="s">
        <v>106</v>
      </c>
      <c r="G385" s="134">
        <v>46132</v>
      </c>
      <c r="H385" s="135">
        <v>0.41</v>
      </c>
      <c r="I385" s="136">
        <v>166004606</v>
      </c>
      <c r="J385" s="137">
        <v>75.5</v>
      </c>
      <c r="K385" s="137">
        <f>N385+O385+P385</f>
        <v>66.0892</v>
      </c>
      <c r="L385" s="137">
        <f>Q385+R385</f>
        <v>9.4108</v>
      </c>
      <c r="M385" s="137">
        <f>IF(J385=K385+L385,0,Y385)</f>
        <v>0</v>
      </c>
      <c r="N385" s="138">
        <v>16.4463</v>
      </c>
      <c r="O385" s="137">
        <v>49.6429</v>
      </c>
      <c r="P385" s="137">
        <v>0</v>
      </c>
      <c r="Q385" s="137">
        <v>3.4537</v>
      </c>
      <c r="R385" s="137">
        <v>5.9571</v>
      </c>
      <c r="S385" s="138">
        <v>66.0892</v>
      </c>
      <c r="T385" s="137">
        <v>75.5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75.5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107</v>
      </c>
      <c r="F386" s="133" t="s">
        <v>106</v>
      </c>
      <c r="G386" s="134">
        <v>46132</v>
      </c>
      <c r="H386" s="135">
        <v>0.4120949074074074</v>
      </c>
      <c r="I386" s="136">
        <v>166004607</v>
      </c>
      <c r="J386" s="137">
        <v>164.84</v>
      </c>
      <c r="K386" s="137">
        <f>N386+O386+P386</f>
        <v>147.1787</v>
      </c>
      <c r="L386" s="137">
        <f>Q386+R386</f>
        <v>17.6613</v>
      </c>
      <c r="M386" s="137">
        <f>IF(J386=K386+L386,0,Y386)</f>
        <v>0</v>
      </c>
      <c r="N386" s="138">
        <v>0</v>
      </c>
      <c r="O386" s="137">
        <v>147.1787</v>
      </c>
      <c r="P386" s="137">
        <v>0</v>
      </c>
      <c r="Q386" s="137">
        <v>0</v>
      </c>
      <c r="R386" s="137">
        <v>17.6613</v>
      </c>
      <c r="S386" s="138">
        <v>147.1787</v>
      </c>
      <c r="T386" s="137">
        <v>164.84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164.84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107</v>
      </c>
      <c r="F387" s="133" t="s">
        <v>106</v>
      </c>
      <c r="G387" s="134">
        <v>46132</v>
      </c>
      <c r="H387" s="135">
        <v>0.4126851851851852</v>
      </c>
      <c r="I387" s="136">
        <v>166004608</v>
      </c>
      <c r="J387" s="137">
        <v>84</v>
      </c>
      <c r="K387" s="137">
        <f>N387+O387+P387</f>
        <v>74.5893</v>
      </c>
      <c r="L387" s="137">
        <f>Q387+R387</f>
        <v>8.9507</v>
      </c>
      <c r="M387" s="137">
        <f>IF(J387=K387+L387,0,Y387)</f>
        <v>0.46</v>
      </c>
      <c r="N387" s="138">
        <v>0</v>
      </c>
      <c r="O387" s="137">
        <v>74.5893</v>
      </c>
      <c r="P387" s="137">
        <v>0</v>
      </c>
      <c r="Q387" s="137">
        <v>0</v>
      </c>
      <c r="R387" s="137">
        <v>8.9507</v>
      </c>
      <c r="S387" s="138">
        <v>74.5893</v>
      </c>
      <c r="T387" s="137">
        <v>83.54</v>
      </c>
      <c r="U387" s="137">
        <v>0</v>
      </c>
      <c r="V387" s="137">
        <v>0</v>
      </c>
      <c r="W387" s="137">
        <v>0</v>
      </c>
      <c r="X387" s="137">
        <v>0</v>
      </c>
      <c r="Y387" s="137">
        <v>0.46</v>
      </c>
      <c r="Z387" s="138">
        <v>100</v>
      </c>
      <c r="AA387" s="137">
        <v>0</v>
      </c>
      <c r="AB387" s="137">
        <v>0</v>
      </c>
      <c r="AC387" s="137"/>
      <c r="AD387" s="137">
        <v>0</v>
      </c>
      <c r="AE387" s="139">
        <v>-16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107</v>
      </c>
      <c r="F388" s="133" t="s">
        <v>106</v>
      </c>
      <c r="G388" s="134">
        <v>46132</v>
      </c>
      <c r="H388" s="135">
        <v>0.4159953703703704</v>
      </c>
      <c r="I388" s="136">
        <v>166004609</v>
      </c>
      <c r="J388" s="137">
        <v>75</v>
      </c>
      <c r="K388" s="137">
        <f>N388+O388+P388</f>
        <v>66.9643</v>
      </c>
      <c r="L388" s="137">
        <f>Q388+R388</f>
        <v>8.0357</v>
      </c>
      <c r="M388" s="137">
        <f>IF(J388=K388+L388,0,Y388)</f>
        <v>0</v>
      </c>
      <c r="N388" s="138">
        <v>0</v>
      </c>
      <c r="O388" s="137">
        <v>66.9643</v>
      </c>
      <c r="P388" s="137">
        <v>0</v>
      </c>
      <c r="Q388" s="137">
        <v>0</v>
      </c>
      <c r="R388" s="137">
        <v>8.0357</v>
      </c>
      <c r="S388" s="138">
        <v>66.9643</v>
      </c>
      <c r="T388" s="137">
        <v>75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75</v>
      </c>
      <c r="AA388" s="137">
        <v>0</v>
      </c>
      <c r="AB388" s="137">
        <v>0</v>
      </c>
      <c r="AC388" s="137"/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107</v>
      </c>
      <c r="F389" s="133" t="s">
        <v>113</v>
      </c>
      <c r="G389" s="134">
        <v>46132</v>
      </c>
      <c r="H389" s="135">
        <v>0.7068865740740741</v>
      </c>
      <c r="I389" s="136">
        <v>166004793</v>
      </c>
      <c r="J389" s="137">
        <v>295</v>
      </c>
      <c r="K389" s="137">
        <f>N389+O389+P389</f>
        <v>250.2708</v>
      </c>
      <c r="L389" s="137">
        <f>Q389+R389</f>
        <v>44.5292</v>
      </c>
      <c r="M389" s="137">
        <f>IF(J389=K389+L389,0,Y389)</f>
        <v>0.2</v>
      </c>
      <c r="N389" s="138">
        <v>161.0744</v>
      </c>
      <c r="O389" s="137">
        <v>89.1964</v>
      </c>
      <c r="P389" s="137">
        <v>0</v>
      </c>
      <c r="Q389" s="137">
        <v>33.8256</v>
      </c>
      <c r="R389" s="137">
        <v>10.7036</v>
      </c>
      <c r="S389" s="138">
        <v>250.2708</v>
      </c>
      <c r="T389" s="137">
        <v>294.8</v>
      </c>
      <c r="U389" s="137">
        <v>0</v>
      </c>
      <c r="V389" s="137">
        <v>0</v>
      </c>
      <c r="W389" s="137">
        <v>0</v>
      </c>
      <c r="X389" s="137">
        <v>0</v>
      </c>
      <c r="Y389" s="137">
        <v>0.2</v>
      </c>
      <c r="Z389" s="138">
        <v>300</v>
      </c>
      <c r="AA389" s="137">
        <v>0</v>
      </c>
      <c r="AB389" s="137">
        <v>0</v>
      </c>
      <c r="AC389" s="137"/>
      <c r="AD389" s="137">
        <v>0</v>
      </c>
      <c r="AE389" s="139">
        <v>-5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107</v>
      </c>
      <c r="F390" s="133" t="s">
        <v>113</v>
      </c>
      <c r="G390" s="134">
        <v>46132</v>
      </c>
      <c r="H390" s="135">
        <v>0.7077430555555555</v>
      </c>
      <c r="I390" s="136">
        <v>166004794</v>
      </c>
      <c r="J390" s="137">
        <v>213.6</v>
      </c>
      <c r="K390" s="137">
        <f>N390+O390+P390</f>
        <v>190.5881</v>
      </c>
      <c r="L390" s="137">
        <f>Q390+R390</f>
        <v>23.011899999999997</v>
      </c>
      <c r="M390" s="137">
        <f>IF(J390=K390+L390,0,Y390)</f>
        <v>0</v>
      </c>
      <c r="N390" s="138">
        <v>1.5702</v>
      </c>
      <c r="O390" s="137">
        <v>189.0179</v>
      </c>
      <c r="P390" s="137">
        <v>0</v>
      </c>
      <c r="Q390" s="137">
        <v>0.3298</v>
      </c>
      <c r="R390" s="137">
        <v>22.6821</v>
      </c>
      <c r="S390" s="138">
        <v>190.5881</v>
      </c>
      <c r="T390" s="137">
        <v>213.6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213.6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107</v>
      </c>
      <c r="F391" s="133" t="s">
        <v>113</v>
      </c>
      <c r="G391" s="134">
        <v>46132</v>
      </c>
      <c r="H391" s="135">
        <v>0.708125</v>
      </c>
      <c r="I391" s="136">
        <v>166004795</v>
      </c>
      <c r="J391" s="137">
        <v>121.81</v>
      </c>
      <c r="K391" s="137">
        <f>N391+O391+P391</f>
        <v>108.759</v>
      </c>
      <c r="L391" s="137">
        <f>Q391+R391</f>
        <v>13.051</v>
      </c>
      <c r="M391" s="137">
        <f>IF(J391=K391+L391,0,Y391)</f>
        <v>0</v>
      </c>
      <c r="N391" s="138">
        <v>0</v>
      </c>
      <c r="O391" s="137">
        <v>108.759</v>
      </c>
      <c r="P391" s="137">
        <v>0</v>
      </c>
      <c r="Q391" s="137">
        <v>0</v>
      </c>
      <c r="R391" s="137">
        <v>13.051</v>
      </c>
      <c r="S391" s="138">
        <v>108.759</v>
      </c>
      <c r="T391" s="137">
        <v>121.81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121.81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107</v>
      </c>
      <c r="F392" s="133" t="s">
        <v>113</v>
      </c>
      <c r="G392" s="134">
        <v>46132</v>
      </c>
      <c r="H392" s="135">
        <v>0.7084606481481481</v>
      </c>
      <c r="I392" s="136">
        <v>166004796</v>
      </c>
      <c r="J392" s="137">
        <v>268</v>
      </c>
      <c r="K392" s="137">
        <f>N392+O392+P392</f>
        <v>223.2846</v>
      </c>
      <c r="L392" s="137">
        <f>Q392+R392</f>
        <v>44.9354</v>
      </c>
      <c r="M392" s="137">
        <f>IF(J392=K392+L392,0,Y392)</f>
        <v>-0.22</v>
      </c>
      <c r="N392" s="138">
        <v>201.5703</v>
      </c>
      <c r="O392" s="137">
        <v>21.7143</v>
      </c>
      <c r="P392" s="137">
        <v>0</v>
      </c>
      <c r="Q392" s="137">
        <v>42.3297</v>
      </c>
      <c r="R392" s="137">
        <v>2.6057</v>
      </c>
      <c r="S392" s="138">
        <v>223.2846</v>
      </c>
      <c r="T392" s="137">
        <v>268.22</v>
      </c>
      <c r="U392" s="137">
        <v>0</v>
      </c>
      <c r="V392" s="137">
        <v>0</v>
      </c>
      <c r="W392" s="137">
        <v>0</v>
      </c>
      <c r="X392" s="137">
        <v>0</v>
      </c>
      <c r="Y392" s="137">
        <v>-0.22</v>
      </c>
      <c r="Z392" s="138">
        <v>1000</v>
      </c>
      <c r="AA392" s="137">
        <v>0</v>
      </c>
      <c r="AB392" s="137">
        <v>0</v>
      </c>
      <c r="AC392" s="137"/>
      <c r="AD392" s="137">
        <v>0</v>
      </c>
      <c r="AE392" s="139">
        <v>-732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107</v>
      </c>
      <c r="F393" s="133" t="s">
        <v>113</v>
      </c>
      <c r="G393" s="134">
        <v>46132</v>
      </c>
      <c r="H393" s="135">
        <v>0.7090277777777778</v>
      </c>
      <c r="I393" s="136">
        <v>166004797</v>
      </c>
      <c r="J393" s="137">
        <v>89</v>
      </c>
      <c r="K393" s="137">
        <f>N393+O393+P393</f>
        <v>77.27940000000001</v>
      </c>
      <c r="L393" s="137">
        <f>Q393+R393</f>
        <v>11.720600000000001</v>
      </c>
      <c r="M393" s="137">
        <f>IF(J393=K393+L393,0,Y393)</f>
        <v>0</v>
      </c>
      <c r="N393" s="138">
        <v>27.1901</v>
      </c>
      <c r="O393" s="137">
        <v>50.0893</v>
      </c>
      <c r="P393" s="137">
        <v>0</v>
      </c>
      <c r="Q393" s="137">
        <v>5.7099</v>
      </c>
      <c r="R393" s="137">
        <v>6.0107</v>
      </c>
      <c r="S393" s="138">
        <v>77.2794</v>
      </c>
      <c r="T393" s="137">
        <v>89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200</v>
      </c>
      <c r="AA393" s="137">
        <v>0</v>
      </c>
      <c r="AB393" s="137">
        <v>0</v>
      </c>
      <c r="AC393" s="137"/>
      <c r="AD393" s="137">
        <v>0</v>
      </c>
      <c r="AE393" s="139">
        <v>-111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107</v>
      </c>
      <c r="F394" s="133" t="s">
        <v>113</v>
      </c>
      <c r="G394" s="134">
        <v>46132</v>
      </c>
      <c r="H394" s="135">
        <v>0.7094444444444444</v>
      </c>
      <c r="I394" s="136">
        <v>166004798</v>
      </c>
      <c r="J394" s="137">
        <v>53.8</v>
      </c>
      <c r="K394" s="137">
        <f>N394+O394+P394</f>
        <v>46.847</v>
      </c>
      <c r="L394" s="137">
        <f>Q394+R394</f>
        <v>6.952999999999999</v>
      </c>
      <c r="M394" s="137">
        <f>IF(J394=K394+L394,0,Y394)</f>
        <v>0</v>
      </c>
      <c r="N394" s="138">
        <v>14.7934</v>
      </c>
      <c r="O394" s="137">
        <v>32.0536</v>
      </c>
      <c r="P394" s="137">
        <v>0</v>
      </c>
      <c r="Q394" s="137">
        <v>3.1066</v>
      </c>
      <c r="R394" s="137">
        <v>3.8464</v>
      </c>
      <c r="S394" s="138">
        <v>46.847</v>
      </c>
      <c r="T394" s="137">
        <v>53.8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53.8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107</v>
      </c>
      <c r="F395" s="133" t="s">
        <v>113</v>
      </c>
      <c r="G395" s="134">
        <v>46132</v>
      </c>
      <c r="H395" s="135">
        <v>0.7099537037037037</v>
      </c>
      <c r="I395" s="136">
        <v>166004799</v>
      </c>
      <c r="J395" s="137">
        <v>112.4</v>
      </c>
      <c r="K395" s="137">
        <f>N395+O395+P395</f>
        <v>97.7074</v>
      </c>
      <c r="L395" s="137">
        <f>Q395+R395</f>
        <v>14.6926</v>
      </c>
      <c r="M395" s="137">
        <f>IF(J395=K395+L395,0,Y395)</f>
        <v>0</v>
      </c>
      <c r="N395" s="138">
        <v>32.9752</v>
      </c>
      <c r="O395" s="137">
        <v>64.7322</v>
      </c>
      <c r="P395" s="137">
        <v>0</v>
      </c>
      <c r="Q395" s="137">
        <v>6.9248</v>
      </c>
      <c r="R395" s="137">
        <v>7.7678</v>
      </c>
      <c r="S395" s="138">
        <v>97.7074</v>
      </c>
      <c r="T395" s="137">
        <v>112.4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112.4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107</v>
      </c>
      <c r="F396" s="133" t="s">
        <v>113</v>
      </c>
      <c r="G396" s="134">
        <v>46132</v>
      </c>
      <c r="H396" s="135">
        <v>0.710474537037037</v>
      </c>
      <c r="I396" s="136">
        <v>166004800</v>
      </c>
      <c r="J396" s="137">
        <v>381.6</v>
      </c>
      <c r="K396" s="137">
        <f>N396+O396+P396</f>
        <v>315.3719</v>
      </c>
      <c r="L396" s="137">
        <f>Q396+R396</f>
        <v>66.2281</v>
      </c>
      <c r="M396" s="137">
        <f>IF(J396=K396+L396,0,Y396)</f>
        <v>0</v>
      </c>
      <c r="N396" s="138">
        <v>315.3719</v>
      </c>
      <c r="O396" s="137">
        <v>0</v>
      </c>
      <c r="P396" s="137">
        <v>0</v>
      </c>
      <c r="Q396" s="137">
        <v>66.2281</v>
      </c>
      <c r="R396" s="137">
        <v>0</v>
      </c>
      <c r="S396" s="138">
        <v>315.3719</v>
      </c>
      <c r="T396" s="137">
        <v>381.6</v>
      </c>
      <c r="U396" s="137">
        <v>0</v>
      </c>
      <c r="V396" s="137">
        <v>0</v>
      </c>
      <c r="W396" s="137">
        <v>0</v>
      </c>
      <c r="X396" s="137">
        <v>0</v>
      </c>
      <c r="Y396" s="137">
        <v>0</v>
      </c>
      <c r="Z396" s="138">
        <v>0</v>
      </c>
      <c r="AA396" s="137">
        <v>0</v>
      </c>
      <c r="AB396" s="137">
        <v>381.6</v>
      </c>
      <c r="AC396" s="137">
        <v>0</v>
      </c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107</v>
      </c>
      <c r="F397" s="133" t="s">
        <v>113</v>
      </c>
      <c r="G397" s="134">
        <v>46132</v>
      </c>
      <c r="H397" s="135">
        <v>0.7265277777777778</v>
      </c>
      <c r="I397" s="136">
        <v>166004801</v>
      </c>
      <c r="J397" s="137">
        <v>299</v>
      </c>
      <c r="K397" s="137">
        <f>N397+O397+P397</f>
        <v>266.472</v>
      </c>
      <c r="L397" s="137">
        <f>Q397+R397</f>
        <v>32.118</v>
      </c>
      <c r="M397" s="137">
        <f>IF(J397=K397+L397,0,Y397)</f>
        <v>0.41</v>
      </c>
      <c r="N397" s="138">
        <v>1.5702</v>
      </c>
      <c r="O397" s="137">
        <v>264.9018</v>
      </c>
      <c r="P397" s="137">
        <v>0</v>
      </c>
      <c r="Q397" s="137">
        <v>0.3298</v>
      </c>
      <c r="R397" s="137">
        <v>31.7882</v>
      </c>
      <c r="S397" s="138">
        <v>266.472</v>
      </c>
      <c r="T397" s="137">
        <v>298.59</v>
      </c>
      <c r="U397" s="137">
        <v>0</v>
      </c>
      <c r="V397" s="137">
        <v>0</v>
      </c>
      <c r="W397" s="137">
        <v>0</v>
      </c>
      <c r="X397" s="137">
        <v>0</v>
      </c>
      <c r="Y397" s="137">
        <v>0.41</v>
      </c>
      <c r="Z397" s="138">
        <v>299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107</v>
      </c>
      <c r="F398" s="133" t="s">
        <v>113</v>
      </c>
      <c r="G398" s="134">
        <v>46132</v>
      </c>
      <c r="H398" s="135">
        <v>0.7271875</v>
      </c>
      <c r="I398" s="136">
        <v>166004802</v>
      </c>
      <c r="J398" s="137">
        <v>62.93</v>
      </c>
      <c r="K398" s="137">
        <f>N398+O398+P398</f>
        <v>56.1875</v>
      </c>
      <c r="L398" s="137">
        <f>Q398+R398</f>
        <v>6.7425</v>
      </c>
      <c r="M398" s="137">
        <f>IF(J398=K398+L398,0,Y398)</f>
        <v>0</v>
      </c>
      <c r="N398" s="138">
        <v>0</v>
      </c>
      <c r="O398" s="137">
        <v>56.1875</v>
      </c>
      <c r="P398" s="137">
        <v>0</v>
      </c>
      <c r="Q398" s="137">
        <v>0</v>
      </c>
      <c r="R398" s="137">
        <v>6.7425</v>
      </c>
      <c r="S398" s="138">
        <v>56.1875</v>
      </c>
      <c r="T398" s="137">
        <v>62.93</v>
      </c>
      <c r="U398" s="137">
        <v>0</v>
      </c>
      <c r="V398" s="137">
        <v>0</v>
      </c>
      <c r="W398" s="137">
        <v>0</v>
      </c>
      <c r="X398" s="137">
        <v>0</v>
      </c>
      <c r="Y398" s="137">
        <v>0</v>
      </c>
      <c r="Z398" s="138">
        <v>0</v>
      </c>
      <c r="AA398" s="137">
        <v>0</v>
      </c>
      <c r="AB398" s="137">
        <v>62.93</v>
      </c>
      <c r="AC398" s="137">
        <v>0</v>
      </c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107</v>
      </c>
      <c r="F399" s="133" t="s">
        <v>113</v>
      </c>
      <c r="G399" s="134">
        <v>46132</v>
      </c>
      <c r="H399" s="135">
        <v>0.7275</v>
      </c>
      <c r="I399" s="136">
        <v>166004803</v>
      </c>
      <c r="J399" s="137">
        <v>45</v>
      </c>
      <c r="K399" s="137">
        <f>N399+O399+P399</f>
        <v>40.0893</v>
      </c>
      <c r="L399" s="137">
        <f>Q399+R399</f>
        <v>4.8107</v>
      </c>
      <c r="M399" s="137">
        <f>IF(J399=K399+L399,0,Y399)</f>
        <v>0.1</v>
      </c>
      <c r="N399" s="138">
        <v>0</v>
      </c>
      <c r="O399" s="137">
        <v>40.0893</v>
      </c>
      <c r="P399" s="137">
        <v>0</v>
      </c>
      <c r="Q399" s="137">
        <v>0</v>
      </c>
      <c r="R399" s="137">
        <v>4.8107</v>
      </c>
      <c r="S399" s="138">
        <v>40.0893</v>
      </c>
      <c r="T399" s="137">
        <v>44.9</v>
      </c>
      <c r="U399" s="137">
        <v>0</v>
      </c>
      <c r="V399" s="137">
        <v>0</v>
      </c>
      <c r="W399" s="137">
        <v>0</v>
      </c>
      <c r="X399" s="137">
        <v>0</v>
      </c>
      <c r="Y399" s="137">
        <v>0.1</v>
      </c>
      <c r="Z399" s="138">
        <v>200</v>
      </c>
      <c r="AA399" s="137">
        <v>0</v>
      </c>
      <c r="AB399" s="137">
        <v>0</v>
      </c>
      <c r="AC399" s="137"/>
      <c r="AD399" s="137">
        <v>0</v>
      </c>
      <c r="AE399" s="139">
        <v>-155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107</v>
      </c>
      <c r="F400" s="133" t="s">
        <v>113</v>
      </c>
      <c r="G400" s="134">
        <v>46132</v>
      </c>
      <c r="H400" s="135">
        <v>0.7290972222222222</v>
      </c>
      <c r="I400" s="136">
        <v>166004804</v>
      </c>
      <c r="J400" s="137">
        <v>172</v>
      </c>
      <c r="K400" s="137">
        <f>N400+O400+P400</f>
        <v>151.61079999999998</v>
      </c>
      <c r="L400" s="137">
        <f>Q400+R400</f>
        <v>19.8892</v>
      </c>
      <c r="M400" s="137">
        <f>IF(J400=K400+L400,0,Y400)</f>
        <v>0.5</v>
      </c>
      <c r="N400" s="138">
        <v>18.843</v>
      </c>
      <c r="O400" s="137">
        <v>132.7678</v>
      </c>
      <c r="P400" s="137">
        <v>0</v>
      </c>
      <c r="Q400" s="137">
        <v>3.957</v>
      </c>
      <c r="R400" s="137">
        <v>15.9322</v>
      </c>
      <c r="S400" s="138">
        <v>151.6108</v>
      </c>
      <c r="T400" s="137">
        <v>171.5</v>
      </c>
      <c r="U400" s="137">
        <v>0</v>
      </c>
      <c r="V400" s="137">
        <v>0</v>
      </c>
      <c r="W400" s="137">
        <v>0</v>
      </c>
      <c r="X400" s="137">
        <v>0</v>
      </c>
      <c r="Y400" s="137">
        <v>0.5</v>
      </c>
      <c r="Z400" s="138">
        <v>2000</v>
      </c>
      <c r="AA400" s="137">
        <v>0</v>
      </c>
      <c r="AB400" s="137">
        <v>0</v>
      </c>
      <c r="AC400" s="137"/>
      <c r="AD400" s="137">
        <v>0</v>
      </c>
      <c r="AE400" s="139">
        <v>-1828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107</v>
      </c>
      <c r="F401" s="133" t="s">
        <v>113</v>
      </c>
      <c r="G401" s="134">
        <v>46132</v>
      </c>
      <c r="H401" s="135">
        <v>0.7301967592592593</v>
      </c>
      <c r="I401" s="136">
        <v>166004805</v>
      </c>
      <c r="J401" s="137">
        <v>231.43</v>
      </c>
      <c r="K401" s="137">
        <f>N401+O401+P401</f>
        <v>204.9802</v>
      </c>
      <c r="L401" s="137">
        <f>Q401+R401</f>
        <v>26.4498</v>
      </c>
      <c r="M401" s="137">
        <f>IF(J401=K401+L401,0,Y401)</f>
        <v>0</v>
      </c>
      <c r="N401" s="138">
        <v>20.5785</v>
      </c>
      <c r="O401" s="137">
        <v>184.4017</v>
      </c>
      <c r="P401" s="137">
        <v>0</v>
      </c>
      <c r="Q401" s="137">
        <v>4.3215</v>
      </c>
      <c r="R401" s="137">
        <v>22.1283</v>
      </c>
      <c r="S401" s="138">
        <v>204.9802</v>
      </c>
      <c r="T401" s="137">
        <v>231.43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0</v>
      </c>
      <c r="AA401" s="137">
        <v>0</v>
      </c>
      <c r="AB401" s="137">
        <v>231.43</v>
      </c>
      <c r="AC401" s="137">
        <v>0</v>
      </c>
      <c r="AD401" s="137">
        <v>0</v>
      </c>
      <c r="AE401" s="139">
        <v>0</v>
      </c>
      <c r="AF401" s="56">
        <v>69.87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107</v>
      </c>
      <c r="F402" s="133" t="s">
        <v>113</v>
      </c>
      <c r="G402" s="134">
        <v>46132</v>
      </c>
      <c r="H402" s="135">
        <v>0.7303587962962963</v>
      </c>
      <c r="I402" s="136">
        <v>166004806</v>
      </c>
      <c r="J402" s="137">
        <v>6</v>
      </c>
      <c r="K402" s="137">
        <f>N402+O402+P402</f>
        <v>5.1786</v>
      </c>
      <c r="L402" s="137">
        <f>Q402+R402</f>
        <v>0.6214</v>
      </c>
      <c r="M402" s="137">
        <f>IF(J402=K402+L402,0,Y402)</f>
        <v>0.2</v>
      </c>
      <c r="N402" s="138">
        <v>0</v>
      </c>
      <c r="O402" s="137">
        <v>5.1786</v>
      </c>
      <c r="P402" s="137">
        <v>0</v>
      </c>
      <c r="Q402" s="137">
        <v>0</v>
      </c>
      <c r="R402" s="137">
        <v>0.6214</v>
      </c>
      <c r="S402" s="138">
        <v>5.1786</v>
      </c>
      <c r="T402" s="137">
        <v>5.8</v>
      </c>
      <c r="U402" s="137">
        <v>0</v>
      </c>
      <c r="V402" s="137">
        <v>0</v>
      </c>
      <c r="W402" s="137">
        <v>0</v>
      </c>
      <c r="X402" s="137">
        <v>0</v>
      </c>
      <c r="Y402" s="137">
        <v>0.2</v>
      </c>
      <c r="Z402" s="138">
        <v>6</v>
      </c>
      <c r="AA402" s="137">
        <v>0</v>
      </c>
      <c r="AB402" s="137">
        <v>0</v>
      </c>
      <c r="AC402" s="137"/>
      <c r="AD402" s="137">
        <v>0</v>
      </c>
      <c r="AE402" s="139">
        <v>0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107</v>
      </c>
      <c r="F403" s="133" t="s">
        <v>113</v>
      </c>
      <c r="G403" s="134">
        <v>46132</v>
      </c>
      <c r="H403" s="135">
        <v>0.7308564814814815</v>
      </c>
      <c r="I403" s="136">
        <v>166004807</v>
      </c>
      <c r="J403" s="137">
        <v>98.6</v>
      </c>
      <c r="K403" s="137">
        <f>N403+O403+P403</f>
        <v>88.0356</v>
      </c>
      <c r="L403" s="137">
        <f>Q403+R403</f>
        <v>10.5644</v>
      </c>
      <c r="M403" s="137">
        <f>IF(J403=K403+L403,0,Y403)</f>
        <v>0</v>
      </c>
      <c r="N403" s="138">
        <v>0</v>
      </c>
      <c r="O403" s="137">
        <v>88.0356</v>
      </c>
      <c r="P403" s="137">
        <v>0</v>
      </c>
      <c r="Q403" s="137">
        <v>0</v>
      </c>
      <c r="R403" s="137">
        <v>10.5644</v>
      </c>
      <c r="S403" s="138">
        <v>88.0356</v>
      </c>
      <c r="T403" s="137">
        <v>98.6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98.6</v>
      </c>
      <c r="AC403" s="137">
        <v>0</v>
      </c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107</v>
      </c>
      <c r="F404" s="133" t="s">
        <v>113</v>
      </c>
      <c r="G404" s="134">
        <v>46132</v>
      </c>
      <c r="H404" s="135">
        <v>0.7317592592592592</v>
      </c>
      <c r="I404" s="136">
        <v>166004808</v>
      </c>
      <c r="J404" s="137">
        <v>115.4</v>
      </c>
      <c r="K404" s="137">
        <f>N404+O404+P404</f>
        <v>100.924</v>
      </c>
      <c r="L404" s="137">
        <f>Q404+R404</f>
        <v>14.476</v>
      </c>
      <c r="M404" s="137">
        <f>IF(J404=K404+L404,0,Y404)</f>
        <v>0</v>
      </c>
      <c r="N404" s="138">
        <v>26.281</v>
      </c>
      <c r="O404" s="137">
        <v>74.643</v>
      </c>
      <c r="P404" s="137">
        <v>0</v>
      </c>
      <c r="Q404" s="137">
        <v>5.519</v>
      </c>
      <c r="R404" s="137">
        <v>8.957</v>
      </c>
      <c r="S404" s="138">
        <v>100.924</v>
      </c>
      <c r="T404" s="137">
        <v>115.4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115.4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107</v>
      </c>
      <c r="F405" s="133" t="s">
        <v>113</v>
      </c>
      <c r="G405" s="134">
        <v>46132</v>
      </c>
      <c r="H405" s="135">
        <v>0.7587731481481481</v>
      </c>
      <c r="I405" s="136">
        <v>166004809</v>
      </c>
      <c r="J405" s="137">
        <v>175</v>
      </c>
      <c r="K405" s="137">
        <f>N405+O405+P405</f>
        <v>154.729</v>
      </c>
      <c r="L405" s="137">
        <f>Q405+R405</f>
        <v>20.271</v>
      </c>
      <c r="M405" s="137">
        <f>IF(J405=K405+L405,0,Y405)</f>
        <v>0</v>
      </c>
      <c r="N405" s="138">
        <v>18.9256</v>
      </c>
      <c r="O405" s="137">
        <v>135.8034</v>
      </c>
      <c r="P405" s="137">
        <v>0</v>
      </c>
      <c r="Q405" s="137">
        <v>3.9744</v>
      </c>
      <c r="R405" s="137">
        <v>16.2966</v>
      </c>
      <c r="S405" s="138">
        <v>154.729</v>
      </c>
      <c r="T405" s="137">
        <v>175</v>
      </c>
      <c r="U405" s="137">
        <v>0</v>
      </c>
      <c r="V405" s="137">
        <v>0</v>
      </c>
      <c r="W405" s="137">
        <v>0</v>
      </c>
      <c r="X405" s="137">
        <v>0</v>
      </c>
      <c r="Y405" s="137">
        <v>0</v>
      </c>
      <c r="Z405" s="138">
        <v>200</v>
      </c>
      <c r="AA405" s="137">
        <v>0</v>
      </c>
      <c r="AB405" s="137">
        <v>0</v>
      </c>
      <c r="AC405" s="137"/>
      <c r="AD405" s="137">
        <v>0</v>
      </c>
      <c r="AE405" s="139">
        <v>-25</v>
      </c>
      <c r="AF405" s="56">
        <v>7.14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107</v>
      </c>
      <c r="F406" s="133" t="s">
        <v>113</v>
      </c>
      <c r="G406" s="134">
        <v>46132</v>
      </c>
      <c r="H406" s="135">
        <v>0.7591782407407407</v>
      </c>
      <c r="I406" s="136">
        <v>166004810</v>
      </c>
      <c r="J406" s="137">
        <v>87</v>
      </c>
      <c r="K406" s="137">
        <f>N406+O406+P406</f>
        <v>77.6785</v>
      </c>
      <c r="L406" s="137">
        <f>Q406+R406</f>
        <v>9.3215</v>
      </c>
      <c r="M406" s="137">
        <f>IF(J406=K406+L406,0,Y406)</f>
        <v>0</v>
      </c>
      <c r="N406" s="138">
        <v>0</v>
      </c>
      <c r="O406" s="137">
        <v>77.6785</v>
      </c>
      <c r="P406" s="137">
        <v>0</v>
      </c>
      <c r="Q406" s="137">
        <v>0</v>
      </c>
      <c r="R406" s="137">
        <v>9.3215</v>
      </c>
      <c r="S406" s="138">
        <v>77.6785</v>
      </c>
      <c r="T406" s="137">
        <v>87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200</v>
      </c>
      <c r="AA406" s="137">
        <v>0</v>
      </c>
      <c r="AB406" s="137">
        <v>0</v>
      </c>
      <c r="AC406" s="137"/>
      <c r="AD406" s="137">
        <v>0</v>
      </c>
      <c r="AE406" s="139">
        <v>-113</v>
      </c>
      <c r="AF406" s="56">
        <v>3.57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107</v>
      </c>
      <c r="F407" s="133" t="s">
        <v>113</v>
      </c>
      <c r="G407" s="134">
        <v>46132</v>
      </c>
      <c r="H407" s="135">
        <v>0.7596296296296297</v>
      </c>
      <c r="I407" s="136">
        <v>166004811</v>
      </c>
      <c r="J407" s="137">
        <v>48.7</v>
      </c>
      <c r="K407" s="137">
        <f>N407+O407+P407</f>
        <v>43.4822</v>
      </c>
      <c r="L407" s="137">
        <f>Q407+R407</f>
        <v>5.2178</v>
      </c>
      <c r="M407" s="137">
        <f>IF(J407=K407+L407,0,Y407)</f>
        <v>0</v>
      </c>
      <c r="N407" s="138">
        <v>0</v>
      </c>
      <c r="O407" s="137">
        <v>43.4822</v>
      </c>
      <c r="P407" s="137">
        <v>0</v>
      </c>
      <c r="Q407" s="137">
        <v>0</v>
      </c>
      <c r="R407" s="137">
        <v>5.2178</v>
      </c>
      <c r="S407" s="138">
        <v>43.4822</v>
      </c>
      <c r="T407" s="137">
        <v>48.7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48.7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107</v>
      </c>
      <c r="F408" s="133" t="s">
        <v>113</v>
      </c>
      <c r="G408" s="134">
        <v>46132</v>
      </c>
      <c r="H408" s="135">
        <v>0.7599652777777778</v>
      </c>
      <c r="I408" s="136">
        <v>166004812</v>
      </c>
      <c r="J408" s="137">
        <v>44</v>
      </c>
      <c r="K408" s="137">
        <f>N408+O408+P408</f>
        <v>39.1072</v>
      </c>
      <c r="L408" s="137">
        <f>Q408+R408</f>
        <v>4.6928</v>
      </c>
      <c r="M408" s="137">
        <f>IF(J408=K408+L408,0,Y408)</f>
        <v>0.2</v>
      </c>
      <c r="N408" s="138">
        <v>0</v>
      </c>
      <c r="O408" s="137">
        <v>39.1072</v>
      </c>
      <c r="P408" s="137">
        <v>0</v>
      </c>
      <c r="Q408" s="137">
        <v>0</v>
      </c>
      <c r="R408" s="137">
        <v>4.6928</v>
      </c>
      <c r="S408" s="138">
        <v>39.1072</v>
      </c>
      <c r="T408" s="137">
        <v>43.8</v>
      </c>
      <c r="U408" s="137">
        <v>0</v>
      </c>
      <c r="V408" s="137">
        <v>0</v>
      </c>
      <c r="W408" s="137">
        <v>0</v>
      </c>
      <c r="X408" s="137">
        <v>0</v>
      </c>
      <c r="Y408" s="137">
        <v>0.2</v>
      </c>
      <c r="Z408" s="138">
        <v>44</v>
      </c>
      <c r="AA408" s="137">
        <v>0</v>
      </c>
      <c r="AB408" s="137">
        <v>0</v>
      </c>
      <c r="AC408" s="137"/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107</v>
      </c>
      <c r="F409" s="133" t="s">
        <v>113</v>
      </c>
      <c r="G409" s="134">
        <v>46132</v>
      </c>
      <c r="H409" s="135">
        <v>0.7605439814814815</v>
      </c>
      <c r="I409" s="136">
        <v>166004813</v>
      </c>
      <c r="J409" s="137">
        <v>153</v>
      </c>
      <c r="K409" s="137">
        <f>N409+O409+P409</f>
        <v>130.3418</v>
      </c>
      <c r="L409" s="137">
        <f>Q409+R409</f>
        <v>22.5882</v>
      </c>
      <c r="M409" s="137">
        <f>IF(J409=K409+L409,0,Y409)</f>
        <v>0.07</v>
      </c>
      <c r="N409" s="138">
        <v>77.19</v>
      </c>
      <c r="O409" s="137">
        <v>53.1518</v>
      </c>
      <c r="P409" s="137">
        <v>0</v>
      </c>
      <c r="Q409" s="137">
        <v>16.21</v>
      </c>
      <c r="R409" s="137">
        <v>6.3782</v>
      </c>
      <c r="S409" s="138">
        <v>130.3418</v>
      </c>
      <c r="T409" s="137">
        <v>152.93</v>
      </c>
      <c r="U409" s="137">
        <v>0</v>
      </c>
      <c r="V409" s="137">
        <v>0</v>
      </c>
      <c r="W409" s="137">
        <v>0</v>
      </c>
      <c r="X409" s="137">
        <v>0</v>
      </c>
      <c r="Y409" s="137">
        <v>0.07</v>
      </c>
      <c r="Z409" s="138">
        <v>200</v>
      </c>
      <c r="AA409" s="137">
        <v>0</v>
      </c>
      <c r="AB409" s="137">
        <v>0</v>
      </c>
      <c r="AC409" s="137"/>
      <c r="AD409" s="137">
        <v>0</v>
      </c>
      <c r="AE409" s="139">
        <v>-47</v>
      </c>
      <c r="AF409" s="56">
        <v>10.6861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107</v>
      </c>
      <c r="F410" s="133" t="s">
        <v>113</v>
      </c>
      <c r="G410" s="134">
        <v>46132</v>
      </c>
      <c r="H410" s="135">
        <v>0.7608564814814814</v>
      </c>
      <c r="I410" s="136">
        <v>166004814</v>
      </c>
      <c r="J410" s="137">
        <v>28</v>
      </c>
      <c r="K410" s="137">
        <f>N410+O410+P410</f>
        <v>24.8214</v>
      </c>
      <c r="L410" s="137">
        <f>Q410+R410</f>
        <v>2.9786</v>
      </c>
      <c r="M410" s="137">
        <f>IF(J410=K410+L410,0,Y410)</f>
        <v>0.2</v>
      </c>
      <c r="N410" s="138">
        <v>0</v>
      </c>
      <c r="O410" s="137">
        <v>24.8214</v>
      </c>
      <c r="P410" s="137">
        <v>0</v>
      </c>
      <c r="Q410" s="137">
        <v>0</v>
      </c>
      <c r="R410" s="137">
        <v>2.9786</v>
      </c>
      <c r="S410" s="138">
        <v>24.8214</v>
      </c>
      <c r="T410" s="137">
        <v>27.8</v>
      </c>
      <c r="U410" s="137">
        <v>0</v>
      </c>
      <c r="V410" s="137">
        <v>0</v>
      </c>
      <c r="W410" s="137">
        <v>0</v>
      </c>
      <c r="X410" s="137">
        <v>0</v>
      </c>
      <c r="Y410" s="137">
        <v>0.2</v>
      </c>
      <c r="Z410" s="138">
        <v>30</v>
      </c>
      <c r="AA410" s="137">
        <v>0</v>
      </c>
      <c r="AB410" s="137">
        <v>0</v>
      </c>
      <c r="AC410" s="137"/>
      <c r="AD410" s="137">
        <v>0</v>
      </c>
      <c r="AE410" s="139">
        <v>-2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107</v>
      </c>
      <c r="F411" s="133" t="s">
        <v>113</v>
      </c>
      <c r="G411" s="134">
        <v>46132</v>
      </c>
      <c r="H411" s="135">
        <v>0.7638888888888888</v>
      </c>
      <c r="I411" s="136">
        <v>166004815</v>
      </c>
      <c r="J411" s="137">
        <v>474.03</v>
      </c>
      <c r="K411" s="137">
        <f>N411+O411+P411</f>
        <v>422.9885</v>
      </c>
      <c r="L411" s="137">
        <f>Q411+R411</f>
        <v>51.0415</v>
      </c>
      <c r="M411" s="137">
        <f>IF(J411=K411+L411,0,Y411)</f>
        <v>0</v>
      </c>
      <c r="N411" s="138">
        <v>3.1404</v>
      </c>
      <c r="O411" s="137">
        <v>419.8481</v>
      </c>
      <c r="P411" s="137">
        <v>0</v>
      </c>
      <c r="Q411" s="137">
        <v>0.6596</v>
      </c>
      <c r="R411" s="137">
        <v>50.3819</v>
      </c>
      <c r="S411" s="138">
        <v>422.9885</v>
      </c>
      <c r="T411" s="137">
        <v>474.03</v>
      </c>
      <c r="U411" s="137">
        <v>0</v>
      </c>
      <c r="V411" s="137">
        <v>0</v>
      </c>
      <c r="W411" s="137">
        <v>0</v>
      </c>
      <c r="X411" s="137">
        <v>0</v>
      </c>
      <c r="Y411" s="137">
        <v>0</v>
      </c>
      <c r="Z411" s="138">
        <v>0</v>
      </c>
      <c r="AA411" s="137">
        <v>0</v>
      </c>
      <c r="AB411" s="137">
        <v>474.03</v>
      </c>
      <c r="AC411" s="137">
        <v>0</v>
      </c>
      <c r="AD411" s="137">
        <v>0</v>
      </c>
      <c r="AE411" s="139">
        <v>0</v>
      </c>
      <c r="AF411" s="56">
        <v>34.1017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107</v>
      </c>
      <c r="F412" s="133" t="s">
        <v>113</v>
      </c>
      <c r="G412" s="134">
        <v>46132</v>
      </c>
      <c r="H412" s="135">
        <v>0.7650347222222222</v>
      </c>
      <c r="I412" s="136">
        <v>166004816</v>
      </c>
      <c r="J412" s="137">
        <v>168</v>
      </c>
      <c r="K412" s="137">
        <f>N412+O412+P412</f>
        <v>150.0613</v>
      </c>
      <c r="L412" s="137">
        <f>Q412+R412</f>
        <v>18.148699999999998</v>
      </c>
      <c r="M412" s="137">
        <f>IF(J412=K412+L412,0,Y412)</f>
        <v>-0.21</v>
      </c>
      <c r="N412" s="138">
        <v>1.5702</v>
      </c>
      <c r="O412" s="137">
        <v>148.4911</v>
      </c>
      <c r="P412" s="137">
        <v>0</v>
      </c>
      <c r="Q412" s="137">
        <v>0.3298</v>
      </c>
      <c r="R412" s="137">
        <v>17.8189</v>
      </c>
      <c r="S412" s="138">
        <v>150.0613</v>
      </c>
      <c r="T412" s="137">
        <v>168.21</v>
      </c>
      <c r="U412" s="137">
        <v>0</v>
      </c>
      <c r="V412" s="137">
        <v>0</v>
      </c>
      <c r="W412" s="137">
        <v>0</v>
      </c>
      <c r="X412" s="137">
        <v>0</v>
      </c>
      <c r="Y412" s="137">
        <v>-0.21</v>
      </c>
      <c r="Z412" s="138">
        <v>5000</v>
      </c>
      <c r="AA412" s="137">
        <v>0</v>
      </c>
      <c r="AB412" s="137">
        <v>0</v>
      </c>
      <c r="AC412" s="137"/>
      <c r="AD412" s="137">
        <v>0</v>
      </c>
      <c r="AE412" s="139">
        <v>-4832</v>
      </c>
      <c r="AF412" s="56">
        <v>14.97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107</v>
      </c>
      <c r="F413" s="133" t="s">
        <v>113</v>
      </c>
      <c r="G413" s="134">
        <v>46132</v>
      </c>
      <c r="H413" s="135">
        <v>0.7658333333333334</v>
      </c>
      <c r="I413" s="136">
        <v>166004817</v>
      </c>
      <c r="J413" s="137">
        <v>26</v>
      </c>
      <c r="K413" s="137">
        <f>N413+O413+P413</f>
        <v>22.9465</v>
      </c>
      <c r="L413" s="137">
        <f>Q413+R413</f>
        <v>2.7535</v>
      </c>
      <c r="M413" s="137">
        <f>IF(J413=K413+L413,0,Y413)</f>
        <v>0.3</v>
      </c>
      <c r="N413" s="138">
        <v>0</v>
      </c>
      <c r="O413" s="137">
        <v>22.9465</v>
      </c>
      <c r="P413" s="137">
        <v>0</v>
      </c>
      <c r="Q413" s="137">
        <v>0</v>
      </c>
      <c r="R413" s="137">
        <v>2.7535</v>
      </c>
      <c r="S413" s="138">
        <v>22.9465</v>
      </c>
      <c r="T413" s="137">
        <v>25.7</v>
      </c>
      <c r="U413" s="137">
        <v>0</v>
      </c>
      <c r="V413" s="137">
        <v>0</v>
      </c>
      <c r="W413" s="137">
        <v>0</v>
      </c>
      <c r="X413" s="137">
        <v>0</v>
      </c>
      <c r="Y413" s="137">
        <v>0.3</v>
      </c>
      <c r="Z413" s="138">
        <v>200</v>
      </c>
      <c r="AA413" s="137">
        <v>0</v>
      </c>
      <c r="AB413" s="137">
        <v>0</v>
      </c>
      <c r="AC413" s="137"/>
      <c r="AD413" s="137">
        <v>0</v>
      </c>
      <c r="AE413" s="139">
        <v>-174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107</v>
      </c>
      <c r="F414" s="133" t="s">
        <v>113</v>
      </c>
      <c r="G414" s="134">
        <v>46132</v>
      </c>
      <c r="H414" s="135">
        <v>0.7661226851851852</v>
      </c>
      <c r="I414" s="136">
        <v>166004818</v>
      </c>
      <c r="J414" s="137">
        <v>13</v>
      </c>
      <c r="K414" s="137">
        <f>N414+O414+P414</f>
        <v>11.9643</v>
      </c>
      <c r="L414" s="137">
        <f>Q414+R414</f>
        <v>1.4357</v>
      </c>
      <c r="M414" s="137">
        <f>IF(J414=K414+L414,0,Y414)</f>
        <v>-0.4</v>
      </c>
      <c r="N414" s="138">
        <v>0</v>
      </c>
      <c r="O414" s="137">
        <v>11.9643</v>
      </c>
      <c r="P414" s="137">
        <v>0</v>
      </c>
      <c r="Q414" s="137">
        <v>0</v>
      </c>
      <c r="R414" s="137">
        <v>1.4357</v>
      </c>
      <c r="S414" s="138">
        <v>11.9643</v>
      </c>
      <c r="T414" s="137">
        <v>13.4</v>
      </c>
      <c r="U414" s="137">
        <v>0</v>
      </c>
      <c r="V414" s="137">
        <v>0</v>
      </c>
      <c r="W414" s="137">
        <v>0</v>
      </c>
      <c r="X414" s="137">
        <v>0</v>
      </c>
      <c r="Y414" s="137">
        <v>-0.4</v>
      </c>
      <c r="Z414" s="138">
        <v>15</v>
      </c>
      <c r="AA414" s="137">
        <v>0</v>
      </c>
      <c r="AB414" s="137">
        <v>0</v>
      </c>
      <c r="AC414" s="137"/>
      <c r="AD414" s="137">
        <v>0</v>
      </c>
      <c r="AE414" s="139">
        <v>-2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107</v>
      </c>
      <c r="F415" s="133" t="s">
        <v>113</v>
      </c>
      <c r="G415" s="134">
        <v>46132</v>
      </c>
      <c r="H415" s="135">
        <v>0.7666319444444445</v>
      </c>
      <c r="I415" s="136">
        <v>166004819</v>
      </c>
      <c r="J415" s="137">
        <v>488.7</v>
      </c>
      <c r="K415" s="137">
        <f>N415+O415+P415</f>
        <v>413.30140000000006</v>
      </c>
      <c r="L415" s="137">
        <f>Q415+R415</f>
        <v>75.3986</v>
      </c>
      <c r="M415" s="137">
        <f>IF(J415=K415+L415,0,Y415)</f>
        <v>0</v>
      </c>
      <c r="N415" s="138">
        <v>286.6942</v>
      </c>
      <c r="O415" s="137">
        <v>126.6072</v>
      </c>
      <c r="P415" s="137">
        <v>0</v>
      </c>
      <c r="Q415" s="137">
        <v>60.2058</v>
      </c>
      <c r="R415" s="137">
        <v>15.1928</v>
      </c>
      <c r="S415" s="138">
        <v>413.3014</v>
      </c>
      <c r="T415" s="137">
        <v>488.7</v>
      </c>
      <c r="U415" s="137">
        <v>0</v>
      </c>
      <c r="V415" s="137">
        <v>0</v>
      </c>
      <c r="W415" s="137">
        <v>0</v>
      </c>
      <c r="X415" s="137">
        <v>0</v>
      </c>
      <c r="Y415" s="137">
        <v>0</v>
      </c>
      <c r="Z415" s="138">
        <v>0</v>
      </c>
      <c r="AA415" s="137">
        <v>0</v>
      </c>
      <c r="AB415" s="137">
        <v>488.7</v>
      </c>
      <c r="AC415" s="137">
        <v>0</v>
      </c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107</v>
      </c>
      <c r="F416" s="133" t="s">
        <v>113</v>
      </c>
      <c r="G416" s="134">
        <v>46132</v>
      </c>
      <c r="H416" s="135">
        <v>0.7692013888888889</v>
      </c>
      <c r="I416" s="136">
        <v>166004820</v>
      </c>
      <c r="J416" s="137">
        <v>145.8</v>
      </c>
      <c r="K416" s="137">
        <f>N416+O416+P416</f>
        <v>112.686</v>
      </c>
      <c r="L416" s="137">
        <f>Q416+R416</f>
        <v>33.114</v>
      </c>
      <c r="M416" s="137">
        <f>IF(J416=K416+L416,0,Y416)</f>
        <v>0</v>
      </c>
      <c r="N416" s="138">
        <v>157.686</v>
      </c>
      <c r="O416" s="137">
        <v>0</v>
      </c>
      <c r="P416" s="137">
        <v>-45</v>
      </c>
      <c r="Q416" s="137">
        <v>33.114</v>
      </c>
      <c r="R416" s="137">
        <v>0</v>
      </c>
      <c r="S416" s="138">
        <v>157.686</v>
      </c>
      <c r="T416" s="137">
        <v>190.8</v>
      </c>
      <c r="U416" s="137">
        <v>0</v>
      </c>
      <c r="V416" s="137">
        <v>0</v>
      </c>
      <c r="W416" s="137">
        <v>0</v>
      </c>
      <c r="X416" s="137">
        <v>-45</v>
      </c>
      <c r="Y416" s="137">
        <v>0</v>
      </c>
      <c r="Z416" s="138">
        <v>0</v>
      </c>
      <c r="AA416" s="137">
        <v>0</v>
      </c>
      <c r="AB416" s="137">
        <v>145.8</v>
      </c>
      <c r="AC416" s="137">
        <v>0</v>
      </c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107</v>
      </c>
      <c r="F417" s="133" t="s">
        <v>113</v>
      </c>
      <c r="G417" s="134">
        <v>46132</v>
      </c>
      <c r="H417" s="135">
        <v>0.7733796296296296</v>
      </c>
      <c r="I417" s="136">
        <v>166004821</v>
      </c>
      <c r="J417" s="137">
        <v>276.34</v>
      </c>
      <c r="K417" s="137">
        <f>N417+O417+P417</f>
        <v>243.5577</v>
      </c>
      <c r="L417" s="137">
        <f>Q417+R417</f>
        <v>32.7823</v>
      </c>
      <c r="M417" s="137">
        <f>IF(J417=K417+L417,0,Y417)</f>
        <v>0</v>
      </c>
      <c r="N417" s="138">
        <v>39.5042</v>
      </c>
      <c r="O417" s="137">
        <v>204.0535</v>
      </c>
      <c r="P417" s="137">
        <v>0</v>
      </c>
      <c r="Q417" s="137">
        <v>8.2958</v>
      </c>
      <c r="R417" s="137">
        <v>24.4865</v>
      </c>
      <c r="S417" s="138">
        <v>243.5577</v>
      </c>
      <c r="T417" s="137">
        <v>276.34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276.34</v>
      </c>
      <c r="AC417" s="137">
        <v>0</v>
      </c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107</v>
      </c>
      <c r="F418" s="133" t="s">
        <v>113</v>
      </c>
      <c r="G418" s="134">
        <v>46132</v>
      </c>
      <c r="H418" s="135">
        <v>0.773912037037037</v>
      </c>
      <c r="I418" s="136">
        <v>166004822</v>
      </c>
      <c r="J418" s="137">
        <v>73.7</v>
      </c>
      <c r="K418" s="137">
        <f>N418+O418+P418</f>
        <v>65.8036</v>
      </c>
      <c r="L418" s="137">
        <f>Q418+R418</f>
        <v>7.8964</v>
      </c>
      <c r="M418" s="137">
        <f>IF(J418=K418+L418,0,Y418)</f>
        <v>0</v>
      </c>
      <c r="N418" s="138">
        <v>0</v>
      </c>
      <c r="O418" s="137">
        <v>65.8036</v>
      </c>
      <c r="P418" s="137">
        <v>0</v>
      </c>
      <c r="Q418" s="137">
        <v>0</v>
      </c>
      <c r="R418" s="137">
        <v>7.8964</v>
      </c>
      <c r="S418" s="138">
        <v>65.8036</v>
      </c>
      <c r="T418" s="137">
        <v>73.7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0</v>
      </c>
      <c r="AA418" s="137">
        <v>0</v>
      </c>
      <c r="AB418" s="137">
        <v>73.7</v>
      </c>
      <c r="AC418" s="137">
        <v>0</v>
      </c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107</v>
      </c>
      <c r="F419" s="133" t="s">
        <v>113</v>
      </c>
      <c r="G419" s="134">
        <v>46132</v>
      </c>
      <c r="H419" s="135">
        <v>0.7741203703703704</v>
      </c>
      <c r="I419" s="136">
        <v>166004823</v>
      </c>
      <c r="J419" s="137">
        <v>161</v>
      </c>
      <c r="K419" s="137">
        <f>N419+O419+P419</f>
        <v>133.0579</v>
      </c>
      <c r="L419" s="137">
        <f>Q419+R419</f>
        <v>27.9421</v>
      </c>
      <c r="M419" s="137">
        <f>IF(J419=K419+L419,0,Y419)</f>
        <v>0</v>
      </c>
      <c r="N419" s="138">
        <v>133.0579</v>
      </c>
      <c r="O419" s="137">
        <v>0</v>
      </c>
      <c r="P419" s="137">
        <v>0</v>
      </c>
      <c r="Q419" s="137">
        <v>27.9421</v>
      </c>
      <c r="R419" s="137">
        <v>0</v>
      </c>
      <c r="S419" s="138">
        <v>133.0579</v>
      </c>
      <c r="T419" s="137">
        <v>161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165</v>
      </c>
      <c r="AA419" s="137">
        <v>0</v>
      </c>
      <c r="AB419" s="137">
        <v>0</v>
      </c>
      <c r="AC419" s="137"/>
      <c r="AD419" s="137">
        <v>0</v>
      </c>
      <c r="AE419" s="139">
        <v>-4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107</v>
      </c>
      <c r="F420" s="133" t="s">
        <v>113</v>
      </c>
      <c r="G420" s="134">
        <v>46132</v>
      </c>
      <c r="H420" s="135">
        <v>0.7743518518518518</v>
      </c>
      <c r="I420" s="136">
        <v>166004824</v>
      </c>
      <c r="J420" s="137">
        <v>162</v>
      </c>
      <c r="K420" s="137">
        <f>N420+O420+P420</f>
        <v>133.8843</v>
      </c>
      <c r="L420" s="137">
        <f>Q420+R420</f>
        <v>28.1157</v>
      </c>
      <c r="M420" s="137">
        <f>IF(J420=K420+L420,0,Y420)</f>
        <v>0</v>
      </c>
      <c r="N420" s="138">
        <v>133.8843</v>
      </c>
      <c r="O420" s="137">
        <v>0</v>
      </c>
      <c r="P420" s="137">
        <v>0</v>
      </c>
      <c r="Q420" s="137">
        <v>28.1157</v>
      </c>
      <c r="R420" s="137">
        <v>0</v>
      </c>
      <c r="S420" s="138">
        <v>133.8843</v>
      </c>
      <c r="T420" s="137">
        <v>162</v>
      </c>
      <c r="U420" s="137">
        <v>0</v>
      </c>
      <c r="V420" s="137">
        <v>0</v>
      </c>
      <c r="W420" s="137">
        <v>0</v>
      </c>
      <c r="X420" s="137">
        <v>0</v>
      </c>
      <c r="Y420" s="137">
        <v>0</v>
      </c>
      <c r="Z420" s="138">
        <v>200</v>
      </c>
      <c r="AA420" s="137">
        <v>0</v>
      </c>
      <c r="AB420" s="137">
        <v>0</v>
      </c>
      <c r="AC420" s="137"/>
      <c r="AD420" s="137">
        <v>0</v>
      </c>
      <c r="AE420" s="139">
        <v>-38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107</v>
      </c>
      <c r="F421" s="133" t="s">
        <v>113</v>
      </c>
      <c r="G421" s="134">
        <v>46132</v>
      </c>
      <c r="H421" s="135">
        <v>0.7752083333333334</v>
      </c>
      <c r="I421" s="136">
        <v>166004825</v>
      </c>
      <c r="J421" s="137">
        <v>160.16</v>
      </c>
      <c r="K421" s="137">
        <f>N421+O421+P421</f>
        <v>143</v>
      </c>
      <c r="L421" s="137">
        <f>Q421+R421</f>
        <v>17.16</v>
      </c>
      <c r="M421" s="137">
        <f>IF(J421=K421+L421,0,Y421)</f>
        <v>0</v>
      </c>
      <c r="N421" s="138">
        <v>0</v>
      </c>
      <c r="O421" s="137">
        <v>143</v>
      </c>
      <c r="P421" s="137">
        <v>0</v>
      </c>
      <c r="Q421" s="137">
        <v>0</v>
      </c>
      <c r="R421" s="137">
        <v>17.16</v>
      </c>
      <c r="S421" s="138">
        <v>143</v>
      </c>
      <c r="T421" s="137">
        <v>160.16</v>
      </c>
      <c r="U421" s="137">
        <v>0</v>
      </c>
      <c r="V421" s="137">
        <v>0</v>
      </c>
      <c r="W421" s="137">
        <v>0</v>
      </c>
      <c r="X421" s="137">
        <v>0</v>
      </c>
      <c r="Y421" s="137">
        <v>0</v>
      </c>
      <c r="Z421" s="138">
        <v>0</v>
      </c>
      <c r="AA421" s="137">
        <v>0</v>
      </c>
      <c r="AB421" s="137">
        <v>160.16</v>
      </c>
      <c r="AC421" s="137">
        <v>0</v>
      </c>
      <c r="AD421" s="137">
        <v>0</v>
      </c>
      <c r="AE421" s="139">
        <v>0</v>
      </c>
      <c r="AF421" s="56">
        <v>18.87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107</v>
      </c>
      <c r="F422" s="133" t="s">
        <v>113</v>
      </c>
      <c r="G422" s="134">
        <v>46132</v>
      </c>
      <c r="H422" s="135">
        <v>0.7765972222222223</v>
      </c>
      <c r="I422" s="136">
        <v>166004826</v>
      </c>
      <c r="J422" s="137">
        <v>131</v>
      </c>
      <c r="K422" s="137">
        <f>N422+O422+P422</f>
        <v>108.595</v>
      </c>
      <c r="L422" s="137">
        <f>Q422+R422</f>
        <v>22.805</v>
      </c>
      <c r="M422" s="137">
        <f>IF(J422=K422+L422,0,Y422)</f>
        <v>-0.4</v>
      </c>
      <c r="N422" s="138">
        <v>108.595</v>
      </c>
      <c r="O422" s="137">
        <v>0</v>
      </c>
      <c r="P422" s="137">
        <v>0</v>
      </c>
      <c r="Q422" s="137">
        <v>22.805</v>
      </c>
      <c r="R422" s="137">
        <v>0</v>
      </c>
      <c r="S422" s="138">
        <v>108.595</v>
      </c>
      <c r="T422" s="137">
        <v>131.4</v>
      </c>
      <c r="U422" s="137">
        <v>0</v>
      </c>
      <c r="V422" s="137">
        <v>0</v>
      </c>
      <c r="W422" s="137">
        <v>0</v>
      </c>
      <c r="X422" s="137">
        <v>0</v>
      </c>
      <c r="Y422" s="137">
        <v>-0.4</v>
      </c>
      <c r="Z422" s="138">
        <v>200</v>
      </c>
      <c r="AA422" s="137">
        <v>0</v>
      </c>
      <c r="AB422" s="137">
        <v>0</v>
      </c>
      <c r="AC422" s="137"/>
      <c r="AD422" s="137">
        <v>0</v>
      </c>
      <c r="AE422" s="139">
        <v>-69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107</v>
      </c>
      <c r="F423" s="133" t="s">
        <v>113</v>
      </c>
      <c r="G423" s="134">
        <v>46132</v>
      </c>
      <c r="H423" s="135">
        <v>0.7771064814814815</v>
      </c>
      <c r="I423" s="136">
        <v>166004827</v>
      </c>
      <c r="J423" s="137">
        <v>164</v>
      </c>
      <c r="K423" s="137">
        <f>N423+O423+P423</f>
        <v>136.0869</v>
      </c>
      <c r="L423" s="137">
        <f>Q423+R423</f>
        <v>27.4131</v>
      </c>
      <c r="M423" s="137">
        <f>IF(J423=K423+L423,0,Y423)</f>
        <v>0.5</v>
      </c>
      <c r="N423" s="138">
        <v>123.1405</v>
      </c>
      <c r="O423" s="137">
        <v>12.9464</v>
      </c>
      <c r="P423" s="137">
        <v>0</v>
      </c>
      <c r="Q423" s="137">
        <v>25.8595</v>
      </c>
      <c r="R423" s="137">
        <v>1.5536</v>
      </c>
      <c r="S423" s="138">
        <v>136.0869</v>
      </c>
      <c r="T423" s="137">
        <v>163.5</v>
      </c>
      <c r="U423" s="137">
        <v>0</v>
      </c>
      <c r="V423" s="137">
        <v>0</v>
      </c>
      <c r="W423" s="137">
        <v>0</v>
      </c>
      <c r="X423" s="137">
        <v>0</v>
      </c>
      <c r="Y423" s="137">
        <v>0.5</v>
      </c>
      <c r="Z423" s="138">
        <v>2000</v>
      </c>
      <c r="AA423" s="137">
        <v>0</v>
      </c>
      <c r="AB423" s="137">
        <v>0</v>
      </c>
      <c r="AC423" s="137"/>
      <c r="AD423" s="137">
        <v>0</v>
      </c>
      <c r="AE423" s="139">
        <v>-1836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107</v>
      </c>
      <c r="F424" s="133" t="s">
        <v>113</v>
      </c>
      <c r="G424" s="134">
        <v>46132</v>
      </c>
      <c r="H424" s="135">
        <v>0.7780439814814815</v>
      </c>
      <c r="I424" s="136">
        <v>166004828</v>
      </c>
      <c r="J424" s="137">
        <v>61.86</v>
      </c>
      <c r="K424" s="137">
        <f>N424+O424+P424</f>
        <v>55.2321</v>
      </c>
      <c r="L424" s="137">
        <f>Q424+R424</f>
        <v>6.6279</v>
      </c>
      <c r="M424" s="137">
        <f>IF(J424=K424+L424,0,Y424)</f>
        <v>0</v>
      </c>
      <c r="N424" s="138">
        <v>0</v>
      </c>
      <c r="O424" s="137">
        <v>55.2321</v>
      </c>
      <c r="P424" s="137">
        <v>0</v>
      </c>
      <c r="Q424" s="137">
        <v>0</v>
      </c>
      <c r="R424" s="137">
        <v>6.6279</v>
      </c>
      <c r="S424" s="138">
        <v>55.2321</v>
      </c>
      <c r="T424" s="137">
        <v>61.86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61.86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107</v>
      </c>
      <c r="F425" s="133" t="s">
        <v>113</v>
      </c>
      <c r="G425" s="134">
        <v>46132</v>
      </c>
      <c r="H425" s="135">
        <v>0.7784143518518518</v>
      </c>
      <c r="I425" s="136">
        <v>166004829</v>
      </c>
      <c r="J425" s="137">
        <v>119.7</v>
      </c>
      <c r="K425" s="137">
        <f>N425+O425+P425</f>
        <v>106.875</v>
      </c>
      <c r="L425" s="137">
        <f>Q425+R425</f>
        <v>12.825</v>
      </c>
      <c r="M425" s="137">
        <f>IF(J425=K425+L425,0,Y425)</f>
        <v>0</v>
      </c>
      <c r="N425" s="138">
        <v>0</v>
      </c>
      <c r="O425" s="137">
        <v>106.875</v>
      </c>
      <c r="P425" s="137">
        <v>0</v>
      </c>
      <c r="Q425" s="137">
        <v>0</v>
      </c>
      <c r="R425" s="137">
        <v>12.825</v>
      </c>
      <c r="S425" s="138">
        <v>106.875</v>
      </c>
      <c r="T425" s="137">
        <v>119.7</v>
      </c>
      <c r="U425" s="137">
        <v>0</v>
      </c>
      <c r="V425" s="137">
        <v>0</v>
      </c>
      <c r="W425" s="137">
        <v>0</v>
      </c>
      <c r="X425" s="137">
        <v>0</v>
      </c>
      <c r="Y425" s="137">
        <v>0</v>
      </c>
      <c r="Z425" s="138">
        <v>0</v>
      </c>
      <c r="AA425" s="137">
        <v>0</v>
      </c>
      <c r="AB425" s="137">
        <v>119.7</v>
      </c>
      <c r="AC425" s="137">
        <v>0</v>
      </c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107</v>
      </c>
      <c r="F426" s="133" t="s">
        <v>113</v>
      </c>
      <c r="G426" s="134">
        <v>46132</v>
      </c>
      <c r="H426" s="135">
        <v>0.7813888888888889</v>
      </c>
      <c r="I426" s="136">
        <v>166004830</v>
      </c>
      <c r="J426" s="137">
        <v>231</v>
      </c>
      <c r="K426" s="137">
        <f>N426+O426+P426</f>
        <v>206.3393</v>
      </c>
      <c r="L426" s="137">
        <f>Q426+R426</f>
        <v>24.7607</v>
      </c>
      <c r="M426" s="137">
        <f>IF(J426=K426+L426,0,Y426)</f>
        <v>-0.1</v>
      </c>
      <c r="N426" s="138">
        <v>0</v>
      </c>
      <c r="O426" s="137">
        <v>206.3393</v>
      </c>
      <c r="P426" s="137">
        <v>0</v>
      </c>
      <c r="Q426" s="137">
        <v>0</v>
      </c>
      <c r="R426" s="137">
        <v>24.7607</v>
      </c>
      <c r="S426" s="138">
        <v>206.3393</v>
      </c>
      <c r="T426" s="137">
        <v>231.1</v>
      </c>
      <c r="U426" s="137">
        <v>0</v>
      </c>
      <c r="V426" s="137">
        <v>0</v>
      </c>
      <c r="W426" s="137">
        <v>0</v>
      </c>
      <c r="X426" s="137">
        <v>0</v>
      </c>
      <c r="Y426" s="137">
        <v>-0.1</v>
      </c>
      <c r="Z426" s="138">
        <v>231</v>
      </c>
      <c r="AA426" s="137">
        <v>0</v>
      </c>
      <c r="AB426" s="137">
        <v>0</v>
      </c>
      <c r="AC426" s="137"/>
      <c r="AD426" s="137">
        <v>0</v>
      </c>
      <c r="AE426" s="139">
        <v>0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107</v>
      </c>
      <c r="F427" s="133" t="s">
        <v>113</v>
      </c>
      <c r="G427" s="134">
        <v>46132</v>
      </c>
      <c r="H427" s="135">
        <v>0.7817013888888888</v>
      </c>
      <c r="I427" s="136">
        <v>166004831</v>
      </c>
      <c r="J427" s="137">
        <v>362</v>
      </c>
      <c r="K427" s="137">
        <f>N427+O427+P427</f>
        <v>299.9654</v>
      </c>
      <c r="L427" s="137">
        <f>Q427+R427</f>
        <v>61.6346</v>
      </c>
      <c r="M427" s="137">
        <f>IF(J427=K427+L427,0,Y427)</f>
        <v>0.4</v>
      </c>
      <c r="N427" s="138">
        <v>284.8761</v>
      </c>
      <c r="O427" s="137">
        <v>15.0893</v>
      </c>
      <c r="P427" s="137">
        <v>0</v>
      </c>
      <c r="Q427" s="137">
        <v>59.8239</v>
      </c>
      <c r="R427" s="137">
        <v>1.8107</v>
      </c>
      <c r="S427" s="138">
        <v>299.9654</v>
      </c>
      <c r="T427" s="137">
        <v>361.6</v>
      </c>
      <c r="U427" s="137">
        <v>0</v>
      </c>
      <c r="V427" s="137">
        <v>0</v>
      </c>
      <c r="W427" s="137">
        <v>0</v>
      </c>
      <c r="X427" s="137">
        <v>0</v>
      </c>
      <c r="Y427" s="137">
        <v>0.4</v>
      </c>
      <c r="Z427" s="138">
        <v>500</v>
      </c>
      <c r="AA427" s="137">
        <v>0</v>
      </c>
      <c r="AB427" s="137">
        <v>0</v>
      </c>
      <c r="AC427" s="137"/>
      <c r="AD427" s="137">
        <v>0</v>
      </c>
      <c r="AE427" s="139">
        <v>-138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107</v>
      </c>
      <c r="F428" s="133" t="s">
        <v>113</v>
      </c>
      <c r="G428" s="134">
        <v>46132</v>
      </c>
      <c r="H428" s="135">
        <v>0.7825578703703704</v>
      </c>
      <c r="I428" s="136">
        <v>166004832</v>
      </c>
      <c r="J428" s="137">
        <v>142.8</v>
      </c>
      <c r="K428" s="137">
        <f>N428+O428+P428</f>
        <v>118.0165</v>
      </c>
      <c r="L428" s="137">
        <f>Q428+R428</f>
        <v>24.7835</v>
      </c>
      <c r="M428" s="137">
        <f>IF(J428=K428+L428,0,Y428)</f>
        <v>0</v>
      </c>
      <c r="N428" s="138">
        <v>118.0165</v>
      </c>
      <c r="O428" s="137">
        <v>0</v>
      </c>
      <c r="P428" s="137">
        <v>0</v>
      </c>
      <c r="Q428" s="137">
        <v>24.7835</v>
      </c>
      <c r="R428" s="137">
        <v>0</v>
      </c>
      <c r="S428" s="138">
        <v>118.0165</v>
      </c>
      <c r="T428" s="137">
        <v>142.8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142.8</v>
      </c>
      <c r="AC428" s="137">
        <v>0</v>
      </c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107</v>
      </c>
      <c r="F429" s="133" t="s">
        <v>113</v>
      </c>
      <c r="G429" s="134">
        <v>46132</v>
      </c>
      <c r="H429" s="135">
        <v>0.783599537037037</v>
      </c>
      <c r="I429" s="136">
        <v>166004833</v>
      </c>
      <c r="J429" s="137">
        <v>49.8</v>
      </c>
      <c r="K429" s="137">
        <f>N429+O429+P429</f>
        <v>44.4643</v>
      </c>
      <c r="L429" s="137">
        <f>Q429+R429</f>
        <v>5.3357</v>
      </c>
      <c r="M429" s="137">
        <f>IF(J429=K429+L429,0,Y429)</f>
        <v>0</v>
      </c>
      <c r="N429" s="138">
        <v>0</v>
      </c>
      <c r="O429" s="137">
        <v>44.4643</v>
      </c>
      <c r="P429" s="137">
        <v>0</v>
      </c>
      <c r="Q429" s="137">
        <v>0</v>
      </c>
      <c r="R429" s="137">
        <v>5.3357</v>
      </c>
      <c r="S429" s="138">
        <v>44.4643</v>
      </c>
      <c r="T429" s="137">
        <v>49.8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0</v>
      </c>
      <c r="AA429" s="137">
        <v>0</v>
      </c>
      <c r="AB429" s="137">
        <v>49.8</v>
      </c>
      <c r="AC429" s="137">
        <v>0</v>
      </c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107</v>
      </c>
      <c r="F430" s="133" t="s">
        <v>113</v>
      </c>
      <c r="G430" s="134">
        <v>46132</v>
      </c>
      <c r="H430" s="135">
        <v>0.7875810185185185</v>
      </c>
      <c r="I430" s="136">
        <v>166004834</v>
      </c>
      <c r="J430" s="137">
        <v>146</v>
      </c>
      <c r="K430" s="137">
        <f>N430+O430+P430</f>
        <v>126.89420000000001</v>
      </c>
      <c r="L430" s="137">
        <f>Q430+R430</f>
        <v>19.0058</v>
      </c>
      <c r="M430" s="137">
        <f>IF(J430=K430+L430,0,Y430)</f>
        <v>0.1</v>
      </c>
      <c r="N430" s="138">
        <v>41.9835</v>
      </c>
      <c r="O430" s="137">
        <v>84.9107</v>
      </c>
      <c r="P430" s="137">
        <v>0</v>
      </c>
      <c r="Q430" s="137">
        <v>8.8165</v>
      </c>
      <c r="R430" s="137">
        <v>10.1893</v>
      </c>
      <c r="S430" s="138">
        <v>126.8942</v>
      </c>
      <c r="T430" s="137">
        <v>145.9</v>
      </c>
      <c r="U430" s="137">
        <v>0</v>
      </c>
      <c r="V430" s="137">
        <v>0</v>
      </c>
      <c r="W430" s="137">
        <v>0</v>
      </c>
      <c r="X430" s="137">
        <v>0</v>
      </c>
      <c r="Y430" s="137">
        <v>0.1</v>
      </c>
      <c r="Z430" s="138">
        <v>2000</v>
      </c>
      <c r="AA430" s="137">
        <v>0</v>
      </c>
      <c r="AB430" s="137">
        <v>0</v>
      </c>
      <c r="AC430" s="137"/>
      <c r="AD430" s="137">
        <v>0</v>
      </c>
      <c r="AE430" s="139">
        <v>-1854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107</v>
      </c>
      <c r="F431" s="133" t="s">
        <v>113</v>
      </c>
      <c r="G431" s="134">
        <v>46132</v>
      </c>
      <c r="H431" s="135">
        <v>0.7881018518518519</v>
      </c>
      <c r="I431" s="136">
        <v>166004835</v>
      </c>
      <c r="J431" s="137">
        <v>71</v>
      </c>
      <c r="K431" s="137">
        <f>N431+O431+P431</f>
        <v>63.2143</v>
      </c>
      <c r="L431" s="137">
        <f>Q431+R431</f>
        <v>7.5857</v>
      </c>
      <c r="M431" s="137">
        <f>IF(J431=K431+L431,0,Y431)</f>
        <v>0.2</v>
      </c>
      <c r="N431" s="138">
        <v>0</v>
      </c>
      <c r="O431" s="137">
        <v>63.2143</v>
      </c>
      <c r="P431" s="137">
        <v>0</v>
      </c>
      <c r="Q431" s="137">
        <v>0</v>
      </c>
      <c r="R431" s="137">
        <v>7.5857</v>
      </c>
      <c r="S431" s="138">
        <v>63.2143</v>
      </c>
      <c r="T431" s="137">
        <v>70.8</v>
      </c>
      <c r="U431" s="137">
        <v>0</v>
      </c>
      <c r="V431" s="137">
        <v>0</v>
      </c>
      <c r="W431" s="137">
        <v>0</v>
      </c>
      <c r="X431" s="137">
        <v>0</v>
      </c>
      <c r="Y431" s="137">
        <v>0.2</v>
      </c>
      <c r="Z431" s="138">
        <v>100</v>
      </c>
      <c r="AA431" s="137">
        <v>0</v>
      </c>
      <c r="AB431" s="137">
        <v>0</v>
      </c>
      <c r="AC431" s="137"/>
      <c r="AD431" s="137">
        <v>0</v>
      </c>
      <c r="AE431" s="139">
        <v>-29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107</v>
      </c>
      <c r="F432" s="133" t="s">
        <v>113</v>
      </c>
      <c r="G432" s="134">
        <v>46132</v>
      </c>
      <c r="H432" s="135">
        <v>0.7884027777777778</v>
      </c>
      <c r="I432" s="136">
        <v>166004836</v>
      </c>
      <c r="J432" s="137">
        <v>41</v>
      </c>
      <c r="K432" s="137">
        <f>N432+O432+P432</f>
        <v>37.0357</v>
      </c>
      <c r="L432" s="137">
        <f>Q432+R432</f>
        <v>4.4443</v>
      </c>
      <c r="M432" s="137">
        <f>IF(J432=K432+L432,0,Y432)</f>
        <v>-0.48</v>
      </c>
      <c r="N432" s="138">
        <v>0</v>
      </c>
      <c r="O432" s="137">
        <v>37.0357</v>
      </c>
      <c r="P432" s="137">
        <v>0</v>
      </c>
      <c r="Q432" s="137">
        <v>0</v>
      </c>
      <c r="R432" s="137">
        <v>4.4443</v>
      </c>
      <c r="S432" s="138">
        <v>37.0357</v>
      </c>
      <c r="T432" s="137">
        <v>41.48</v>
      </c>
      <c r="U432" s="137">
        <v>0</v>
      </c>
      <c r="V432" s="137">
        <v>0</v>
      </c>
      <c r="W432" s="137">
        <v>0</v>
      </c>
      <c r="X432" s="137">
        <v>0</v>
      </c>
      <c r="Y432" s="137">
        <v>-0.48</v>
      </c>
      <c r="Z432" s="138">
        <v>100</v>
      </c>
      <c r="AA432" s="137">
        <v>0</v>
      </c>
      <c r="AB432" s="137">
        <v>0</v>
      </c>
      <c r="AC432" s="137"/>
      <c r="AD432" s="137">
        <v>0</v>
      </c>
      <c r="AE432" s="139">
        <v>-59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107</v>
      </c>
      <c r="F433" s="133" t="s">
        <v>113</v>
      </c>
      <c r="G433" s="134">
        <v>46132</v>
      </c>
      <c r="H433" s="135">
        <v>0.7928009259259259</v>
      </c>
      <c r="I433" s="136">
        <v>166004837</v>
      </c>
      <c r="J433" s="137">
        <v>424.13</v>
      </c>
      <c r="K433" s="137">
        <f>N433+O433+P433</f>
        <v>374.7163</v>
      </c>
      <c r="L433" s="137">
        <f>Q433+R433</f>
        <v>49.413700000000006</v>
      </c>
      <c r="M433" s="137">
        <f>IF(J433=K433+L433,0,Y433)</f>
        <v>0</v>
      </c>
      <c r="N433" s="138">
        <v>49.4215</v>
      </c>
      <c r="O433" s="137">
        <v>325.2948</v>
      </c>
      <c r="P433" s="137">
        <v>0</v>
      </c>
      <c r="Q433" s="137">
        <v>10.3785</v>
      </c>
      <c r="R433" s="137">
        <v>39.0352</v>
      </c>
      <c r="S433" s="138">
        <v>374.7163</v>
      </c>
      <c r="T433" s="137">
        <v>424.13</v>
      </c>
      <c r="U433" s="137">
        <v>0</v>
      </c>
      <c r="V433" s="137">
        <v>0</v>
      </c>
      <c r="W433" s="137">
        <v>0</v>
      </c>
      <c r="X433" s="137">
        <v>0</v>
      </c>
      <c r="Y433" s="137">
        <v>0</v>
      </c>
      <c r="Z433" s="138">
        <v>0</v>
      </c>
      <c r="AA433" s="137">
        <v>0</v>
      </c>
      <c r="AB433" s="137">
        <v>424.13</v>
      </c>
      <c r="AC433" s="137">
        <v>0</v>
      </c>
      <c r="AD433" s="137">
        <v>0</v>
      </c>
      <c r="AE433" s="139">
        <v>0</v>
      </c>
      <c r="AF433" s="56">
        <v>25.11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107</v>
      </c>
      <c r="F434" s="133" t="s">
        <v>113</v>
      </c>
      <c r="G434" s="134">
        <v>46132</v>
      </c>
      <c r="H434" s="135">
        <v>0.795</v>
      </c>
      <c r="I434" s="136">
        <v>166004838</v>
      </c>
      <c r="J434" s="137">
        <v>53</v>
      </c>
      <c r="K434" s="137">
        <f>N434+O434+P434</f>
        <v>43.6363</v>
      </c>
      <c r="L434" s="137">
        <f>Q434+R434</f>
        <v>9.1637</v>
      </c>
      <c r="M434" s="137">
        <f>IF(J434=K434+L434,0,Y434)</f>
        <v>0.2</v>
      </c>
      <c r="N434" s="138">
        <v>43.6363</v>
      </c>
      <c r="O434" s="137">
        <v>0</v>
      </c>
      <c r="P434" s="137">
        <v>0</v>
      </c>
      <c r="Q434" s="137">
        <v>9.1637</v>
      </c>
      <c r="R434" s="137">
        <v>0</v>
      </c>
      <c r="S434" s="138">
        <v>43.6363</v>
      </c>
      <c r="T434" s="137">
        <v>52.8</v>
      </c>
      <c r="U434" s="137">
        <v>0</v>
      </c>
      <c r="V434" s="137">
        <v>0</v>
      </c>
      <c r="W434" s="137">
        <v>0</v>
      </c>
      <c r="X434" s="137">
        <v>0</v>
      </c>
      <c r="Y434" s="137">
        <v>0.2</v>
      </c>
      <c r="Z434" s="138">
        <v>53</v>
      </c>
      <c r="AA434" s="137">
        <v>0</v>
      </c>
      <c r="AB434" s="137">
        <v>0</v>
      </c>
      <c r="AC434" s="137"/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107</v>
      </c>
      <c r="F435" s="133" t="s">
        <v>113</v>
      </c>
      <c r="G435" s="134">
        <v>46132</v>
      </c>
      <c r="H435" s="135">
        <v>0.7969675925925926</v>
      </c>
      <c r="I435" s="136">
        <v>166004839</v>
      </c>
      <c r="J435" s="137">
        <v>65.8</v>
      </c>
      <c r="K435" s="137">
        <f>N435+O435+P435</f>
        <v>55.4214</v>
      </c>
      <c r="L435" s="137">
        <f>Q435+R435</f>
        <v>10.3786</v>
      </c>
      <c r="M435" s="137">
        <f>IF(J435=K435+L435,0,Y435)</f>
        <v>0</v>
      </c>
      <c r="N435" s="138">
        <v>49.4214</v>
      </c>
      <c r="O435" s="137">
        <v>0</v>
      </c>
      <c r="P435" s="137">
        <v>6</v>
      </c>
      <c r="Q435" s="137">
        <v>10.3786</v>
      </c>
      <c r="R435" s="137">
        <v>0</v>
      </c>
      <c r="S435" s="138">
        <v>49.4214</v>
      </c>
      <c r="T435" s="137">
        <v>59.8</v>
      </c>
      <c r="U435" s="137">
        <v>0</v>
      </c>
      <c r="V435" s="137">
        <v>0</v>
      </c>
      <c r="W435" s="137">
        <v>6</v>
      </c>
      <c r="X435" s="137">
        <v>0</v>
      </c>
      <c r="Y435" s="137">
        <v>0</v>
      </c>
      <c r="Z435" s="138">
        <v>0</v>
      </c>
      <c r="AA435" s="137">
        <v>0</v>
      </c>
      <c r="AB435" s="137">
        <v>65.8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107</v>
      </c>
      <c r="F436" s="133" t="s">
        <v>113</v>
      </c>
      <c r="G436" s="134">
        <v>46132</v>
      </c>
      <c r="H436" s="135">
        <v>0.8003472222222222</v>
      </c>
      <c r="I436" s="136">
        <v>166004840</v>
      </c>
      <c r="J436" s="137">
        <v>46</v>
      </c>
      <c r="K436" s="137">
        <f>N436+O436+P436</f>
        <v>40.9821</v>
      </c>
      <c r="L436" s="137">
        <f>Q436+R436</f>
        <v>4.9179</v>
      </c>
      <c r="M436" s="137">
        <f>IF(J436=K436+L436,0,Y436)</f>
        <v>0.1</v>
      </c>
      <c r="N436" s="138">
        <v>0</v>
      </c>
      <c r="O436" s="137">
        <v>40.9821</v>
      </c>
      <c r="P436" s="137">
        <v>0</v>
      </c>
      <c r="Q436" s="137">
        <v>0</v>
      </c>
      <c r="R436" s="137">
        <v>4.9179</v>
      </c>
      <c r="S436" s="138">
        <v>40.9821</v>
      </c>
      <c r="T436" s="137">
        <v>45.9</v>
      </c>
      <c r="U436" s="137">
        <v>0</v>
      </c>
      <c r="V436" s="137">
        <v>0</v>
      </c>
      <c r="W436" s="137">
        <v>0</v>
      </c>
      <c r="X436" s="137">
        <v>0</v>
      </c>
      <c r="Y436" s="137">
        <v>0.1</v>
      </c>
      <c r="Z436" s="138">
        <v>46</v>
      </c>
      <c r="AA436" s="137">
        <v>0</v>
      </c>
      <c r="AB436" s="137">
        <v>0</v>
      </c>
      <c r="AC436" s="137"/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107</v>
      </c>
      <c r="F437" s="133" t="s">
        <v>113</v>
      </c>
      <c r="G437" s="134">
        <v>46132</v>
      </c>
      <c r="H437" s="135">
        <v>0.801712962962963</v>
      </c>
      <c r="I437" s="136">
        <v>166004841</v>
      </c>
      <c r="J437" s="137">
        <v>34.09</v>
      </c>
      <c r="K437" s="137">
        <f>N437+O437+P437</f>
        <v>30.4375</v>
      </c>
      <c r="L437" s="137">
        <f>Q437+R437</f>
        <v>3.6525</v>
      </c>
      <c r="M437" s="137">
        <f>IF(J437=K437+L437,0,Y437)</f>
        <v>0</v>
      </c>
      <c r="N437" s="138">
        <v>0</v>
      </c>
      <c r="O437" s="137">
        <v>30.4375</v>
      </c>
      <c r="P437" s="137">
        <v>0</v>
      </c>
      <c r="Q437" s="137">
        <v>0</v>
      </c>
      <c r="R437" s="137">
        <v>3.6525</v>
      </c>
      <c r="S437" s="138">
        <v>30.4375</v>
      </c>
      <c r="T437" s="137">
        <v>34.09</v>
      </c>
      <c r="U437" s="137">
        <v>0</v>
      </c>
      <c r="V437" s="137">
        <v>0</v>
      </c>
      <c r="W437" s="137">
        <v>0</v>
      </c>
      <c r="X437" s="137">
        <v>0</v>
      </c>
      <c r="Y437" s="137">
        <v>0</v>
      </c>
      <c r="Z437" s="138">
        <v>0</v>
      </c>
      <c r="AA437" s="137">
        <v>0</v>
      </c>
      <c r="AB437" s="137">
        <v>34.09</v>
      </c>
      <c r="AC437" s="137">
        <v>0</v>
      </c>
      <c r="AD437" s="137">
        <v>0</v>
      </c>
      <c r="AE437" s="139">
        <v>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107</v>
      </c>
      <c r="F438" s="133" t="s">
        <v>113</v>
      </c>
      <c r="G438" s="134">
        <v>46132</v>
      </c>
      <c r="H438" s="135">
        <v>0.8034143518518518</v>
      </c>
      <c r="I438" s="136">
        <v>166004842</v>
      </c>
      <c r="J438" s="137">
        <v>40</v>
      </c>
      <c r="K438" s="137">
        <f>N438+O438+P438</f>
        <v>35.5358</v>
      </c>
      <c r="L438" s="137">
        <f>Q438+R438</f>
        <v>4.2642</v>
      </c>
      <c r="M438" s="137">
        <f>IF(J438=K438+L438,0,Y438)</f>
        <v>0.2</v>
      </c>
      <c r="N438" s="138">
        <v>0</v>
      </c>
      <c r="O438" s="137">
        <v>35.5358</v>
      </c>
      <c r="P438" s="137">
        <v>0</v>
      </c>
      <c r="Q438" s="137">
        <v>0</v>
      </c>
      <c r="R438" s="137">
        <v>4.2642</v>
      </c>
      <c r="S438" s="138">
        <v>35.5358</v>
      </c>
      <c r="T438" s="137">
        <v>39.8</v>
      </c>
      <c r="U438" s="137">
        <v>0</v>
      </c>
      <c r="V438" s="137">
        <v>0</v>
      </c>
      <c r="W438" s="137">
        <v>0</v>
      </c>
      <c r="X438" s="137">
        <v>0</v>
      </c>
      <c r="Y438" s="137">
        <v>0.2</v>
      </c>
      <c r="Z438" s="138">
        <v>200</v>
      </c>
      <c r="AA438" s="137">
        <v>0</v>
      </c>
      <c r="AB438" s="137">
        <v>0</v>
      </c>
      <c r="AC438" s="137"/>
      <c r="AD438" s="137">
        <v>0</v>
      </c>
      <c r="AE438" s="139">
        <v>-160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107</v>
      </c>
      <c r="F439" s="133" t="s">
        <v>113</v>
      </c>
      <c r="G439" s="134">
        <v>46132</v>
      </c>
      <c r="H439" s="135">
        <v>0.8099884259259259</v>
      </c>
      <c r="I439" s="136">
        <v>166004843</v>
      </c>
      <c r="J439" s="137">
        <v>660</v>
      </c>
      <c r="K439" s="137">
        <f>N439+O439+P439</f>
        <v>566.1252999999999</v>
      </c>
      <c r="L439" s="137">
        <f>Q439+R439</f>
        <v>93.7747</v>
      </c>
      <c r="M439" s="137">
        <f>IF(J439=K439+L439,0,Y439)</f>
        <v>0.1</v>
      </c>
      <c r="N439" s="138">
        <v>287.1074</v>
      </c>
      <c r="O439" s="137">
        <v>279.0179</v>
      </c>
      <c r="P439" s="137">
        <v>0</v>
      </c>
      <c r="Q439" s="137">
        <v>60.2926</v>
      </c>
      <c r="R439" s="137">
        <v>33.4821</v>
      </c>
      <c r="S439" s="138">
        <v>566.1253</v>
      </c>
      <c r="T439" s="137">
        <v>659.9</v>
      </c>
      <c r="U439" s="137">
        <v>0</v>
      </c>
      <c r="V439" s="137">
        <v>0</v>
      </c>
      <c r="W439" s="137">
        <v>0</v>
      </c>
      <c r="X439" s="137">
        <v>0</v>
      </c>
      <c r="Y439" s="137">
        <v>0.1</v>
      </c>
      <c r="Z439" s="138">
        <v>700</v>
      </c>
      <c r="AA439" s="137">
        <v>0</v>
      </c>
      <c r="AB439" s="137">
        <v>0</v>
      </c>
      <c r="AC439" s="137"/>
      <c r="AD439" s="137">
        <v>0</v>
      </c>
      <c r="AE439" s="139">
        <v>-40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107</v>
      </c>
      <c r="F440" s="133" t="s">
        <v>113</v>
      </c>
      <c r="G440" s="134">
        <v>46132</v>
      </c>
      <c r="H440" s="135">
        <v>0.8105092592592592</v>
      </c>
      <c r="I440" s="136">
        <v>166004844</v>
      </c>
      <c r="J440" s="137">
        <v>55.07</v>
      </c>
      <c r="K440" s="137">
        <f>N440+O440+P440</f>
        <v>47.0578</v>
      </c>
      <c r="L440" s="137">
        <f>Q440+R440</f>
        <v>8.0122</v>
      </c>
      <c r="M440" s="137">
        <f>IF(J440=K440+L440,0,Y440)</f>
        <v>0</v>
      </c>
      <c r="N440" s="138">
        <v>26.281</v>
      </c>
      <c r="O440" s="137">
        <v>20.7768</v>
      </c>
      <c r="P440" s="137">
        <v>0</v>
      </c>
      <c r="Q440" s="137">
        <v>5.519</v>
      </c>
      <c r="R440" s="137">
        <v>2.4932</v>
      </c>
      <c r="S440" s="138">
        <v>47.0578</v>
      </c>
      <c r="T440" s="137">
        <v>55.07</v>
      </c>
      <c r="U440" s="137">
        <v>0</v>
      </c>
      <c r="V440" s="137">
        <v>0</v>
      </c>
      <c r="W440" s="137">
        <v>0</v>
      </c>
      <c r="X440" s="137">
        <v>0</v>
      </c>
      <c r="Y440" s="137">
        <v>0</v>
      </c>
      <c r="Z440" s="138">
        <v>0</v>
      </c>
      <c r="AA440" s="137">
        <v>0</v>
      </c>
      <c r="AB440" s="137">
        <v>55.07</v>
      </c>
      <c r="AC440" s="137">
        <v>0</v>
      </c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107</v>
      </c>
      <c r="F441" s="133" t="s">
        <v>113</v>
      </c>
      <c r="G441" s="134">
        <v>46132</v>
      </c>
      <c r="H441" s="135">
        <v>0.8136805555555555</v>
      </c>
      <c r="I441" s="136">
        <v>166004845</v>
      </c>
      <c r="J441" s="137">
        <v>322</v>
      </c>
      <c r="K441" s="137">
        <f>N441+O441+P441</f>
        <v>284.525</v>
      </c>
      <c r="L441" s="137">
        <f>Q441+R441</f>
        <v>37.475</v>
      </c>
      <c r="M441" s="137">
        <f>IF(J441=K441+L441,0,Y441)</f>
        <v>0</v>
      </c>
      <c r="N441" s="138">
        <v>37.0248</v>
      </c>
      <c r="O441" s="137">
        <v>247.5002</v>
      </c>
      <c r="P441" s="137">
        <v>0</v>
      </c>
      <c r="Q441" s="137">
        <v>7.7752</v>
      </c>
      <c r="R441" s="137">
        <v>29.6998</v>
      </c>
      <c r="S441" s="138">
        <v>284.525</v>
      </c>
      <c r="T441" s="137">
        <v>322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0</v>
      </c>
      <c r="AA441" s="137">
        <v>0</v>
      </c>
      <c r="AB441" s="137">
        <v>322</v>
      </c>
      <c r="AC441" s="137">
        <v>0</v>
      </c>
      <c r="AD441" s="137">
        <v>0</v>
      </c>
      <c r="AE441" s="139">
        <v>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107</v>
      </c>
      <c r="F442" s="133" t="s">
        <v>113</v>
      </c>
      <c r="G442" s="134">
        <v>46132</v>
      </c>
      <c r="H442" s="135">
        <v>0.8147106481481482</v>
      </c>
      <c r="I442" s="136">
        <v>166004846</v>
      </c>
      <c r="J442" s="137">
        <v>152</v>
      </c>
      <c r="K442" s="137">
        <f>N442+O442+P442</f>
        <v>134.116</v>
      </c>
      <c r="L442" s="137">
        <f>Q442+R442</f>
        <v>17.574</v>
      </c>
      <c r="M442" s="137">
        <f>IF(J442=K442+L442,0,Y442)</f>
        <v>0.31</v>
      </c>
      <c r="N442" s="138">
        <v>16.4463</v>
      </c>
      <c r="O442" s="137">
        <v>117.6697</v>
      </c>
      <c r="P442" s="137">
        <v>0</v>
      </c>
      <c r="Q442" s="137">
        <v>3.4537</v>
      </c>
      <c r="R442" s="137">
        <v>14.1203</v>
      </c>
      <c r="S442" s="138">
        <v>134.116</v>
      </c>
      <c r="T442" s="137">
        <v>151.69</v>
      </c>
      <c r="U442" s="137">
        <v>0</v>
      </c>
      <c r="V442" s="137">
        <v>0</v>
      </c>
      <c r="W442" s="137">
        <v>0</v>
      </c>
      <c r="X442" s="137">
        <v>0</v>
      </c>
      <c r="Y442" s="137">
        <v>0.31</v>
      </c>
      <c r="Z442" s="138">
        <v>200</v>
      </c>
      <c r="AA442" s="137">
        <v>0</v>
      </c>
      <c r="AB442" s="137">
        <v>0</v>
      </c>
      <c r="AC442" s="137"/>
      <c r="AD442" s="137">
        <v>0</v>
      </c>
      <c r="AE442" s="139">
        <v>-48</v>
      </c>
      <c r="AF442" s="56">
        <v>35.6464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107</v>
      </c>
      <c r="F443" s="133" t="s">
        <v>113</v>
      </c>
      <c r="G443" s="134">
        <v>46132</v>
      </c>
      <c r="H443" s="135">
        <v>0.8179166666666666</v>
      </c>
      <c r="I443" s="136">
        <v>166004847</v>
      </c>
      <c r="J443" s="137">
        <v>173.07</v>
      </c>
      <c r="K443" s="137">
        <f>N443+O443+P443</f>
        <v>154.4005</v>
      </c>
      <c r="L443" s="137">
        <f>Q443+R443</f>
        <v>18.6695</v>
      </c>
      <c r="M443" s="137">
        <f>IF(J443=K443+L443,0,Y443)</f>
        <v>0</v>
      </c>
      <c r="N443" s="138">
        <v>1.5702</v>
      </c>
      <c r="O443" s="137">
        <v>152.8303</v>
      </c>
      <c r="P443" s="137">
        <v>0</v>
      </c>
      <c r="Q443" s="137">
        <v>0.3298</v>
      </c>
      <c r="R443" s="137">
        <v>18.3397</v>
      </c>
      <c r="S443" s="138">
        <v>154.4005</v>
      </c>
      <c r="T443" s="137">
        <v>173.07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173.07</v>
      </c>
      <c r="AC443" s="137">
        <v>0</v>
      </c>
      <c r="AD443" s="137">
        <v>0</v>
      </c>
      <c r="AE443" s="139">
        <v>0</v>
      </c>
      <c r="AF443" s="56">
        <v>26.2348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107</v>
      </c>
      <c r="F444" s="133" t="s">
        <v>113</v>
      </c>
      <c r="G444" s="134">
        <v>46132</v>
      </c>
      <c r="H444" s="135">
        <v>0.8183680555555556</v>
      </c>
      <c r="I444" s="136">
        <v>166004848</v>
      </c>
      <c r="J444" s="137">
        <v>171</v>
      </c>
      <c r="K444" s="137">
        <f>N444+O444+P444</f>
        <v>141.3223</v>
      </c>
      <c r="L444" s="137">
        <f>Q444+R444</f>
        <v>29.6777</v>
      </c>
      <c r="M444" s="137">
        <f>IF(J444=K444+L444,0,Y444)</f>
        <v>0</v>
      </c>
      <c r="N444" s="138">
        <v>141.3223</v>
      </c>
      <c r="O444" s="137">
        <v>0</v>
      </c>
      <c r="P444" s="137">
        <v>0</v>
      </c>
      <c r="Q444" s="137">
        <v>29.6777</v>
      </c>
      <c r="R444" s="137">
        <v>0</v>
      </c>
      <c r="S444" s="138">
        <v>141.3223</v>
      </c>
      <c r="T444" s="137">
        <v>171</v>
      </c>
      <c r="U444" s="137">
        <v>0</v>
      </c>
      <c r="V444" s="137">
        <v>0</v>
      </c>
      <c r="W444" s="137">
        <v>0</v>
      </c>
      <c r="X444" s="137">
        <v>0</v>
      </c>
      <c r="Y444" s="137">
        <v>0</v>
      </c>
      <c r="Z444" s="138">
        <v>1000</v>
      </c>
      <c r="AA444" s="137">
        <v>0</v>
      </c>
      <c r="AB444" s="137">
        <v>0</v>
      </c>
      <c r="AC444" s="137"/>
      <c r="AD444" s="137">
        <v>0</v>
      </c>
      <c r="AE444" s="139">
        <v>-829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107</v>
      </c>
      <c r="F445" s="133" t="s">
        <v>113</v>
      </c>
      <c r="G445" s="134">
        <v>46132</v>
      </c>
      <c r="H445" s="135">
        <v>0.8195370370370371</v>
      </c>
      <c r="I445" s="136">
        <v>166004849</v>
      </c>
      <c r="J445" s="137">
        <v>320</v>
      </c>
      <c r="K445" s="137">
        <f>N445+O445+P445</f>
        <v>266.4046</v>
      </c>
      <c r="L445" s="137">
        <f>Q445+R445</f>
        <v>53.0954</v>
      </c>
      <c r="M445" s="137">
        <f>IF(J445=K445+L445,0,Y445)</f>
        <v>0.5</v>
      </c>
      <c r="N445" s="138">
        <v>230.7439</v>
      </c>
      <c r="O445" s="137">
        <v>38.6607</v>
      </c>
      <c r="P445" s="137">
        <v>-3</v>
      </c>
      <c r="Q445" s="137">
        <v>48.4561</v>
      </c>
      <c r="R445" s="137">
        <v>4.6393</v>
      </c>
      <c r="S445" s="138">
        <v>269.4046</v>
      </c>
      <c r="T445" s="137">
        <v>322.5</v>
      </c>
      <c r="U445" s="137">
        <v>0</v>
      </c>
      <c r="V445" s="137">
        <v>0</v>
      </c>
      <c r="W445" s="137">
        <v>0</v>
      </c>
      <c r="X445" s="137">
        <v>-3</v>
      </c>
      <c r="Y445" s="137">
        <v>0.5</v>
      </c>
      <c r="Z445" s="138">
        <v>2000</v>
      </c>
      <c r="AA445" s="137">
        <v>0</v>
      </c>
      <c r="AB445" s="137">
        <v>0</v>
      </c>
      <c r="AC445" s="137"/>
      <c r="AD445" s="137">
        <v>0</v>
      </c>
      <c r="AE445" s="139">
        <v>-1680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107</v>
      </c>
      <c r="F446" s="133" t="s">
        <v>113</v>
      </c>
      <c r="G446" s="134">
        <v>46132</v>
      </c>
      <c r="H446" s="135">
        <v>0.8203356481481482</v>
      </c>
      <c r="I446" s="136">
        <v>166004850</v>
      </c>
      <c r="J446" s="137">
        <v>167.93</v>
      </c>
      <c r="K446" s="137">
        <f>N446+O446+P446</f>
        <v>145.1759</v>
      </c>
      <c r="L446" s="137">
        <f>Q446+R446</f>
        <v>22.7541</v>
      </c>
      <c r="M446" s="137">
        <f>IF(J446=K446+L446,0,Y446)</f>
        <v>0</v>
      </c>
      <c r="N446" s="138">
        <v>59.2563</v>
      </c>
      <c r="O446" s="137">
        <v>85.9196</v>
      </c>
      <c r="P446" s="137">
        <v>0</v>
      </c>
      <c r="Q446" s="137">
        <v>12.4437</v>
      </c>
      <c r="R446" s="137">
        <v>10.3104</v>
      </c>
      <c r="S446" s="138">
        <v>145.1759</v>
      </c>
      <c r="T446" s="137">
        <v>167.93</v>
      </c>
      <c r="U446" s="137">
        <v>0</v>
      </c>
      <c r="V446" s="137">
        <v>0</v>
      </c>
      <c r="W446" s="137">
        <v>0</v>
      </c>
      <c r="X446" s="137">
        <v>0</v>
      </c>
      <c r="Y446" s="137">
        <v>0</v>
      </c>
      <c r="Z446" s="138">
        <v>0</v>
      </c>
      <c r="AA446" s="137">
        <v>0</v>
      </c>
      <c r="AB446" s="137">
        <v>167.93</v>
      </c>
      <c r="AC446" s="137">
        <v>0</v>
      </c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107</v>
      </c>
      <c r="F447" s="133" t="s">
        <v>113</v>
      </c>
      <c r="G447" s="134">
        <v>46132</v>
      </c>
      <c r="H447" s="135">
        <v>0.8229398148148148</v>
      </c>
      <c r="I447" s="136">
        <v>166004851</v>
      </c>
      <c r="J447" s="137">
        <v>162.1</v>
      </c>
      <c r="K447" s="137">
        <f>N447+O447+P447</f>
        <v>136.7495</v>
      </c>
      <c r="L447" s="137">
        <f>Q447+R447</f>
        <v>25.3505</v>
      </c>
      <c r="M447" s="137">
        <f>IF(J447=K447+L447,0,Y447)</f>
        <v>0</v>
      </c>
      <c r="N447" s="138">
        <v>99.3388</v>
      </c>
      <c r="O447" s="137">
        <v>37.4107</v>
      </c>
      <c r="P447" s="137">
        <v>0</v>
      </c>
      <c r="Q447" s="137">
        <v>20.8612</v>
      </c>
      <c r="R447" s="137">
        <v>4.4893</v>
      </c>
      <c r="S447" s="138">
        <v>136.7495</v>
      </c>
      <c r="T447" s="137">
        <v>162.1</v>
      </c>
      <c r="U447" s="137">
        <v>0</v>
      </c>
      <c r="V447" s="137">
        <v>0</v>
      </c>
      <c r="W447" s="137">
        <v>0</v>
      </c>
      <c r="X447" s="137">
        <v>0</v>
      </c>
      <c r="Y447" s="137">
        <v>0</v>
      </c>
      <c r="Z447" s="138">
        <v>0</v>
      </c>
      <c r="AA447" s="137">
        <v>0</v>
      </c>
      <c r="AB447" s="137">
        <v>162.1</v>
      </c>
      <c r="AC447" s="137">
        <v>0</v>
      </c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107</v>
      </c>
      <c r="F448" s="133" t="s">
        <v>113</v>
      </c>
      <c r="G448" s="134">
        <v>46132</v>
      </c>
      <c r="H448" s="135">
        <v>0.8257986111111111</v>
      </c>
      <c r="I448" s="136">
        <v>166004852</v>
      </c>
      <c r="J448" s="137">
        <v>17.4</v>
      </c>
      <c r="K448" s="137">
        <f>N448+O448+P448</f>
        <v>15.5357</v>
      </c>
      <c r="L448" s="137">
        <f>Q448+R448</f>
        <v>1.8643</v>
      </c>
      <c r="M448" s="137">
        <f>IF(J448=K448+L448,0,Y448)</f>
        <v>0</v>
      </c>
      <c r="N448" s="138">
        <v>0</v>
      </c>
      <c r="O448" s="137">
        <v>15.5357</v>
      </c>
      <c r="P448" s="137">
        <v>0</v>
      </c>
      <c r="Q448" s="137">
        <v>0</v>
      </c>
      <c r="R448" s="137">
        <v>1.8643</v>
      </c>
      <c r="S448" s="138">
        <v>15.5357</v>
      </c>
      <c r="T448" s="137">
        <v>17.4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17.4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107</v>
      </c>
      <c r="F449" s="133" t="s">
        <v>113</v>
      </c>
      <c r="G449" s="134">
        <v>46132</v>
      </c>
      <c r="H449" s="135">
        <v>0.8266782407407407</v>
      </c>
      <c r="I449" s="136">
        <v>166004853</v>
      </c>
      <c r="J449" s="137">
        <v>80</v>
      </c>
      <c r="K449" s="137">
        <f>N449+O449+P449</f>
        <v>69.5735</v>
      </c>
      <c r="L449" s="137">
        <f>Q449+R449</f>
        <v>10.1265</v>
      </c>
      <c r="M449" s="137">
        <f>IF(J449=K449+L449,0,Y449)</f>
        <v>0.3</v>
      </c>
      <c r="N449" s="138">
        <v>19.7521</v>
      </c>
      <c r="O449" s="137">
        <v>49.8214</v>
      </c>
      <c r="P449" s="137">
        <v>0</v>
      </c>
      <c r="Q449" s="137">
        <v>4.1479</v>
      </c>
      <c r="R449" s="137">
        <v>5.9786</v>
      </c>
      <c r="S449" s="138">
        <v>69.5735</v>
      </c>
      <c r="T449" s="137">
        <v>79.7</v>
      </c>
      <c r="U449" s="137">
        <v>0</v>
      </c>
      <c r="V449" s="137">
        <v>0</v>
      </c>
      <c r="W449" s="137">
        <v>0</v>
      </c>
      <c r="X449" s="137">
        <v>0</v>
      </c>
      <c r="Y449" s="137">
        <v>0.3</v>
      </c>
      <c r="Z449" s="138">
        <v>100</v>
      </c>
      <c r="AA449" s="137">
        <v>0</v>
      </c>
      <c r="AB449" s="137">
        <v>0</v>
      </c>
      <c r="AC449" s="137"/>
      <c r="AD449" s="137">
        <v>0</v>
      </c>
      <c r="AE449" s="139">
        <v>-20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109</v>
      </c>
      <c r="F450" s="133" t="s">
        <v>111</v>
      </c>
      <c r="G450" s="134">
        <v>46132</v>
      </c>
      <c r="H450" s="135">
        <v>0.4991319444444444</v>
      </c>
      <c r="I450" s="136">
        <v>169002596</v>
      </c>
      <c r="J450" s="137">
        <v>227.1</v>
      </c>
      <c r="K450" s="137">
        <f>N450+O450+P450</f>
        <v>200.9151</v>
      </c>
      <c r="L450" s="137">
        <f>Q450+R450</f>
        <v>26.1849</v>
      </c>
      <c r="M450" s="137">
        <f>IF(J450=K450+L450,0,Y450)</f>
        <v>0</v>
      </c>
      <c r="N450" s="138">
        <v>23.0579</v>
      </c>
      <c r="O450" s="137">
        <v>177.8572</v>
      </c>
      <c r="P450" s="137">
        <v>0</v>
      </c>
      <c r="Q450" s="137">
        <v>4.8421</v>
      </c>
      <c r="R450" s="137">
        <v>21.3428</v>
      </c>
      <c r="S450" s="138">
        <v>200.9151</v>
      </c>
      <c r="T450" s="137">
        <v>227.1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0</v>
      </c>
      <c r="AA450" s="137">
        <v>0</v>
      </c>
      <c r="AB450" s="137">
        <v>227.1</v>
      </c>
      <c r="AC450" s="137">
        <v>0</v>
      </c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109</v>
      </c>
      <c r="F451" s="133" t="s">
        <v>111</v>
      </c>
      <c r="G451" s="134">
        <v>46132</v>
      </c>
      <c r="H451" s="135">
        <v>0.4994328703703704</v>
      </c>
      <c r="I451" s="136">
        <v>169002597</v>
      </c>
      <c r="J451" s="137">
        <v>42.9</v>
      </c>
      <c r="K451" s="137">
        <f>N451+O451+P451</f>
        <v>38.3036</v>
      </c>
      <c r="L451" s="137">
        <f>Q451+R451</f>
        <v>4.5964</v>
      </c>
      <c r="M451" s="137">
        <f>IF(J451=K451+L451,0,Y451)</f>
        <v>0</v>
      </c>
      <c r="N451" s="138">
        <v>0</v>
      </c>
      <c r="O451" s="137">
        <v>38.3036</v>
      </c>
      <c r="P451" s="137">
        <v>0</v>
      </c>
      <c r="Q451" s="137">
        <v>0</v>
      </c>
      <c r="R451" s="137">
        <v>4.5964</v>
      </c>
      <c r="S451" s="138">
        <v>38.3036</v>
      </c>
      <c r="T451" s="137">
        <v>42.9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42.9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109</v>
      </c>
      <c r="F452" s="133" t="s">
        <v>111</v>
      </c>
      <c r="G452" s="134">
        <v>46132</v>
      </c>
      <c r="H452" s="135">
        <v>0.4997800925925926</v>
      </c>
      <c r="I452" s="136">
        <v>169002598</v>
      </c>
      <c r="J452" s="137">
        <v>250</v>
      </c>
      <c r="K452" s="137">
        <f>N452+O452+P452</f>
        <v>223.5714</v>
      </c>
      <c r="L452" s="137">
        <f>Q452+R452</f>
        <v>26.8286</v>
      </c>
      <c r="M452" s="137">
        <f>IF(J452=K452+L452,0,Y452)</f>
        <v>-0.4</v>
      </c>
      <c r="N452" s="138">
        <v>0</v>
      </c>
      <c r="O452" s="137">
        <v>223.5714</v>
      </c>
      <c r="P452" s="137">
        <v>0</v>
      </c>
      <c r="Q452" s="137">
        <v>0</v>
      </c>
      <c r="R452" s="137">
        <v>26.8286</v>
      </c>
      <c r="S452" s="138">
        <v>223.5714</v>
      </c>
      <c r="T452" s="137">
        <v>250.4</v>
      </c>
      <c r="U452" s="137">
        <v>0</v>
      </c>
      <c r="V452" s="137">
        <v>0</v>
      </c>
      <c r="W452" s="137">
        <v>0</v>
      </c>
      <c r="X452" s="137">
        <v>0</v>
      </c>
      <c r="Y452" s="137">
        <v>-0.4</v>
      </c>
      <c r="Z452" s="138">
        <v>500</v>
      </c>
      <c r="AA452" s="137">
        <v>0</v>
      </c>
      <c r="AB452" s="137">
        <v>0</v>
      </c>
      <c r="AC452" s="137"/>
      <c r="AD452" s="137">
        <v>0</v>
      </c>
      <c r="AE452" s="139">
        <v>-250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109</v>
      </c>
      <c r="F453" s="133" t="s">
        <v>111</v>
      </c>
      <c r="G453" s="134">
        <v>46132</v>
      </c>
      <c r="H453" s="135">
        <v>0.5005902777777778</v>
      </c>
      <c r="I453" s="136">
        <v>169002599</v>
      </c>
      <c r="J453" s="137">
        <v>158.4</v>
      </c>
      <c r="K453" s="137">
        <f>N453+O453+P453</f>
        <v>141.4286</v>
      </c>
      <c r="L453" s="137">
        <f>Q453+R453</f>
        <v>16.9714</v>
      </c>
      <c r="M453" s="137">
        <f>IF(J453=K453+L453,0,Y453)</f>
        <v>0</v>
      </c>
      <c r="N453" s="138">
        <v>0</v>
      </c>
      <c r="O453" s="137">
        <v>141.4286</v>
      </c>
      <c r="P453" s="137">
        <v>0</v>
      </c>
      <c r="Q453" s="137">
        <v>0</v>
      </c>
      <c r="R453" s="137">
        <v>16.9714</v>
      </c>
      <c r="S453" s="138">
        <v>141.4286</v>
      </c>
      <c r="T453" s="137">
        <v>158.4</v>
      </c>
      <c r="U453" s="137">
        <v>0</v>
      </c>
      <c r="V453" s="137">
        <v>0</v>
      </c>
      <c r="W453" s="137">
        <v>0</v>
      </c>
      <c r="X453" s="137">
        <v>0</v>
      </c>
      <c r="Y453" s="137">
        <v>0</v>
      </c>
      <c r="Z453" s="138">
        <v>0</v>
      </c>
      <c r="AA453" s="137">
        <v>0</v>
      </c>
      <c r="AB453" s="137">
        <v>158.4</v>
      </c>
      <c r="AC453" s="137">
        <v>0</v>
      </c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109</v>
      </c>
      <c r="F454" s="133" t="s">
        <v>111</v>
      </c>
      <c r="G454" s="134">
        <v>46132</v>
      </c>
      <c r="H454" s="135">
        <v>0.5100231481481482</v>
      </c>
      <c r="I454" s="136">
        <v>169002600</v>
      </c>
      <c r="J454" s="137">
        <v>40</v>
      </c>
      <c r="K454" s="137">
        <f>N454+O454+P454</f>
        <v>35.5358</v>
      </c>
      <c r="L454" s="137">
        <f>Q454+R454</f>
        <v>4.2642</v>
      </c>
      <c r="M454" s="137">
        <f>IF(J454=K454+L454,0,Y454)</f>
        <v>0.2</v>
      </c>
      <c r="N454" s="138">
        <v>0</v>
      </c>
      <c r="O454" s="137">
        <v>35.5358</v>
      </c>
      <c r="P454" s="137">
        <v>0</v>
      </c>
      <c r="Q454" s="137">
        <v>0</v>
      </c>
      <c r="R454" s="137">
        <v>4.2642</v>
      </c>
      <c r="S454" s="138">
        <v>35.5358</v>
      </c>
      <c r="T454" s="137">
        <v>39.8</v>
      </c>
      <c r="U454" s="137">
        <v>0</v>
      </c>
      <c r="V454" s="137">
        <v>0</v>
      </c>
      <c r="W454" s="137">
        <v>0</v>
      </c>
      <c r="X454" s="137">
        <v>0</v>
      </c>
      <c r="Y454" s="137">
        <v>0.2</v>
      </c>
      <c r="Z454" s="138">
        <v>40</v>
      </c>
      <c r="AA454" s="137">
        <v>0</v>
      </c>
      <c r="AB454" s="137">
        <v>0</v>
      </c>
      <c r="AC454" s="137"/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109</v>
      </c>
      <c r="F455" s="133" t="s">
        <v>111</v>
      </c>
      <c r="G455" s="134">
        <v>46132</v>
      </c>
      <c r="H455" s="135">
        <v>0.5103356481481481</v>
      </c>
      <c r="I455" s="136">
        <v>169002601</v>
      </c>
      <c r="J455" s="137">
        <v>25</v>
      </c>
      <c r="K455" s="137">
        <f>N455+O455+P455</f>
        <v>22.2321</v>
      </c>
      <c r="L455" s="137">
        <f>Q455+R455</f>
        <v>2.6679</v>
      </c>
      <c r="M455" s="137">
        <f>IF(J455=K455+L455,0,Y455)</f>
        <v>0.1</v>
      </c>
      <c r="N455" s="138">
        <v>0</v>
      </c>
      <c r="O455" s="137">
        <v>22.2321</v>
      </c>
      <c r="P455" s="137">
        <v>0</v>
      </c>
      <c r="Q455" s="137">
        <v>0</v>
      </c>
      <c r="R455" s="137">
        <v>2.6679</v>
      </c>
      <c r="S455" s="138">
        <v>22.2321</v>
      </c>
      <c r="T455" s="137">
        <v>24.9</v>
      </c>
      <c r="U455" s="137">
        <v>0</v>
      </c>
      <c r="V455" s="137">
        <v>0</v>
      </c>
      <c r="W455" s="137">
        <v>0</v>
      </c>
      <c r="X455" s="137">
        <v>0</v>
      </c>
      <c r="Y455" s="137">
        <v>0.1</v>
      </c>
      <c r="Z455" s="138">
        <v>25</v>
      </c>
      <c r="AA455" s="137">
        <v>0</v>
      </c>
      <c r="AB455" s="137">
        <v>0</v>
      </c>
      <c r="AC455" s="137"/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109</v>
      </c>
      <c r="F456" s="133" t="s">
        <v>111</v>
      </c>
      <c r="G456" s="134">
        <v>46132</v>
      </c>
      <c r="H456" s="135">
        <v>0.5108912037037037</v>
      </c>
      <c r="I456" s="136">
        <v>169002602</v>
      </c>
      <c r="J456" s="137">
        <v>30</v>
      </c>
      <c r="K456" s="137">
        <f>N456+O456+P456</f>
        <v>24.7107</v>
      </c>
      <c r="L456" s="137">
        <f>Q456+R456</f>
        <v>5.1893</v>
      </c>
      <c r="M456" s="137">
        <f>IF(J456=K456+L456,0,Y456)</f>
        <v>0.1</v>
      </c>
      <c r="N456" s="138">
        <v>24.7107</v>
      </c>
      <c r="O456" s="137">
        <v>0</v>
      </c>
      <c r="P456" s="137">
        <v>0</v>
      </c>
      <c r="Q456" s="137">
        <v>5.1893</v>
      </c>
      <c r="R456" s="137">
        <v>0</v>
      </c>
      <c r="S456" s="138">
        <v>24.7107</v>
      </c>
      <c r="T456" s="137">
        <v>29.9</v>
      </c>
      <c r="U456" s="137">
        <v>0</v>
      </c>
      <c r="V456" s="137">
        <v>0</v>
      </c>
      <c r="W456" s="137">
        <v>0</v>
      </c>
      <c r="X456" s="137">
        <v>0</v>
      </c>
      <c r="Y456" s="137">
        <v>0.1</v>
      </c>
      <c r="Z456" s="138">
        <v>30</v>
      </c>
      <c r="AA456" s="137">
        <v>0</v>
      </c>
      <c r="AB456" s="137">
        <v>0</v>
      </c>
      <c r="AC456" s="137"/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109</v>
      </c>
      <c r="F457" s="133" t="s">
        <v>111</v>
      </c>
      <c r="G457" s="134">
        <v>46132</v>
      </c>
      <c r="H457" s="135">
        <v>0.5113657407407407</v>
      </c>
      <c r="I457" s="136">
        <v>169002603</v>
      </c>
      <c r="J457" s="137">
        <v>207</v>
      </c>
      <c r="K457" s="137">
        <f>N457+O457+P457</f>
        <v>171.3223</v>
      </c>
      <c r="L457" s="137">
        <f>Q457+R457</f>
        <v>35.9777</v>
      </c>
      <c r="M457" s="137">
        <f>IF(J457=K457+L457,0,Y457)</f>
        <v>-0.3</v>
      </c>
      <c r="N457" s="138">
        <v>171.3223</v>
      </c>
      <c r="O457" s="137">
        <v>0</v>
      </c>
      <c r="P457" s="137">
        <v>0</v>
      </c>
      <c r="Q457" s="137">
        <v>35.9777</v>
      </c>
      <c r="R457" s="137">
        <v>0</v>
      </c>
      <c r="S457" s="138">
        <v>171.3223</v>
      </c>
      <c r="T457" s="137">
        <v>207.3</v>
      </c>
      <c r="U457" s="137">
        <v>0</v>
      </c>
      <c r="V457" s="137">
        <v>0</v>
      </c>
      <c r="W457" s="137">
        <v>0</v>
      </c>
      <c r="X457" s="137">
        <v>0</v>
      </c>
      <c r="Y457" s="137">
        <v>-0.3</v>
      </c>
      <c r="Z457" s="138">
        <v>207</v>
      </c>
      <c r="AA457" s="137">
        <v>0</v>
      </c>
      <c r="AB457" s="137">
        <v>0</v>
      </c>
      <c r="AC457" s="137"/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109</v>
      </c>
      <c r="F458" s="133" t="s">
        <v>111</v>
      </c>
      <c r="G458" s="134">
        <v>46132</v>
      </c>
      <c r="H458" s="135">
        <v>0.5139236111111111</v>
      </c>
      <c r="I458" s="136">
        <v>169002604</v>
      </c>
      <c r="J458" s="137">
        <v>23</v>
      </c>
      <c r="K458" s="137">
        <f>N458+O458+P458</f>
        <v>20.6696</v>
      </c>
      <c r="L458" s="137">
        <f>Q458+R458</f>
        <v>2.4804</v>
      </c>
      <c r="M458" s="137">
        <f>IF(J458=K458+L458,0,Y458)</f>
        <v>-0.15</v>
      </c>
      <c r="N458" s="138">
        <v>0</v>
      </c>
      <c r="O458" s="137">
        <v>20.6696</v>
      </c>
      <c r="P458" s="137">
        <v>0</v>
      </c>
      <c r="Q458" s="137">
        <v>0</v>
      </c>
      <c r="R458" s="137">
        <v>2.4804</v>
      </c>
      <c r="S458" s="138">
        <v>20.6696</v>
      </c>
      <c r="T458" s="137">
        <v>23.15</v>
      </c>
      <c r="U458" s="137">
        <v>0</v>
      </c>
      <c r="V458" s="137">
        <v>0</v>
      </c>
      <c r="W458" s="137">
        <v>0</v>
      </c>
      <c r="X458" s="137">
        <v>0</v>
      </c>
      <c r="Y458" s="137">
        <v>-0.15</v>
      </c>
      <c r="Z458" s="138">
        <v>25</v>
      </c>
      <c r="AA458" s="137">
        <v>0</v>
      </c>
      <c r="AB458" s="137">
        <v>0</v>
      </c>
      <c r="AC458" s="137"/>
      <c r="AD458" s="137">
        <v>0</v>
      </c>
      <c r="AE458" s="139">
        <v>-2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109</v>
      </c>
      <c r="F459" s="133" t="s">
        <v>111</v>
      </c>
      <c r="G459" s="134">
        <v>46132</v>
      </c>
      <c r="H459" s="135">
        <v>0.5141319444444444</v>
      </c>
      <c r="I459" s="136">
        <v>169002605</v>
      </c>
      <c r="J459" s="137">
        <v>54</v>
      </c>
      <c r="K459" s="137">
        <f>N459+O459+P459</f>
        <v>46.448499999999996</v>
      </c>
      <c r="L459" s="137">
        <f>Q459+R459</f>
        <v>7.3515</v>
      </c>
      <c r="M459" s="137">
        <f>IF(J459=K459+L459,0,Y459)</f>
        <v>0.2</v>
      </c>
      <c r="N459" s="138">
        <v>19.7521</v>
      </c>
      <c r="O459" s="137">
        <v>26.6964</v>
      </c>
      <c r="P459" s="137">
        <v>0</v>
      </c>
      <c r="Q459" s="137">
        <v>4.1479</v>
      </c>
      <c r="R459" s="137">
        <v>3.2036</v>
      </c>
      <c r="S459" s="138">
        <v>46.4485</v>
      </c>
      <c r="T459" s="137">
        <v>53.8</v>
      </c>
      <c r="U459" s="137">
        <v>0</v>
      </c>
      <c r="V459" s="137">
        <v>0</v>
      </c>
      <c r="W459" s="137">
        <v>0</v>
      </c>
      <c r="X459" s="137">
        <v>0</v>
      </c>
      <c r="Y459" s="137">
        <v>0.2</v>
      </c>
      <c r="Z459" s="138">
        <v>100</v>
      </c>
      <c r="AA459" s="137">
        <v>0</v>
      </c>
      <c r="AB459" s="137">
        <v>0</v>
      </c>
      <c r="AC459" s="137"/>
      <c r="AD459" s="137">
        <v>0</v>
      </c>
      <c r="AE459" s="139">
        <v>-46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109</v>
      </c>
      <c r="F460" s="133" t="s">
        <v>111</v>
      </c>
      <c r="G460" s="134">
        <v>46132</v>
      </c>
      <c r="H460" s="135">
        <v>0.5147569444444444</v>
      </c>
      <c r="I460" s="136">
        <v>169002606</v>
      </c>
      <c r="J460" s="137">
        <v>10</v>
      </c>
      <c r="K460" s="137">
        <f>N460+O460+P460</f>
        <v>8.8393</v>
      </c>
      <c r="L460" s="137">
        <f>Q460+R460</f>
        <v>1.0607</v>
      </c>
      <c r="M460" s="137">
        <f>IF(J460=K460+L460,0,Y460)</f>
        <v>0.1</v>
      </c>
      <c r="N460" s="138">
        <v>0</v>
      </c>
      <c r="O460" s="137">
        <v>8.8393</v>
      </c>
      <c r="P460" s="137">
        <v>0</v>
      </c>
      <c r="Q460" s="137">
        <v>0</v>
      </c>
      <c r="R460" s="137">
        <v>1.0607</v>
      </c>
      <c r="S460" s="138">
        <v>8.8393</v>
      </c>
      <c r="T460" s="137">
        <v>9.9</v>
      </c>
      <c r="U460" s="137">
        <v>0</v>
      </c>
      <c r="V460" s="137">
        <v>0</v>
      </c>
      <c r="W460" s="137">
        <v>0</v>
      </c>
      <c r="X460" s="137">
        <v>0</v>
      </c>
      <c r="Y460" s="137">
        <v>0.1</v>
      </c>
      <c r="Z460" s="138">
        <v>10</v>
      </c>
      <c r="AA460" s="137">
        <v>0</v>
      </c>
      <c r="AB460" s="137">
        <v>0</v>
      </c>
      <c r="AC460" s="137"/>
      <c r="AD460" s="137">
        <v>0</v>
      </c>
      <c r="AE460" s="139">
        <v>0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109</v>
      </c>
      <c r="F461" s="133" t="s">
        <v>111</v>
      </c>
      <c r="G461" s="134">
        <v>46132</v>
      </c>
      <c r="H461" s="135">
        <v>0.5152662037037037</v>
      </c>
      <c r="I461" s="136">
        <v>169002607</v>
      </c>
      <c r="J461" s="137">
        <v>36</v>
      </c>
      <c r="K461" s="137">
        <f>N461+O461+P461</f>
        <v>32.2946</v>
      </c>
      <c r="L461" s="137">
        <f>Q461+R461</f>
        <v>3.8754</v>
      </c>
      <c r="M461" s="137">
        <f>IF(J461=K461+L461,0,Y461)</f>
        <v>-0.17</v>
      </c>
      <c r="N461" s="138">
        <v>0</v>
      </c>
      <c r="O461" s="137">
        <v>32.2946</v>
      </c>
      <c r="P461" s="137">
        <v>0</v>
      </c>
      <c r="Q461" s="137">
        <v>0</v>
      </c>
      <c r="R461" s="137">
        <v>3.8754</v>
      </c>
      <c r="S461" s="138">
        <v>32.2946</v>
      </c>
      <c r="T461" s="137">
        <v>36.17</v>
      </c>
      <c r="U461" s="137">
        <v>0</v>
      </c>
      <c r="V461" s="137">
        <v>0</v>
      </c>
      <c r="W461" s="137">
        <v>0</v>
      </c>
      <c r="X461" s="137">
        <v>0</v>
      </c>
      <c r="Y461" s="137">
        <v>-0.17</v>
      </c>
      <c r="Z461" s="138">
        <v>36</v>
      </c>
      <c r="AA461" s="137">
        <v>0</v>
      </c>
      <c r="AB461" s="137">
        <v>0</v>
      </c>
      <c r="AC461" s="137"/>
      <c r="AD461" s="137">
        <v>0</v>
      </c>
      <c r="AE461" s="139">
        <v>0</v>
      </c>
      <c r="AF461" s="56">
        <v>6.8002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109</v>
      </c>
      <c r="F462" s="133" t="s">
        <v>111</v>
      </c>
      <c r="G462" s="134">
        <v>46132</v>
      </c>
      <c r="H462" s="135">
        <v>0.5155439814814815</v>
      </c>
      <c r="I462" s="136">
        <v>169002608</v>
      </c>
      <c r="J462" s="137">
        <v>70</v>
      </c>
      <c r="K462" s="137">
        <f>N462+O462+P462</f>
        <v>62.2322</v>
      </c>
      <c r="L462" s="137">
        <f>Q462+R462</f>
        <v>7.4678</v>
      </c>
      <c r="M462" s="137">
        <f>IF(J462=K462+L462,0,Y462)</f>
        <v>0.3</v>
      </c>
      <c r="N462" s="138">
        <v>0</v>
      </c>
      <c r="O462" s="137">
        <v>62.2322</v>
      </c>
      <c r="P462" s="137">
        <v>0</v>
      </c>
      <c r="Q462" s="137">
        <v>0</v>
      </c>
      <c r="R462" s="137">
        <v>7.4678</v>
      </c>
      <c r="S462" s="138">
        <v>62.2322</v>
      </c>
      <c r="T462" s="137">
        <v>69.7</v>
      </c>
      <c r="U462" s="137">
        <v>0</v>
      </c>
      <c r="V462" s="137">
        <v>0</v>
      </c>
      <c r="W462" s="137">
        <v>0</v>
      </c>
      <c r="X462" s="137">
        <v>0</v>
      </c>
      <c r="Y462" s="137">
        <v>0.3</v>
      </c>
      <c r="Z462" s="138">
        <v>70</v>
      </c>
      <c r="AA462" s="137">
        <v>0</v>
      </c>
      <c r="AB462" s="137">
        <v>0</v>
      </c>
      <c r="AC462" s="137"/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109</v>
      </c>
      <c r="F463" s="133" t="s">
        <v>111</v>
      </c>
      <c r="G463" s="134">
        <v>46132</v>
      </c>
      <c r="H463" s="135">
        <v>0.5172453703703703</v>
      </c>
      <c r="I463" s="136">
        <v>169002609</v>
      </c>
      <c r="J463" s="137">
        <v>391.3</v>
      </c>
      <c r="K463" s="137">
        <f>N463+O463+P463</f>
        <v>349.249</v>
      </c>
      <c r="L463" s="137">
        <f>Q463+R463</f>
        <v>42.051</v>
      </c>
      <c r="M463" s="137">
        <f>IF(J463=K463+L463,0,Y463)</f>
        <v>0</v>
      </c>
      <c r="N463" s="138">
        <v>1.5702</v>
      </c>
      <c r="O463" s="137">
        <v>347.6788</v>
      </c>
      <c r="P463" s="137">
        <v>0</v>
      </c>
      <c r="Q463" s="137">
        <v>0.3298</v>
      </c>
      <c r="R463" s="137">
        <v>41.7212</v>
      </c>
      <c r="S463" s="138">
        <v>349.249</v>
      </c>
      <c r="T463" s="137">
        <v>391.3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391.3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109</v>
      </c>
      <c r="F464" s="133" t="s">
        <v>111</v>
      </c>
      <c r="G464" s="134">
        <v>46132</v>
      </c>
      <c r="H464" s="135">
        <v>0.5179166666666667</v>
      </c>
      <c r="I464" s="136">
        <v>169002610</v>
      </c>
      <c r="J464" s="137">
        <v>49.64</v>
      </c>
      <c r="K464" s="137">
        <f>N464+O464+P464</f>
        <v>44.3214</v>
      </c>
      <c r="L464" s="137">
        <f>Q464+R464</f>
        <v>5.3186</v>
      </c>
      <c r="M464" s="137">
        <f>IF(J464=K464+L464,0,Y464)</f>
        <v>0</v>
      </c>
      <c r="N464" s="138">
        <v>0</v>
      </c>
      <c r="O464" s="137">
        <v>44.3214</v>
      </c>
      <c r="P464" s="137">
        <v>0</v>
      </c>
      <c r="Q464" s="137">
        <v>0</v>
      </c>
      <c r="R464" s="137">
        <v>5.3186</v>
      </c>
      <c r="S464" s="138">
        <v>44.3214</v>
      </c>
      <c r="T464" s="137">
        <v>49.64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49.64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109</v>
      </c>
      <c r="F465" s="133" t="s">
        <v>111</v>
      </c>
      <c r="G465" s="134">
        <v>46132</v>
      </c>
      <c r="H465" s="135">
        <v>0.5182986111111111</v>
      </c>
      <c r="I465" s="136">
        <v>169002611</v>
      </c>
      <c r="J465" s="137">
        <v>33</v>
      </c>
      <c r="K465" s="137">
        <f>N465+O465+P465</f>
        <v>29.375</v>
      </c>
      <c r="L465" s="137">
        <f>Q465+R465</f>
        <v>3.525</v>
      </c>
      <c r="M465" s="137">
        <f>IF(J465=K465+L465,0,Y465)</f>
        <v>0.1</v>
      </c>
      <c r="N465" s="138">
        <v>0</v>
      </c>
      <c r="O465" s="137">
        <v>29.375</v>
      </c>
      <c r="P465" s="137">
        <v>0</v>
      </c>
      <c r="Q465" s="137">
        <v>0</v>
      </c>
      <c r="R465" s="137">
        <v>3.525</v>
      </c>
      <c r="S465" s="138">
        <v>29.375</v>
      </c>
      <c r="T465" s="137">
        <v>32.9</v>
      </c>
      <c r="U465" s="137">
        <v>0</v>
      </c>
      <c r="V465" s="137">
        <v>0</v>
      </c>
      <c r="W465" s="137">
        <v>0</v>
      </c>
      <c r="X465" s="137">
        <v>0</v>
      </c>
      <c r="Y465" s="137">
        <v>0.1</v>
      </c>
      <c r="Z465" s="138">
        <v>100</v>
      </c>
      <c r="AA465" s="137">
        <v>0</v>
      </c>
      <c r="AB465" s="137">
        <v>0</v>
      </c>
      <c r="AC465" s="137"/>
      <c r="AD465" s="137">
        <v>0</v>
      </c>
      <c r="AE465" s="139">
        <v>-67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109</v>
      </c>
      <c r="F466" s="133" t="s">
        <v>111</v>
      </c>
      <c r="G466" s="134">
        <v>46132</v>
      </c>
      <c r="H466" s="135">
        <v>0.5188888888888888</v>
      </c>
      <c r="I466" s="136">
        <v>169002612</v>
      </c>
      <c r="J466" s="137">
        <v>82.5</v>
      </c>
      <c r="K466" s="137">
        <f>N466+O466+P466</f>
        <v>73.6608</v>
      </c>
      <c r="L466" s="137">
        <f>Q466+R466</f>
        <v>8.8392</v>
      </c>
      <c r="M466" s="137">
        <f>IF(J466=K466+L466,0,Y466)</f>
        <v>0</v>
      </c>
      <c r="N466" s="138">
        <v>0</v>
      </c>
      <c r="O466" s="137">
        <v>73.6608</v>
      </c>
      <c r="P466" s="137">
        <v>0</v>
      </c>
      <c r="Q466" s="137">
        <v>0</v>
      </c>
      <c r="R466" s="137">
        <v>8.8392</v>
      </c>
      <c r="S466" s="138">
        <v>73.6608</v>
      </c>
      <c r="T466" s="137">
        <v>82.5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0</v>
      </c>
      <c r="AA466" s="137">
        <v>0</v>
      </c>
      <c r="AB466" s="137">
        <v>82.5</v>
      </c>
      <c r="AC466" s="137">
        <v>0</v>
      </c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109</v>
      </c>
      <c r="F467" s="133" t="s">
        <v>111</v>
      </c>
      <c r="G467" s="134">
        <v>46132</v>
      </c>
      <c r="H467" s="135">
        <v>0.5189930555555555</v>
      </c>
      <c r="I467" s="136">
        <v>169002613</v>
      </c>
      <c r="J467" s="137">
        <v>11</v>
      </c>
      <c r="K467" s="137">
        <f>N467+O467+P467</f>
        <v>9.4215</v>
      </c>
      <c r="L467" s="137">
        <f>Q467+R467</f>
        <v>1.9785</v>
      </c>
      <c r="M467" s="137">
        <f>IF(J467=K467+L467,0,Y467)</f>
        <v>-0.4</v>
      </c>
      <c r="N467" s="138">
        <v>9.4215</v>
      </c>
      <c r="O467" s="137">
        <v>0</v>
      </c>
      <c r="P467" s="137">
        <v>0</v>
      </c>
      <c r="Q467" s="137">
        <v>1.9785</v>
      </c>
      <c r="R467" s="137">
        <v>0</v>
      </c>
      <c r="S467" s="138">
        <v>9.4215</v>
      </c>
      <c r="T467" s="137">
        <v>11.4</v>
      </c>
      <c r="U467" s="137">
        <v>0</v>
      </c>
      <c r="V467" s="137">
        <v>0</v>
      </c>
      <c r="W467" s="137">
        <v>0</v>
      </c>
      <c r="X467" s="137">
        <v>0</v>
      </c>
      <c r="Y467" s="137">
        <v>-0.4</v>
      </c>
      <c r="Z467" s="138">
        <v>20</v>
      </c>
      <c r="AA467" s="137">
        <v>0</v>
      </c>
      <c r="AB467" s="137">
        <v>0</v>
      </c>
      <c r="AC467" s="137"/>
      <c r="AD467" s="137">
        <v>0</v>
      </c>
      <c r="AE467" s="139">
        <v>-9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109</v>
      </c>
      <c r="F468" s="133" t="s">
        <v>111</v>
      </c>
      <c r="G468" s="134">
        <v>46132</v>
      </c>
      <c r="H468" s="135">
        <v>0.5198379629629629</v>
      </c>
      <c r="I468" s="136">
        <v>169002614</v>
      </c>
      <c r="J468" s="137">
        <v>37.8</v>
      </c>
      <c r="K468" s="137">
        <f>N468+O468+P468</f>
        <v>33.75</v>
      </c>
      <c r="L468" s="137">
        <f>Q468+R468</f>
        <v>4.05</v>
      </c>
      <c r="M468" s="137">
        <f>IF(J468=K468+L468,0,Y468)</f>
        <v>0</v>
      </c>
      <c r="N468" s="138">
        <v>0</v>
      </c>
      <c r="O468" s="137">
        <v>33.75</v>
      </c>
      <c r="P468" s="137">
        <v>0</v>
      </c>
      <c r="Q468" s="137">
        <v>0</v>
      </c>
      <c r="R468" s="137">
        <v>4.05</v>
      </c>
      <c r="S468" s="138">
        <v>33.75</v>
      </c>
      <c r="T468" s="137">
        <v>37.8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0</v>
      </c>
      <c r="AA468" s="137">
        <v>0</v>
      </c>
      <c r="AB468" s="137">
        <v>37.8</v>
      </c>
      <c r="AC468" s="137">
        <v>0</v>
      </c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109</v>
      </c>
      <c r="F469" s="133" t="s">
        <v>111</v>
      </c>
      <c r="G469" s="134">
        <v>46132</v>
      </c>
      <c r="H469" s="135">
        <v>0.5215393518518519</v>
      </c>
      <c r="I469" s="136">
        <v>169002615</v>
      </c>
      <c r="J469" s="137">
        <v>142</v>
      </c>
      <c r="K469" s="137">
        <f>N469+O469+P469</f>
        <v>126.366</v>
      </c>
      <c r="L469" s="137">
        <f>Q469+R469</f>
        <v>15.164</v>
      </c>
      <c r="M469" s="137">
        <f>IF(J469=K469+L469,0,Y469)</f>
        <v>0.47</v>
      </c>
      <c r="N469" s="138">
        <v>0</v>
      </c>
      <c r="O469" s="137">
        <v>126.366</v>
      </c>
      <c r="P469" s="137">
        <v>0</v>
      </c>
      <c r="Q469" s="137">
        <v>0</v>
      </c>
      <c r="R469" s="137">
        <v>15.164</v>
      </c>
      <c r="S469" s="138">
        <v>126.366</v>
      </c>
      <c r="T469" s="137">
        <v>141.53</v>
      </c>
      <c r="U469" s="137">
        <v>0</v>
      </c>
      <c r="V469" s="137">
        <v>0</v>
      </c>
      <c r="W469" s="137">
        <v>0</v>
      </c>
      <c r="X469" s="137">
        <v>0</v>
      </c>
      <c r="Y469" s="137">
        <v>0.47</v>
      </c>
      <c r="Z469" s="138">
        <v>1000</v>
      </c>
      <c r="AA469" s="137">
        <v>0</v>
      </c>
      <c r="AB469" s="137">
        <v>0</v>
      </c>
      <c r="AC469" s="137"/>
      <c r="AD469" s="137">
        <v>0</v>
      </c>
      <c r="AE469" s="139">
        <v>-858</v>
      </c>
      <c r="AF469" s="56">
        <v>6.8473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109</v>
      </c>
      <c r="F470" s="133" t="s">
        <v>111</v>
      </c>
      <c r="G470" s="134">
        <v>46132</v>
      </c>
      <c r="H470" s="135">
        <v>0.5226736111111111</v>
      </c>
      <c r="I470" s="136">
        <v>169002616</v>
      </c>
      <c r="J470" s="137">
        <v>183.23</v>
      </c>
      <c r="K470" s="137">
        <f>N470+O470+P470</f>
        <v>163.5982</v>
      </c>
      <c r="L470" s="137">
        <f>Q470+R470</f>
        <v>19.6318</v>
      </c>
      <c r="M470" s="137">
        <f>IF(J470=K470+L470,0,Y470)</f>
        <v>0</v>
      </c>
      <c r="N470" s="138">
        <v>0</v>
      </c>
      <c r="O470" s="137">
        <v>163.5982</v>
      </c>
      <c r="P470" s="137">
        <v>0</v>
      </c>
      <c r="Q470" s="137">
        <v>0</v>
      </c>
      <c r="R470" s="137">
        <v>19.6318</v>
      </c>
      <c r="S470" s="138">
        <v>163.5982</v>
      </c>
      <c r="T470" s="137">
        <v>183.23</v>
      </c>
      <c r="U470" s="137">
        <v>0</v>
      </c>
      <c r="V470" s="137">
        <v>0</v>
      </c>
      <c r="W470" s="137">
        <v>0</v>
      </c>
      <c r="X470" s="137">
        <v>0</v>
      </c>
      <c r="Y470" s="137">
        <v>0</v>
      </c>
      <c r="Z470" s="138">
        <v>0</v>
      </c>
      <c r="AA470" s="137">
        <v>0</v>
      </c>
      <c r="AB470" s="137">
        <v>183.23</v>
      </c>
      <c r="AC470" s="137">
        <v>0</v>
      </c>
      <c r="AD470" s="137">
        <v>0</v>
      </c>
      <c r="AE470" s="139">
        <v>0</v>
      </c>
      <c r="AF470" s="56">
        <v>8.4193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109</v>
      </c>
      <c r="F471" s="133" t="s">
        <v>111</v>
      </c>
      <c r="G471" s="134">
        <v>46132</v>
      </c>
      <c r="H471" s="135">
        <v>0.5232523148148148</v>
      </c>
      <c r="I471" s="136">
        <v>169002617</v>
      </c>
      <c r="J471" s="137">
        <v>43.2</v>
      </c>
      <c r="K471" s="137">
        <f>N471+O471+P471</f>
        <v>38.5715</v>
      </c>
      <c r="L471" s="137">
        <f>Q471+R471</f>
        <v>4.6285</v>
      </c>
      <c r="M471" s="137">
        <f>IF(J471=K471+L471,0,Y471)</f>
        <v>0</v>
      </c>
      <c r="N471" s="138">
        <v>0</v>
      </c>
      <c r="O471" s="137">
        <v>38.5715</v>
      </c>
      <c r="P471" s="137">
        <v>0</v>
      </c>
      <c r="Q471" s="137">
        <v>0</v>
      </c>
      <c r="R471" s="137">
        <v>4.6285</v>
      </c>
      <c r="S471" s="138">
        <v>38.5715</v>
      </c>
      <c r="T471" s="137">
        <v>43.2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43.2</v>
      </c>
      <c r="AC471" s="137">
        <v>0</v>
      </c>
      <c r="AD471" s="137">
        <v>0</v>
      </c>
      <c r="AE471" s="139">
        <v>0</v>
      </c>
      <c r="AF471" s="56">
        <v>5.8288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109</v>
      </c>
      <c r="F472" s="133" t="s">
        <v>111</v>
      </c>
      <c r="G472" s="134">
        <v>46132</v>
      </c>
      <c r="H472" s="135">
        <v>0.5253125</v>
      </c>
      <c r="I472" s="136">
        <v>169002618</v>
      </c>
      <c r="J472" s="137">
        <v>70.15</v>
      </c>
      <c r="K472" s="137">
        <f>N472+O472+P472</f>
        <v>61.0467</v>
      </c>
      <c r="L472" s="137">
        <f>Q472+R472</f>
        <v>9.1033</v>
      </c>
      <c r="M472" s="137">
        <f>IF(J472=K472+L472,0,Y472)</f>
        <v>0</v>
      </c>
      <c r="N472" s="138">
        <v>19.7521</v>
      </c>
      <c r="O472" s="137">
        <v>41.2946</v>
      </c>
      <c r="P472" s="137">
        <v>0</v>
      </c>
      <c r="Q472" s="137">
        <v>4.1479</v>
      </c>
      <c r="R472" s="137">
        <v>4.9554</v>
      </c>
      <c r="S472" s="138">
        <v>61.0467</v>
      </c>
      <c r="T472" s="137">
        <v>70.15</v>
      </c>
      <c r="U472" s="137">
        <v>0</v>
      </c>
      <c r="V472" s="137">
        <v>0</v>
      </c>
      <c r="W472" s="137">
        <v>0</v>
      </c>
      <c r="X472" s="137">
        <v>0</v>
      </c>
      <c r="Y472" s="137">
        <v>0</v>
      </c>
      <c r="Z472" s="138">
        <v>0</v>
      </c>
      <c r="AA472" s="137">
        <v>0</v>
      </c>
      <c r="AB472" s="137">
        <v>70.15</v>
      </c>
      <c r="AC472" s="137">
        <v>0</v>
      </c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109</v>
      </c>
      <c r="F473" s="133" t="s">
        <v>111</v>
      </c>
      <c r="G473" s="134">
        <v>46132</v>
      </c>
      <c r="H473" s="135">
        <v>0.527337962962963</v>
      </c>
      <c r="I473" s="136">
        <v>169002619</v>
      </c>
      <c r="J473" s="137">
        <v>123.46</v>
      </c>
      <c r="K473" s="137">
        <f>N473+O473+P473</f>
        <v>108.3793</v>
      </c>
      <c r="L473" s="137">
        <f>Q473+R473</f>
        <v>15.0807</v>
      </c>
      <c r="M473" s="137">
        <f>IF(J473=K473+L473,0,Y473)</f>
        <v>0</v>
      </c>
      <c r="N473" s="138">
        <v>23.0579</v>
      </c>
      <c r="O473" s="137">
        <v>85.3214</v>
      </c>
      <c r="P473" s="137">
        <v>0</v>
      </c>
      <c r="Q473" s="137">
        <v>4.8421</v>
      </c>
      <c r="R473" s="137">
        <v>10.2386</v>
      </c>
      <c r="S473" s="138">
        <v>108.3793</v>
      </c>
      <c r="T473" s="137">
        <v>123.46</v>
      </c>
      <c r="U473" s="137">
        <v>0</v>
      </c>
      <c r="V473" s="137">
        <v>0</v>
      </c>
      <c r="W473" s="137">
        <v>0</v>
      </c>
      <c r="X473" s="137">
        <v>0</v>
      </c>
      <c r="Y473" s="137">
        <v>0</v>
      </c>
      <c r="Z473" s="138">
        <v>0</v>
      </c>
      <c r="AA473" s="137">
        <v>0</v>
      </c>
      <c r="AB473" s="137">
        <v>123.46</v>
      </c>
      <c r="AC473" s="137">
        <v>0</v>
      </c>
      <c r="AD473" s="137">
        <v>0</v>
      </c>
      <c r="AE473" s="139">
        <v>0</v>
      </c>
      <c r="AF473" s="56">
        <v>23.94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109</v>
      </c>
      <c r="F474" s="133" t="s">
        <v>111</v>
      </c>
      <c r="G474" s="134">
        <v>46132</v>
      </c>
      <c r="H474" s="135">
        <v>0.5279282407407407</v>
      </c>
      <c r="I474" s="136">
        <v>169002620</v>
      </c>
      <c r="J474" s="137">
        <v>150</v>
      </c>
      <c r="K474" s="137">
        <f>N474+O474+P474</f>
        <v>132.07569999999998</v>
      </c>
      <c r="L474" s="137">
        <f>Q474+R474</f>
        <v>17.924300000000002</v>
      </c>
      <c r="M474" s="137">
        <f>IF(J474=K474+L474,0,Y474)</f>
        <v>0</v>
      </c>
      <c r="N474" s="138">
        <v>23.0579</v>
      </c>
      <c r="O474" s="137">
        <v>109.0178</v>
      </c>
      <c r="P474" s="137">
        <v>0</v>
      </c>
      <c r="Q474" s="137">
        <v>4.8421</v>
      </c>
      <c r="R474" s="137">
        <v>13.0822</v>
      </c>
      <c r="S474" s="138">
        <v>132.0757</v>
      </c>
      <c r="T474" s="137">
        <v>150</v>
      </c>
      <c r="U474" s="137">
        <v>0</v>
      </c>
      <c r="V474" s="137">
        <v>0</v>
      </c>
      <c r="W474" s="137">
        <v>0</v>
      </c>
      <c r="X474" s="137">
        <v>0</v>
      </c>
      <c r="Y474" s="137">
        <v>0</v>
      </c>
      <c r="Z474" s="138">
        <v>0</v>
      </c>
      <c r="AA474" s="137">
        <v>0</v>
      </c>
      <c r="AB474" s="137">
        <v>150</v>
      </c>
      <c r="AC474" s="137">
        <v>0</v>
      </c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109</v>
      </c>
      <c r="F475" s="133" t="s">
        <v>111</v>
      </c>
      <c r="G475" s="134">
        <v>46132</v>
      </c>
      <c r="H475" s="135">
        <v>0.5286805555555556</v>
      </c>
      <c r="I475" s="136">
        <v>169002621</v>
      </c>
      <c r="J475" s="137">
        <v>248</v>
      </c>
      <c r="K475" s="137">
        <f>N475+O475+P475</f>
        <v>221.3482</v>
      </c>
      <c r="L475" s="137">
        <f>Q475+R475</f>
        <v>26.5618</v>
      </c>
      <c r="M475" s="137">
        <f>IF(J475=K475+L475,0,Y475)</f>
        <v>0.09</v>
      </c>
      <c r="N475" s="138">
        <v>0</v>
      </c>
      <c r="O475" s="137">
        <v>221.3482</v>
      </c>
      <c r="P475" s="137">
        <v>0</v>
      </c>
      <c r="Q475" s="137">
        <v>0</v>
      </c>
      <c r="R475" s="137">
        <v>26.5618</v>
      </c>
      <c r="S475" s="138">
        <v>221.3482</v>
      </c>
      <c r="T475" s="137">
        <v>247.91</v>
      </c>
      <c r="U475" s="137">
        <v>0</v>
      </c>
      <c r="V475" s="137">
        <v>0</v>
      </c>
      <c r="W475" s="137">
        <v>0</v>
      </c>
      <c r="X475" s="137">
        <v>0</v>
      </c>
      <c r="Y475" s="137">
        <v>0.09</v>
      </c>
      <c r="Z475" s="138">
        <v>1000</v>
      </c>
      <c r="AA475" s="137">
        <v>0</v>
      </c>
      <c r="AB475" s="137">
        <v>0</v>
      </c>
      <c r="AC475" s="137"/>
      <c r="AD475" s="137">
        <v>0</v>
      </c>
      <c r="AE475" s="139">
        <v>-752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109</v>
      </c>
      <c r="F476" s="133" t="s">
        <v>111</v>
      </c>
      <c r="G476" s="134">
        <v>46132</v>
      </c>
      <c r="H476" s="135">
        <v>0.5299305555555556</v>
      </c>
      <c r="I476" s="136">
        <v>169002622</v>
      </c>
      <c r="J476" s="137">
        <v>297.8</v>
      </c>
      <c r="K476" s="137">
        <f>N476+O476+P476</f>
        <v>246.1157</v>
      </c>
      <c r="L476" s="137">
        <f>Q476+R476</f>
        <v>51.6843</v>
      </c>
      <c r="M476" s="137">
        <f>IF(J476=K476+L476,0,Y476)</f>
        <v>0</v>
      </c>
      <c r="N476" s="138">
        <v>246.1157</v>
      </c>
      <c r="O476" s="137">
        <v>0</v>
      </c>
      <c r="P476" s="137">
        <v>0</v>
      </c>
      <c r="Q476" s="137">
        <v>51.6843</v>
      </c>
      <c r="R476" s="137">
        <v>0</v>
      </c>
      <c r="S476" s="138">
        <v>246.1157</v>
      </c>
      <c r="T476" s="137">
        <v>297.8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297.8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109</v>
      </c>
      <c r="F477" s="133" t="s">
        <v>111</v>
      </c>
      <c r="G477" s="134">
        <v>46132</v>
      </c>
      <c r="H477" s="135">
        <v>0.5321296296296296</v>
      </c>
      <c r="I477" s="136">
        <v>169002623</v>
      </c>
      <c r="J477" s="137">
        <v>22</v>
      </c>
      <c r="K477" s="137">
        <f>N477+O477+P477</f>
        <v>18.0992</v>
      </c>
      <c r="L477" s="137">
        <f>Q477+R477</f>
        <v>3.8008</v>
      </c>
      <c r="M477" s="137">
        <f>IF(J477=K477+L477,0,Y477)</f>
        <v>0.1</v>
      </c>
      <c r="N477" s="138">
        <v>18.0992</v>
      </c>
      <c r="O477" s="137">
        <v>0</v>
      </c>
      <c r="P477" s="137">
        <v>0</v>
      </c>
      <c r="Q477" s="137">
        <v>3.8008</v>
      </c>
      <c r="R477" s="137">
        <v>0</v>
      </c>
      <c r="S477" s="138">
        <v>18.0992</v>
      </c>
      <c r="T477" s="137">
        <v>21.9</v>
      </c>
      <c r="U477" s="137">
        <v>0</v>
      </c>
      <c r="V477" s="137">
        <v>0</v>
      </c>
      <c r="W477" s="137">
        <v>0</v>
      </c>
      <c r="X477" s="137">
        <v>0</v>
      </c>
      <c r="Y477" s="137">
        <v>0.1</v>
      </c>
      <c r="Z477" s="138">
        <v>22</v>
      </c>
      <c r="AA477" s="137">
        <v>0</v>
      </c>
      <c r="AB477" s="137">
        <v>0</v>
      </c>
      <c r="AC477" s="137"/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109</v>
      </c>
      <c r="F478" s="133" t="s">
        <v>111</v>
      </c>
      <c r="G478" s="134">
        <v>46132</v>
      </c>
      <c r="H478" s="135">
        <v>0.5345601851851852</v>
      </c>
      <c r="I478" s="136">
        <v>169002624</v>
      </c>
      <c r="J478" s="137">
        <v>306</v>
      </c>
      <c r="K478" s="137">
        <f>N478+O478+P478</f>
        <v>262.10749999999996</v>
      </c>
      <c r="L478" s="137">
        <f>Q478+R478</f>
        <v>43.5025</v>
      </c>
      <c r="M478" s="137">
        <f>IF(J478=K478+L478,0,Y478)</f>
        <v>0.39</v>
      </c>
      <c r="N478" s="138">
        <v>133.8843</v>
      </c>
      <c r="O478" s="137">
        <v>128.2232</v>
      </c>
      <c r="P478" s="137">
        <v>0</v>
      </c>
      <c r="Q478" s="137">
        <v>28.1157</v>
      </c>
      <c r="R478" s="137">
        <v>15.3868</v>
      </c>
      <c r="S478" s="138">
        <v>262.1075</v>
      </c>
      <c r="T478" s="137">
        <v>305.61</v>
      </c>
      <c r="U478" s="137">
        <v>0</v>
      </c>
      <c r="V478" s="137">
        <v>0</v>
      </c>
      <c r="W478" s="137">
        <v>0</v>
      </c>
      <c r="X478" s="137">
        <v>0</v>
      </c>
      <c r="Y478" s="137">
        <v>0.39</v>
      </c>
      <c r="Z478" s="138">
        <v>1006</v>
      </c>
      <c r="AA478" s="137">
        <v>0</v>
      </c>
      <c r="AB478" s="137">
        <v>0</v>
      </c>
      <c r="AC478" s="137"/>
      <c r="AD478" s="137">
        <v>0</v>
      </c>
      <c r="AE478" s="139">
        <v>-700</v>
      </c>
      <c r="AF478" s="56">
        <v>25.0101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109</v>
      </c>
      <c r="F479" s="133" t="s">
        <v>111</v>
      </c>
      <c r="G479" s="134">
        <v>46132</v>
      </c>
      <c r="H479" s="135">
        <v>0.536238425925926</v>
      </c>
      <c r="I479" s="136">
        <v>169002625</v>
      </c>
      <c r="J479" s="137">
        <v>89</v>
      </c>
      <c r="K479" s="137">
        <f>N479+O479+P479</f>
        <v>78.3714</v>
      </c>
      <c r="L479" s="137">
        <f>Q479+R479</f>
        <v>10.7286</v>
      </c>
      <c r="M479" s="137">
        <f>IF(J479=K479+L479,0,Y479)</f>
        <v>-0.1</v>
      </c>
      <c r="N479" s="138">
        <v>14.7107</v>
      </c>
      <c r="O479" s="137">
        <v>63.6607</v>
      </c>
      <c r="P479" s="137">
        <v>0</v>
      </c>
      <c r="Q479" s="137">
        <v>3.0893</v>
      </c>
      <c r="R479" s="137">
        <v>7.6393</v>
      </c>
      <c r="S479" s="138">
        <v>78.3714</v>
      </c>
      <c r="T479" s="137">
        <v>89.1</v>
      </c>
      <c r="U479" s="137">
        <v>0</v>
      </c>
      <c r="V479" s="137">
        <v>0</v>
      </c>
      <c r="W479" s="137">
        <v>0</v>
      </c>
      <c r="X479" s="137">
        <v>0</v>
      </c>
      <c r="Y479" s="137">
        <v>-0.1</v>
      </c>
      <c r="Z479" s="138">
        <v>100</v>
      </c>
      <c r="AA479" s="137">
        <v>0</v>
      </c>
      <c r="AB479" s="137">
        <v>0</v>
      </c>
      <c r="AC479" s="137"/>
      <c r="AD479" s="137">
        <v>0</v>
      </c>
      <c r="AE479" s="139">
        <v>-11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109</v>
      </c>
      <c r="F480" s="133" t="s">
        <v>111</v>
      </c>
      <c r="G480" s="134">
        <v>46132</v>
      </c>
      <c r="H480" s="135">
        <v>0.5375925925925926</v>
      </c>
      <c r="I480" s="136">
        <v>169002626</v>
      </c>
      <c r="J480" s="137">
        <v>34</v>
      </c>
      <c r="K480" s="137">
        <f>N480+O480+P480</f>
        <v>29.303400000000003</v>
      </c>
      <c r="L480" s="137">
        <f>Q480+R480</f>
        <v>4.9966</v>
      </c>
      <c r="M480" s="137">
        <f>IF(J480=K480+L480,0,Y480)</f>
        <v>-0.3</v>
      </c>
      <c r="N480" s="138">
        <v>16.4463</v>
      </c>
      <c r="O480" s="137">
        <v>12.8571</v>
      </c>
      <c r="P480" s="137">
        <v>0</v>
      </c>
      <c r="Q480" s="137">
        <v>3.4537</v>
      </c>
      <c r="R480" s="137">
        <v>1.5429</v>
      </c>
      <c r="S480" s="138">
        <v>29.3034</v>
      </c>
      <c r="T480" s="137">
        <v>34.3</v>
      </c>
      <c r="U480" s="137">
        <v>0</v>
      </c>
      <c r="V480" s="137">
        <v>0</v>
      </c>
      <c r="W480" s="137">
        <v>0</v>
      </c>
      <c r="X480" s="137">
        <v>0</v>
      </c>
      <c r="Y480" s="137">
        <v>-0.3</v>
      </c>
      <c r="Z480" s="138">
        <v>34</v>
      </c>
      <c r="AA480" s="137">
        <v>0</v>
      </c>
      <c r="AB480" s="137">
        <v>0</v>
      </c>
      <c r="AC480" s="137"/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109</v>
      </c>
      <c r="F481" s="133" t="s">
        <v>111</v>
      </c>
      <c r="G481" s="134">
        <v>46132</v>
      </c>
      <c r="H481" s="135">
        <v>0.5380787037037037</v>
      </c>
      <c r="I481" s="136">
        <v>169002627</v>
      </c>
      <c r="J481" s="137">
        <v>85.76</v>
      </c>
      <c r="K481" s="137">
        <f>N481+O481+P481</f>
        <v>73.2707</v>
      </c>
      <c r="L481" s="137">
        <f>Q481+R481</f>
        <v>12.4893</v>
      </c>
      <c r="M481" s="137">
        <f>IF(J481=K481+L481,0,Y481)</f>
        <v>0</v>
      </c>
      <c r="N481" s="138">
        <v>41.0743</v>
      </c>
      <c r="O481" s="137">
        <v>32.1964</v>
      </c>
      <c r="P481" s="137">
        <v>0</v>
      </c>
      <c r="Q481" s="137">
        <v>8.6257</v>
      </c>
      <c r="R481" s="137">
        <v>3.8636</v>
      </c>
      <c r="S481" s="138">
        <v>73.2707</v>
      </c>
      <c r="T481" s="137">
        <v>85.76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85.76</v>
      </c>
      <c r="AC481" s="137">
        <v>0</v>
      </c>
      <c r="AD481" s="137">
        <v>0</v>
      </c>
      <c r="AE481" s="139">
        <v>0</v>
      </c>
      <c r="AF481" s="56">
        <v>10.14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109</v>
      </c>
      <c r="F482" s="133" t="s">
        <v>111</v>
      </c>
      <c r="G482" s="134">
        <v>46132</v>
      </c>
      <c r="H482" s="135">
        <v>0.5383564814814815</v>
      </c>
      <c r="I482" s="136">
        <v>169002628</v>
      </c>
      <c r="J482" s="137">
        <v>48.8</v>
      </c>
      <c r="K482" s="137">
        <f>N482+O482+P482</f>
        <v>42.0506</v>
      </c>
      <c r="L482" s="137">
        <f>Q482+R482</f>
        <v>6.7494</v>
      </c>
      <c r="M482" s="137">
        <f>IF(J482=K482+L482,0,Y482)</f>
        <v>0</v>
      </c>
      <c r="N482" s="138">
        <v>18.9256</v>
      </c>
      <c r="O482" s="137">
        <v>23.125</v>
      </c>
      <c r="P482" s="137">
        <v>0</v>
      </c>
      <c r="Q482" s="137">
        <v>3.9744</v>
      </c>
      <c r="R482" s="137">
        <v>2.775</v>
      </c>
      <c r="S482" s="138">
        <v>42.0506</v>
      </c>
      <c r="T482" s="137">
        <v>48.8</v>
      </c>
      <c r="U482" s="137">
        <v>0</v>
      </c>
      <c r="V482" s="137">
        <v>0</v>
      </c>
      <c r="W482" s="137">
        <v>0</v>
      </c>
      <c r="X482" s="137">
        <v>0</v>
      </c>
      <c r="Y482" s="137">
        <v>0</v>
      </c>
      <c r="Z482" s="138">
        <v>0</v>
      </c>
      <c r="AA482" s="137">
        <v>0</v>
      </c>
      <c r="AB482" s="137">
        <v>48.8</v>
      </c>
      <c r="AC482" s="137">
        <v>0</v>
      </c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109</v>
      </c>
      <c r="F483" s="133" t="s">
        <v>111</v>
      </c>
      <c r="G483" s="134">
        <v>46132</v>
      </c>
      <c r="H483" s="135">
        <v>0.5400115740740741</v>
      </c>
      <c r="I483" s="136">
        <v>169002629</v>
      </c>
      <c r="J483" s="137">
        <v>174.4</v>
      </c>
      <c r="K483" s="137">
        <f>N483+O483+P483</f>
        <v>152.5398</v>
      </c>
      <c r="L483" s="137">
        <f>Q483+R483</f>
        <v>21.8602</v>
      </c>
      <c r="M483" s="137">
        <f>IF(J483=K483+L483,0,Y483)</f>
        <v>0</v>
      </c>
      <c r="N483" s="138">
        <v>39.5042</v>
      </c>
      <c r="O483" s="137">
        <v>113.0356</v>
      </c>
      <c r="P483" s="137">
        <v>0</v>
      </c>
      <c r="Q483" s="137">
        <v>8.2958</v>
      </c>
      <c r="R483" s="137">
        <v>13.5644</v>
      </c>
      <c r="S483" s="138">
        <v>152.5398</v>
      </c>
      <c r="T483" s="137">
        <v>174.4</v>
      </c>
      <c r="U483" s="137">
        <v>0</v>
      </c>
      <c r="V483" s="137">
        <v>0</v>
      </c>
      <c r="W483" s="137">
        <v>0</v>
      </c>
      <c r="X483" s="137">
        <v>0</v>
      </c>
      <c r="Y483" s="137">
        <v>0</v>
      </c>
      <c r="Z483" s="138">
        <v>0</v>
      </c>
      <c r="AA483" s="137">
        <v>0</v>
      </c>
      <c r="AB483" s="137">
        <v>174.4</v>
      </c>
      <c r="AC483" s="137">
        <v>0</v>
      </c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109</v>
      </c>
      <c r="F484" s="133" t="s">
        <v>111</v>
      </c>
      <c r="G484" s="134">
        <v>46132</v>
      </c>
      <c r="H484" s="135">
        <v>0.5403472222222222</v>
      </c>
      <c r="I484" s="136">
        <v>169002630</v>
      </c>
      <c r="J484" s="137">
        <v>45</v>
      </c>
      <c r="K484" s="137">
        <f>N484+O484+P484</f>
        <v>40</v>
      </c>
      <c r="L484" s="137">
        <f>Q484+R484</f>
        <v>4.8</v>
      </c>
      <c r="M484" s="137">
        <f>IF(J484=K484+L484,0,Y484)</f>
        <v>0.2</v>
      </c>
      <c r="N484" s="138">
        <v>0</v>
      </c>
      <c r="O484" s="137">
        <v>40</v>
      </c>
      <c r="P484" s="137">
        <v>0</v>
      </c>
      <c r="Q484" s="137">
        <v>0</v>
      </c>
      <c r="R484" s="137">
        <v>4.8</v>
      </c>
      <c r="S484" s="138">
        <v>40</v>
      </c>
      <c r="T484" s="137">
        <v>44.8</v>
      </c>
      <c r="U484" s="137">
        <v>0</v>
      </c>
      <c r="V484" s="137">
        <v>0</v>
      </c>
      <c r="W484" s="137">
        <v>0</v>
      </c>
      <c r="X484" s="137">
        <v>0</v>
      </c>
      <c r="Y484" s="137">
        <v>0.2</v>
      </c>
      <c r="Z484" s="138">
        <v>45</v>
      </c>
      <c r="AA484" s="137">
        <v>0</v>
      </c>
      <c r="AB484" s="137">
        <v>0</v>
      </c>
      <c r="AC484" s="137"/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109</v>
      </c>
      <c r="F485" s="133" t="s">
        <v>111</v>
      </c>
      <c r="G485" s="134">
        <v>46132</v>
      </c>
      <c r="H485" s="135">
        <v>0.541261574074074</v>
      </c>
      <c r="I485" s="136">
        <v>169002631</v>
      </c>
      <c r="J485" s="137">
        <v>47</v>
      </c>
      <c r="K485" s="137">
        <f>N485+O485+P485</f>
        <v>39.1584</v>
      </c>
      <c r="L485" s="137">
        <f>Q485+R485</f>
        <v>8.041599999999999</v>
      </c>
      <c r="M485" s="137">
        <f>IF(J485=K485+L485,0,Y485)</f>
        <v>-0.2</v>
      </c>
      <c r="N485" s="138">
        <v>13.1405</v>
      </c>
      <c r="O485" s="137">
        <v>44.0179</v>
      </c>
      <c r="P485" s="137">
        <v>-18</v>
      </c>
      <c r="Q485" s="137">
        <v>2.7595</v>
      </c>
      <c r="R485" s="137">
        <v>5.2821</v>
      </c>
      <c r="S485" s="138">
        <v>57.1584</v>
      </c>
      <c r="T485" s="137">
        <v>65.2</v>
      </c>
      <c r="U485" s="137">
        <v>0</v>
      </c>
      <c r="V485" s="137">
        <v>0</v>
      </c>
      <c r="W485" s="137">
        <v>0</v>
      </c>
      <c r="X485" s="137">
        <v>-18</v>
      </c>
      <c r="Y485" s="137">
        <v>-0.2</v>
      </c>
      <c r="Z485" s="138">
        <v>1000</v>
      </c>
      <c r="AA485" s="137">
        <v>0</v>
      </c>
      <c r="AB485" s="137">
        <v>0</v>
      </c>
      <c r="AC485" s="137"/>
      <c r="AD485" s="137">
        <v>0</v>
      </c>
      <c r="AE485" s="139">
        <v>-953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109</v>
      </c>
      <c r="F486" s="133" t="s">
        <v>111</v>
      </c>
      <c r="G486" s="134">
        <v>46132</v>
      </c>
      <c r="H486" s="135">
        <v>0.5817824074074074</v>
      </c>
      <c r="I486" s="136">
        <v>169002632</v>
      </c>
      <c r="J486" s="137">
        <v>253.96</v>
      </c>
      <c r="K486" s="137">
        <f>N486+O486+P486</f>
        <v>226.7499</v>
      </c>
      <c r="L486" s="137">
        <f>Q486+R486</f>
        <v>27.2101</v>
      </c>
      <c r="M486" s="137">
        <f>IF(J486=K486+L486,0,Y486)</f>
        <v>0</v>
      </c>
      <c r="N486" s="138">
        <v>0</v>
      </c>
      <c r="O486" s="137">
        <v>226.7499</v>
      </c>
      <c r="P486" s="137">
        <v>0</v>
      </c>
      <c r="Q486" s="137">
        <v>0</v>
      </c>
      <c r="R486" s="137">
        <v>27.2101</v>
      </c>
      <c r="S486" s="138">
        <v>226.7499</v>
      </c>
      <c r="T486" s="137">
        <v>253.96</v>
      </c>
      <c r="U486" s="137">
        <v>0</v>
      </c>
      <c r="V486" s="137">
        <v>0</v>
      </c>
      <c r="W486" s="137">
        <v>0</v>
      </c>
      <c r="X486" s="137">
        <v>0</v>
      </c>
      <c r="Y486" s="137">
        <v>0</v>
      </c>
      <c r="Z486" s="138">
        <v>0</v>
      </c>
      <c r="AA486" s="137">
        <v>0</v>
      </c>
      <c r="AB486" s="137">
        <v>253.96</v>
      </c>
      <c r="AC486" s="137">
        <v>0</v>
      </c>
      <c r="AD486" s="137">
        <v>0</v>
      </c>
      <c r="AE486" s="139">
        <v>0</v>
      </c>
      <c r="AF486" s="56">
        <v>8.64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109</v>
      </c>
      <c r="F487" s="133" t="s">
        <v>111</v>
      </c>
      <c r="G487" s="134">
        <v>46132</v>
      </c>
      <c r="H487" s="135">
        <v>0.5822685185185185</v>
      </c>
      <c r="I487" s="136">
        <v>169002633</v>
      </c>
      <c r="J487" s="137">
        <v>280</v>
      </c>
      <c r="K487" s="137">
        <f>N487+O487+P487</f>
        <v>245.86860000000001</v>
      </c>
      <c r="L487" s="137">
        <f>Q487+R487</f>
        <v>34.3314</v>
      </c>
      <c r="M487" s="137">
        <f>IF(J487=K487+L487,0,Y487)</f>
        <v>-0.2</v>
      </c>
      <c r="N487" s="138">
        <v>53.6364</v>
      </c>
      <c r="O487" s="137">
        <v>192.2322</v>
      </c>
      <c r="P487" s="137">
        <v>0</v>
      </c>
      <c r="Q487" s="137">
        <v>11.2636</v>
      </c>
      <c r="R487" s="137">
        <v>23.0678</v>
      </c>
      <c r="S487" s="138">
        <v>245.8686</v>
      </c>
      <c r="T487" s="137">
        <v>280.2</v>
      </c>
      <c r="U487" s="137">
        <v>0</v>
      </c>
      <c r="V487" s="137">
        <v>0</v>
      </c>
      <c r="W487" s="137">
        <v>0</v>
      </c>
      <c r="X487" s="137">
        <v>0</v>
      </c>
      <c r="Y487" s="137">
        <v>-0.2</v>
      </c>
      <c r="Z487" s="138">
        <v>300</v>
      </c>
      <c r="AA487" s="137">
        <v>0</v>
      </c>
      <c r="AB487" s="137">
        <v>0</v>
      </c>
      <c r="AC487" s="137"/>
      <c r="AD487" s="137">
        <v>0</v>
      </c>
      <c r="AE487" s="139">
        <v>-20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109</v>
      </c>
      <c r="F488" s="133" t="s">
        <v>111</v>
      </c>
      <c r="G488" s="134">
        <v>46132</v>
      </c>
      <c r="H488" s="135">
        <v>0.5826736111111112</v>
      </c>
      <c r="I488" s="136">
        <v>169002634</v>
      </c>
      <c r="J488" s="137">
        <v>55.8</v>
      </c>
      <c r="K488" s="137">
        <f>N488+O488+P488</f>
        <v>46.1157</v>
      </c>
      <c r="L488" s="137">
        <f>Q488+R488</f>
        <v>9.6843</v>
      </c>
      <c r="M488" s="137">
        <f>IF(J488=K488+L488,0,Y488)</f>
        <v>0</v>
      </c>
      <c r="N488" s="138">
        <v>46.1157</v>
      </c>
      <c r="O488" s="137">
        <v>0</v>
      </c>
      <c r="P488" s="137">
        <v>0</v>
      </c>
      <c r="Q488" s="137">
        <v>9.6843</v>
      </c>
      <c r="R488" s="137">
        <v>0</v>
      </c>
      <c r="S488" s="138">
        <v>46.1157</v>
      </c>
      <c r="T488" s="137">
        <v>55.8</v>
      </c>
      <c r="U488" s="137">
        <v>0</v>
      </c>
      <c r="V488" s="137">
        <v>0</v>
      </c>
      <c r="W488" s="137">
        <v>0</v>
      </c>
      <c r="X488" s="137">
        <v>0</v>
      </c>
      <c r="Y488" s="137">
        <v>0</v>
      </c>
      <c r="Z488" s="138">
        <v>0</v>
      </c>
      <c r="AA488" s="137">
        <v>0</v>
      </c>
      <c r="AB488" s="137">
        <v>55.8</v>
      </c>
      <c r="AC488" s="137">
        <v>0</v>
      </c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109</v>
      </c>
      <c r="F489" s="133" t="s">
        <v>111</v>
      </c>
      <c r="G489" s="134">
        <v>46132</v>
      </c>
      <c r="H489" s="135">
        <v>0.5836574074074075</v>
      </c>
      <c r="I489" s="136">
        <v>169002635</v>
      </c>
      <c r="J489" s="137">
        <v>17</v>
      </c>
      <c r="K489" s="137">
        <f>N489+O489+P489</f>
        <v>15.0893</v>
      </c>
      <c r="L489" s="137">
        <f>Q489+R489</f>
        <v>1.8107</v>
      </c>
      <c r="M489" s="137">
        <f>IF(J489=K489+L489,0,Y489)</f>
        <v>0.1</v>
      </c>
      <c r="N489" s="138">
        <v>0</v>
      </c>
      <c r="O489" s="137">
        <v>15.0893</v>
      </c>
      <c r="P489" s="137">
        <v>0</v>
      </c>
      <c r="Q489" s="137">
        <v>0</v>
      </c>
      <c r="R489" s="137">
        <v>1.8107</v>
      </c>
      <c r="S489" s="138">
        <v>15.0893</v>
      </c>
      <c r="T489" s="137">
        <v>16.9</v>
      </c>
      <c r="U489" s="137">
        <v>0</v>
      </c>
      <c r="V489" s="137">
        <v>0</v>
      </c>
      <c r="W489" s="137">
        <v>0</v>
      </c>
      <c r="X489" s="137">
        <v>0</v>
      </c>
      <c r="Y489" s="137">
        <v>0.1</v>
      </c>
      <c r="Z489" s="138">
        <v>20</v>
      </c>
      <c r="AA489" s="137">
        <v>0</v>
      </c>
      <c r="AB489" s="137">
        <v>0</v>
      </c>
      <c r="AC489" s="137"/>
      <c r="AD489" s="137">
        <v>0</v>
      </c>
      <c r="AE489" s="139">
        <v>-3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109</v>
      </c>
      <c r="F490" s="133" t="s">
        <v>111</v>
      </c>
      <c r="G490" s="134">
        <v>46132</v>
      </c>
      <c r="H490" s="135">
        <v>0.5843981481481482</v>
      </c>
      <c r="I490" s="136">
        <v>169002636</v>
      </c>
      <c r="J490" s="137">
        <v>49</v>
      </c>
      <c r="K490" s="137">
        <f>N490+O490+P490</f>
        <v>43.9732</v>
      </c>
      <c r="L490" s="137">
        <f>Q490+R490</f>
        <v>5.2768</v>
      </c>
      <c r="M490" s="137">
        <f>IF(J490=K490+L490,0,Y490)</f>
        <v>-0.25</v>
      </c>
      <c r="N490" s="138">
        <v>0</v>
      </c>
      <c r="O490" s="137">
        <v>43.9732</v>
      </c>
      <c r="P490" s="137">
        <v>0</v>
      </c>
      <c r="Q490" s="137">
        <v>0</v>
      </c>
      <c r="R490" s="137">
        <v>5.2768</v>
      </c>
      <c r="S490" s="138">
        <v>43.9732</v>
      </c>
      <c r="T490" s="137">
        <v>49.25</v>
      </c>
      <c r="U490" s="137">
        <v>0</v>
      </c>
      <c r="V490" s="137">
        <v>0</v>
      </c>
      <c r="W490" s="137">
        <v>0</v>
      </c>
      <c r="X490" s="137">
        <v>0</v>
      </c>
      <c r="Y490" s="137">
        <v>-0.25</v>
      </c>
      <c r="Z490" s="138">
        <v>200</v>
      </c>
      <c r="AA490" s="137">
        <v>0</v>
      </c>
      <c r="AB490" s="137">
        <v>0</v>
      </c>
      <c r="AC490" s="137"/>
      <c r="AD490" s="137">
        <v>0</v>
      </c>
      <c r="AE490" s="139">
        <v>-151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109</v>
      </c>
      <c r="F491" s="133" t="s">
        <v>111</v>
      </c>
      <c r="G491" s="134">
        <v>46132</v>
      </c>
      <c r="H491" s="135">
        <v>0.5848032407407407</v>
      </c>
      <c r="I491" s="136">
        <v>169002637</v>
      </c>
      <c r="J491" s="137">
        <v>64</v>
      </c>
      <c r="K491" s="137">
        <f>N491+O491+P491</f>
        <v>52.562</v>
      </c>
      <c r="L491" s="137">
        <f>Q491+R491</f>
        <v>11.038</v>
      </c>
      <c r="M491" s="137">
        <f>IF(J491=K491+L491,0,Y491)</f>
        <v>0.4</v>
      </c>
      <c r="N491" s="138">
        <v>52.562</v>
      </c>
      <c r="O491" s="137">
        <v>0</v>
      </c>
      <c r="P491" s="137">
        <v>0</v>
      </c>
      <c r="Q491" s="137">
        <v>11.038</v>
      </c>
      <c r="R491" s="137">
        <v>0</v>
      </c>
      <c r="S491" s="138">
        <v>52.562</v>
      </c>
      <c r="T491" s="137">
        <v>63.6</v>
      </c>
      <c r="U491" s="137">
        <v>0</v>
      </c>
      <c r="V491" s="137">
        <v>0</v>
      </c>
      <c r="W491" s="137">
        <v>0</v>
      </c>
      <c r="X491" s="137">
        <v>0</v>
      </c>
      <c r="Y491" s="137">
        <v>0.4</v>
      </c>
      <c r="Z491" s="138">
        <v>100</v>
      </c>
      <c r="AA491" s="137">
        <v>0</v>
      </c>
      <c r="AB491" s="137">
        <v>0</v>
      </c>
      <c r="AC491" s="137"/>
      <c r="AD491" s="137">
        <v>0</v>
      </c>
      <c r="AE491" s="139">
        <v>-36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109</v>
      </c>
      <c r="F492" s="133" t="s">
        <v>111</v>
      </c>
      <c r="G492" s="134">
        <v>46132</v>
      </c>
      <c r="H492" s="135">
        <v>0.5862037037037037</v>
      </c>
      <c r="I492" s="136">
        <v>169002638</v>
      </c>
      <c r="J492" s="137">
        <v>152</v>
      </c>
      <c r="K492" s="137">
        <f>N492+O492+P492</f>
        <v>129.9348</v>
      </c>
      <c r="L492" s="137">
        <f>Q492+R492</f>
        <v>22.4052</v>
      </c>
      <c r="M492" s="137">
        <f>IF(J492=K492+L492,0,Y492)</f>
        <v>-0.34</v>
      </c>
      <c r="N492" s="138">
        <v>75.7026</v>
      </c>
      <c r="O492" s="137">
        <v>54.2322</v>
      </c>
      <c r="P492" s="137">
        <v>0</v>
      </c>
      <c r="Q492" s="137">
        <v>15.8974</v>
      </c>
      <c r="R492" s="137">
        <v>6.5078</v>
      </c>
      <c r="S492" s="138">
        <v>129.9348</v>
      </c>
      <c r="T492" s="137">
        <v>152.34</v>
      </c>
      <c r="U492" s="137">
        <v>0</v>
      </c>
      <c r="V492" s="137">
        <v>0</v>
      </c>
      <c r="W492" s="137">
        <v>0</v>
      </c>
      <c r="X492" s="137">
        <v>0</v>
      </c>
      <c r="Y492" s="137">
        <v>-0.34</v>
      </c>
      <c r="Z492" s="138">
        <v>155</v>
      </c>
      <c r="AA492" s="137">
        <v>0</v>
      </c>
      <c r="AB492" s="137">
        <v>0</v>
      </c>
      <c r="AC492" s="137"/>
      <c r="AD492" s="137">
        <v>0</v>
      </c>
      <c r="AE492" s="139">
        <v>-3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109</v>
      </c>
      <c r="F493" s="133" t="s">
        <v>111</v>
      </c>
      <c r="G493" s="134">
        <v>46132</v>
      </c>
      <c r="H493" s="135">
        <v>0.5874421296296296</v>
      </c>
      <c r="I493" s="136">
        <v>169002639</v>
      </c>
      <c r="J493" s="137">
        <v>362.11</v>
      </c>
      <c r="K493" s="137">
        <f>N493+O493+P493</f>
        <v>315.1506</v>
      </c>
      <c r="L493" s="137">
        <f>Q493+R493</f>
        <v>46.9594</v>
      </c>
      <c r="M493" s="137">
        <f>IF(J493=K493+L493,0,Y493)</f>
        <v>0</v>
      </c>
      <c r="N493" s="138">
        <v>101.5702</v>
      </c>
      <c r="O493" s="137">
        <v>213.5804</v>
      </c>
      <c r="P493" s="137">
        <v>0</v>
      </c>
      <c r="Q493" s="137">
        <v>21.3298</v>
      </c>
      <c r="R493" s="137">
        <v>25.6296</v>
      </c>
      <c r="S493" s="138">
        <v>315.1506</v>
      </c>
      <c r="T493" s="137">
        <v>362.11</v>
      </c>
      <c r="U493" s="137">
        <v>0</v>
      </c>
      <c r="V493" s="137">
        <v>0</v>
      </c>
      <c r="W493" s="137">
        <v>0</v>
      </c>
      <c r="X493" s="137">
        <v>0</v>
      </c>
      <c r="Y493" s="137">
        <v>0</v>
      </c>
      <c r="Z493" s="138">
        <v>0</v>
      </c>
      <c r="AA493" s="137">
        <v>0</v>
      </c>
      <c r="AB493" s="137">
        <v>362.11</v>
      </c>
      <c r="AC493" s="137">
        <v>0</v>
      </c>
      <c r="AD493" s="137">
        <v>0</v>
      </c>
      <c r="AE493" s="139">
        <v>0</v>
      </c>
      <c r="AF493" s="56">
        <v>6.987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109</v>
      </c>
      <c r="F494" s="133" t="s">
        <v>111</v>
      </c>
      <c r="G494" s="134">
        <v>46132</v>
      </c>
      <c r="H494" s="135">
        <v>0.5878587962962963</v>
      </c>
      <c r="I494" s="136">
        <v>169002640</v>
      </c>
      <c r="J494" s="137">
        <v>72.3</v>
      </c>
      <c r="K494" s="137">
        <f>N494+O494+P494</f>
        <v>64.5535</v>
      </c>
      <c r="L494" s="137">
        <f>Q494+R494</f>
        <v>7.7465</v>
      </c>
      <c r="M494" s="137">
        <f>IF(J494=K494+L494,0,Y494)</f>
        <v>0</v>
      </c>
      <c r="N494" s="138">
        <v>0</v>
      </c>
      <c r="O494" s="137">
        <v>64.5535</v>
      </c>
      <c r="P494" s="137">
        <v>0</v>
      </c>
      <c r="Q494" s="137">
        <v>0</v>
      </c>
      <c r="R494" s="137">
        <v>7.7465</v>
      </c>
      <c r="S494" s="138">
        <v>64.5535</v>
      </c>
      <c r="T494" s="137">
        <v>72.3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0</v>
      </c>
      <c r="AA494" s="137">
        <v>0</v>
      </c>
      <c r="AB494" s="137">
        <v>72.3</v>
      </c>
      <c r="AC494" s="137">
        <v>0</v>
      </c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109</v>
      </c>
      <c r="F495" s="133" t="s">
        <v>111</v>
      </c>
      <c r="G495" s="134">
        <v>46132</v>
      </c>
      <c r="H495" s="135">
        <v>0.5879745370370371</v>
      </c>
      <c r="I495" s="136">
        <v>169002641</v>
      </c>
      <c r="J495" s="137">
        <v>70</v>
      </c>
      <c r="K495" s="137">
        <f>N495+O495+P495</f>
        <v>62.4107</v>
      </c>
      <c r="L495" s="137">
        <f>Q495+R495</f>
        <v>7.4893</v>
      </c>
      <c r="M495" s="137">
        <f>IF(J495=K495+L495,0,Y495)</f>
        <v>0.1</v>
      </c>
      <c r="N495" s="138">
        <v>0</v>
      </c>
      <c r="O495" s="137">
        <v>62.4107</v>
      </c>
      <c r="P495" s="137">
        <v>0</v>
      </c>
      <c r="Q495" s="137">
        <v>0</v>
      </c>
      <c r="R495" s="137">
        <v>7.4893</v>
      </c>
      <c r="S495" s="138">
        <v>62.4107</v>
      </c>
      <c r="T495" s="137">
        <v>69.9</v>
      </c>
      <c r="U495" s="137">
        <v>0</v>
      </c>
      <c r="V495" s="137">
        <v>0</v>
      </c>
      <c r="W495" s="137">
        <v>0</v>
      </c>
      <c r="X495" s="137">
        <v>0</v>
      </c>
      <c r="Y495" s="137">
        <v>0.1</v>
      </c>
      <c r="Z495" s="138">
        <v>100</v>
      </c>
      <c r="AA495" s="137">
        <v>0</v>
      </c>
      <c r="AB495" s="137">
        <v>0</v>
      </c>
      <c r="AC495" s="137"/>
      <c r="AD495" s="137">
        <v>0</v>
      </c>
      <c r="AE495" s="139">
        <v>-30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109</v>
      </c>
      <c r="F496" s="133" t="s">
        <v>111</v>
      </c>
      <c r="G496" s="134">
        <v>46132</v>
      </c>
      <c r="H496" s="135">
        <v>0.58875</v>
      </c>
      <c r="I496" s="136">
        <v>169002642</v>
      </c>
      <c r="J496" s="137">
        <v>71.4</v>
      </c>
      <c r="K496" s="137">
        <f>N496+O496+P496</f>
        <v>63.75</v>
      </c>
      <c r="L496" s="137">
        <f>Q496+R496</f>
        <v>7.65</v>
      </c>
      <c r="M496" s="137">
        <f>IF(J496=K496+L496,0,Y496)</f>
        <v>0</v>
      </c>
      <c r="N496" s="138">
        <v>0</v>
      </c>
      <c r="O496" s="137">
        <v>63.75</v>
      </c>
      <c r="P496" s="137">
        <v>0</v>
      </c>
      <c r="Q496" s="137">
        <v>0</v>
      </c>
      <c r="R496" s="137">
        <v>7.65</v>
      </c>
      <c r="S496" s="138">
        <v>63.75</v>
      </c>
      <c r="T496" s="137">
        <v>71.4</v>
      </c>
      <c r="U496" s="137">
        <v>0</v>
      </c>
      <c r="V496" s="137">
        <v>0</v>
      </c>
      <c r="W496" s="137">
        <v>0</v>
      </c>
      <c r="X496" s="137">
        <v>0</v>
      </c>
      <c r="Y496" s="137">
        <v>0</v>
      </c>
      <c r="Z496" s="138">
        <v>0</v>
      </c>
      <c r="AA496" s="137">
        <v>0</v>
      </c>
      <c r="AB496" s="137">
        <v>71.4</v>
      </c>
      <c r="AC496" s="137">
        <v>0</v>
      </c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109</v>
      </c>
      <c r="F497" s="133" t="s">
        <v>111</v>
      </c>
      <c r="G497" s="134">
        <v>46132</v>
      </c>
      <c r="H497" s="135">
        <v>0.5894907407407407</v>
      </c>
      <c r="I497" s="136">
        <v>169002643</v>
      </c>
      <c r="J497" s="137">
        <v>286.6</v>
      </c>
      <c r="K497" s="137">
        <f>N497+O497+P497</f>
        <v>248.5412</v>
      </c>
      <c r="L497" s="137">
        <f>Q497+R497</f>
        <v>38.0588</v>
      </c>
      <c r="M497" s="137">
        <f>IF(J497=K497+L497,0,Y497)</f>
        <v>0</v>
      </c>
      <c r="N497" s="138">
        <v>91.4876</v>
      </c>
      <c r="O497" s="137">
        <v>157.0536</v>
      </c>
      <c r="P497" s="137">
        <v>0</v>
      </c>
      <c r="Q497" s="137">
        <v>19.2124</v>
      </c>
      <c r="R497" s="137">
        <v>18.8464</v>
      </c>
      <c r="S497" s="138">
        <v>248.5412</v>
      </c>
      <c r="T497" s="137">
        <v>286.6</v>
      </c>
      <c r="U497" s="137">
        <v>0</v>
      </c>
      <c r="V497" s="137">
        <v>0</v>
      </c>
      <c r="W497" s="137">
        <v>0</v>
      </c>
      <c r="X497" s="137">
        <v>0</v>
      </c>
      <c r="Y497" s="137">
        <v>0</v>
      </c>
      <c r="Z497" s="138">
        <v>0</v>
      </c>
      <c r="AA497" s="137">
        <v>0</v>
      </c>
      <c r="AB497" s="137">
        <v>286.6</v>
      </c>
      <c r="AC497" s="137">
        <v>0</v>
      </c>
      <c r="AD497" s="137">
        <v>0</v>
      </c>
      <c r="AE497" s="139">
        <v>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109</v>
      </c>
      <c r="F498" s="133" t="s">
        <v>111</v>
      </c>
      <c r="G498" s="134">
        <v>46132</v>
      </c>
      <c r="H498" s="135">
        <v>0.5909375</v>
      </c>
      <c r="I498" s="136">
        <v>169002644</v>
      </c>
      <c r="J498" s="137">
        <v>16</v>
      </c>
      <c r="K498" s="137">
        <f>N498+O498+P498</f>
        <v>14.1964</v>
      </c>
      <c r="L498" s="137">
        <f>Q498+R498</f>
        <v>1.7036</v>
      </c>
      <c r="M498" s="137">
        <f>IF(J498=K498+L498,0,Y498)</f>
        <v>0.1</v>
      </c>
      <c r="N498" s="138">
        <v>0</v>
      </c>
      <c r="O498" s="137">
        <v>14.1964</v>
      </c>
      <c r="P498" s="137">
        <v>0</v>
      </c>
      <c r="Q498" s="137">
        <v>0</v>
      </c>
      <c r="R498" s="137">
        <v>1.7036</v>
      </c>
      <c r="S498" s="138">
        <v>14.1964</v>
      </c>
      <c r="T498" s="137">
        <v>15.9</v>
      </c>
      <c r="U498" s="137">
        <v>0</v>
      </c>
      <c r="V498" s="137">
        <v>0</v>
      </c>
      <c r="W498" s="137">
        <v>0</v>
      </c>
      <c r="X498" s="137">
        <v>0</v>
      </c>
      <c r="Y498" s="137">
        <v>0.1</v>
      </c>
      <c r="Z498" s="138">
        <v>16</v>
      </c>
      <c r="AA498" s="137">
        <v>0</v>
      </c>
      <c r="AB498" s="137">
        <v>0</v>
      </c>
      <c r="AC498" s="137"/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109</v>
      </c>
      <c r="F499" s="133" t="s">
        <v>111</v>
      </c>
      <c r="G499" s="134">
        <v>46132</v>
      </c>
      <c r="H499" s="135">
        <v>0.5913194444444444</v>
      </c>
      <c r="I499" s="136">
        <v>169002645</v>
      </c>
      <c r="J499" s="137">
        <v>108</v>
      </c>
      <c r="K499" s="137">
        <f>N499+O499+P499</f>
        <v>96.1608</v>
      </c>
      <c r="L499" s="137">
        <f>Q499+R499</f>
        <v>11.5392</v>
      </c>
      <c r="M499" s="137">
        <f>IF(J499=K499+L499,0,Y499)</f>
        <v>0.3</v>
      </c>
      <c r="N499" s="138">
        <v>0</v>
      </c>
      <c r="O499" s="137">
        <v>96.1608</v>
      </c>
      <c r="P499" s="137">
        <v>0</v>
      </c>
      <c r="Q499" s="137">
        <v>0</v>
      </c>
      <c r="R499" s="137">
        <v>11.5392</v>
      </c>
      <c r="S499" s="138">
        <v>96.1608</v>
      </c>
      <c r="T499" s="137">
        <v>107.7</v>
      </c>
      <c r="U499" s="137">
        <v>0</v>
      </c>
      <c r="V499" s="137">
        <v>0</v>
      </c>
      <c r="W499" s="137">
        <v>0</v>
      </c>
      <c r="X499" s="137">
        <v>0</v>
      </c>
      <c r="Y499" s="137">
        <v>0.3</v>
      </c>
      <c r="Z499" s="138">
        <v>110</v>
      </c>
      <c r="AA499" s="137">
        <v>0</v>
      </c>
      <c r="AB499" s="137">
        <v>0</v>
      </c>
      <c r="AC499" s="137"/>
      <c r="AD499" s="137">
        <v>0</v>
      </c>
      <c r="AE499" s="139">
        <v>-2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109</v>
      </c>
      <c r="F500" s="133" t="s">
        <v>111</v>
      </c>
      <c r="G500" s="134">
        <v>46132</v>
      </c>
      <c r="H500" s="135">
        <v>0.5916087962962963</v>
      </c>
      <c r="I500" s="136">
        <v>169002646</v>
      </c>
      <c r="J500" s="137">
        <v>24</v>
      </c>
      <c r="K500" s="137">
        <f>N500+O500+P500</f>
        <v>21.25</v>
      </c>
      <c r="L500" s="137">
        <f>Q500+R500</f>
        <v>2.55</v>
      </c>
      <c r="M500" s="137">
        <f>IF(J500=K500+L500,0,Y500)</f>
        <v>0.2</v>
      </c>
      <c r="N500" s="138">
        <v>0</v>
      </c>
      <c r="O500" s="137">
        <v>21.25</v>
      </c>
      <c r="P500" s="137">
        <v>0</v>
      </c>
      <c r="Q500" s="137">
        <v>0</v>
      </c>
      <c r="R500" s="137">
        <v>2.55</v>
      </c>
      <c r="S500" s="138">
        <v>21.25</v>
      </c>
      <c r="T500" s="137">
        <v>23.8</v>
      </c>
      <c r="U500" s="137">
        <v>0</v>
      </c>
      <c r="V500" s="137">
        <v>0</v>
      </c>
      <c r="W500" s="137">
        <v>0</v>
      </c>
      <c r="X500" s="137">
        <v>0</v>
      </c>
      <c r="Y500" s="137">
        <v>0.2</v>
      </c>
      <c r="Z500" s="138">
        <v>25</v>
      </c>
      <c r="AA500" s="137">
        <v>0</v>
      </c>
      <c r="AB500" s="137">
        <v>0</v>
      </c>
      <c r="AC500" s="137"/>
      <c r="AD500" s="137">
        <v>0</v>
      </c>
      <c r="AE500" s="139">
        <v>-1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109</v>
      </c>
      <c r="F501" s="133" t="s">
        <v>111</v>
      </c>
      <c r="G501" s="134">
        <v>46132</v>
      </c>
      <c r="H501" s="135">
        <v>0.592037037037037</v>
      </c>
      <c r="I501" s="136">
        <v>169002647</v>
      </c>
      <c r="J501" s="137">
        <v>53</v>
      </c>
      <c r="K501" s="137">
        <f>N501+O501+P501</f>
        <v>45.4892</v>
      </c>
      <c r="L501" s="137">
        <f>Q501+R501</f>
        <v>7.3108</v>
      </c>
      <c r="M501" s="137">
        <f>IF(J501=K501+L501,0,Y501)</f>
        <v>0.2</v>
      </c>
      <c r="N501" s="138">
        <v>20.5785</v>
      </c>
      <c r="O501" s="137">
        <v>24.9107</v>
      </c>
      <c r="P501" s="137">
        <v>0</v>
      </c>
      <c r="Q501" s="137">
        <v>4.3215</v>
      </c>
      <c r="R501" s="137">
        <v>2.9893</v>
      </c>
      <c r="S501" s="138">
        <v>45.4892</v>
      </c>
      <c r="T501" s="137">
        <v>52.8</v>
      </c>
      <c r="U501" s="137">
        <v>0</v>
      </c>
      <c r="V501" s="137">
        <v>0</v>
      </c>
      <c r="W501" s="137">
        <v>0</v>
      </c>
      <c r="X501" s="137">
        <v>0</v>
      </c>
      <c r="Y501" s="137">
        <v>0.2</v>
      </c>
      <c r="Z501" s="138">
        <v>503</v>
      </c>
      <c r="AA501" s="137">
        <v>0</v>
      </c>
      <c r="AB501" s="137">
        <v>0</v>
      </c>
      <c r="AC501" s="137"/>
      <c r="AD501" s="137">
        <v>0</v>
      </c>
      <c r="AE501" s="139">
        <v>-450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109</v>
      </c>
      <c r="F502" s="133" t="s">
        <v>111</v>
      </c>
      <c r="G502" s="134">
        <v>46132</v>
      </c>
      <c r="H502" s="135">
        <v>0.5924074074074074</v>
      </c>
      <c r="I502" s="136">
        <v>169002648</v>
      </c>
      <c r="J502" s="137">
        <v>104</v>
      </c>
      <c r="K502" s="137">
        <f>N502+O502+P502</f>
        <v>93.2144</v>
      </c>
      <c r="L502" s="137">
        <f>Q502+R502</f>
        <v>11.1856</v>
      </c>
      <c r="M502" s="137">
        <f>IF(J502=K502+L502,0,Y502)</f>
        <v>-0.4</v>
      </c>
      <c r="N502" s="138">
        <v>0</v>
      </c>
      <c r="O502" s="137">
        <v>93.2144</v>
      </c>
      <c r="P502" s="137">
        <v>0</v>
      </c>
      <c r="Q502" s="137">
        <v>0</v>
      </c>
      <c r="R502" s="137">
        <v>11.1856</v>
      </c>
      <c r="S502" s="138">
        <v>93.2144</v>
      </c>
      <c r="T502" s="137">
        <v>104.4</v>
      </c>
      <c r="U502" s="137">
        <v>0</v>
      </c>
      <c r="V502" s="137">
        <v>0</v>
      </c>
      <c r="W502" s="137">
        <v>0</v>
      </c>
      <c r="X502" s="137">
        <v>0</v>
      </c>
      <c r="Y502" s="137">
        <v>-0.4</v>
      </c>
      <c r="Z502" s="138">
        <v>105</v>
      </c>
      <c r="AA502" s="137">
        <v>0</v>
      </c>
      <c r="AB502" s="137">
        <v>0</v>
      </c>
      <c r="AC502" s="137"/>
      <c r="AD502" s="137">
        <v>0</v>
      </c>
      <c r="AE502" s="139">
        <v>-1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109</v>
      </c>
      <c r="F503" s="133" t="s">
        <v>111</v>
      </c>
      <c r="G503" s="134">
        <v>46132</v>
      </c>
      <c r="H503" s="135">
        <v>0.5933564814814815</v>
      </c>
      <c r="I503" s="136">
        <v>169002649</v>
      </c>
      <c r="J503" s="137">
        <v>63</v>
      </c>
      <c r="K503" s="137">
        <f>N503+O503+P503</f>
        <v>55.9822</v>
      </c>
      <c r="L503" s="137">
        <f>Q503+R503</f>
        <v>6.7178</v>
      </c>
      <c r="M503" s="137">
        <f>IF(J503=K503+L503,0,Y503)</f>
        <v>0.3</v>
      </c>
      <c r="N503" s="138">
        <v>0</v>
      </c>
      <c r="O503" s="137">
        <v>55.9822</v>
      </c>
      <c r="P503" s="137">
        <v>0</v>
      </c>
      <c r="Q503" s="137">
        <v>0</v>
      </c>
      <c r="R503" s="137">
        <v>6.7178</v>
      </c>
      <c r="S503" s="138">
        <v>55.9822</v>
      </c>
      <c r="T503" s="137">
        <v>62.7</v>
      </c>
      <c r="U503" s="137">
        <v>0</v>
      </c>
      <c r="V503" s="137">
        <v>0</v>
      </c>
      <c r="W503" s="137">
        <v>0</v>
      </c>
      <c r="X503" s="137">
        <v>0</v>
      </c>
      <c r="Y503" s="137">
        <v>0.3</v>
      </c>
      <c r="Z503" s="138">
        <v>63</v>
      </c>
      <c r="AA503" s="137">
        <v>0</v>
      </c>
      <c r="AB503" s="137">
        <v>0</v>
      </c>
      <c r="AC503" s="137"/>
      <c r="AD503" s="137">
        <v>0</v>
      </c>
      <c r="AE503" s="139">
        <v>0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109</v>
      </c>
      <c r="F504" s="133" t="s">
        <v>111</v>
      </c>
      <c r="G504" s="134">
        <v>46132</v>
      </c>
      <c r="H504" s="135">
        <v>0.5942939814814815</v>
      </c>
      <c r="I504" s="136">
        <v>169002650</v>
      </c>
      <c r="J504" s="137">
        <v>106.4</v>
      </c>
      <c r="K504" s="137">
        <f>N504+O504+P504</f>
        <v>91.8257</v>
      </c>
      <c r="L504" s="137">
        <f>Q504+R504</f>
        <v>14.574300000000001</v>
      </c>
      <c r="M504" s="137">
        <f>IF(J504=K504+L504,0,Y504)</f>
        <v>0</v>
      </c>
      <c r="N504" s="138">
        <v>39.5042</v>
      </c>
      <c r="O504" s="137">
        <v>52.3215</v>
      </c>
      <c r="P504" s="137">
        <v>0</v>
      </c>
      <c r="Q504" s="137">
        <v>8.2958</v>
      </c>
      <c r="R504" s="137">
        <v>6.2785</v>
      </c>
      <c r="S504" s="138">
        <v>91.8257</v>
      </c>
      <c r="T504" s="137">
        <v>106.4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106.4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109</v>
      </c>
      <c r="F505" s="133" t="s">
        <v>111</v>
      </c>
      <c r="G505" s="134">
        <v>46132</v>
      </c>
      <c r="H505" s="135">
        <v>0.5951736111111111</v>
      </c>
      <c r="I505" s="136">
        <v>169002651</v>
      </c>
      <c r="J505" s="137">
        <v>316</v>
      </c>
      <c r="K505" s="137">
        <f>N505+O505+P505</f>
        <v>282.4998</v>
      </c>
      <c r="L505" s="137">
        <f>Q505+R505</f>
        <v>33.9002</v>
      </c>
      <c r="M505" s="137">
        <f>IF(J505=K505+L505,0,Y505)</f>
        <v>-0.4</v>
      </c>
      <c r="N505" s="138">
        <v>0</v>
      </c>
      <c r="O505" s="137">
        <v>282.4998</v>
      </c>
      <c r="P505" s="137">
        <v>0</v>
      </c>
      <c r="Q505" s="137">
        <v>0</v>
      </c>
      <c r="R505" s="137">
        <v>33.9002</v>
      </c>
      <c r="S505" s="138">
        <v>282.4998</v>
      </c>
      <c r="T505" s="137">
        <v>316.4</v>
      </c>
      <c r="U505" s="137">
        <v>0</v>
      </c>
      <c r="V505" s="137">
        <v>0</v>
      </c>
      <c r="W505" s="137">
        <v>0</v>
      </c>
      <c r="X505" s="137">
        <v>0</v>
      </c>
      <c r="Y505" s="137">
        <v>-0.4</v>
      </c>
      <c r="Z505" s="138">
        <v>420</v>
      </c>
      <c r="AA505" s="137">
        <v>0</v>
      </c>
      <c r="AB505" s="137">
        <v>0</v>
      </c>
      <c r="AC505" s="137"/>
      <c r="AD505" s="137">
        <v>0</v>
      </c>
      <c r="AE505" s="139">
        <v>-104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109</v>
      </c>
      <c r="F506" s="133" t="s">
        <v>111</v>
      </c>
      <c r="G506" s="134">
        <v>46132</v>
      </c>
      <c r="H506" s="135">
        <v>0.5965046296296296</v>
      </c>
      <c r="I506" s="136">
        <v>169002652</v>
      </c>
      <c r="J506" s="137">
        <v>183.7</v>
      </c>
      <c r="K506" s="137">
        <f>N506+O506+P506</f>
        <v>163.0284</v>
      </c>
      <c r="L506" s="137">
        <f>Q506+R506</f>
        <v>20.671599999999998</v>
      </c>
      <c r="M506" s="137">
        <f>IF(J506=K506+L506,0,Y506)</f>
        <v>0</v>
      </c>
      <c r="N506" s="138">
        <v>12.314</v>
      </c>
      <c r="O506" s="137">
        <v>150.7144</v>
      </c>
      <c r="P506" s="137">
        <v>0</v>
      </c>
      <c r="Q506" s="137">
        <v>2.586</v>
      </c>
      <c r="R506" s="137">
        <v>18.0856</v>
      </c>
      <c r="S506" s="138">
        <v>163.0284</v>
      </c>
      <c r="T506" s="137">
        <v>183.7</v>
      </c>
      <c r="U506" s="137">
        <v>0</v>
      </c>
      <c r="V506" s="137">
        <v>0</v>
      </c>
      <c r="W506" s="137">
        <v>0</v>
      </c>
      <c r="X506" s="137">
        <v>0</v>
      </c>
      <c r="Y506" s="137">
        <v>0</v>
      </c>
      <c r="Z506" s="138">
        <v>0</v>
      </c>
      <c r="AA506" s="137">
        <v>0</v>
      </c>
      <c r="AB506" s="137">
        <v>183.7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109</v>
      </c>
      <c r="F507" s="133" t="s">
        <v>111</v>
      </c>
      <c r="G507" s="134">
        <v>46132</v>
      </c>
      <c r="H507" s="135">
        <v>0.5969212962962963</v>
      </c>
      <c r="I507" s="136">
        <v>169002653</v>
      </c>
      <c r="J507" s="137">
        <v>179.82</v>
      </c>
      <c r="K507" s="137">
        <f>N507+O507+P507</f>
        <v>157.90370000000001</v>
      </c>
      <c r="L507" s="137">
        <f>Q507+R507</f>
        <v>21.9163</v>
      </c>
      <c r="M507" s="137">
        <f>IF(J507=K507+L507,0,Y507)</f>
        <v>0</v>
      </c>
      <c r="N507" s="138">
        <v>32.9752</v>
      </c>
      <c r="O507" s="137">
        <v>124.9285</v>
      </c>
      <c r="P507" s="137">
        <v>0</v>
      </c>
      <c r="Q507" s="137">
        <v>6.9248</v>
      </c>
      <c r="R507" s="137">
        <v>14.9915</v>
      </c>
      <c r="S507" s="138">
        <v>157.9037</v>
      </c>
      <c r="T507" s="137">
        <v>179.82</v>
      </c>
      <c r="U507" s="137">
        <v>0</v>
      </c>
      <c r="V507" s="137">
        <v>0</v>
      </c>
      <c r="W507" s="137">
        <v>0</v>
      </c>
      <c r="X507" s="137">
        <v>0</v>
      </c>
      <c r="Y507" s="137">
        <v>0</v>
      </c>
      <c r="Z507" s="138">
        <v>0</v>
      </c>
      <c r="AA507" s="137">
        <v>0</v>
      </c>
      <c r="AB507" s="137">
        <v>179.82</v>
      </c>
      <c r="AC507" s="137">
        <v>0</v>
      </c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109</v>
      </c>
      <c r="F508" s="133" t="s">
        <v>111</v>
      </c>
      <c r="G508" s="134">
        <v>46132</v>
      </c>
      <c r="H508" s="135">
        <v>0.5973726851851852</v>
      </c>
      <c r="I508" s="136">
        <v>169002654</v>
      </c>
      <c r="J508" s="137">
        <v>134.96</v>
      </c>
      <c r="K508" s="137">
        <f>N508+O508+P508</f>
        <v>120.5</v>
      </c>
      <c r="L508" s="137">
        <f>Q508+R508</f>
        <v>14.46</v>
      </c>
      <c r="M508" s="137">
        <f>IF(J508=K508+L508,0,Y508)</f>
        <v>0</v>
      </c>
      <c r="N508" s="138">
        <v>0</v>
      </c>
      <c r="O508" s="137">
        <v>120.5</v>
      </c>
      <c r="P508" s="137">
        <v>0</v>
      </c>
      <c r="Q508" s="137">
        <v>0</v>
      </c>
      <c r="R508" s="137">
        <v>14.46</v>
      </c>
      <c r="S508" s="138">
        <v>120.5</v>
      </c>
      <c r="T508" s="137">
        <v>134.96</v>
      </c>
      <c r="U508" s="137">
        <v>0</v>
      </c>
      <c r="V508" s="137">
        <v>0</v>
      </c>
      <c r="W508" s="137">
        <v>0</v>
      </c>
      <c r="X508" s="137">
        <v>0</v>
      </c>
      <c r="Y508" s="137">
        <v>0</v>
      </c>
      <c r="Z508" s="138">
        <v>0</v>
      </c>
      <c r="AA508" s="137">
        <v>0</v>
      </c>
      <c r="AB508" s="137">
        <v>134.96</v>
      </c>
      <c r="AC508" s="137">
        <v>0</v>
      </c>
      <c r="AD508" s="137">
        <v>0</v>
      </c>
      <c r="AE508" s="139">
        <v>0</v>
      </c>
      <c r="AF508" s="56">
        <v>6.987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109</v>
      </c>
      <c r="F509" s="133" t="s">
        <v>111</v>
      </c>
      <c r="G509" s="134">
        <v>46132</v>
      </c>
      <c r="H509" s="135">
        <v>0.5979513888888889</v>
      </c>
      <c r="I509" s="136">
        <v>169002655</v>
      </c>
      <c r="J509" s="137">
        <v>187.7</v>
      </c>
      <c r="K509" s="137">
        <f>N509+O509+P509</f>
        <v>165.9356</v>
      </c>
      <c r="L509" s="137">
        <f>Q509+R509</f>
        <v>21.764400000000002</v>
      </c>
      <c r="M509" s="137">
        <f>IF(J509=K509+L509,0,Y509)</f>
        <v>0</v>
      </c>
      <c r="N509" s="138">
        <v>20.5785</v>
      </c>
      <c r="O509" s="137">
        <v>145.3571</v>
      </c>
      <c r="P509" s="137">
        <v>0</v>
      </c>
      <c r="Q509" s="137">
        <v>4.3215</v>
      </c>
      <c r="R509" s="137">
        <v>17.4429</v>
      </c>
      <c r="S509" s="138">
        <v>165.9356</v>
      </c>
      <c r="T509" s="137">
        <v>187.7</v>
      </c>
      <c r="U509" s="137">
        <v>0</v>
      </c>
      <c r="V509" s="137">
        <v>0</v>
      </c>
      <c r="W509" s="137">
        <v>0</v>
      </c>
      <c r="X509" s="137">
        <v>0</v>
      </c>
      <c r="Y509" s="137">
        <v>0</v>
      </c>
      <c r="Z509" s="138">
        <v>0</v>
      </c>
      <c r="AA509" s="137">
        <v>0</v>
      </c>
      <c r="AB509" s="137">
        <v>187.7</v>
      </c>
      <c r="AC509" s="137">
        <v>0</v>
      </c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109</v>
      </c>
      <c r="F510" s="133" t="s">
        <v>111</v>
      </c>
      <c r="G510" s="134">
        <v>46132</v>
      </c>
      <c r="H510" s="135">
        <v>0.5982407407407407</v>
      </c>
      <c r="I510" s="136">
        <v>169002656</v>
      </c>
      <c r="J510" s="137">
        <v>24</v>
      </c>
      <c r="K510" s="137">
        <f>N510+O510+P510</f>
        <v>21.1964</v>
      </c>
      <c r="L510" s="137">
        <f>Q510+R510</f>
        <v>2.5436</v>
      </c>
      <c r="M510" s="137">
        <f>IF(J510=K510+L510,0,Y510)</f>
        <v>0.26</v>
      </c>
      <c r="N510" s="138">
        <v>0</v>
      </c>
      <c r="O510" s="137">
        <v>21.1964</v>
      </c>
      <c r="P510" s="137">
        <v>0</v>
      </c>
      <c r="Q510" s="137">
        <v>0</v>
      </c>
      <c r="R510" s="137">
        <v>2.5436</v>
      </c>
      <c r="S510" s="138">
        <v>21.1964</v>
      </c>
      <c r="T510" s="137">
        <v>23.74</v>
      </c>
      <c r="U510" s="137">
        <v>0</v>
      </c>
      <c r="V510" s="137">
        <v>0</v>
      </c>
      <c r="W510" s="137">
        <v>0</v>
      </c>
      <c r="X510" s="137">
        <v>0</v>
      </c>
      <c r="Y510" s="137">
        <v>0.26</v>
      </c>
      <c r="Z510" s="138">
        <v>24</v>
      </c>
      <c r="AA510" s="137">
        <v>0</v>
      </c>
      <c r="AB510" s="137">
        <v>0</v>
      </c>
      <c r="AC510" s="137"/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109</v>
      </c>
      <c r="F511" s="133" t="s">
        <v>111</v>
      </c>
      <c r="G511" s="134">
        <v>46132</v>
      </c>
      <c r="H511" s="135">
        <v>0.5985648148148148</v>
      </c>
      <c r="I511" s="136">
        <v>169002657</v>
      </c>
      <c r="J511" s="137">
        <v>67</v>
      </c>
      <c r="K511" s="137">
        <f>N511+O511+P511</f>
        <v>60.1786</v>
      </c>
      <c r="L511" s="137">
        <f>Q511+R511</f>
        <v>7.2214</v>
      </c>
      <c r="M511" s="137">
        <f>IF(J511=K511+L511,0,Y511)</f>
        <v>-0.4</v>
      </c>
      <c r="N511" s="138">
        <v>0</v>
      </c>
      <c r="O511" s="137">
        <v>60.1786</v>
      </c>
      <c r="P511" s="137">
        <v>0</v>
      </c>
      <c r="Q511" s="137">
        <v>0</v>
      </c>
      <c r="R511" s="137">
        <v>7.2214</v>
      </c>
      <c r="S511" s="138">
        <v>60.1786</v>
      </c>
      <c r="T511" s="137">
        <v>67.4</v>
      </c>
      <c r="U511" s="137">
        <v>0</v>
      </c>
      <c r="V511" s="137">
        <v>0</v>
      </c>
      <c r="W511" s="137">
        <v>0</v>
      </c>
      <c r="X511" s="137">
        <v>0</v>
      </c>
      <c r="Y511" s="137">
        <v>-0.4</v>
      </c>
      <c r="Z511" s="138">
        <v>100</v>
      </c>
      <c r="AA511" s="137">
        <v>0</v>
      </c>
      <c r="AB511" s="137">
        <v>0</v>
      </c>
      <c r="AC511" s="137"/>
      <c r="AD511" s="137">
        <v>0</v>
      </c>
      <c r="AE511" s="139">
        <v>-33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109</v>
      </c>
      <c r="F512" s="133" t="s">
        <v>111</v>
      </c>
      <c r="G512" s="134">
        <v>46132</v>
      </c>
      <c r="H512" s="135">
        <v>0.5995254629629629</v>
      </c>
      <c r="I512" s="136">
        <v>169002658</v>
      </c>
      <c r="J512" s="137">
        <v>81</v>
      </c>
      <c r="K512" s="137">
        <f>N512+O512+P512</f>
        <v>72.6786</v>
      </c>
      <c r="L512" s="137">
        <f>Q512+R512</f>
        <v>8.7214</v>
      </c>
      <c r="M512" s="137">
        <f>IF(J512=K512+L512,0,Y512)</f>
        <v>-0.4</v>
      </c>
      <c r="N512" s="138">
        <v>0</v>
      </c>
      <c r="O512" s="137">
        <v>72.6786</v>
      </c>
      <c r="P512" s="137">
        <v>0</v>
      </c>
      <c r="Q512" s="137">
        <v>0</v>
      </c>
      <c r="R512" s="137">
        <v>8.7214</v>
      </c>
      <c r="S512" s="138">
        <v>72.6786</v>
      </c>
      <c r="T512" s="137">
        <v>81.4</v>
      </c>
      <c r="U512" s="137">
        <v>0</v>
      </c>
      <c r="V512" s="137">
        <v>0</v>
      </c>
      <c r="W512" s="137">
        <v>0</v>
      </c>
      <c r="X512" s="137">
        <v>0</v>
      </c>
      <c r="Y512" s="137">
        <v>-0.4</v>
      </c>
      <c r="Z512" s="138">
        <v>102</v>
      </c>
      <c r="AA512" s="137">
        <v>0</v>
      </c>
      <c r="AB512" s="137">
        <v>0</v>
      </c>
      <c r="AC512" s="137"/>
      <c r="AD512" s="137">
        <v>0</v>
      </c>
      <c r="AE512" s="139">
        <v>-21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109</v>
      </c>
      <c r="F513" s="133" t="s">
        <v>111</v>
      </c>
      <c r="G513" s="134">
        <v>46132</v>
      </c>
      <c r="H513" s="135">
        <v>0.6011574074074074</v>
      </c>
      <c r="I513" s="136">
        <v>169002659</v>
      </c>
      <c r="J513" s="137">
        <v>78.9</v>
      </c>
      <c r="K513" s="137">
        <f>N513+O513+P513</f>
        <v>68.4607</v>
      </c>
      <c r="L513" s="137">
        <f>Q513+R513</f>
        <v>10.4393</v>
      </c>
      <c r="M513" s="137">
        <f>IF(J513=K513+L513,0,Y513)</f>
        <v>0</v>
      </c>
      <c r="N513" s="138">
        <v>24.7107</v>
      </c>
      <c r="O513" s="137">
        <v>43.75</v>
      </c>
      <c r="P513" s="137">
        <v>0</v>
      </c>
      <c r="Q513" s="137">
        <v>5.1893</v>
      </c>
      <c r="R513" s="137">
        <v>5.25</v>
      </c>
      <c r="S513" s="138">
        <v>68.4607</v>
      </c>
      <c r="T513" s="137">
        <v>78.9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78.9</v>
      </c>
      <c r="AC513" s="137">
        <v>0</v>
      </c>
      <c r="AD513" s="137">
        <v>0</v>
      </c>
      <c r="AE513" s="139">
        <v>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109</v>
      </c>
      <c r="F514" s="133" t="s">
        <v>111</v>
      </c>
      <c r="G514" s="134">
        <v>46132</v>
      </c>
      <c r="H514" s="135">
        <v>0.6016550925925926</v>
      </c>
      <c r="I514" s="136">
        <v>169002660</v>
      </c>
      <c r="J514" s="137">
        <v>20</v>
      </c>
      <c r="K514" s="137">
        <f>N514+O514+P514</f>
        <v>17.7679</v>
      </c>
      <c r="L514" s="137">
        <f>Q514+R514</f>
        <v>2.1321</v>
      </c>
      <c r="M514" s="137">
        <f>IF(J514=K514+L514,0,Y514)</f>
        <v>0.1</v>
      </c>
      <c r="N514" s="138">
        <v>0</v>
      </c>
      <c r="O514" s="137">
        <v>17.7679</v>
      </c>
      <c r="P514" s="137">
        <v>0</v>
      </c>
      <c r="Q514" s="137">
        <v>0</v>
      </c>
      <c r="R514" s="137">
        <v>2.1321</v>
      </c>
      <c r="S514" s="138">
        <v>17.7679</v>
      </c>
      <c r="T514" s="137">
        <v>19.9</v>
      </c>
      <c r="U514" s="137">
        <v>0</v>
      </c>
      <c r="V514" s="137">
        <v>0</v>
      </c>
      <c r="W514" s="137">
        <v>0</v>
      </c>
      <c r="X514" s="137">
        <v>0</v>
      </c>
      <c r="Y514" s="137">
        <v>0.1</v>
      </c>
      <c r="Z514" s="138">
        <v>20</v>
      </c>
      <c r="AA514" s="137">
        <v>0</v>
      </c>
      <c r="AB514" s="137">
        <v>0</v>
      </c>
      <c r="AC514" s="137"/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109</v>
      </c>
      <c r="F515" s="133" t="s">
        <v>111</v>
      </c>
      <c r="G515" s="134">
        <v>46132</v>
      </c>
      <c r="H515" s="135">
        <v>0.601875</v>
      </c>
      <c r="I515" s="136">
        <v>169002661</v>
      </c>
      <c r="J515" s="137">
        <v>62</v>
      </c>
      <c r="K515" s="137">
        <f>N515+O515+P515</f>
        <v>52.578900000000004</v>
      </c>
      <c r="L515" s="137">
        <f>Q515+R515</f>
        <v>9.1211</v>
      </c>
      <c r="M515" s="137">
        <f>IF(J515=K515+L515,0,Y515)</f>
        <v>0.3</v>
      </c>
      <c r="N515" s="138">
        <v>31.2396</v>
      </c>
      <c r="O515" s="137">
        <v>21.3393</v>
      </c>
      <c r="P515" s="137">
        <v>0</v>
      </c>
      <c r="Q515" s="137">
        <v>6.5604</v>
      </c>
      <c r="R515" s="137">
        <v>2.5607</v>
      </c>
      <c r="S515" s="138">
        <v>52.5789</v>
      </c>
      <c r="T515" s="137">
        <v>61.7</v>
      </c>
      <c r="U515" s="137">
        <v>0</v>
      </c>
      <c r="V515" s="137">
        <v>0</v>
      </c>
      <c r="W515" s="137">
        <v>0</v>
      </c>
      <c r="X515" s="137">
        <v>0</v>
      </c>
      <c r="Y515" s="137">
        <v>0.3</v>
      </c>
      <c r="Z515" s="138">
        <v>200</v>
      </c>
      <c r="AA515" s="137">
        <v>0</v>
      </c>
      <c r="AB515" s="137">
        <v>0</v>
      </c>
      <c r="AC515" s="137"/>
      <c r="AD515" s="137">
        <v>0</v>
      </c>
      <c r="AE515" s="139">
        <v>-138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109</v>
      </c>
      <c r="F516" s="133" t="s">
        <v>111</v>
      </c>
      <c r="G516" s="134">
        <v>46132</v>
      </c>
      <c r="H516" s="135">
        <v>0.6022106481481482</v>
      </c>
      <c r="I516" s="136">
        <v>169002662</v>
      </c>
      <c r="J516" s="137">
        <v>23</v>
      </c>
      <c r="K516" s="137">
        <f>N516+O516+P516</f>
        <v>20.4464</v>
      </c>
      <c r="L516" s="137">
        <f>Q516+R516</f>
        <v>2.4536</v>
      </c>
      <c r="M516" s="137">
        <f>IF(J516=K516+L516,0,Y516)</f>
        <v>0.1</v>
      </c>
      <c r="N516" s="138">
        <v>0</v>
      </c>
      <c r="O516" s="137">
        <v>20.4464</v>
      </c>
      <c r="P516" s="137">
        <v>0</v>
      </c>
      <c r="Q516" s="137">
        <v>0</v>
      </c>
      <c r="R516" s="137">
        <v>2.4536</v>
      </c>
      <c r="S516" s="138">
        <v>20.4464</v>
      </c>
      <c r="T516" s="137">
        <v>22.9</v>
      </c>
      <c r="U516" s="137">
        <v>0</v>
      </c>
      <c r="V516" s="137">
        <v>0</v>
      </c>
      <c r="W516" s="137">
        <v>0</v>
      </c>
      <c r="X516" s="137">
        <v>0</v>
      </c>
      <c r="Y516" s="137">
        <v>0.1</v>
      </c>
      <c r="Z516" s="138">
        <v>50</v>
      </c>
      <c r="AA516" s="137">
        <v>0</v>
      </c>
      <c r="AB516" s="137">
        <v>0</v>
      </c>
      <c r="AC516" s="137"/>
      <c r="AD516" s="137">
        <v>0</v>
      </c>
      <c r="AE516" s="139">
        <v>-27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109</v>
      </c>
      <c r="F517" s="133" t="s">
        <v>111</v>
      </c>
      <c r="G517" s="134">
        <v>46132</v>
      </c>
      <c r="H517" s="135">
        <v>0.6024074074074074</v>
      </c>
      <c r="I517" s="136">
        <v>169002663</v>
      </c>
      <c r="J517" s="137">
        <v>48</v>
      </c>
      <c r="K517" s="137">
        <f>N517+O517+P517</f>
        <v>39.5042</v>
      </c>
      <c r="L517" s="137">
        <f>Q517+R517</f>
        <v>8.2958</v>
      </c>
      <c r="M517" s="137">
        <f>IF(J517=K517+L517,0,Y517)</f>
        <v>0.2</v>
      </c>
      <c r="N517" s="138">
        <v>39.5042</v>
      </c>
      <c r="O517" s="137">
        <v>0</v>
      </c>
      <c r="P517" s="137">
        <v>0</v>
      </c>
      <c r="Q517" s="137">
        <v>8.2958</v>
      </c>
      <c r="R517" s="137">
        <v>0</v>
      </c>
      <c r="S517" s="138">
        <v>39.5042</v>
      </c>
      <c r="T517" s="137">
        <v>47.8</v>
      </c>
      <c r="U517" s="137">
        <v>0</v>
      </c>
      <c r="V517" s="137">
        <v>0</v>
      </c>
      <c r="W517" s="137">
        <v>0</v>
      </c>
      <c r="X517" s="137">
        <v>0</v>
      </c>
      <c r="Y517" s="137">
        <v>0.2</v>
      </c>
      <c r="Z517" s="138">
        <v>200</v>
      </c>
      <c r="AA517" s="137">
        <v>0</v>
      </c>
      <c r="AB517" s="137">
        <v>0</v>
      </c>
      <c r="AC517" s="137"/>
      <c r="AD517" s="137">
        <v>0</v>
      </c>
      <c r="AE517" s="139">
        <v>-152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109</v>
      </c>
      <c r="F518" s="133" t="s">
        <v>111</v>
      </c>
      <c r="G518" s="134">
        <v>46132</v>
      </c>
      <c r="H518" s="135">
        <v>0.6028472222222222</v>
      </c>
      <c r="I518" s="136">
        <v>169002664</v>
      </c>
      <c r="J518" s="137">
        <v>83.8</v>
      </c>
      <c r="K518" s="137">
        <f>N518+O518+P518</f>
        <v>74.8215</v>
      </c>
      <c r="L518" s="137">
        <f>Q518+R518</f>
        <v>8.9785</v>
      </c>
      <c r="M518" s="137">
        <f>IF(J518=K518+L518,0,Y518)</f>
        <v>0</v>
      </c>
      <c r="N518" s="138">
        <v>0</v>
      </c>
      <c r="O518" s="137">
        <v>74.8215</v>
      </c>
      <c r="P518" s="137">
        <v>0</v>
      </c>
      <c r="Q518" s="137">
        <v>0</v>
      </c>
      <c r="R518" s="137">
        <v>8.9785</v>
      </c>
      <c r="S518" s="138">
        <v>74.8215</v>
      </c>
      <c r="T518" s="137">
        <v>83.8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83.8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109</v>
      </c>
      <c r="F519" s="133" t="s">
        <v>111</v>
      </c>
      <c r="G519" s="134">
        <v>46132</v>
      </c>
      <c r="H519" s="135">
        <v>0.6032060185185185</v>
      </c>
      <c r="I519" s="136">
        <v>169002665</v>
      </c>
      <c r="J519" s="137">
        <v>90</v>
      </c>
      <c r="K519" s="137">
        <f>N519+O519+P519</f>
        <v>79.9107</v>
      </c>
      <c r="L519" s="137">
        <f>Q519+R519</f>
        <v>9.5893</v>
      </c>
      <c r="M519" s="137">
        <f>IF(J519=K519+L519,0,Y519)</f>
        <v>0.5</v>
      </c>
      <c r="N519" s="138">
        <v>0</v>
      </c>
      <c r="O519" s="137">
        <v>79.9107</v>
      </c>
      <c r="P519" s="137">
        <v>0</v>
      </c>
      <c r="Q519" s="137">
        <v>0</v>
      </c>
      <c r="R519" s="137">
        <v>9.5893</v>
      </c>
      <c r="S519" s="138">
        <v>79.9107</v>
      </c>
      <c r="T519" s="137">
        <v>89.5</v>
      </c>
      <c r="U519" s="137">
        <v>0</v>
      </c>
      <c r="V519" s="137">
        <v>0</v>
      </c>
      <c r="W519" s="137">
        <v>0</v>
      </c>
      <c r="X519" s="137">
        <v>0</v>
      </c>
      <c r="Y519" s="137">
        <v>0.5</v>
      </c>
      <c r="Z519" s="138">
        <v>100</v>
      </c>
      <c r="AA519" s="137">
        <v>0</v>
      </c>
      <c r="AB519" s="137">
        <v>0</v>
      </c>
      <c r="AC519" s="137"/>
      <c r="AD519" s="137">
        <v>0</v>
      </c>
      <c r="AE519" s="139">
        <v>-10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109</v>
      </c>
      <c r="F520" s="133" t="s">
        <v>111</v>
      </c>
      <c r="G520" s="134">
        <v>46132</v>
      </c>
      <c r="H520" s="135">
        <v>0.603738425925926</v>
      </c>
      <c r="I520" s="136">
        <v>169002666</v>
      </c>
      <c r="J520" s="137">
        <v>190.8</v>
      </c>
      <c r="K520" s="137">
        <f>N520+O520+P520</f>
        <v>157.686</v>
      </c>
      <c r="L520" s="137">
        <f>Q520+R520</f>
        <v>33.114</v>
      </c>
      <c r="M520" s="137">
        <f>IF(J520=K520+L520,0,Y520)</f>
        <v>0</v>
      </c>
      <c r="N520" s="138">
        <v>157.686</v>
      </c>
      <c r="O520" s="137">
        <v>0</v>
      </c>
      <c r="P520" s="137">
        <v>0</v>
      </c>
      <c r="Q520" s="137">
        <v>33.114</v>
      </c>
      <c r="R520" s="137">
        <v>0</v>
      </c>
      <c r="S520" s="138">
        <v>157.686</v>
      </c>
      <c r="T520" s="137">
        <v>190.8</v>
      </c>
      <c r="U520" s="137">
        <v>0</v>
      </c>
      <c r="V520" s="137">
        <v>0</v>
      </c>
      <c r="W520" s="137">
        <v>0</v>
      </c>
      <c r="X520" s="137">
        <v>0</v>
      </c>
      <c r="Y520" s="137">
        <v>0</v>
      </c>
      <c r="Z520" s="138">
        <v>0</v>
      </c>
      <c r="AA520" s="137">
        <v>0</v>
      </c>
      <c r="AB520" s="137">
        <v>190.8</v>
      </c>
      <c r="AC520" s="137">
        <v>0</v>
      </c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109</v>
      </c>
      <c r="F521" s="133" t="s">
        <v>111</v>
      </c>
      <c r="G521" s="134">
        <v>46132</v>
      </c>
      <c r="H521" s="135">
        <v>0.6050810185185185</v>
      </c>
      <c r="I521" s="136">
        <v>169002667</v>
      </c>
      <c r="J521" s="137">
        <v>83.7</v>
      </c>
      <c r="K521" s="137">
        <f>N521+O521+P521</f>
        <v>74.7322</v>
      </c>
      <c r="L521" s="137">
        <f>Q521+R521</f>
        <v>8.9678</v>
      </c>
      <c r="M521" s="137">
        <f>IF(J521=K521+L521,0,Y521)</f>
        <v>0</v>
      </c>
      <c r="N521" s="138">
        <v>0</v>
      </c>
      <c r="O521" s="137">
        <v>74.7322</v>
      </c>
      <c r="P521" s="137">
        <v>0</v>
      </c>
      <c r="Q521" s="137">
        <v>0</v>
      </c>
      <c r="R521" s="137">
        <v>8.9678</v>
      </c>
      <c r="S521" s="138">
        <v>74.7322</v>
      </c>
      <c r="T521" s="137">
        <v>83.7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83.7</v>
      </c>
      <c r="AC521" s="137">
        <v>0</v>
      </c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109</v>
      </c>
      <c r="F522" s="133" t="s">
        <v>111</v>
      </c>
      <c r="G522" s="134">
        <v>46132</v>
      </c>
      <c r="H522" s="135">
        <v>0.6055092592592592</v>
      </c>
      <c r="I522" s="136">
        <v>169002668</v>
      </c>
      <c r="J522" s="137">
        <v>103</v>
      </c>
      <c r="K522" s="137">
        <f>N522+O522+P522</f>
        <v>86.937</v>
      </c>
      <c r="L522" s="137">
        <f>Q522+R522</f>
        <v>16.063</v>
      </c>
      <c r="M522" s="137">
        <f>IF(J522=K522+L522,0,Y522)</f>
        <v>0</v>
      </c>
      <c r="N522" s="138">
        <v>62.562</v>
      </c>
      <c r="O522" s="137">
        <v>24.375</v>
      </c>
      <c r="P522" s="137">
        <v>0</v>
      </c>
      <c r="Q522" s="137">
        <v>13.138</v>
      </c>
      <c r="R522" s="137">
        <v>2.925</v>
      </c>
      <c r="S522" s="138">
        <v>86.937</v>
      </c>
      <c r="T522" s="137">
        <v>103</v>
      </c>
      <c r="U522" s="137">
        <v>0</v>
      </c>
      <c r="V522" s="137">
        <v>0</v>
      </c>
      <c r="W522" s="137">
        <v>0</v>
      </c>
      <c r="X522" s="137">
        <v>0</v>
      </c>
      <c r="Y522" s="137">
        <v>0</v>
      </c>
      <c r="Z522" s="138">
        <v>0</v>
      </c>
      <c r="AA522" s="137">
        <v>0</v>
      </c>
      <c r="AB522" s="137">
        <v>103</v>
      </c>
      <c r="AC522" s="137">
        <v>0</v>
      </c>
      <c r="AD522" s="137">
        <v>0</v>
      </c>
      <c r="AE522" s="139">
        <v>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109</v>
      </c>
      <c r="F523" s="133" t="s">
        <v>111</v>
      </c>
      <c r="G523" s="134">
        <v>46132</v>
      </c>
      <c r="H523" s="135">
        <v>0.6059837962962963</v>
      </c>
      <c r="I523" s="136">
        <v>169002669</v>
      </c>
      <c r="J523" s="137">
        <v>199</v>
      </c>
      <c r="K523" s="137">
        <f>N523+O523+P523</f>
        <v>167.63729999999998</v>
      </c>
      <c r="L523" s="137">
        <f>Q523+R523</f>
        <v>31.3627</v>
      </c>
      <c r="M523" s="137">
        <f>IF(J523=K523+L523,0,Y523)</f>
        <v>0</v>
      </c>
      <c r="N523" s="138">
        <v>124.9587</v>
      </c>
      <c r="O523" s="137">
        <v>42.6786</v>
      </c>
      <c r="P523" s="137">
        <v>0</v>
      </c>
      <c r="Q523" s="137">
        <v>26.2413</v>
      </c>
      <c r="R523" s="137">
        <v>5.1214</v>
      </c>
      <c r="S523" s="138">
        <v>167.6373</v>
      </c>
      <c r="T523" s="137">
        <v>199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0</v>
      </c>
      <c r="AA523" s="137">
        <v>0</v>
      </c>
      <c r="AB523" s="137">
        <v>199</v>
      </c>
      <c r="AC523" s="137">
        <v>0</v>
      </c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109</v>
      </c>
      <c r="F524" s="133" t="s">
        <v>111</v>
      </c>
      <c r="G524" s="134">
        <v>46132</v>
      </c>
      <c r="H524" s="135">
        <v>0.6061458333333334</v>
      </c>
      <c r="I524" s="136">
        <v>169002670</v>
      </c>
      <c r="J524" s="137">
        <v>29</v>
      </c>
      <c r="K524" s="137">
        <f>N524+O524+P524</f>
        <v>25.4036</v>
      </c>
      <c r="L524" s="137">
        <f>Q524+R524</f>
        <v>3.8964</v>
      </c>
      <c r="M524" s="137">
        <f>IF(J524=K524+L524,0,Y524)</f>
        <v>-0.3</v>
      </c>
      <c r="N524" s="138">
        <v>9.4215</v>
      </c>
      <c r="O524" s="137">
        <v>15.9821</v>
      </c>
      <c r="P524" s="137">
        <v>0</v>
      </c>
      <c r="Q524" s="137">
        <v>1.9785</v>
      </c>
      <c r="R524" s="137">
        <v>1.9179</v>
      </c>
      <c r="S524" s="138">
        <v>25.4036</v>
      </c>
      <c r="T524" s="137">
        <v>29.3</v>
      </c>
      <c r="U524" s="137">
        <v>0</v>
      </c>
      <c r="V524" s="137">
        <v>0</v>
      </c>
      <c r="W524" s="137">
        <v>0</v>
      </c>
      <c r="X524" s="137">
        <v>0</v>
      </c>
      <c r="Y524" s="137">
        <v>-0.3</v>
      </c>
      <c r="Z524" s="138">
        <v>50</v>
      </c>
      <c r="AA524" s="137">
        <v>0</v>
      </c>
      <c r="AB524" s="137">
        <v>0</v>
      </c>
      <c r="AC524" s="137"/>
      <c r="AD524" s="137">
        <v>0</v>
      </c>
      <c r="AE524" s="139">
        <v>-21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109</v>
      </c>
      <c r="F525" s="133" t="s">
        <v>111</v>
      </c>
      <c r="G525" s="134">
        <v>46132</v>
      </c>
      <c r="H525" s="135">
        <v>0.6070949074074075</v>
      </c>
      <c r="I525" s="136">
        <v>169002671</v>
      </c>
      <c r="J525" s="137">
        <v>144</v>
      </c>
      <c r="K525" s="137">
        <f>N525+O525+P525</f>
        <v>128.3036</v>
      </c>
      <c r="L525" s="137">
        <f>Q525+R525</f>
        <v>15.3964</v>
      </c>
      <c r="M525" s="137">
        <f>IF(J525=K525+L525,0,Y525)</f>
        <v>0.3</v>
      </c>
      <c r="N525" s="138">
        <v>0</v>
      </c>
      <c r="O525" s="137">
        <v>128.3036</v>
      </c>
      <c r="P525" s="137">
        <v>0</v>
      </c>
      <c r="Q525" s="137">
        <v>0</v>
      </c>
      <c r="R525" s="137">
        <v>15.3964</v>
      </c>
      <c r="S525" s="138">
        <v>128.3036</v>
      </c>
      <c r="T525" s="137">
        <v>143.7</v>
      </c>
      <c r="U525" s="137">
        <v>0</v>
      </c>
      <c r="V525" s="137">
        <v>0</v>
      </c>
      <c r="W525" s="137">
        <v>0</v>
      </c>
      <c r="X525" s="137">
        <v>0</v>
      </c>
      <c r="Y525" s="137">
        <v>0.3</v>
      </c>
      <c r="Z525" s="138">
        <v>150</v>
      </c>
      <c r="AA525" s="137">
        <v>0</v>
      </c>
      <c r="AB525" s="137">
        <v>0</v>
      </c>
      <c r="AC525" s="137"/>
      <c r="AD525" s="137">
        <v>0</v>
      </c>
      <c r="AE525" s="139">
        <v>-6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109</v>
      </c>
      <c r="F526" s="133" t="s">
        <v>111</v>
      </c>
      <c r="G526" s="134">
        <v>46132</v>
      </c>
      <c r="H526" s="135">
        <v>0.6088541666666667</v>
      </c>
      <c r="I526" s="136">
        <v>169002672</v>
      </c>
      <c r="J526" s="137">
        <v>144.93</v>
      </c>
      <c r="K526" s="137">
        <f>N526+O526+P526</f>
        <v>125.5565</v>
      </c>
      <c r="L526" s="137">
        <f>Q526+R526</f>
        <v>19.3735</v>
      </c>
      <c r="M526" s="137">
        <f>IF(J526=K526+L526,0,Y526)</f>
        <v>0</v>
      </c>
      <c r="N526" s="138">
        <v>47.8512</v>
      </c>
      <c r="O526" s="137">
        <v>77.7053</v>
      </c>
      <c r="P526" s="137">
        <v>0</v>
      </c>
      <c r="Q526" s="137">
        <v>10.0488</v>
      </c>
      <c r="R526" s="137">
        <v>9.3247</v>
      </c>
      <c r="S526" s="138">
        <v>125.5565</v>
      </c>
      <c r="T526" s="137">
        <v>144.93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144.93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109</v>
      </c>
      <c r="F527" s="133" t="s">
        <v>111</v>
      </c>
      <c r="G527" s="134">
        <v>46132</v>
      </c>
      <c r="H527" s="135">
        <v>0.6094328703703704</v>
      </c>
      <c r="I527" s="136">
        <v>169002673</v>
      </c>
      <c r="J527" s="137">
        <v>116.23</v>
      </c>
      <c r="K527" s="137">
        <f>N527+O527+P527</f>
        <v>103.7767</v>
      </c>
      <c r="L527" s="137">
        <f>Q527+R527</f>
        <v>12.4533</v>
      </c>
      <c r="M527" s="137">
        <f>IF(J527=K527+L527,0,Y527)</f>
        <v>0</v>
      </c>
      <c r="N527" s="138">
        <v>0</v>
      </c>
      <c r="O527" s="137">
        <v>103.7767</v>
      </c>
      <c r="P527" s="137">
        <v>0</v>
      </c>
      <c r="Q527" s="137">
        <v>0</v>
      </c>
      <c r="R527" s="137">
        <v>12.4533</v>
      </c>
      <c r="S527" s="138">
        <v>103.7767</v>
      </c>
      <c r="T527" s="137">
        <v>116.23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116.23</v>
      </c>
      <c r="AC527" s="137">
        <v>0</v>
      </c>
      <c r="AD527" s="137">
        <v>0</v>
      </c>
      <c r="AE527" s="139">
        <v>0</v>
      </c>
      <c r="AF527" s="56">
        <v>14.2383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109</v>
      </c>
      <c r="F528" s="133" t="s">
        <v>111</v>
      </c>
      <c r="G528" s="134">
        <v>46132</v>
      </c>
      <c r="H528" s="135">
        <v>0.609849537037037</v>
      </c>
      <c r="I528" s="136">
        <v>169002674</v>
      </c>
      <c r="J528" s="137">
        <v>108.9</v>
      </c>
      <c r="K528" s="137">
        <f>N528+O528+P528</f>
        <v>97.2321</v>
      </c>
      <c r="L528" s="137">
        <f>Q528+R528</f>
        <v>11.6679</v>
      </c>
      <c r="M528" s="137">
        <f>IF(J528=K528+L528,0,Y528)</f>
        <v>0</v>
      </c>
      <c r="N528" s="138">
        <v>0</v>
      </c>
      <c r="O528" s="137">
        <v>97.2321</v>
      </c>
      <c r="P528" s="137">
        <v>0</v>
      </c>
      <c r="Q528" s="137">
        <v>0</v>
      </c>
      <c r="R528" s="137">
        <v>11.6679</v>
      </c>
      <c r="S528" s="138">
        <v>97.2321</v>
      </c>
      <c r="T528" s="137">
        <v>108.9</v>
      </c>
      <c r="U528" s="137">
        <v>0</v>
      </c>
      <c r="V528" s="137">
        <v>0</v>
      </c>
      <c r="W528" s="137">
        <v>0</v>
      </c>
      <c r="X528" s="137">
        <v>0</v>
      </c>
      <c r="Y528" s="137">
        <v>0</v>
      </c>
      <c r="Z528" s="138">
        <v>0</v>
      </c>
      <c r="AA528" s="137">
        <v>0</v>
      </c>
      <c r="AB528" s="137">
        <v>108.9</v>
      </c>
      <c r="AC528" s="137">
        <v>0</v>
      </c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109</v>
      </c>
      <c r="F529" s="133" t="s">
        <v>111</v>
      </c>
      <c r="G529" s="134">
        <v>46132</v>
      </c>
      <c r="H529" s="135">
        <v>0.6103240740740741</v>
      </c>
      <c r="I529" s="136">
        <v>169002675</v>
      </c>
      <c r="J529" s="137">
        <v>486.9</v>
      </c>
      <c r="K529" s="137">
        <f>N529+O529+P529</f>
        <v>420.89869999999996</v>
      </c>
      <c r="L529" s="137">
        <f>Q529+R529</f>
        <v>66.0013</v>
      </c>
      <c r="M529" s="137">
        <f>IF(J529=K529+L529,0,Y529)</f>
        <v>0</v>
      </c>
      <c r="N529" s="138">
        <v>172.1488</v>
      </c>
      <c r="O529" s="137">
        <v>248.7499</v>
      </c>
      <c r="P529" s="137">
        <v>0</v>
      </c>
      <c r="Q529" s="137">
        <v>36.1512</v>
      </c>
      <c r="R529" s="137">
        <v>29.8501</v>
      </c>
      <c r="S529" s="138">
        <v>420.8987</v>
      </c>
      <c r="T529" s="137">
        <v>486.9</v>
      </c>
      <c r="U529" s="137">
        <v>0</v>
      </c>
      <c r="V529" s="137">
        <v>0</v>
      </c>
      <c r="W529" s="137">
        <v>0</v>
      </c>
      <c r="X529" s="137">
        <v>0</v>
      </c>
      <c r="Y529" s="137">
        <v>0</v>
      </c>
      <c r="Z529" s="138">
        <v>0</v>
      </c>
      <c r="AA529" s="137">
        <v>0</v>
      </c>
      <c r="AB529" s="137">
        <v>486.9</v>
      </c>
      <c r="AC529" s="137">
        <v>0</v>
      </c>
      <c r="AD529" s="137">
        <v>0</v>
      </c>
      <c r="AE529" s="139">
        <v>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109</v>
      </c>
      <c r="F530" s="133" t="s">
        <v>111</v>
      </c>
      <c r="G530" s="134">
        <v>46132</v>
      </c>
      <c r="H530" s="135">
        <v>0.6108101851851852</v>
      </c>
      <c r="I530" s="136">
        <v>169002676</v>
      </c>
      <c r="J530" s="137">
        <v>116.65</v>
      </c>
      <c r="K530" s="137">
        <f>N530+O530+P530</f>
        <v>104.1518</v>
      </c>
      <c r="L530" s="137">
        <f>Q530+R530</f>
        <v>12.4982</v>
      </c>
      <c r="M530" s="137">
        <f>IF(J530=K530+L530,0,Y530)</f>
        <v>0</v>
      </c>
      <c r="N530" s="138">
        <v>0</v>
      </c>
      <c r="O530" s="137">
        <v>104.1518</v>
      </c>
      <c r="P530" s="137">
        <v>0</v>
      </c>
      <c r="Q530" s="137">
        <v>0</v>
      </c>
      <c r="R530" s="137">
        <v>12.4982</v>
      </c>
      <c r="S530" s="138">
        <v>104.1518</v>
      </c>
      <c r="T530" s="137">
        <v>116.65</v>
      </c>
      <c r="U530" s="137">
        <v>0</v>
      </c>
      <c r="V530" s="137">
        <v>0</v>
      </c>
      <c r="W530" s="137">
        <v>0</v>
      </c>
      <c r="X530" s="137">
        <v>0</v>
      </c>
      <c r="Y530" s="137">
        <v>0</v>
      </c>
      <c r="Z530" s="138">
        <v>0</v>
      </c>
      <c r="AA530" s="137">
        <v>0</v>
      </c>
      <c r="AB530" s="137">
        <v>116.65</v>
      </c>
      <c r="AC530" s="137">
        <v>0</v>
      </c>
      <c r="AD530" s="137">
        <v>0</v>
      </c>
      <c r="AE530" s="139">
        <v>0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109</v>
      </c>
      <c r="F531" s="133" t="s">
        <v>111</v>
      </c>
      <c r="G531" s="134">
        <v>46132</v>
      </c>
      <c r="H531" s="135">
        <v>0.6114351851851851</v>
      </c>
      <c r="I531" s="136">
        <v>169002677</v>
      </c>
      <c r="J531" s="137">
        <v>232</v>
      </c>
      <c r="K531" s="137">
        <f>N531+O531+P531</f>
        <v>192.75900000000001</v>
      </c>
      <c r="L531" s="137">
        <f>Q531+R531</f>
        <v>39.041000000000004</v>
      </c>
      <c r="M531" s="137">
        <f>IF(J531=K531+L531,0,Y531)</f>
        <v>0.2</v>
      </c>
      <c r="N531" s="138">
        <v>176.7769</v>
      </c>
      <c r="O531" s="137">
        <v>15.9821</v>
      </c>
      <c r="P531" s="137">
        <v>0</v>
      </c>
      <c r="Q531" s="137">
        <v>37.1231</v>
      </c>
      <c r="R531" s="137">
        <v>1.9179</v>
      </c>
      <c r="S531" s="138">
        <v>192.759</v>
      </c>
      <c r="T531" s="137">
        <v>231.8</v>
      </c>
      <c r="U531" s="137">
        <v>0</v>
      </c>
      <c r="V531" s="137">
        <v>0</v>
      </c>
      <c r="W531" s="137">
        <v>0</v>
      </c>
      <c r="X531" s="137">
        <v>0</v>
      </c>
      <c r="Y531" s="137">
        <v>0.2</v>
      </c>
      <c r="Z531" s="138">
        <v>500</v>
      </c>
      <c r="AA531" s="137">
        <v>0</v>
      </c>
      <c r="AB531" s="137">
        <v>0</v>
      </c>
      <c r="AC531" s="137"/>
      <c r="AD531" s="137">
        <v>0</v>
      </c>
      <c r="AE531" s="139">
        <v>-268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109</v>
      </c>
      <c r="F532" s="133" t="s">
        <v>111</v>
      </c>
      <c r="G532" s="134">
        <v>46132</v>
      </c>
      <c r="H532" s="135">
        <v>0.6117824074074074</v>
      </c>
      <c r="I532" s="136">
        <v>169002678</v>
      </c>
      <c r="J532" s="137">
        <v>15</v>
      </c>
      <c r="K532" s="137">
        <f>N532+O532+P532</f>
        <v>12.9464</v>
      </c>
      <c r="L532" s="137">
        <f>Q532+R532</f>
        <v>1.5536</v>
      </c>
      <c r="M532" s="137">
        <f>IF(J532=K532+L532,0,Y532)</f>
        <v>0.5</v>
      </c>
      <c r="N532" s="138">
        <v>0</v>
      </c>
      <c r="O532" s="137">
        <v>12.9464</v>
      </c>
      <c r="P532" s="137">
        <v>0</v>
      </c>
      <c r="Q532" s="137">
        <v>0</v>
      </c>
      <c r="R532" s="137">
        <v>1.5536</v>
      </c>
      <c r="S532" s="138">
        <v>12.9464</v>
      </c>
      <c r="T532" s="137">
        <v>14.5</v>
      </c>
      <c r="U532" s="137">
        <v>0</v>
      </c>
      <c r="V532" s="137">
        <v>0</v>
      </c>
      <c r="W532" s="137">
        <v>0</v>
      </c>
      <c r="X532" s="137">
        <v>0</v>
      </c>
      <c r="Y532" s="137">
        <v>0.5</v>
      </c>
      <c r="Z532" s="138">
        <v>200</v>
      </c>
      <c r="AA532" s="137">
        <v>0</v>
      </c>
      <c r="AB532" s="137">
        <v>0</v>
      </c>
      <c r="AC532" s="137"/>
      <c r="AD532" s="137">
        <v>0</v>
      </c>
      <c r="AE532" s="139">
        <v>-185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109</v>
      </c>
      <c r="F533" s="133" t="s">
        <v>111</v>
      </c>
      <c r="G533" s="134">
        <v>46132</v>
      </c>
      <c r="H533" s="135">
        <v>0.6131134259259259</v>
      </c>
      <c r="I533" s="136">
        <v>169002679</v>
      </c>
      <c r="J533" s="137">
        <v>95</v>
      </c>
      <c r="K533" s="137">
        <f>N533+O533+P533</f>
        <v>83.84809999999999</v>
      </c>
      <c r="L533" s="137">
        <f>Q533+R533</f>
        <v>11.5419</v>
      </c>
      <c r="M533" s="137">
        <f>IF(J533=K533+L533,0,Y533)</f>
        <v>-0.39</v>
      </c>
      <c r="N533" s="138">
        <v>16.4463</v>
      </c>
      <c r="O533" s="137">
        <v>67.4018</v>
      </c>
      <c r="P533" s="137">
        <v>0</v>
      </c>
      <c r="Q533" s="137">
        <v>3.4537</v>
      </c>
      <c r="R533" s="137">
        <v>8.0882</v>
      </c>
      <c r="S533" s="138">
        <v>83.8481</v>
      </c>
      <c r="T533" s="137">
        <v>95.39</v>
      </c>
      <c r="U533" s="137">
        <v>0</v>
      </c>
      <c r="V533" s="137">
        <v>0</v>
      </c>
      <c r="W533" s="137">
        <v>0</v>
      </c>
      <c r="X533" s="137">
        <v>0</v>
      </c>
      <c r="Y533" s="137">
        <v>-0.39</v>
      </c>
      <c r="Z533" s="138">
        <v>105</v>
      </c>
      <c r="AA533" s="137">
        <v>0</v>
      </c>
      <c r="AB533" s="137">
        <v>0</v>
      </c>
      <c r="AC533" s="137"/>
      <c r="AD533" s="137">
        <v>0</v>
      </c>
      <c r="AE533" s="139">
        <v>-10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109</v>
      </c>
      <c r="F534" s="133" t="s">
        <v>111</v>
      </c>
      <c r="G534" s="134">
        <v>46132</v>
      </c>
      <c r="H534" s="135">
        <v>0.6143055555555555</v>
      </c>
      <c r="I534" s="136">
        <v>169002680</v>
      </c>
      <c r="J534" s="137">
        <v>52</v>
      </c>
      <c r="K534" s="137">
        <f>N534+O534+P534</f>
        <v>43.4138</v>
      </c>
      <c r="L534" s="137">
        <f>Q534+R534</f>
        <v>8.6162</v>
      </c>
      <c r="M534" s="137">
        <f>IF(J534=K534+L534,0,Y534)</f>
        <v>-0.03</v>
      </c>
      <c r="N534" s="138">
        <v>37.8513</v>
      </c>
      <c r="O534" s="137">
        <v>5.5625</v>
      </c>
      <c r="P534" s="137">
        <v>0</v>
      </c>
      <c r="Q534" s="137">
        <v>7.9487</v>
      </c>
      <c r="R534" s="137">
        <v>0.6675</v>
      </c>
      <c r="S534" s="138">
        <v>43.4138</v>
      </c>
      <c r="T534" s="137">
        <v>52.03</v>
      </c>
      <c r="U534" s="137">
        <v>0</v>
      </c>
      <c r="V534" s="137">
        <v>0</v>
      </c>
      <c r="W534" s="137">
        <v>0</v>
      </c>
      <c r="X534" s="137">
        <v>0</v>
      </c>
      <c r="Y534" s="137">
        <v>-0.03</v>
      </c>
      <c r="Z534" s="138">
        <v>55</v>
      </c>
      <c r="AA534" s="137">
        <v>0</v>
      </c>
      <c r="AB534" s="137">
        <v>0</v>
      </c>
      <c r="AC534" s="137"/>
      <c r="AD534" s="137">
        <v>0</v>
      </c>
      <c r="AE534" s="139">
        <v>-3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109</v>
      </c>
      <c r="F535" s="133" t="s">
        <v>111</v>
      </c>
      <c r="G535" s="134">
        <v>46132</v>
      </c>
      <c r="H535" s="135">
        <v>0.614525462962963</v>
      </c>
      <c r="I535" s="136">
        <v>169002681</v>
      </c>
      <c r="J535" s="137">
        <v>29</v>
      </c>
      <c r="K535" s="137">
        <f>N535+O535+P535</f>
        <v>25.8929</v>
      </c>
      <c r="L535" s="137">
        <f>Q535+R535</f>
        <v>3.1071</v>
      </c>
      <c r="M535" s="137">
        <f>IF(J535=K535+L535,0,Y535)</f>
        <v>0</v>
      </c>
      <c r="N535" s="138">
        <v>0</v>
      </c>
      <c r="O535" s="137">
        <v>25.8929</v>
      </c>
      <c r="P535" s="137">
        <v>0</v>
      </c>
      <c r="Q535" s="137">
        <v>0</v>
      </c>
      <c r="R535" s="137">
        <v>3.1071</v>
      </c>
      <c r="S535" s="138">
        <v>25.8929</v>
      </c>
      <c r="T535" s="137">
        <v>29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30</v>
      </c>
      <c r="AA535" s="137">
        <v>0</v>
      </c>
      <c r="AB535" s="137">
        <v>0</v>
      </c>
      <c r="AC535" s="137"/>
      <c r="AD535" s="137">
        <v>0</v>
      </c>
      <c r="AE535" s="139">
        <v>-1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109</v>
      </c>
      <c r="F536" s="133" t="s">
        <v>111</v>
      </c>
      <c r="G536" s="134">
        <v>46132</v>
      </c>
      <c r="H536" s="135">
        <v>0.6168518518518519</v>
      </c>
      <c r="I536" s="136">
        <v>169002682</v>
      </c>
      <c r="J536" s="137">
        <v>112</v>
      </c>
      <c r="K536" s="137">
        <f>N536+O536+P536</f>
        <v>100.0892</v>
      </c>
      <c r="L536" s="137">
        <f>Q536+R536</f>
        <v>12.0108</v>
      </c>
      <c r="M536" s="137">
        <f>IF(J536=K536+L536,0,Y536)</f>
        <v>-0.1</v>
      </c>
      <c r="N536" s="138">
        <v>0</v>
      </c>
      <c r="O536" s="137">
        <v>100.0892</v>
      </c>
      <c r="P536" s="137">
        <v>0</v>
      </c>
      <c r="Q536" s="137">
        <v>0</v>
      </c>
      <c r="R536" s="137">
        <v>12.0108</v>
      </c>
      <c r="S536" s="138">
        <v>100.0892</v>
      </c>
      <c r="T536" s="137">
        <v>112.1</v>
      </c>
      <c r="U536" s="137">
        <v>0</v>
      </c>
      <c r="V536" s="137">
        <v>0</v>
      </c>
      <c r="W536" s="137">
        <v>0</v>
      </c>
      <c r="X536" s="137">
        <v>0</v>
      </c>
      <c r="Y536" s="137">
        <v>-0.1</v>
      </c>
      <c r="Z536" s="138">
        <v>212</v>
      </c>
      <c r="AA536" s="137">
        <v>0</v>
      </c>
      <c r="AB536" s="137">
        <v>0</v>
      </c>
      <c r="AC536" s="137"/>
      <c r="AD536" s="137">
        <v>0</v>
      </c>
      <c r="AE536" s="139">
        <v>-100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109</v>
      </c>
      <c r="F537" s="133" t="s">
        <v>111</v>
      </c>
      <c r="G537" s="134">
        <v>46132</v>
      </c>
      <c r="H537" s="135">
        <v>0.6174768518518519</v>
      </c>
      <c r="I537" s="136">
        <v>169002683</v>
      </c>
      <c r="J537" s="137">
        <v>336</v>
      </c>
      <c r="K537" s="137">
        <f>N537+O537+P537</f>
        <v>296.2584</v>
      </c>
      <c r="L537" s="137">
        <f>Q537+R537</f>
        <v>39.7016</v>
      </c>
      <c r="M537" s="137">
        <f>IF(J537=K537+L537,0,Y537)</f>
        <v>0.04</v>
      </c>
      <c r="N537" s="138">
        <v>46.1158</v>
      </c>
      <c r="O537" s="137">
        <v>250.1426</v>
      </c>
      <c r="P537" s="137">
        <v>0</v>
      </c>
      <c r="Q537" s="137">
        <v>9.6842</v>
      </c>
      <c r="R537" s="137">
        <v>30.0174</v>
      </c>
      <c r="S537" s="138">
        <v>296.2584</v>
      </c>
      <c r="T537" s="137">
        <v>335.96</v>
      </c>
      <c r="U537" s="137">
        <v>0</v>
      </c>
      <c r="V537" s="137">
        <v>0</v>
      </c>
      <c r="W537" s="137">
        <v>0</v>
      </c>
      <c r="X537" s="137">
        <v>0</v>
      </c>
      <c r="Y537" s="137">
        <v>0.04</v>
      </c>
      <c r="Z537" s="138">
        <v>1000</v>
      </c>
      <c r="AA537" s="137">
        <v>0</v>
      </c>
      <c r="AB537" s="137">
        <v>0</v>
      </c>
      <c r="AC537" s="137"/>
      <c r="AD537" s="137">
        <v>0</v>
      </c>
      <c r="AE537" s="139">
        <v>-664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109</v>
      </c>
      <c r="F538" s="133" t="s">
        <v>111</v>
      </c>
      <c r="G538" s="134">
        <v>46132</v>
      </c>
      <c r="H538" s="135">
        <v>0.6180902777777778</v>
      </c>
      <c r="I538" s="136">
        <v>169002684</v>
      </c>
      <c r="J538" s="137">
        <v>80</v>
      </c>
      <c r="K538" s="137">
        <f>N538+O538+P538</f>
        <v>71.6429</v>
      </c>
      <c r="L538" s="137">
        <f>Q538+R538</f>
        <v>8.5971</v>
      </c>
      <c r="M538" s="137">
        <f>IF(J538=K538+L538,0,Y538)</f>
        <v>-0.24</v>
      </c>
      <c r="N538" s="138">
        <v>0</v>
      </c>
      <c r="O538" s="137">
        <v>71.6429</v>
      </c>
      <c r="P538" s="137">
        <v>0</v>
      </c>
      <c r="Q538" s="137">
        <v>0</v>
      </c>
      <c r="R538" s="137">
        <v>8.5971</v>
      </c>
      <c r="S538" s="138">
        <v>71.6429</v>
      </c>
      <c r="T538" s="137">
        <v>80.24</v>
      </c>
      <c r="U538" s="137">
        <v>0</v>
      </c>
      <c r="V538" s="137">
        <v>0</v>
      </c>
      <c r="W538" s="137">
        <v>0</v>
      </c>
      <c r="X538" s="137">
        <v>0</v>
      </c>
      <c r="Y538" s="137">
        <v>-0.24</v>
      </c>
      <c r="Z538" s="138">
        <v>90</v>
      </c>
      <c r="AA538" s="137">
        <v>0</v>
      </c>
      <c r="AB538" s="137">
        <v>0</v>
      </c>
      <c r="AC538" s="137"/>
      <c r="AD538" s="137">
        <v>0</v>
      </c>
      <c r="AE538" s="139">
        <v>-10</v>
      </c>
      <c r="AF538" s="56">
        <v>10.3648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109</v>
      </c>
      <c r="F539" s="133" t="s">
        <v>111</v>
      </c>
      <c r="G539" s="134">
        <v>46132</v>
      </c>
      <c r="H539" s="135">
        <v>0.6185763888888889</v>
      </c>
      <c r="I539" s="136">
        <v>169002685</v>
      </c>
      <c r="J539" s="137">
        <v>130.3</v>
      </c>
      <c r="K539" s="137">
        <f>N539+O539+P539</f>
        <v>116.3393</v>
      </c>
      <c r="L539" s="137">
        <f>Q539+R539</f>
        <v>13.9607</v>
      </c>
      <c r="M539" s="137">
        <f>IF(J539=K539+L539,0,Y539)</f>
        <v>0</v>
      </c>
      <c r="N539" s="138">
        <v>0</v>
      </c>
      <c r="O539" s="137">
        <v>116.3393</v>
      </c>
      <c r="P539" s="137">
        <v>0</v>
      </c>
      <c r="Q539" s="137">
        <v>0</v>
      </c>
      <c r="R539" s="137">
        <v>13.9607</v>
      </c>
      <c r="S539" s="138">
        <v>116.3393</v>
      </c>
      <c r="T539" s="137">
        <v>130.3</v>
      </c>
      <c r="U539" s="137">
        <v>0</v>
      </c>
      <c r="V539" s="137">
        <v>0</v>
      </c>
      <c r="W539" s="137">
        <v>0</v>
      </c>
      <c r="X539" s="137">
        <v>0</v>
      </c>
      <c r="Y539" s="137">
        <v>0</v>
      </c>
      <c r="Z539" s="138">
        <v>0</v>
      </c>
      <c r="AA539" s="137">
        <v>0</v>
      </c>
      <c r="AB539" s="137">
        <v>130.3</v>
      </c>
      <c r="AC539" s="137">
        <v>0</v>
      </c>
      <c r="AD539" s="137">
        <v>0</v>
      </c>
      <c r="AE539" s="139">
        <v>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109</v>
      </c>
      <c r="F540" s="133" t="s">
        <v>111</v>
      </c>
      <c r="G540" s="134">
        <v>46132</v>
      </c>
      <c r="H540" s="135">
        <v>0.6191087962962963</v>
      </c>
      <c r="I540" s="136">
        <v>169002686</v>
      </c>
      <c r="J540" s="137">
        <v>81.4</v>
      </c>
      <c r="K540" s="137">
        <f>N540+O540+P540</f>
        <v>71.357</v>
      </c>
      <c r="L540" s="137">
        <f>Q540+R540</f>
        <v>10.043</v>
      </c>
      <c r="M540" s="137">
        <f>IF(J540=K540+L540,0,Y540)</f>
        <v>0</v>
      </c>
      <c r="N540" s="138">
        <v>16.4463</v>
      </c>
      <c r="O540" s="137">
        <v>54.9107</v>
      </c>
      <c r="P540" s="137">
        <v>0</v>
      </c>
      <c r="Q540" s="137">
        <v>3.4537</v>
      </c>
      <c r="R540" s="137">
        <v>6.5893</v>
      </c>
      <c r="S540" s="138">
        <v>71.357</v>
      </c>
      <c r="T540" s="137">
        <v>81.4</v>
      </c>
      <c r="U540" s="137">
        <v>0</v>
      </c>
      <c r="V540" s="137">
        <v>0</v>
      </c>
      <c r="W540" s="137">
        <v>0</v>
      </c>
      <c r="X540" s="137">
        <v>0</v>
      </c>
      <c r="Y540" s="137">
        <v>0</v>
      </c>
      <c r="Z540" s="138">
        <v>0</v>
      </c>
      <c r="AA540" s="137">
        <v>0</v>
      </c>
      <c r="AB540" s="137">
        <v>81.4</v>
      </c>
      <c r="AC540" s="137">
        <v>0</v>
      </c>
      <c r="AD540" s="137">
        <v>0</v>
      </c>
      <c r="AE540" s="139">
        <v>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109</v>
      </c>
      <c r="F541" s="133" t="s">
        <v>111</v>
      </c>
      <c r="G541" s="134">
        <v>46132</v>
      </c>
      <c r="H541" s="135">
        <v>0.619375</v>
      </c>
      <c r="I541" s="136">
        <v>169002687</v>
      </c>
      <c r="J541" s="137">
        <v>16</v>
      </c>
      <c r="K541" s="137">
        <f>N541+O541+P541</f>
        <v>14.1964</v>
      </c>
      <c r="L541" s="137">
        <f>Q541+R541</f>
        <v>1.7036</v>
      </c>
      <c r="M541" s="137">
        <f>IF(J541=K541+L541,0,Y541)</f>
        <v>0.1</v>
      </c>
      <c r="N541" s="138">
        <v>0</v>
      </c>
      <c r="O541" s="137">
        <v>14.1964</v>
      </c>
      <c r="P541" s="137">
        <v>0</v>
      </c>
      <c r="Q541" s="137">
        <v>0</v>
      </c>
      <c r="R541" s="137">
        <v>1.7036</v>
      </c>
      <c r="S541" s="138">
        <v>14.1964</v>
      </c>
      <c r="T541" s="137">
        <v>15.9</v>
      </c>
      <c r="U541" s="137">
        <v>0</v>
      </c>
      <c r="V541" s="137">
        <v>0</v>
      </c>
      <c r="W541" s="137">
        <v>0</v>
      </c>
      <c r="X541" s="137">
        <v>0</v>
      </c>
      <c r="Y541" s="137">
        <v>0.1</v>
      </c>
      <c r="Z541" s="138">
        <v>16</v>
      </c>
      <c r="AA541" s="137">
        <v>0</v>
      </c>
      <c r="AB541" s="137">
        <v>0</v>
      </c>
      <c r="AC541" s="137"/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109</v>
      </c>
      <c r="F542" s="133" t="s">
        <v>111</v>
      </c>
      <c r="G542" s="134">
        <v>46132</v>
      </c>
      <c r="H542" s="135">
        <v>0.6197916666666666</v>
      </c>
      <c r="I542" s="136">
        <v>169002688</v>
      </c>
      <c r="J542" s="137">
        <v>50</v>
      </c>
      <c r="K542" s="137">
        <f>N542+O542+P542</f>
        <v>44.5536</v>
      </c>
      <c r="L542" s="137">
        <f>Q542+R542</f>
        <v>5.3464</v>
      </c>
      <c r="M542" s="137">
        <f>IF(J542=K542+L542,0,Y542)</f>
        <v>0.1</v>
      </c>
      <c r="N542" s="138">
        <v>0</v>
      </c>
      <c r="O542" s="137">
        <v>44.5536</v>
      </c>
      <c r="P542" s="137">
        <v>0</v>
      </c>
      <c r="Q542" s="137">
        <v>0</v>
      </c>
      <c r="R542" s="137">
        <v>5.3464</v>
      </c>
      <c r="S542" s="138">
        <v>44.5536</v>
      </c>
      <c r="T542" s="137">
        <v>49.9</v>
      </c>
      <c r="U542" s="137">
        <v>0</v>
      </c>
      <c r="V542" s="137">
        <v>0</v>
      </c>
      <c r="W542" s="137">
        <v>0</v>
      </c>
      <c r="X542" s="137">
        <v>0</v>
      </c>
      <c r="Y542" s="137">
        <v>0.1</v>
      </c>
      <c r="Z542" s="138">
        <v>50</v>
      </c>
      <c r="AA542" s="137">
        <v>0</v>
      </c>
      <c r="AB542" s="137">
        <v>0</v>
      </c>
      <c r="AC542" s="137"/>
      <c r="AD542" s="137">
        <v>0</v>
      </c>
      <c r="AE542" s="139">
        <v>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109</v>
      </c>
      <c r="F543" s="133" t="s">
        <v>111</v>
      </c>
      <c r="G543" s="134">
        <v>46132</v>
      </c>
      <c r="H543" s="135">
        <v>0.619988425925926</v>
      </c>
      <c r="I543" s="136">
        <v>169002689</v>
      </c>
      <c r="J543" s="137">
        <v>67</v>
      </c>
      <c r="K543" s="137">
        <f>N543+O543+P543</f>
        <v>59.6429</v>
      </c>
      <c r="L543" s="137">
        <f>Q543+R543</f>
        <v>7.1571</v>
      </c>
      <c r="M543" s="137">
        <f>IF(J543=K543+L543,0,Y543)</f>
        <v>0.2</v>
      </c>
      <c r="N543" s="138">
        <v>0</v>
      </c>
      <c r="O543" s="137">
        <v>59.6429</v>
      </c>
      <c r="P543" s="137">
        <v>0</v>
      </c>
      <c r="Q543" s="137">
        <v>0</v>
      </c>
      <c r="R543" s="137">
        <v>7.1571</v>
      </c>
      <c r="S543" s="138">
        <v>59.6429</v>
      </c>
      <c r="T543" s="137">
        <v>66.8</v>
      </c>
      <c r="U543" s="137">
        <v>0</v>
      </c>
      <c r="V543" s="137">
        <v>0</v>
      </c>
      <c r="W543" s="137">
        <v>0</v>
      </c>
      <c r="X543" s="137">
        <v>0</v>
      </c>
      <c r="Y543" s="137">
        <v>0.2</v>
      </c>
      <c r="Z543" s="138">
        <v>100</v>
      </c>
      <c r="AA543" s="137">
        <v>0</v>
      </c>
      <c r="AB543" s="137">
        <v>0</v>
      </c>
      <c r="AC543" s="137"/>
      <c r="AD543" s="137">
        <v>0</v>
      </c>
      <c r="AE543" s="139">
        <v>-33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109</v>
      </c>
      <c r="F544" s="133" t="s">
        <v>111</v>
      </c>
      <c r="G544" s="134">
        <v>46132</v>
      </c>
      <c r="H544" s="135">
        <v>0.621099537037037</v>
      </c>
      <c r="I544" s="136">
        <v>169002690</v>
      </c>
      <c r="J544" s="137">
        <v>34</v>
      </c>
      <c r="K544" s="137">
        <f>N544+O544+P544</f>
        <v>30.2679</v>
      </c>
      <c r="L544" s="137">
        <f>Q544+R544</f>
        <v>3.6321</v>
      </c>
      <c r="M544" s="137">
        <f>IF(J544=K544+L544,0,Y544)</f>
        <v>0.1</v>
      </c>
      <c r="N544" s="138">
        <v>0</v>
      </c>
      <c r="O544" s="137">
        <v>30.2679</v>
      </c>
      <c r="P544" s="137">
        <v>0</v>
      </c>
      <c r="Q544" s="137">
        <v>0</v>
      </c>
      <c r="R544" s="137">
        <v>3.6321</v>
      </c>
      <c r="S544" s="138">
        <v>30.2679</v>
      </c>
      <c r="T544" s="137">
        <v>33.9</v>
      </c>
      <c r="U544" s="137">
        <v>0</v>
      </c>
      <c r="V544" s="137">
        <v>0</v>
      </c>
      <c r="W544" s="137">
        <v>0</v>
      </c>
      <c r="X544" s="137">
        <v>0</v>
      </c>
      <c r="Y544" s="137">
        <v>0.1</v>
      </c>
      <c r="Z544" s="138">
        <v>34</v>
      </c>
      <c r="AA544" s="137">
        <v>0</v>
      </c>
      <c r="AB544" s="137">
        <v>0</v>
      </c>
      <c r="AC544" s="137"/>
      <c r="AD544" s="137">
        <v>0</v>
      </c>
      <c r="AE544" s="139">
        <v>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109</v>
      </c>
      <c r="F545" s="133" t="s">
        <v>111</v>
      </c>
      <c r="G545" s="134">
        <v>46132</v>
      </c>
      <c r="H545" s="135">
        <v>0.6216319444444445</v>
      </c>
      <c r="I545" s="136">
        <v>169002691</v>
      </c>
      <c r="J545" s="137">
        <v>34</v>
      </c>
      <c r="K545" s="137">
        <f>N545+O545+P545</f>
        <v>28.0165</v>
      </c>
      <c r="L545" s="137">
        <f>Q545+R545</f>
        <v>5.8835</v>
      </c>
      <c r="M545" s="137">
        <f>IF(J545=K545+L545,0,Y545)</f>
        <v>0.1</v>
      </c>
      <c r="N545" s="138">
        <v>28.0165</v>
      </c>
      <c r="O545" s="137">
        <v>0</v>
      </c>
      <c r="P545" s="137">
        <v>0</v>
      </c>
      <c r="Q545" s="137">
        <v>5.8835</v>
      </c>
      <c r="R545" s="137">
        <v>0</v>
      </c>
      <c r="S545" s="138">
        <v>28.0165</v>
      </c>
      <c r="T545" s="137">
        <v>33.9</v>
      </c>
      <c r="U545" s="137">
        <v>0</v>
      </c>
      <c r="V545" s="137">
        <v>0</v>
      </c>
      <c r="W545" s="137">
        <v>0</v>
      </c>
      <c r="X545" s="137">
        <v>0</v>
      </c>
      <c r="Y545" s="137">
        <v>0.1</v>
      </c>
      <c r="Z545" s="138">
        <v>100</v>
      </c>
      <c r="AA545" s="137">
        <v>0</v>
      </c>
      <c r="AB545" s="137">
        <v>0</v>
      </c>
      <c r="AC545" s="137"/>
      <c r="AD545" s="137">
        <v>0</v>
      </c>
      <c r="AE545" s="139">
        <v>-66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109</v>
      </c>
      <c r="F546" s="133" t="s">
        <v>111</v>
      </c>
      <c r="G546" s="134">
        <v>46132</v>
      </c>
      <c r="H546" s="135">
        <v>0.6227314814814815</v>
      </c>
      <c r="I546" s="136">
        <v>169002692</v>
      </c>
      <c r="J546" s="137">
        <v>418.72</v>
      </c>
      <c r="K546" s="137">
        <f>N546+O546+P546</f>
        <v>373.8571</v>
      </c>
      <c r="L546" s="137">
        <f>Q546+R546</f>
        <v>44.8629</v>
      </c>
      <c r="M546" s="137">
        <f>IF(J546=K546+L546,0,Y546)</f>
        <v>0</v>
      </c>
      <c r="N546" s="138">
        <v>0</v>
      </c>
      <c r="O546" s="137">
        <v>373.8571</v>
      </c>
      <c r="P546" s="137">
        <v>0</v>
      </c>
      <c r="Q546" s="137">
        <v>0</v>
      </c>
      <c r="R546" s="137">
        <v>44.8629</v>
      </c>
      <c r="S546" s="138">
        <v>373.8571</v>
      </c>
      <c r="T546" s="137">
        <v>418.72</v>
      </c>
      <c r="U546" s="137">
        <v>0</v>
      </c>
      <c r="V546" s="137">
        <v>0</v>
      </c>
      <c r="W546" s="137">
        <v>0</v>
      </c>
      <c r="X546" s="137">
        <v>0</v>
      </c>
      <c r="Y546" s="137">
        <v>0</v>
      </c>
      <c r="Z546" s="138">
        <v>0</v>
      </c>
      <c r="AA546" s="137">
        <v>0</v>
      </c>
      <c r="AB546" s="137">
        <v>418.72</v>
      </c>
      <c r="AC546" s="137">
        <v>0</v>
      </c>
      <c r="AD546" s="137">
        <v>0</v>
      </c>
      <c r="AE546" s="139">
        <v>0</v>
      </c>
      <c r="AF546" s="56">
        <v>19.0967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109</v>
      </c>
      <c r="F547" s="133" t="s">
        <v>111</v>
      </c>
      <c r="G547" s="134">
        <v>46132</v>
      </c>
      <c r="H547" s="135">
        <v>0.6234027777777778</v>
      </c>
      <c r="I547" s="136">
        <v>169002693</v>
      </c>
      <c r="J547" s="137">
        <v>336.31</v>
      </c>
      <c r="K547" s="137">
        <f>N547+O547+P547</f>
        <v>292.1215</v>
      </c>
      <c r="L547" s="137">
        <f>Q547+R547</f>
        <v>44.188500000000005</v>
      </c>
      <c r="M547" s="137">
        <f>IF(J547=K547+L547,0,Y547)</f>
        <v>0</v>
      </c>
      <c r="N547" s="138">
        <v>101.4876</v>
      </c>
      <c r="O547" s="137">
        <v>190.6339</v>
      </c>
      <c r="P547" s="137">
        <v>0</v>
      </c>
      <c r="Q547" s="137">
        <v>21.3124</v>
      </c>
      <c r="R547" s="137">
        <v>22.8761</v>
      </c>
      <c r="S547" s="138">
        <v>292.1215</v>
      </c>
      <c r="T547" s="137">
        <v>336.31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0</v>
      </c>
      <c r="AA547" s="137">
        <v>0</v>
      </c>
      <c r="AB547" s="137">
        <v>336.31</v>
      </c>
      <c r="AC547" s="137">
        <v>0</v>
      </c>
      <c r="AD547" s="137">
        <v>0</v>
      </c>
      <c r="AE547" s="139">
        <v>0</v>
      </c>
      <c r="AF547" s="56">
        <v>21.6597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109</v>
      </c>
      <c r="F548" s="133" t="s">
        <v>111</v>
      </c>
      <c r="G548" s="134">
        <v>46132</v>
      </c>
      <c r="H548" s="135">
        <v>0.6242361111111111</v>
      </c>
      <c r="I548" s="136">
        <v>169002694</v>
      </c>
      <c r="J548" s="137">
        <v>178.9</v>
      </c>
      <c r="K548" s="137">
        <f>N548+O548+P548</f>
        <v>149.1729</v>
      </c>
      <c r="L548" s="137">
        <f>Q548+R548</f>
        <v>29.7271</v>
      </c>
      <c r="M548" s="137">
        <f>IF(J548=K548+L548,0,Y548)</f>
        <v>0</v>
      </c>
      <c r="N548" s="138">
        <v>131.405</v>
      </c>
      <c r="O548" s="137">
        <v>17.7679</v>
      </c>
      <c r="P548" s="137">
        <v>0</v>
      </c>
      <c r="Q548" s="137">
        <v>27.595</v>
      </c>
      <c r="R548" s="137">
        <v>2.1321</v>
      </c>
      <c r="S548" s="138">
        <v>149.1729</v>
      </c>
      <c r="T548" s="137">
        <v>178.9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178.9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109</v>
      </c>
      <c r="F549" s="133" t="s">
        <v>111</v>
      </c>
      <c r="G549" s="134">
        <v>46132</v>
      </c>
      <c r="H549" s="135">
        <v>0.6243981481481482</v>
      </c>
      <c r="I549" s="136">
        <v>169002695</v>
      </c>
      <c r="J549" s="137">
        <v>42</v>
      </c>
      <c r="K549" s="137">
        <f>N549+O549+P549</f>
        <v>36.4419</v>
      </c>
      <c r="L549" s="137">
        <f>Q549+R549</f>
        <v>5.258100000000001</v>
      </c>
      <c r="M549" s="137">
        <f>IF(J549=K549+L549,0,Y549)</f>
        <v>0.3</v>
      </c>
      <c r="N549" s="138">
        <v>9.8347</v>
      </c>
      <c r="O549" s="137">
        <v>26.6072</v>
      </c>
      <c r="P549" s="137">
        <v>0</v>
      </c>
      <c r="Q549" s="137">
        <v>2.0653</v>
      </c>
      <c r="R549" s="137">
        <v>3.1928</v>
      </c>
      <c r="S549" s="138">
        <v>36.4419</v>
      </c>
      <c r="T549" s="137">
        <v>41.7</v>
      </c>
      <c r="U549" s="137">
        <v>0</v>
      </c>
      <c r="V549" s="137">
        <v>0</v>
      </c>
      <c r="W549" s="137">
        <v>0</v>
      </c>
      <c r="X549" s="137">
        <v>0</v>
      </c>
      <c r="Y549" s="137">
        <v>0.3</v>
      </c>
      <c r="Z549" s="138">
        <v>50</v>
      </c>
      <c r="AA549" s="137">
        <v>0</v>
      </c>
      <c r="AB549" s="137">
        <v>0</v>
      </c>
      <c r="AC549" s="137"/>
      <c r="AD549" s="137">
        <v>0</v>
      </c>
      <c r="AE549" s="139">
        <v>-8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109</v>
      </c>
      <c r="F550" s="133" t="s">
        <v>111</v>
      </c>
      <c r="G550" s="134">
        <v>46132</v>
      </c>
      <c r="H550" s="135">
        <v>0.6249305555555555</v>
      </c>
      <c r="I550" s="136">
        <v>169002696</v>
      </c>
      <c r="J550" s="137">
        <v>242.33</v>
      </c>
      <c r="K550" s="137">
        <f>N550+O550+P550</f>
        <v>215.0444</v>
      </c>
      <c r="L550" s="137">
        <f>Q550+R550</f>
        <v>27.285600000000002</v>
      </c>
      <c r="M550" s="137">
        <f>IF(J550=K550+L550,0,Y550)</f>
        <v>0</v>
      </c>
      <c r="N550" s="138">
        <v>16.4463</v>
      </c>
      <c r="O550" s="137">
        <v>198.5981</v>
      </c>
      <c r="P550" s="137">
        <v>0</v>
      </c>
      <c r="Q550" s="137">
        <v>3.4537</v>
      </c>
      <c r="R550" s="137">
        <v>23.8319</v>
      </c>
      <c r="S550" s="138">
        <v>215.0444</v>
      </c>
      <c r="T550" s="137">
        <v>242.33</v>
      </c>
      <c r="U550" s="137">
        <v>0</v>
      </c>
      <c r="V550" s="137">
        <v>0</v>
      </c>
      <c r="W550" s="137">
        <v>0</v>
      </c>
      <c r="X550" s="137">
        <v>0</v>
      </c>
      <c r="Y550" s="137">
        <v>0</v>
      </c>
      <c r="Z550" s="138">
        <v>0</v>
      </c>
      <c r="AA550" s="137">
        <v>0</v>
      </c>
      <c r="AB550" s="137">
        <v>242.33</v>
      </c>
      <c r="AC550" s="137">
        <v>0</v>
      </c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109</v>
      </c>
      <c r="F551" s="133" t="s">
        <v>111</v>
      </c>
      <c r="G551" s="134">
        <v>46132</v>
      </c>
      <c r="H551" s="135">
        <v>0.6255555555555555</v>
      </c>
      <c r="I551" s="136">
        <v>169002697</v>
      </c>
      <c r="J551" s="137">
        <v>78.7</v>
      </c>
      <c r="K551" s="137">
        <f>N551+O551+P551</f>
        <v>69.2119</v>
      </c>
      <c r="L551" s="137">
        <f>Q551+R551</f>
        <v>9.4881</v>
      </c>
      <c r="M551" s="137">
        <f>IF(J551=K551+L551,0,Y551)</f>
        <v>0</v>
      </c>
      <c r="N551" s="138">
        <v>13.1405</v>
      </c>
      <c r="O551" s="137">
        <v>56.0714</v>
      </c>
      <c r="P551" s="137">
        <v>0</v>
      </c>
      <c r="Q551" s="137">
        <v>2.7595</v>
      </c>
      <c r="R551" s="137">
        <v>6.7286</v>
      </c>
      <c r="S551" s="138">
        <v>69.2119</v>
      </c>
      <c r="T551" s="137">
        <v>78.7</v>
      </c>
      <c r="U551" s="137">
        <v>0</v>
      </c>
      <c r="V551" s="137">
        <v>0</v>
      </c>
      <c r="W551" s="137">
        <v>0</v>
      </c>
      <c r="X551" s="137">
        <v>0</v>
      </c>
      <c r="Y551" s="137">
        <v>0</v>
      </c>
      <c r="Z551" s="138">
        <v>0</v>
      </c>
      <c r="AA551" s="137">
        <v>0</v>
      </c>
      <c r="AB551" s="137">
        <v>78.7</v>
      </c>
      <c r="AC551" s="137">
        <v>0</v>
      </c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109</v>
      </c>
      <c r="F552" s="133" t="s">
        <v>111</v>
      </c>
      <c r="G552" s="134">
        <v>46132</v>
      </c>
      <c r="H552" s="135">
        <v>0.633287037037037</v>
      </c>
      <c r="I552" s="136">
        <v>169002698</v>
      </c>
      <c r="J552" s="137">
        <v>16</v>
      </c>
      <c r="K552" s="137">
        <f>N552+O552+P552</f>
        <v>14.1964</v>
      </c>
      <c r="L552" s="137">
        <f>Q552+R552</f>
        <v>1.7036</v>
      </c>
      <c r="M552" s="137">
        <f>IF(J552=K552+L552,0,Y552)</f>
        <v>0.1</v>
      </c>
      <c r="N552" s="138">
        <v>0</v>
      </c>
      <c r="O552" s="137">
        <v>14.1964</v>
      </c>
      <c r="P552" s="137">
        <v>0</v>
      </c>
      <c r="Q552" s="137">
        <v>0</v>
      </c>
      <c r="R552" s="137">
        <v>1.7036</v>
      </c>
      <c r="S552" s="138">
        <v>14.1964</v>
      </c>
      <c r="T552" s="137">
        <v>15.9</v>
      </c>
      <c r="U552" s="137">
        <v>0</v>
      </c>
      <c r="V552" s="137">
        <v>0</v>
      </c>
      <c r="W552" s="137">
        <v>0</v>
      </c>
      <c r="X552" s="137">
        <v>0</v>
      </c>
      <c r="Y552" s="137">
        <v>0.1</v>
      </c>
      <c r="Z552" s="138">
        <v>20</v>
      </c>
      <c r="AA552" s="137">
        <v>0</v>
      </c>
      <c r="AB552" s="137">
        <v>0</v>
      </c>
      <c r="AC552" s="137"/>
      <c r="AD552" s="137">
        <v>0</v>
      </c>
      <c r="AE552" s="139">
        <v>-4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109</v>
      </c>
      <c r="F553" s="133" t="s">
        <v>111</v>
      </c>
      <c r="G553" s="134">
        <v>46132</v>
      </c>
      <c r="H553" s="135">
        <v>0.6337615740740741</v>
      </c>
      <c r="I553" s="136">
        <v>169002699</v>
      </c>
      <c r="J553" s="137">
        <v>38</v>
      </c>
      <c r="K553" s="137">
        <f>N553+O553+P553</f>
        <v>33.6608</v>
      </c>
      <c r="L553" s="137">
        <f>Q553+R553</f>
        <v>4.0392</v>
      </c>
      <c r="M553" s="137">
        <f>IF(J553=K553+L553,0,Y553)</f>
        <v>0.3</v>
      </c>
      <c r="N553" s="138">
        <v>0</v>
      </c>
      <c r="O553" s="137">
        <v>33.6608</v>
      </c>
      <c r="P553" s="137">
        <v>0</v>
      </c>
      <c r="Q553" s="137">
        <v>0</v>
      </c>
      <c r="R553" s="137">
        <v>4.0392</v>
      </c>
      <c r="S553" s="138">
        <v>33.6608</v>
      </c>
      <c r="T553" s="137">
        <v>37.7</v>
      </c>
      <c r="U553" s="137">
        <v>0</v>
      </c>
      <c r="V553" s="137">
        <v>0</v>
      </c>
      <c r="W553" s="137">
        <v>0</v>
      </c>
      <c r="X553" s="137">
        <v>0</v>
      </c>
      <c r="Y553" s="137">
        <v>0.3</v>
      </c>
      <c r="Z553" s="138">
        <v>200</v>
      </c>
      <c r="AA553" s="137">
        <v>0</v>
      </c>
      <c r="AB553" s="137">
        <v>0</v>
      </c>
      <c r="AC553" s="137"/>
      <c r="AD553" s="137">
        <v>0</v>
      </c>
      <c r="AE553" s="139">
        <v>-162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109</v>
      </c>
      <c r="F554" s="133" t="s">
        <v>111</v>
      </c>
      <c r="G554" s="134">
        <v>46132</v>
      </c>
      <c r="H554" s="135">
        <v>0.6342129629629629</v>
      </c>
      <c r="I554" s="136">
        <v>169002700</v>
      </c>
      <c r="J554" s="137">
        <v>172</v>
      </c>
      <c r="K554" s="137">
        <f>N554+O554+P554</f>
        <v>142.3967</v>
      </c>
      <c r="L554" s="137">
        <f>Q554+R554</f>
        <v>29.9033</v>
      </c>
      <c r="M554" s="137">
        <f>IF(J554=K554+L554,0,Y554)</f>
        <v>-0.3</v>
      </c>
      <c r="N554" s="138">
        <v>142.3967</v>
      </c>
      <c r="O554" s="137">
        <v>0</v>
      </c>
      <c r="P554" s="137">
        <v>0</v>
      </c>
      <c r="Q554" s="137">
        <v>29.9033</v>
      </c>
      <c r="R554" s="137">
        <v>0</v>
      </c>
      <c r="S554" s="138">
        <v>142.3967</v>
      </c>
      <c r="T554" s="137">
        <v>172.3</v>
      </c>
      <c r="U554" s="137">
        <v>0</v>
      </c>
      <c r="V554" s="137">
        <v>0</v>
      </c>
      <c r="W554" s="137">
        <v>0</v>
      </c>
      <c r="X554" s="137">
        <v>0</v>
      </c>
      <c r="Y554" s="137">
        <v>-0.3</v>
      </c>
      <c r="Z554" s="138">
        <v>202</v>
      </c>
      <c r="AA554" s="137">
        <v>0</v>
      </c>
      <c r="AB554" s="137">
        <v>0</v>
      </c>
      <c r="AC554" s="137"/>
      <c r="AD554" s="137">
        <v>0</v>
      </c>
      <c r="AE554" s="139">
        <v>-30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109</v>
      </c>
      <c r="F555" s="133" t="s">
        <v>111</v>
      </c>
      <c r="G555" s="134">
        <v>46132</v>
      </c>
      <c r="H555" s="135">
        <v>0.6346064814814815</v>
      </c>
      <c r="I555" s="136">
        <v>169002701</v>
      </c>
      <c r="J555" s="137">
        <v>75.7</v>
      </c>
      <c r="K555" s="137">
        <f>N555+O555+P555</f>
        <v>62.5621</v>
      </c>
      <c r="L555" s="137">
        <f>Q555+R555</f>
        <v>13.1379</v>
      </c>
      <c r="M555" s="137">
        <f>IF(J555=K555+L555,0,Y555)</f>
        <v>0</v>
      </c>
      <c r="N555" s="138">
        <v>62.5621</v>
      </c>
      <c r="O555" s="137">
        <v>0</v>
      </c>
      <c r="P555" s="137">
        <v>0</v>
      </c>
      <c r="Q555" s="137">
        <v>13.1379</v>
      </c>
      <c r="R555" s="137">
        <v>0</v>
      </c>
      <c r="S555" s="138">
        <v>62.5621</v>
      </c>
      <c r="T555" s="137">
        <v>75.7</v>
      </c>
      <c r="U555" s="137">
        <v>0</v>
      </c>
      <c r="V555" s="137">
        <v>0</v>
      </c>
      <c r="W555" s="137">
        <v>0</v>
      </c>
      <c r="X555" s="137">
        <v>0</v>
      </c>
      <c r="Y555" s="137">
        <v>0</v>
      </c>
      <c r="Z555" s="138">
        <v>0</v>
      </c>
      <c r="AA555" s="137">
        <v>0</v>
      </c>
      <c r="AB555" s="137">
        <v>75.7</v>
      </c>
      <c r="AC555" s="137">
        <v>0</v>
      </c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109</v>
      </c>
      <c r="F556" s="133" t="s">
        <v>111</v>
      </c>
      <c r="G556" s="134">
        <v>46132</v>
      </c>
      <c r="H556" s="135">
        <v>0.6357175925925926</v>
      </c>
      <c r="I556" s="136">
        <v>169002702</v>
      </c>
      <c r="J556" s="137">
        <v>503</v>
      </c>
      <c r="K556" s="137">
        <f>N556+O556+P556</f>
        <v>422.31820000000005</v>
      </c>
      <c r="L556" s="137">
        <f>Q556+R556</f>
        <v>80.54180000000001</v>
      </c>
      <c r="M556" s="137">
        <f>IF(J556=K556+L556,0,Y556)</f>
        <v>0.14</v>
      </c>
      <c r="N556" s="138">
        <v>331.8183</v>
      </c>
      <c r="O556" s="137">
        <v>90.4999</v>
      </c>
      <c r="P556" s="137">
        <v>0</v>
      </c>
      <c r="Q556" s="137">
        <v>69.6817</v>
      </c>
      <c r="R556" s="137">
        <v>10.8601</v>
      </c>
      <c r="S556" s="138">
        <v>422.3182</v>
      </c>
      <c r="T556" s="137">
        <v>502.86</v>
      </c>
      <c r="U556" s="137">
        <v>0</v>
      </c>
      <c r="V556" s="137">
        <v>0</v>
      </c>
      <c r="W556" s="137">
        <v>0</v>
      </c>
      <c r="X556" s="137">
        <v>0</v>
      </c>
      <c r="Y556" s="137">
        <v>0.14</v>
      </c>
      <c r="Z556" s="138">
        <v>503</v>
      </c>
      <c r="AA556" s="137">
        <v>0</v>
      </c>
      <c r="AB556" s="137">
        <v>0</v>
      </c>
      <c r="AC556" s="137"/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109</v>
      </c>
      <c r="F557" s="133" t="s">
        <v>111</v>
      </c>
      <c r="G557" s="134">
        <v>46132</v>
      </c>
      <c r="H557" s="135">
        <v>0.6374652777777777</v>
      </c>
      <c r="I557" s="136">
        <v>169002703</v>
      </c>
      <c r="J557" s="137">
        <v>739</v>
      </c>
      <c r="K557" s="137">
        <f>N557+O557+P557</f>
        <v>648.9508000000001</v>
      </c>
      <c r="L557" s="137">
        <f>Q557+R557</f>
        <v>89.8492</v>
      </c>
      <c r="M557" s="137">
        <f>IF(J557=K557+L557,0,Y557)</f>
        <v>0.2</v>
      </c>
      <c r="N557" s="138">
        <v>133.0579</v>
      </c>
      <c r="O557" s="137">
        <v>515.8929</v>
      </c>
      <c r="P557" s="137">
        <v>0</v>
      </c>
      <c r="Q557" s="137">
        <v>27.9421</v>
      </c>
      <c r="R557" s="137">
        <v>61.9071</v>
      </c>
      <c r="S557" s="138">
        <v>648.9508</v>
      </c>
      <c r="T557" s="137">
        <v>738.8</v>
      </c>
      <c r="U557" s="137">
        <v>0</v>
      </c>
      <c r="V557" s="137">
        <v>0</v>
      </c>
      <c r="W557" s="137">
        <v>0</v>
      </c>
      <c r="X557" s="137">
        <v>0</v>
      </c>
      <c r="Y557" s="137">
        <v>0.2</v>
      </c>
      <c r="Z557" s="138">
        <v>1009</v>
      </c>
      <c r="AA557" s="137">
        <v>0</v>
      </c>
      <c r="AB557" s="137">
        <v>0</v>
      </c>
      <c r="AC557" s="137"/>
      <c r="AD557" s="137">
        <v>0</v>
      </c>
      <c r="AE557" s="139">
        <v>-270</v>
      </c>
      <c r="AF557" s="56">
        <v>29.6102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109</v>
      </c>
      <c r="F558" s="133" t="s">
        <v>111</v>
      </c>
      <c r="G558" s="134">
        <v>46132</v>
      </c>
      <c r="H558" s="135">
        <v>0.6380787037037037</v>
      </c>
      <c r="I558" s="136">
        <v>169002704</v>
      </c>
      <c r="J558" s="137">
        <v>179.3</v>
      </c>
      <c r="K558" s="137">
        <f>N558+O558+P558</f>
        <v>157.0889</v>
      </c>
      <c r="L558" s="137">
        <f>Q558+R558</f>
        <v>22.211100000000002</v>
      </c>
      <c r="M558" s="137">
        <f>IF(J558=K558+L558,0,Y558)</f>
        <v>0</v>
      </c>
      <c r="N558" s="138">
        <v>49.3389</v>
      </c>
      <c r="O558" s="137">
        <v>98.75</v>
      </c>
      <c r="P558" s="137">
        <v>9</v>
      </c>
      <c r="Q558" s="137">
        <v>10.3611</v>
      </c>
      <c r="R558" s="137">
        <v>11.85</v>
      </c>
      <c r="S558" s="138">
        <v>148.0889</v>
      </c>
      <c r="T558" s="137">
        <v>170.3</v>
      </c>
      <c r="U558" s="137">
        <v>0</v>
      </c>
      <c r="V558" s="137">
        <v>0</v>
      </c>
      <c r="W558" s="137">
        <v>9</v>
      </c>
      <c r="X558" s="137">
        <v>0</v>
      </c>
      <c r="Y558" s="137">
        <v>0</v>
      </c>
      <c r="Z558" s="138">
        <v>0</v>
      </c>
      <c r="AA558" s="137">
        <v>0</v>
      </c>
      <c r="AB558" s="137">
        <v>179.3</v>
      </c>
      <c r="AC558" s="137">
        <v>0</v>
      </c>
      <c r="AD558" s="137">
        <v>0</v>
      </c>
      <c r="AE558" s="139">
        <v>0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109</v>
      </c>
      <c r="F559" s="133" t="s">
        <v>111</v>
      </c>
      <c r="G559" s="134">
        <v>46132</v>
      </c>
      <c r="H559" s="135">
        <v>0.6385879629629629</v>
      </c>
      <c r="I559" s="136">
        <v>169002705</v>
      </c>
      <c r="J559" s="137">
        <v>323</v>
      </c>
      <c r="K559" s="137">
        <f>N559+O559+P559</f>
        <v>288.1251</v>
      </c>
      <c r="L559" s="137">
        <f>Q559+R559</f>
        <v>34.5749</v>
      </c>
      <c r="M559" s="137">
        <f>IF(J559=K559+L559,0,Y559)</f>
        <v>0.3</v>
      </c>
      <c r="N559" s="138">
        <v>0</v>
      </c>
      <c r="O559" s="137">
        <v>288.1251</v>
      </c>
      <c r="P559" s="137">
        <v>0</v>
      </c>
      <c r="Q559" s="137">
        <v>0</v>
      </c>
      <c r="R559" s="137">
        <v>34.5749</v>
      </c>
      <c r="S559" s="138">
        <v>288.1251</v>
      </c>
      <c r="T559" s="137">
        <v>322.7</v>
      </c>
      <c r="U559" s="137">
        <v>0</v>
      </c>
      <c r="V559" s="137">
        <v>0</v>
      </c>
      <c r="W559" s="137">
        <v>0</v>
      </c>
      <c r="X559" s="137">
        <v>0</v>
      </c>
      <c r="Y559" s="137">
        <v>0.3</v>
      </c>
      <c r="Z559" s="138">
        <v>524</v>
      </c>
      <c r="AA559" s="137">
        <v>0</v>
      </c>
      <c r="AB559" s="137">
        <v>0</v>
      </c>
      <c r="AC559" s="137"/>
      <c r="AD559" s="137">
        <v>0</v>
      </c>
      <c r="AE559" s="139">
        <v>-201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109</v>
      </c>
      <c r="F560" s="133" t="s">
        <v>111</v>
      </c>
      <c r="G560" s="134">
        <v>46132</v>
      </c>
      <c r="H560" s="135">
        <v>0.6404976851851852</v>
      </c>
      <c r="I560" s="136">
        <v>169002706</v>
      </c>
      <c r="J560" s="137">
        <v>98</v>
      </c>
      <c r="K560" s="137">
        <f>N560+O560+P560</f>
        <v>87.8572</v>
      </c>
      <c r="L560" s="137">
        <f>Q560+R560</f>
        <v>10.5428</v>
      </c>
      <c r="M560" s="137">
        <f>IF(J560=K560+L560,0,Y560)</f>
        <v>-0.4</v>
      </c>
      <c r="N560" s="138">
        <v>0</v>
      </c>
      <c r="O560" s="137">
        <v>87.8572</v>
      </c>
      <c r="P560" s="137">
        <v>0</v>
      </c>
      <c r="Q560" s="137">
        <v>0</v>
      </c>
      <c r="R560" s="137">
        <v>10.5428</v>
      </c>
      <c r="S560" s="138">
        <v>87.8572</v>
      </c>
      <c r="T560" s="137">
        <v>98.4</v>
      </c>
      <c r="U560" s="137">
        <v>0</v>
      </c>
      <c r="V560" s="137">
        <v>0</v>
      </c>
      <c r="W560" s="137">
        <v>0</v>
      </c>
      <c r="X560" s="137">
        <v>0</v>
      </c>
      <c r="Y560" s="137">
        <v>-0.4</v>
      </c>
      <c r="Z560" s="138">
        <v>100</v>
      </c>
      <c r="AA560" s="137">
        <v>0</v>
      </c>
      <c r="AB560" s="137">
        <v>0</v>
      </c>
      <c r="AC560" s="137"/>
      <c r="AD560" s="137">
        <v>0</v>
      </c>
      <c r="AE560" s="139">
        <v>-2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109</v>
      </c>
      <c r="F561" s="133" t="s">
        <v>111</v>
      </c>
      <c r="G561" s="134">
        <v>46132</v>
      </c>
      <c r="H561" s="135">
        <v>0.6418518518518519</v>
      </c>
      <c r="I561" s="136">
        <v>169002707</v>
      </c>
      <c r="J561" s="137">
        <v>132.7</v>
      </c>
      <c r="K561" s="137">
        <f>N561+O561+P561</f>
        <v>118.4822</v>
      </c>
      <c r="L561" s="137">
        <f>Q561+R561</f>
        <v>14.2178</v>
      </c>
      <c r="M561" s="137">
        <f>IF(J561=K561+L561,0,Y561)</f>
        <v>0</v>
      </c>
      <c r="N561" s="138">
        <v>0</v>
      </c>
      <c r="O561" s="137">
        <v>118.4822</v>
      </c>
      <c r="P561" s="137">
        <v>0</v>
      </c>
      <c r="Q561" s="137">
        <v>0</v>
      </c>
      <c r="R561" s="137">
        <v>14.2178</v>
      </c>
      <c r="S561" s="138">
        <v>118.4822</v>
      </c>
      <c r="T561" s="137">
        <v>132.7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132.7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109</v>
      </c>
      <c r="F562" s="133" t="s">
        <v>111</v>
      </c>
      <c r="G562" s="134">
        <v>46132</v>
      </c>
      <c r="H562" s="135">
        <v>0.6423032407407407</v>
      </c>
      <c r="I562" s="136">
        <v>169002708</v>
      </c>
      <c r="J562" s="137">
        <v>103.7</v>
      </c>
      <c r="K562" s="137">
        <f>N562+O562+P562</f>
        <v>88.75739999999999</v>
      </c>
      <c r="L562" s="137">
        <f>Q562+R562</f>
        <v>14.942599999999999</v>
      </c>
      <c r="M562" s="137">
        <f>IF(J562=K562+L562,0,Y562)</f>
        <v>0</v>
      </c>
      <c r="N562" s="138">
        <v>47.686</v>
      </c>
      <c r="O562" s="137">
        <v>41.0714</v>
      </c>
      <c r="P562" s="137">
        <v>0</v>
      </c>
      <c r="Q562" s="137">
        <v>10.014</v>
      </c>
      <c r="R562" s="137">
        <v>4.9286</v>
      </c>
      <c r="S562" s="138">
        <v>88.7574</v>
      </c>
      <c r="T562" s="137">
        <v>103.7</v>
      </c>
      <c r="U562" s="137">
        <v>0</v>
      </c>
      <c r="V562" s="137">
        <v>0</v>
      </c>
      <c r="W562" s="137">
        <v>0</v>
      </c>
      <c r="X562" s="137">
        <v>0</v>
      </c>
      <c r="Y562" s="137">
        <v>0</v>
      </c>
      <c r="Z562" s="138">
        <v>0</v>
      </c>
      <c r="AA562" s="137">
        <v>0</v>
      </c>
      <c r="AB562" s="137">
        <v>103.7</v>
      </c>
      <c r="AC562" s="137">
        <v>0</v>
      </c>
      <c r="AD562" s="137">
        <v>0</v>
      </c>
      <c r="AE562" s="139">
        <v>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109</v>
      </c>
      <c r="F563" s="133" t="s">
        <v>111</v>
      </c>
      <c r="G563" s="134">
        <v>46132</v>
      </c>
      <c r="H563" s="135">
        <v>0.6433101851851852</v>
      </c>
      <c r="I563" s="136">
        <v>169002709</v>
      </c>
      <c r="J563" s="137">
        <v>84</v>
      </c>
      <c r="K563" s="137">
        <f>N563+O563+P563</f>
        <v>69.1735</v>
      </c>
      <c r="L563" s="137">
        <f>Q563+R563</f>
        <v>14.5265</v>
      </c>
      <c r="M563" s="137">
        <f>IF(J563=K563+L563,0,Y563)</f>
        <v>0.3</v>
      </c>
      <c r="N563" s="138">
        <v>69.1735</v>
      </c>
      <c r="O563" s="137">
        <v>0</v>
      </c>
      <c r="P563" s="137">
        <v>0</v>
      </c>
      <c r="Q563" s="137">
        <v>14.5265</v>
      </c>
      <c r="R563" s="137">
        <v>0</v>
      </c>
      <c r="S563" s="138">
        <v>69.1735</v>
      </c>
      <c r="T563" s="137">
        <v>83.7</v>
      </c>
      <c r="U563" s="137">
        <v>0</v>
      </c>
      <c r="V563" s="137">
        <v>0</v>
      </c>
      <c r="W563" s="137">
        <v>0</v>
      </c>
      <c r="X563" s="137">
        <v>0</v>
      </c>
      <c r="Y563" s="137">
        <v>0.3</v>
      </c>
      <c r="Z563" s="138">
        <v>200</v>
      </c>
      <c r="AA563" s="137">
        <v>0</v>
      </c>
      <c r="AB563" s="137">
        <v>0</v>
      </c>
      <c r="AC563" s="137"/>
      <c r="AD563" s="137">
        <v>0</v>
      </c>
      <c r="AE563" s="139">
        <v>-116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109</v>
      </c>
      <c r="F564" s="133" t="s">
        <v>111</v>
      </c>
      <c r="G564" s="134">
        <v>46132</v>
      </c>
      <c r="H564" s="135">
        <v>0.6445833333333333</v>
      </c>
      <c r="I564" s="136">
        <v>169002710</v>
      </c>
      <c r="J564" s="137">
        <v>95.4</v>
      </c>
      <c r="K564" s="137">
        <f>N564+O564+P564</f>
        <v>78.843</v>
      </c>
      <c r="L564" s="137">
        <f>Q564+R564</f>
        <v>16.557</v>
      </c>
      <c r="M564" s="137">
        <f>IF(J564=K564+L564,0,Y564)</f>
        <v>0</v>
      </c>
      <c r="N564" s="138">
        <v>78.843</v>
      </c>
      <c r="O564" s="137">
        <v>0</v>
      </c>
      <c r="P564" s="137">
        <v>0</v>
      </c>
      <c r="Q564" s="137">
        <v>16.557</v>
      </c>
      <c r="R564" s="137">
        <v>0</v>
      </c>
      <c r="S564" s="138">
        <v>78.843</v>
      </c>
      <c r="T564" s="137">
        <v>95.4</v>
      </c>
      <c r="U564" s="137">
        <v>0</v>
      </c>
      <c r="V564" s="137">
        <v>0</v>
      </c>
      <c r="W564" s="137">
        <v>0</v>
      </c>
      <c r="X564" s="137">
        <v>0</v>
      </c>
      <c r="Y564" s="137">
        <v>0</v>
      </c>
      <c r="Z564" s="138">
        <v>0</v>
      </c>
      <c r="AA564" s="137">
        <v>0</v>
      </c>
      <c r="AB564" s="137">
        <v>95.4</v>
      </c>
      <c r="AC564" s="137">
        <v>0</v>
      </c>
      <c r="AD564" s="137">
        <v>0</v>
      </c>
      <c r="AE564" s="139">
        <v>0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109</v>
      </c>
      <c r="F565" s="133" t="s">
        <v>111</v>
      </c>
      <c r="G565" s="134">
        <v>46132</v>
      </c>
      <c r="H565" s="135">
        <v>0.6454050925925926</v>
      </c>
      <c r="I565" s="136">
        <v>169002711</v>
      </c>
      <c r="J565" s="137">
        <v>12</v>
      </c>
      <c r="K565" s="137">
        <f>N565+O565+P565</f>
        <v>10.625</v>
      </c>
      <c r="L565" s="137">
        <f>Q565+R565</f>
        <v>1.275</v>
      </c>
      <c r="M565" s="137">
        <f>IF(J565=K565+L565,0,Y565)</f>
        <v>0.1</v>
      </c>
      <c r="N565" s="138">
        <v>0</v>
      </c>
      <c r="O565" s="137">
        <v>10.625</v>
      </c>
      <c r="P565" s="137">
        <v>0</v>
      </c>
      <c r="Q565" s="137">
        <v>0</v>
      </c>
      <c r="R565" s="137">
        <v>1.275</v>
      </c>
      <c r="S565" s="138">
        <v>10.625</v>
      </c>
      <c r="T565" s="137">
        <v>11.9</v>
      </c>
      <c r="U565" s="137">
        <v>0</v>
      </c>
      <c r="V565" s="137">
        <v>0</v>
      </c>
      <c r="W565" s="137">
        <v>0</v>
      </c>
      <c r="X565" s="137">
        <v>0</v>
      </c>
      <c r="Y565" s="137">
        <v>0.1</v>
      </c>
      <c r="Z565" s="138">
        <v>12</v>
      </c>
      <c r="AA565" s="137">
        <v>0</v>
      </c>
      <c r="AB565" s="137">
        <v>0</v>
      </c>
      <c r="AC565" s="137"/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109</v>
      </c>
      <c r="F566" s="133" t="s">
        <v>111</v>
      </c>
      <c r="G566" s="134">
        <v>46132</v>
      </c>
      <c r="H566" s="135">
        <v>0.6459027777777778</v>
      </c>
      <c r="I566" s="136">
        <v>169002712</v>
      </c>
      <c r="J566" s="137">
        <v>190.5</v>
      </c>
      <c r="K566" s="137">
        <f>N566+O566+P566</f>
        <v>167.4395</v>
      </c>
      <c r="L566" s="137">
        <f>Q566+R566</f>
        <v>23.0605</v>
      </c>
      <c r="M566" s="137">
        <f>IF(J566=K566+L566,0,Y566)</f>
        <v>0</v>
      </c>
      <c r="N566" s="138">
        <v>32.9752</v>
      </c>
      <c r="O566" s="137">
        <v>134.4643</v>
      </c>
      <c r="P566" s="137">
        <v>0</v>
      </c>
      <c r="Q566" s="137">
        <v>6.9248</v>
      </c>
      <c r="R566" s="137">
        <v>16.1357</v>
      </c>
      <c r="S566" s="138">
        <v>167.4395</v>
      </c>
      <c r="T566" s="137">
        <v>190.5</v>
      </c>
      <c r="U566" s="137">
        <v>0</v>
      </c>
      <c r="V566" s="137">
        <v>0</v>
      </c>
      <c r="W566" s="137">
        <v>0</v>
      </c>
      <c r="X566" s="137">
        <v>0</v>
      </c>
      <c r="Y566" s="137">
        <v>0</v>
      </c>
      <c r="Z566" s="138">
        <v>0</v>
      </c>
      <c r="AA566" s="137">
        <v>0</v>
      </c>
      <c r="AB566" s="137">
        <v>190.5</v>
      </c>
      <c r="AC566" s="137">
        <v>0</v>
      </c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109</v>
      </c>
      <c r="F567" s="133" t="s">
        <v>111</v>
      </c>
      <c r="G567" s="134">
        <v>46132</v>
      </c>
      <c r="H567" s="135">
        <v>0.6463888888888889</v>
      </c>
      <c r="I567" s="136">
        <v>169002713</v>
      </c>
      <c r="J567" s="137">
        <v>328.3</v>
      </c>
      <c r="K567" s="137">
        <f>N567+O567+P567</f>
        <v>286.185</v>
      </c>
      <c r="L567" s="137">
        <f>Q567+R567</f>
        <v>42.114999999999995</v>
      </c>
      <c r="M567" s="137">
        <f>IF(J567=K567+L567,0,Y567)</f>
        <v>0</v>
      </c>
      <c r="N567" s="138">
        <v>86.3636</v>
      </c>
      <c r="O567" s="137">
        <v>199.8214</v>
      </c>
      <c r="P567" s="137">
        <v>0</v>
      </c>
      <c r="Q567" s="137">
        <v>18.1364</v>
      </c>
      <c r="R567" s="137">
        <v>23.9786</v>
      </c>
      <c r="S567" s="138">
        <v>286.185</v>
      </c>
      <c r="T567" s="137">
        <v>328.3</v>
      </c>
      <c r="U567" s="137">
        <v>0</v>
      </c>
      <c r="V567" s="137">
        <v>0</v>
      </c>
      <c r="W567" s="137">
        <v>0</v>
      </c>
      <c r="X567" s="137">
        <v>0</v>
      </c>
      <c r="Y567" s="137">
        <v>0</v>
      </c>
      <c r="Z567" s="138">
        <v>0</v>
      </c>
      <c r="AA567" s="137">
        <v>0</v>
      </c>
      <c r="AB567" s="137">
        <v>328.3</v>
      </c>
      <c r="AC567" s="137">
        <v>0</v>
      </c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109</v>
      </c>
      <c r="F568" s="133" t="s">
        <v>111</v>
      </c>
      <c r="G568" s="134">
        <v>46132</v>
      </c>
      <c r="H568" s="135">
        <v>0.6481481481481481</v>
      </c>
      <c r="I568" s="136">
        <v>169002714</v>
      </c>
      <c r="J568" s="137">
        <v>185.85</v>
      </c>
      <c r="K568" s="137">
        <f>N568+O568+P568</f>
        <v>165.9375</v>
      </c>
      <c r="L568" s="137">
        <f>Q568+R568</f>
        <v>19.9125</v>
      </c>
      <c r="M568" s="137">
        <f>IF(J568=K568+L568,0,Y568)</f>
        <v>0</v>
      </c>
      <c r="N568" s="138">
        <v>0</v>
      </c>
      <c r="O568" s="137">
        <v>165.9375</v>
      </c>
      <c r="P568" s="137">
        <v>0</v>
      </c>
      <c r="Q568" s="137">
        <v>0</v>
      </c>
      <c r="R568" s="137">
        <v>19.9125</v>
      </c>
      <c r="S568" s="138">
        <v>165.9375</v>
      </c>
      <c r="T568" s="137">
        <v>185.85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185.85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109</v>
      </c>
      <c r="F569" s="133" t="s">
        <v>111</v>
      </c>
      <c r="G569" s="134">
        <v>46132</v>
      </c>
      <c r="H569" s="135">
        <v>0.6484953703703704</v>
      </c>
      <c r="I569" s="136">
        <v>169002715</v>
      </c>
      <c r="J569" s="137">
        <v>59</v>
      </c>
      <c r="K569" s="137">
        <f>N569+O569+P569</f>
        <v>52.5</v>
      </c>
      <c r="L569" s="137">
        <f>Q569+R569</f>
        <v>6.3</v>
      </c>
      <c r="M569" s="137">
        <f>IF(J569=K569+L569,0,Y569)</f>
        <v>0.2</v>
      </c>
      <c r="N569" s="138">
        <v>0</v>
      </c>
      <c r="O569" s="137">
        <v>52.5</v>
      </c>
      <c r="P569" s="137">
        <v>0</v>
      </c>
      <c r="Q569" s="137">
        <v>0</v>
      </c>
      <c r="R569" s="137">
        <v>6.3</v>
      </c>
      <c r="S569" s="138">
        <v>52.5</v>
      </c>
      <c r="T569" s="137">
        <v>58.8</v>
      </c>
      <c r="U569" s="137">
        <v>0</v>
      </c>
      <c r="V569" s="137">
        <v>0</v>
      </c>
      <c r="W569" s="137">
        <v>0</v>
      </c>
      <c r="X569" s="137">
        <v>0</v>
      </c>
      <c r="Y569" s="137">
        <v>0.2</v>
      </c>
      <c r="Z569" s="138">
        <v>500</v>
      </c>
      <c r="AA569" s="137">
        <v>0</v>
      </c>
      <c r="AB569" s="137">
        <v>0</v>
      </c>
      <c r="AC569" s="137"/>
      <c r="AD569" s="137">
        <v>0</v>
      </c>
      <c r="AE569" s="139">
        <v>-441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109</v>
      </c>
      <c r="F570" s="133" t="s">
        <v>111</v>
      </c>
      <c r="G570" s="134">
        <v>46132</v>
      </c>
      <c r="H570" s="135">
        <v>0.6490393518518518</v>
      </c>
      <c r="I570" s="136">
        <v>169002716</v>
      </c>
      <c r="J570" s="137">
        <v>99.7</v>
      </c>
      <c r="K570" s="137">
        <f>N570+O570+P570</f>
        <v>86.76650000000001</v>
      </c>
      <c r="L570" s="137">
        <f>Q570+R570</f>
        <v>12.933499999999999</v>
      </c>
      <c r="M570" s="137">
        <f>IF(J570=K570+L570,0,Y570)</f>
        <v>0</v>
      </c>
      <c r="N570" s="138">
        <v>28.0165</v>
      </c>
      <c r="O570" s="137">
        <v>58.75</v>
      </c>
      <c r="P570" s="137">
        <v>0</v>
      </c>
      <c r="Q570" s="137">
        <v>5.8835</v>
      </c>
      <c r="R570" s="137">
        <v>7.05</v>
      </c>
      <c r="S570" s="138">
        <v>86.7665</v>
      </c>
      <c r="T570" s="137">
        <v>99.7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99.7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109</v>
      </c>
      <c r="F571" s="133" t="s">
        <v>111</v>
      </c>
      <c r="G571" s="134">
        <v>46132</v>
      </c>
      <c r="H571" s="135">
        <v>0.6495023148148148</v>
      </c>
      <c r="I571" s="136">
        <v>169002717</v>
      </c>
      <c r="J571" s="137">
        <v>175.6</v>
      </c>
      <c r="K571" s="137">
        <f>N571+O571+P571</f>
        <v>156.7859</v>
      </c>
      <c r="L571" s="137">
        <f>Q571+R571</f>
        <v>18.8141</v>
      </c>
      <c r="M571" s="137">
        <f>IF(J571=K571+L571,0,Y571)</f>
        <v>0</v>
      </c>
      <c r="N571" s="138">
        <v>0</v>
      </c>
      <c r="O571" s="137">
        <v>156.7859</v>
      </c>
      <c r="P571" s="137">
        <v>0</v>
      </c>
      <c r="Q571" s="137">
        <v>0</v>
      </c>
      <c r="R571" s="137">
        <v>18.8141</v>
      </c>
      <c r="S571" s="138">
        <v>156.7859</v>
      </c>
      <c r="T571" s="137">
        <v>175.6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0</v>
      </c>
      <c r="AA571" s="137">
        <v>0</v>
      </c>
      <c r="AB571" s="137">
        <v>175.6</v>
      </c>
      <c r="AC571" s="137">
        <v>0</v>
      </c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109</v>
      </c>
      <c r="F572" s="133" t="s">
        <v>111</v>
      </c>
      <c r="G572" s="134">
        <v>46132</v>
      </c>
      <c r="H572" s="135">
        <v>0.6499652777777778</v>
      </c>
      <c r="I572" s="136">
        <v>169002718</v>
      </c>
      <c r="J572" s="137">
        <v>15.97</v>
      </c>
      <c r="K572" s="137">
        <f>N572+O572+P572</f>
        <v>14.2589</v>
      </c>
      <c r="L572" s="137">
        <f>Q572+R572</f>
        <v>1.7111</v>
      </c>
      <c r="M572" s="137">
        <f>IF(J572=K572+L572,0,Y572)</f>
        <v>0</v>
      </c>
      <c r="N572" s="138">
        <v>0</v>
      </c>
      <c r="O572" s="137">
        <v>14.2589</v>
      </c>
      <c r="P572" s="137">
        <v>0</v>
      </c>
      <c r="Q572" s="137">
        <v>0</v>
      </c>
      <c r="R572" s="137">
        <v>1.7111</v>
      </c>
      <c r="S572" s="138">
        <v>14.2589</v>
      </c>
      <c r="T572" s="137">
        <v>15.97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15.97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109</v>
      </c>
      <c r="F573" s="133" t="s">
        <v>111</v>
      </c>
      <c r="G573" s="134">
        <v>46132</v>
      </c>
      <c r="H573" s="135">
        <v>0.6502777777777777</v>
      </c>
      <c r="I573" s="136">
        <v>169002719</v>
      </c>
      <c r="J573" s="137">
        <v>160.2</v>
      </c>
      <c r="K573" s="137">
        <f>N573+O573+P573</f>
        <v>138.7536</v>
      </c>
      <c r="L573" s="137">
        <f>Q573+R573</f>
        <v>21.446399999999997</v>
      </c>
      <c r="M573" s="137">
        <f>IF(J573=K573+L573,0,Y573)</f>
        <v>0</v>
      </c>
      <c r="N573" s="138">
        <v>85.2893</v>
      </c>
      <c r="O573" s="137">
        <v>29.4643</v>
      </c>
      <c r="P573" s="137">
        <v>24</v>
      </c>
      <c r="Q573" s="137">
        <v>17.9107</v>
      </c>
      <c r="R573" s="137">
        <v>3.5357</v>
      </c>
      <c r="S573" s="138">
        <v>114.7536</v>
      </c>
      <c r="T573" s="137">
        <v>136.2</v>
      </c>
      <c r="U573" s="137">
        <v>0</v>
      </c>
      <c r="V573" s="137">
        <v>0</v>
      </c>
      <c r="W573" s="137">
        <v>24</v>
      </c>
      <c r="X573" s="137">
        <v>0</v>
      </c>
      <c r="Y573" s="137">
        <v>0</v>
      </c>
      <c r="Z573" s="138">
        <v>0</v>
      </c>
      <c r="AA573" s="137">
        <v>0</v>
      </c>
      <c r="AB573" s="137">
        <v>160.2</v>
      </c>
      <c r="AC573" s="137">
        <v>0</v>
      </c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109</v>
      </c>
      <c r="F574" s="133" t="s">
        <v>111</v>
      </c>
      <c r="G574" s="134">
        <v>46132</v>
      </c>
      <c r="H574" s="135">
        <v>0.6510763888888889</v>
      </c>
      <c r="I574" s="136">
        <v>169002720</v>
      </c>
      <c r="J574" s="137">
        <v>126.3</v>
      </c>
      <c r="K574" s="137">
        <f>N574+O574+P574</f>
        <v>112.7678</v>
      </c>
      <c r="L574" s="137">
        <f>Q574+R574</f>
        <v>13.5322</v>
      </c>
      <c r="M574" s="137">
        <f>IF(J574=K574+L574,0,Y574)</f>
        <v>0</v>
      </c>
      <c r="N574" s="138">
        <v>0</v>
      </c>
      <c r="O574" s="137">
        <v>112.7678</v>
      </c>
      <c r="P574" s="137">
        <v>0</v>
      </c>
      <c r="Q574" s="137">
        <v>0</v>
      </c>
      <c r="R574" s="137">
        <v>13.5322</v>
      </c>
      <c r="S574" s="138">
        <v>112.7678</v>
      </c>
      <c r="T574" s="137">
        <v>126.3</v>
      </c>
      <c r="U574" s="137">
        <v>0</v>
      </c>
      <c r="V574" s="137">
        <v>0</v>
      </c>
      <c r="W574" s="137">
        <v>0</v>
      </c>
      <c r="X574" s="137">
        <v>0</v>
      </c>
      <c r="Y574" s="137">
        <v>0</v>
      </c>
      <c r="Z574" s="138">
        <v>0</v>
      </c>
      <c r="AA574" s="137">
        <v>0</v>
      </c>
      <c r="AB574" s="137">
        <v>126.3</v>
      </c>
      <c r="AC574" s="137">
        <v>0</v>
      </c>
      <c r="AD574" s="137">
        <v>0</v>
      </c>
      <c r="AE574" s="139">
        <v>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109</v>
      </c>
      <c r="F575" s="133" t="s">
        <v>111</v>
      </c>
      <c r="G575" s="134">
        <v>46132</v>
      </c>
      <c r="H575" s="135">
        <v>0.6528703703703703</v>
      </c>
      <c r="I575" s="136">
        <v>169002721</v>
      </c>
      <c r="J575" s="137">
        <v>407.86</v>
      </c>
      <c r="K575" s="137">
        <f>N575+O575+P575</f>
        <v>357.6793</v>
      </c>
      <c r="L575" s="137">
        <f>Q575+R575</f>
        <v>50.1807</v>
      </c>
      <c r="M575" s="137">
        <f>IF(J575=K575+L575,0,Y575)</f>
        <v>0</v>
      </c>
      <c r="N575" s="138">
        <v>80.6612</v>
      </c>
      <c r="O575" s="137">
        <v>277.0181</v>
      </c>
      <c r="P575" s="137">
        <v>0</v>
      </c>
      <c r="Q575" s="137">
        <v>16.9388</v>
      </c>
      <c r="R575" s="137">
        <v>33.2419</v>
      </c>
      <c r="S575" s="138">
        <v>357.6793</v>
      </c>
      <c r="T575" s="137">
        <v>407.86</v>
      </c>
      <c r="U575" s="137">
        <v>0</v>
      </c>
      <c r="V575" s="137">
        <v>0</v>
      </c>
      <c r="W575" s="137">
        <v>0</v>
      </c>
      <c r="X575" s="137">
        <v>0</v>
      </c>
      <c r="Y575" s="137">
        <v>0</v>
      </c>
      <c r="Z575" s="138">
        <v>0</v>
      </c>
      <c r="AA575" s="137">
        <v>0</v>
      </c>
      <c r="AB575" s="137">
        <v>407.86</v>
      </c>
      <c r="AC575" s="137">
        <v>0</v>
      </c>
      <c r="AD575" s="137">
        <v>0</v>
      </c>
      <c r="AE575" s="139">
        <v>0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109</v>
      </c>
      <c r="F576" s="133" t="s">
        <v>111</v>
      </c>
      <c r="G576" s="134">
        <v>46132</v>
      </c>
      <c r="H576" s="135">
        <v>0.6535300925925925</v>
      </c>
      <c r="I576" s="136">
        <v>169002722</v>
      </c>
      <c r="J576" s="137">
        <v>83.2</v>
      </c>
      <c r="K576" s="137">
        <f>N576+O576+P576</f>
        <v>74.2858</v>
      </c>
      <c r="L576" s="137">
        <f>Q576+R576</f>
        <v>8.9142</v>
      </c>
      <c r="M576" s="137">
        <f>IF(J576=K576+L576,0,Y576)</f>
        <v>0</v>
      </c>
      <c r="N576" s="138">
        <v>0</v>
      </c>
      <c r="O576" s="137">
        <v>74.2858</v>
      </c>
      <c r="P576" s="137">
        <v>0</v>
      </c>
      <c r="Q576" s="137">
        <v>0</v>
      </c>
      <c r="R576" s="137">
        <v>8.9142</v>
      </c>
      <c r="S576" s="138">
        <v>74.2858</v>
      </c>
      <c r="T576" s="137">
        <v>83.2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83.2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109</v>
      </c>
      <c r="F577" s="133" t="s">
        <v>111</v>
      </c>
      <c r="G577" s="134">
        <v>46132</v>
      </c>
      <c r="H577" s="135">
        <v>0.6536574074074074</v>
      </c>
      <c r="I577" s="136">
        <v>169002723</v>
      </c>
      <c r="J577" s="137">
        <v>10</v>
      </c>
      <c r="K577" s="137">
        <f>N577+O577+P577</f>
        <v>8.8393</v>
      </c>
      <c r="L577" s="137">
        <f>Q577+R577</f>
        <v>1.0607</v>
      </c>
      <c r="M577" s="137">
        <f>IF(J577=K577+L577,0,Y577)</f>
        <v>0.1</v>
      </c>
      <c r="N577" s="138">
        <v>0</v>
      </c>
      <c r="O577" s="137">
        <v>8.8393</v>
      </c>
      <c r="P577" s="137">
        <v>0</v>
      </c>
      <c r="Q577" s="137">
        <v>0</v>
      </c>
      <c r="R577" s="137">
        <v>1.0607</v>
      </c>
      <c r="S577" s="138">
        <v>8.8393</v>
      </c>
      <c r="T577" s="137">
        <v>9.9</v>
      </c>
      <c r="U577" s="137">
        <v>0</v>
      </c>
      <c r="V577" s="137">
        <v>0</v>
      </c>
      <c r="W577" s="137">
        <v>0</v>
      </c>
      <c r="X577" s="137">
        <v>0</v>
      </c>
      <c r="Y577" s="137">
        <v>0.1</v>
      </c>
      <c r="Z577" s="138">
        <v>10</v>
      </c>
      <c r="AA577" s="137">
        <v>0</v>
      </c>
      <c r="AB577" s="137">
        <v>0</v>
      </c>
      <c r="AC577" s="137"/>
      <c r="AD577" s="137">
        <v>0</v>
      </c>
      <c r="AE577" s="139">
        <v>0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109</v>
      </c>
      <c r="F578" s="133" t="s">
        <v>111</v>
      </c>
      <c r="G578" s="134">
        <v>46132</v>
      </c>
      <c r="H578" s="135">
        <v>0.6561689814814815</v>
      </c>
      <c r="I578" s="136">
        <v>169002724</v>
      </c>
      <c r="J578" s="137">
        <v>42</v>
      </c>
      <c r="K578" s="137">
        <f>N578+O578+P578</f>
        <v>36.5311</v>
      </c>
      <c r="L578" s="137">
        <f>Q578+R578</f>
        <v>5.2689</v>
      </c>
      <c r="M578" s="137">
        <f>IF(J578=K578+L578,0,Y578)</f>
        <v>0.2</v>
      </c>
      <c r="N578" s="138">
        <v>9.8347</v>
      </c>
      <c r="O578" s="137">
        <v>26.6964</v>
      </c>
      <c r="P578" s="137">
        <v>0</v>
      </c>
      <c r="Q578" s="137">
        <v>2.0653</v>
      </c>
      <c r="R578" s="137">
        <v>3.2036</v>
      </c>
      <c r="S578" s="138">
        <v>36.5311</v>
      </c>
      <c r="T578" s="137">
        <v>41.8</v>
      </c>
      <c r="U578" s="137">
        <v>0</v>
      </c>
      <c r="V578" s="137">
        <v>0</v>
      </c>
      <c r="W578" s="137">
        <v>0</v>
      </c>
      <c r="X578" s="137">
        <v>0</v>
      </c>
      <c r="Y578" s="137">
        <v>0.2</v>
      </c>
      <c r="Z578" s="138">
        <v>50</v>
      </c>
      <c r="AA578" s="137">
        <v>0</v>
      </c>
      <c r="AB578" s="137">
        <v>0</v>
      </c>
      <c r="AC578" s="137"/>
      <c r="AD578" s="137">
        <v>0</v>
      </c>
      <c r="AE578" s="139">
        <v>-8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109</v>
      </c>
      <c r="F579" s="133" t="s">
        <v>111</v>
      </c>
      <c r="G579" s="134">
        <v>46132</v>
      </c>
      <c r="H579" s="135">
        <v>0.6575347222222222</v>
      </c>
      <c r="I579" s="136">
        <v>169002725</v>
      </c>
      <c r="J579" s="137">
        <v>127.88</v>
      </c>
      <c r="K579" s="137">
        <f>N579+O579+P579</f>
        <v>110.2803</v>
      </c>
      <c r="L579" s="137">
        <f>Q579+R579</f>
        <v>17.5997</v>
      </c>
      <c r="M579" s="137">
        <f>IF(J579=K579+L579,0,Y579)</f>
        <v>0</v>
      </c>
      <c r="N579" s="138">
        <v>48.5124</v>
      </c>
      <c r="O579" s="137">
        <v>61.7679</v>
      </c>
      <c r="P579" s="137">
        <v>0</v>
      </c>
      <c r="Q579" s="137">
        <v>10.1876</v>
      </c>
      <c r="R579" s="137">
        <v>7.4121</v>
      </c>
      <c r="S579" s="138">
        <v>110.2803</v>
      </c>
      <c r="T579" s="137">
        <v>127.88</v>
      </c>
      <c r="U579" s="137">
        <v>0</v>
      </c>
      <c r="V579" s="137">
        <v>0</v>
      </c>
      <c r="W579" s="137">
        <v>0</v>
      </c>
      <c r="X579" s="137">
        <v>0</v>
      </c>
      <c r="Y579" s="137">
        <v>0</v>
      </c>
      <c r="Z579" s="138">
        <v>0</v>
      </c>
      <c r="AA579" s="137">
        <v>0</v>
      </c>
      <c r="AB579" s="137">
        <v>127.88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109</v>
      </c>
      <c r="F580" s="133" t="s">
        <v>111</v>
      </c>
      <c r="G580" s="134">
        <v>46132</v>
      </c>
      <c r="H580" s="135">
        <v>0.6582060185185186</v>
      </c>
      <c r="I580" s="136">
        <v>169002726</v>
      </c>
      <c r="J580" s="137">
        <v>206</v>
      </c>
      <c r="K580" s="137">
        <f>N580+O580+P580</f>
        <v>177.7806</v>
      </c>
      <c r="L580" s="137">
        <f>Q580+R580</f>
        <v>28.4294</v>
      </c>
      <c r="M580" s="137">
        <f>IF(J580=K580+L580,0,Y580)</f>
        <v>-0.21</v>
      </c>
      <c r="N580" s="138">
        <v>78.843</v>
      </c>
      <c r="O580" s="137">
        <v>98.9376</v>
      </c>
      <c r="P580" s="137">
        <v>0</v>
      </c>
      <c r="Q580" s="137">
        <v>16.557</v>
      </c>
      <c r="R580" s="137">
        <v>11.8724</v>
      </c>
      <c r="S580" s="138">
        <v>177.7806</v>
      </c>
      <c r="T580" s="137">
        <v>206.21</v>
      </c>
      <c r="U580" s="137">
        <v>0</v>
      </c>
      <c r="V580" s="137">
        <v>0</v>
      </c>
      <c r="W580" s="137">
        <v>0</v>
      </c>
      <c r="X580" s="137">
        <v>0</v>
      </c>
      <c r="Y580" s="137">
        <v>-0.21</v>
      </c>
      <c r="Z580" s="138">
        <v>207</v>
      </c>
      <c r="AA580" s="137">
        <v>0</v>
      </c>
      <c r="AB580" s="137">
        <v>0</v>
      </c>
      <c r="AC580" s="137"/>
      <c r="AD580" s="137">
        <v>0</v>
      </c>
      <c r="AE580" s="139">
        <v>-1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109</v>
      </c>
      <c r="F581" s="133" t="s">
        <v>111</v>
      </c>
      <c r="G581" s="134">
        <v>46132</v>
      </c>
      <c r="H581" s="135">
        <v>0.6590046296296296</v>
      </c>
      <c r="I581" s="136">
        <v>169002727</v>
      </c>
      <c r="J581" s="137">
        <v>339.36</v>
      </c>
      <c r="K581" s="137">
        <f>N581+O581+P581</f>
        <v>296.6644</v>
      </c>
      <c r="L581" s="137">
        <f>Q581+R581</f>
        <v>42.6956</v>
      </c>
      <c r="M581" s="137">
        <f>IF(J581=K581+L581,0,Y581)</f>
        <v>0</v>
      </c>
      <c r="N581" s="138">
        <v>78.843</v>
      </c>
      <c r="O581" s="137">
        <v>217.8214</v>
      </c>
      <c r="P581" s="137">
        <v>0</v>
      </c>
      <c r="Q581" s="137">
        <v>16.557</v>
      </c>
      <c r="R581" s="137">
        <v>26.1386</v>
      </c>
      <c r="S581" s="138">
        <v>296.6644</v>
      </c>
      <c r="T581" s="137">
        <v>339.36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339.36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109</v>
      </c>
      <c r="F582" s="133" t="s">
        <v>111</v>
      </c>
      <c r="G582" s="134">
        <v>46132</v>
      </c>
      <c r="H582" s="135">
        <v>0.6599074074074074</v>
      </c>
      <c r="I582" s="136">
        <v>169002728</v>
      </c>
      <c r="J582" s="137">
        <v>214.78</v>
      </c>
      <c r="K582" s="137">
        <f>N582+O582+P582</f>
        <v>191.7678</v>
      </c>
      <c r="L582" s="137">
        <f>Q582+R582</f>
        <v>23.0122</v>
      </c>
      <c r="M582" s="137">
        <f>IF(J582=K582+L582,0,Y582)</f>
        <v>0</v>
      </c>
      <c r="N582" s="138">
        <v>0</v>
      </c>
      <c r="O582" s="137">
        <v>191.7678</v>
      </c>
      <c r="P582" s="137">
        <v>0</v>
      </c>
      <c r="Q582" s="137">
        <v>0</v>
      </c>
      <c r="R582" s="137">
        <v>23.0122</v>
      </c>
      <c r="S582" s="138">
        <v>191.7678</v>
      </c>
      <c r="T582" s="137">
        <v>214.78</v>
      </c>
      <c r="U582" s="137">
        <v>0</v>
      </c>
      <c r="V582" s="137">
        <v>0</v>
      </c>
      <c r="W582" s="137">
        <v>0</v>
      </c>
      <c r="X582" s="137">
        <v>0</v>
      </c>
      <c r="Y582" s="137">
        <v>0</v>
      </c>
      <c r="Z582" s="138">
        <v>0</v>
      </c>
      <c r="AA582" s="137">
        <v>0</v>
      </c>
      <c r="AB582" s="137">
        <v>214.78</v>
      </c>
      <c r="AC582" s="137">
        <v>0</v>
      </c>
      <c r="AD582" s="137">
        <v>0</v>
      </c>
      <c r="AE582" s="139">
        <v>0</v>
      </c>
      <c r="AF582" s="56">
        <v>35.34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109</v>
      </c>
      <c r="F583" s="133" t="s">
        <v>111</v>
      </c>
      <c r="G583" s="134">
        <v>46132</v>
      </c>
      <c r="H583" s="135">
        <v>0.6601967592592592</v>
      </c>
      <c r="I583" s="136">
        <v>169002729</v>
      </c>
      <c r="J583" s="137">
        <v>92</v>
      </c>
      <c r="K583" s="137">
        <f>N583+O583+P583</f>
        <v>77.7851</v>
      </c>
      <c r="L583" s="137">
        <f>Q583+R583</f>
        <v>13.8149</v>
      </c>
      <c r="M583" s="137">
        <f>IF(J583=K583+L583,0,Y583)</f>
        <v>0.4</v>
      </c>
      <c r="N583" s="138">
        <v>65.7851</v>
      </c>
      <c r="O583" s="137">
        <v>0</v>
      </c>
      <c r="P583" s="137">
        <v>12</v>
      </c>
      <c r="Q583" s="137">
        <v>13.8149</v>
      </c>
      <c r="R583" s="137">
        <v>0</v>
      </c>
      <c r="S583" s="138">
        <v>65.7851</v>
      </c>
      <c r="T583" s="137">
        <v>79.6</v>
      </c>
      <c r="U583" s="137">
        <v>0</v>
      </c>
      <c r="V583" s="137">
        <v>0</v>
      </c>
      <c r="W583" s="137">
        <v>12</v>
      </c>
      <c r="X583" s="137">
        <v>0</v>
      </c>
      <c r="Y583" s="137">
        <v>0.4</v>
      </c>
      <c r="Z583" s="138">
        <v>1002</v>
      </c>
      <c r="AA583" s="137">
        <v>0</v>
      </c>
      <c r="AB583" s="137">
        <v>0</v>
      </c>
      <c r="AC583" s="137"/>
      <c r="AD583" s="137">
        <v>0</v>
      </c>
      <c r="AE583" s="139">
        <v>-910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109</v>
      </c>
      <c r="F584" s="133" t="s">
        <v>111</v>
      </c>
      <c r="G584" s="134">
        <v>46132</v>
      </c>
      <c r="H584" s="135">
        <v>0.6607523148148148</v>
      </c>
      <c r="I584" s="136">
        <v>169002730</v>
      </c>
      <c r="J584" s="137">
        <v>58.48</v>
      </c>
      <c r="K584" s="137">
        <f>N584+O584+P584</f>
        <v>52.2143</v>
      </c>
      <c r="L584" s="137">
        <f>Q584+R584</f>
        <v>6.2657</v>
      </c>
      <c r="M584" s="137">
        <f>IF(J584=K584+L584,0,Y584)</f>
        <v>0</v>
      </c>
      <c r="N584" s="138">
        <v>0</v>
      </c>
      <c r="O584" s="137">
        <v>52.2143</v>
      </c>
      <c r="P584" s="137">
        <v>0</v>
      </c>
      <c r="Q584" s="137">
        <v>0</v>
      </c>
      <c r="R584" s="137">
        <v>6.2657</v>
      </c>
      <c r="S584" s="138">
        <v>52.2143</v>
      </c>
      <c r="T584" s="137">
        <v>58.48</v>
      </c>
      <c r="U584" s="137">
        <v>0</v>
      </c>
      <c r="V584" s="137">
        <v>0</v>
      </c>
      <c r="W584" s="137">
        <v>0</v>
      </c>
      <c r="X584" s="137">
        <v>0</v>
      </c>
      <c r="Y584" s="137">
        <v>0</v>
      </c>
      <c r="Z584" s="138">
        <v>0</v>
      </c>
      <c r="AA584" s="137">
        <v>0</v>
      </c>
      <c r="AB584" s="137">
        <v>58.48</v>
      </c>
      <c r="AC584" s="137">
        <v>0</v>
      </c>
      <c r="AD584" s="137">
        <v>0</v>
      </c>
      <c r="AE584" s="139">
        <v>0</v>
      </c>
      <c r="AF584" s="56">
        <v>17.6072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109</v>
      </c>
      <c r="F585" s="133" t="s">
        <v>111</v>
      </c>
      <c r="G585" s="134">
        <v>46132</v>
      </c>
      <c r="H585" s="135">
        <v>0.6614930555555556</v>
      </c>
      <c r="I585" s="136">
        <v>169002731</v>
      </c>
      <c r="J585" s="137">
        <v>102.79</v>
      </c>
      <c r="K585" s="137">
        <f>N585+O585+P585</f>
        <v>91.7767</v>
      </c>
      <c r="L585" s="137">
        <f>Q585+R585</f>
        <v>11.0133</v>
      </c>
      <c r="M585" s="137">
        <f>IF(J585=K585+L585,0,Y585)</f>
        <v>0</v>
      </c>
      <c r="N585" s="138">
        <v>0</v>
      </c>
      <c r="O585" s="137">
        <v>91.7767</v>
      </c>
      <c r="P585" s="137">
        <v>0</v>
      </c>
      <c r="Q585" s="137">
        <v>0</v>
      </c>
      <c r="R585" s="137">
        <v>11.0133</v>
      </c>
      <c r="S585" s="138">
        <v>91.7767</v>
      </c>
      <c r="T585" s="137">
        <v>102.79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102.79</v>
      </c>
      <c r="AC585" s="137">
        <v>0</v>
      </c>
      <c r="AD585" s="137">
        <v>0</v>
      </c>
      <c r="AE585" s="139">
        <v>0</v>
      </c>
      <c r="AF585" s="56">
        <v>6.1526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109</v>
      </c>
      <c r="F586" s="133" t="s">
        <v>111</v>
      </c>
      <c r="G586" s="134">
        <v>46132</v>
      </c>
      <c r="H586" s="135">
        <v>0.661875</v>
      </c>
      <c r="I586" s="136">
        <v>169002732</v>
      </c>
      <c r="J586" s="137">
        <v>189.2</v>
      </c>
      <c r="K586" s="137">
        <f>N586+O586+P586</f>
        <v>164.4392</v>
      </c>
      <c r="L586" s="137">
        <f>Q586+R586</f>
        <v>24.760800000000003</v>
      </c>
      <c r="M586" s="137">
        <f>IF(J586=K586+L586,0,Y586)</f>
        <v>0</v>
      </c>
      <c r="N586" s="138">
        <v>55.8678</v>
      </c>
      <c r="O586" s="137">
        <v>108.5714</v>
      </c>
      <c r="P586" s="137">
        <v>0</v>
      </c>
      <c r="Q586" s="137">
        <v>11.7322</v>
      </c>
      <c r="R586" s="137">
        <v>13.0286</v>
      </c>
      <c r="S586" s="138">
        <v>164.4392</v>
      </c>
      <c r="T586" s="137">
        <v>189.2</v>
      </c>
      <c r="U586" s="137">
        <v>0</v>
      </c>
      <c r="V586" s="137">
        <v>0</v>
      </c>
      <c r="W586" s="137">
        <v>0</v>
      </c>
      <c r="X586" s="137">
        <v>0</v>
      </c>
      <c r="Y586" s="137">
        <v>0</v>
      </c>
      <c r="Z586" s="138">
        <v>0</v>
      </c>
      <c r="AA586" s="137">
        <v>0</v>
      </c>
      <c r="AB586" s="137">
        <v>189.2</v>
      </c>
      <c r="AC586" s="137">
        <v>0</v>
      </c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109</v>
      </c>
      <c r="F587" s="133" t="s">
        <v>111</v>
      </c>
      <c r="G587" s="134">
        <v>46132</v>
      </c>
      <c r="H587" s="135">
        <v>0.6621412037037037</v>
      </c>
      <c r="I587" s="136">
        <v>169002733</v>
      </c>
      <c r="J587" s="137">
        <v>19</v>
      </c>
      <c r="K587" s="137">
        <f>N587+O587+P587</f>
        <v>16.7857</v>
      </c>
      <c r="L587" s="137">
        <f>Q587+R587</f>
        <v>2.0143</v>
      </c>
      <c r="M587" s="137">
        <f>IF(J587=K587+L587,0,Y587)</f>
        <v>0.2</v>
      </c>
      <c r="N587" s="138">
        <v>0</v>
      </c>
      <c r="O587" s="137">
        <v>16.7857</v>
      </c>
      <c r="P587" s="137">
        <v>0</v>
      </c>
      <c r="Q587" s="137">
        <v>0</v>
      </c>
      <c r="R587" s="137">
        <v>2.0143</v>
      </c>
      <c r="S587" s="138">
        <v>16.7857</v>
      </c>
      <c r="T587" s="137">
        <v>18.8</v>
      </c>
      <c r="U587" s="137">
        <v>0</v>
      </c>
      <c r="V587" s="137">
        <v>0</v>
      </c>
      <c r="W587" s="137">
        <v>0</v>
      </c>
      <c r="X587" s="137">
        <v>0</v>
      </c>
      <c r="Y587" s="137">
        <v>0.2</v>
      </c>
      <c r="Z587" s="138">
        <v>20</v>
      </c>
      <c r="AA587" s="137">
        <v>0</v>
      </c>
      <c r="AB587" s="137">
        <v>0</v>
      </c>
      <c r="AC587" s="137"/>
      <c r="AD587" s="137">
        <v>0</v>
      </c>
      <c r="AE587" s="139">
        <v>-1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109</v>
      </c>
      <c r="F588" s="133" t="s">
        <v>111</v>
      </c>
      <c r="G588" s="134">
        <v>46132</v>
      </c>
      <c r="H588" s="135">
        <v>0.6624652777777778</v>
      </c>
      <c r="I588" s="136">
        <v>169002734</v>
      </c>
      <c r="J588" s="137">
        <v>40</v>
      </c>
      <c r="K588" s="137">
        <f>N588+O588+P588</f>
        <v>35.625</v>
      </c>
      <c r="L588" s="137">
        <f>Q588+R588</f>
        <v>4.275</v>
      </c>
      <c r="M588" s="137">
        <f>IF(J588=K588+L588,0,Y588)</f>
        <v>0.1</v>
      </c>
      <c r="N588" s="138">
        <v>0</v>
      </c>
      <c r="O588" s="137">
        <v>35.625</v>
      </c>
      <c r="P588" s="137">
        <v>0</v>
      </c>
      <c r="Q588" s="137">
        <v>0</v>
      </c>
      <c r="R588" s="137">
        <v>4.275</v>
      </c>
      <c r="S588" s="138">
        <v>35.625</v>
      </c>
      <c r="T588" s="137">
        <v>39.9</v>
      </c>
      <c r="U588" s="137">
        <v>0</v>
      </c>
      <c r="V588" s="137">
        <v>0</v>
      </c>
      <c r="W588" s="137">
        <v>0</v>
      </c>
      <c r="X588" s="137">
        <v>0</v>
      </c>
      <c r="Y588" s="137">
        <v>0.1</v>
      </c>
      <c r="Z588" s="138">
        <v>40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109</v>
      </c>
      <c r="F589" s="133" t="s">
        <v>111</v>
      </c>
      <c r="G589" s="134">
        <v>46132</v>
      </c>
      <c r="H589" s="135">
        <v>0.6629861111111112</v>
      </c>
      <c r="I589" s="136">
        <v>169002735</v>
      </c>
      <c r="J589" s="137">
        <v>161</v>
      </c>
      <c r="K589" s="137">
        <f>N589+O589+P589</f>
        <v>133.0579</v>
      </c>
      <c r="L589" s="137">
        <f>Q589+R589</f>
        <v>27.9421</v>
      </c>
      <c r="M589" s="137">
        <f>IF(J589=K589+L589,0,Y589)</f>
        <v>0</v>
      </c>
      <c r="N589" s="138">
        <v>133.0579</v>
      </c>
      <c r="O589" s="137">
        <v>0</v>
      </c>
      <c r="P589" s="137">
        <v>0</v>
      </c>
      <c r="Q589" s="137">
        <v>27.9421</v>
      </c>
      <c r="R589" s="137">
        <v>0</v>
      </c>
      <c r="S589" s="138">
        <v>133.0579</v>
      </c>
      <c r="T589" s="137">
        <v>161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161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109</v>
      </c>
      <c r="F590" s="133" t="s">
        <v>111</v>
      </c>
      <c r="G590" s="134">
        <v>46132</v>
      </c>
      <c r="H590" s="135">
        <v>0.6641203703703704</v>
      </c>
      <c r="I590" s="136">
        <v>169002736</v>
      </c>
      <c r="J590" s="137">
        <v>38.92</v>
      </c>
      <c r="K590" s="137">
        <f>N590+O590+P590</f>
        <v>34.7499</v>
      </c>
      <c r="L590" s="137">
        <f>Q590+R590</f>
        <v>4.1701</v>
      </c>
      <c r="M590" s="137">
        <f>IF(J590=K590+L590,0,Y590)</f>
        <v>0</v>
      </c>
      <c r="N590" s="138">
        <v>0</v>
      </c>
      <c r="O590" s="137">
        <v>34.7499</v>
      </c>
      <c r="P590" s="137">
        <v>0</v>
      </c>
      <c r="Q590" s="137">
        <v>0</v>
      </c>
      <c r="R590" s="137">
        <v>4.1701</v>
      </c>
      <c r="S590" s="138">
        <v>34.7499</v>
      </c>
      <c r="T590" s="137">
        <v>38.92</v>
      </c>
      <c r="U590" s="137">
        <v>0</v>
      </c>
      <c r="V590" s="137">
        <v>0</v>
      </c>
      <c r="W590" s="137">
        <v>0</v>
      </c>
      <c r="X590" s="137">
        <v>0</v>
      </c>
      <c r="Y590" s="137">
        <v>0</v>
      </c>
      <c r="Z590" s="138">
        <v>0</v>
      </c>
      <c r="AA590" s="137">
        <v>0</v>
      </c>
      <c r="AB590" s="137">
        <v>38.92</v>
      </c>
      <c r="AC590" s="137">
        <v>0</v>
      </c>
      <c r="AD590" s="137">
        <v>0</v>
      </c>
      <c r="AE590" s="139">
        <v>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109</v>
      </c>
      <c r="F591" s="133" t="s">
        <v>111</v>
      </c>
      <c r="G591" s="134">
        <v>46132</v>
      </c>
      <c r="H591" s="135">
        <v>0.6647222222222222</v>
      </c>
      <c r="I591" s="136">
        <v>169002737</v>
      </c>
      <c r="J591" s="137">
        <v>122</v>
      </c>
      <c r="K591" s="137">
        <f>N591+O591+P591</f>
        <v>107.4256</v>
      </c>
      <c r="L591" s="137">
        <f>Q591+R591</f>
        <v>14.5944</v>
      </c>
      <c r="M591" s="137">
        <f>IF(J591=K591+L591,0,Y591)</f>
        <v>-0.02</v>
      </c>
      <c r="N591" s="138">
        <v>18.9256</v>
      </c>
      <c r="O591" s="137">
        <v>88.5</v>
      </c>
      <c r="P591" s="137">
        <v>0</v>
      </c>
      <c r="Q591" s="137">
        <v>3.9744</v>
      </c>
      <c r="R591" s="137">
        <v>10.62</v>
      </c>
      <c r="S591" s="138">
        <v>107.4256</v>
      </c>
      <c r="T591" s="137">
        <v>122.02</v>
      </c>
      <c r="U591" s="137">
        <v>0</v>
      </c>
      <c r="V591" s="137">
        <v>0</v>
      </c>
      <c r="W591" s="137">
        <v>0</v>
      </c>
      <c r="X591" s="137">
        <v>0</v>
      </c>
      <c r="Y591" s="137">
        <v>-0.02</v>
      </c>
      <c r="Z591" s="138">
        <v>122</v>
      </c>
      <c r="AA591" s="137">
        <v>0</v>
      </c>
      <c r="AB591" s="137">
        <v>0</v>
      </c>
      <c r="AC591" s="137"/>
      <c r="AD591" s="137">
        <v>0</v>
      </c>
      <c r="AE591" s="139">
        <v>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109</v>
      </c>
      <c r="F592" s="133" t="s">
        <v>111</v>
      </c>
      <c r="G592" s="134">
        <v>46132</v>
      </c>
      <c r="H592" s="135">
        <v>0.6655555555555556</v>
      </c>
      <c r="I592" s="136">
        <v>169002738</v>
      </c>
      <c r="J592" s="137">
        <v>4</v>
      </c>
      <c r="K592" s="137">
        <f>N592+O592+P592</f>
        <v>3.9643</v>
      </c>
      <c r="L592" s="137">
        <f>Q592+R592</f>
        <v>0.4757</v>
      </c>
      <c r="M592" s="137">
        <f>IF(J592=K592+L592,0,Y592)</f>
        <v>-0.44</v>
      </c>
      <c r="N592" s="138">
        <v>0</v>
      </c>
      <c r="O592" s="137">
        <v>3.9643</v>
      </c>
      <c r="P592" s="137">
        <v>0</v>
      </c>
      <c r="Q592" s="137">
        <v>0</v>
      </c>
      <c r="R592" s="137">
        <v>0.4757</v>
      </c>
      <c r="S592" s="138">
        <v>3.9643</v>
      </c>
      <c r="T592" s="137">
        <v>4.44</v>
      </c>
      <c r="U592" s="137">
        <v>0</v>
      </c>
      <c r="V592" s="137">
        <v>0</v>
      </c>
      <c r="W592" s="137">
        <v>0</v>
      </c>
      <c r="X592" s="137">
        <v>0</v>
      </c>
      <c r="Y592" s="137">
        <v>-0.44</v>
      </c>
      <c r="Z592" s="138">
        <v>4</v>
      </c>
      <c r="AA592" s="137">
        <v>0</v>
      </c>
      <c r="AB592" s="137">
        <v>0</v>
      </c>
      <c r="AC592" s="137"/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109</v>
      </c>
      <c r="F593" s="133" t="s">
        <v>111</v>
      </c>
      <c r="G593" s="134">
        <v>46132</v>
      </c>
      <c r="H593" s="135">
        <v>0.6668402777777778</v>
      </c>
      <c r="I593" s="136">
        <v>169002739</v>
      </c>
      <c r="J593" s="137">
        <v>91</v>
      </c>
      <c r="K593" s="137">
        <f>N593+O593+P593</f>
        <v>81.1518</v>
      </c>
      <c r="L593" s="137">
        <f>Q593+R593</f>
        <v>9.7382</v>
      </c>
      <c r="M593" s="137">
        <f>IF(J593=K593+L593,0,Y593)</f>
        <v>0.11</v>
      </c>
      <c r="N593" s="138">
        <v>0</v>
      </c>
      <c r="O593" s="137">
        <v>81.1518</v>
      </c>
      <c r="P593" s="137">
        <v>0</v>
      </c>
      <c r="Q593" s="137">
        <v>0</v>
      </c>
      <c r="R593" s="137">
        <v>9.7382</v>
      </c>
      <c r="S593" s="138">
        <v>81.1518</v>
      </c>
      <c r="T593" s="137">
        <v>90.89</v>
      </c>
      <c r="U593" s="137">
        <v>0</v>
      </c>
      <c r="V593" s="137">
        <v>0</v>
      </c>
      <c r="W593" s="137">
        <v>0</v>
      </c>
      <c r="X593" s="137">
        <v>0</v>
      </c>
      <c r="Y593" s="137">
        <v>0.11</v>
      </c>
      <c r="Z593" s="138">
        <v>201</v>
      </c>
      <c r="AA593" s="137">
        <v>0</v>
      </c>
      <c r="AB593" s="137">
        <v>0</v>
      </c>
      <c r="AC593" s="137"/>
      <c r="AD593" s="137">
        <v>0</v>
      </c>
      <c r="AE593" s="139">
        <v>-110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109</v>
      </c>
      <c r="F594" s="133" t="s">
        <v>111</v>
      </c>
      <c r="G594" s="134">
        <v>46132</v>
      </c>
      <c r="H594" s="135">
        <v>0.6681481481481482</v>
      </c>
      <c r="I594" s="136">
        <v>169002740</v>
      </c>
      <c r="J594" s="137">
        <v>218</v>
      </c>
      <c r="K594" s="137">
        <f>N594+O594+P594</f>
        <v>193.2321</v>
      </c>
      <c r="L594" s="137">
        <f>Q594+R594</f>
        <v>24.667900000000003</v>
      </c>
      <c r="M594" s="137">
        <f>IF(J594=K594+L594,0,Y594)</f>
        <v>0.1</v>
      </c>
      <c r="N594" s="138">
        <v>16.4463</v>
      </c>
      <c r="O594" s="137">
        <v>176.7858</v>
      </c>
      <c r="P594" s="137">
        <v>0</v>
      </c>
      <c r="Q594" s="137">
        <v>3.4537</v>
      </c>
      <c r="R594" s="137">
        <v>21.2142</v>
      </c>
      <c r="S594" s="138">
        <v>193.2321</v>
      </c>
      <c r="T594" s="137">
        <v>217.9</v>
      </c>
      <c r="U594" s="137">
        <v>0</v>
      </c>
      <c r="V594" s="137">
        <v>0</v>
      </c>
      <c r="W594" s="137">
        <v>0</v>
      </c>
      <c r="X594" s="137">
        <v>0</v>
      </c>
      <c r="Y594" s="137">
        <v>0.1</v>
      </c>
      <c r="Z594" s="138">
        <v>518</v>
      </c>
      <c r="AA594" s="137">
        <v>0</v>
      </c>
      <c r="AB594" s="137">
        <v>0</v>
      </c>
      <c r="AC594" s="137"/>
      <c r="AD594" s="137">
        <v>0</v>
      </c>
      <c r="AE594" s="139">
        <v>-300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109</v>
      </c>
      <c r="F595" s="133" t="s">
        <v>111</v>
      </c>
      <c r="G595" s="134">
        <v>46132</v>
      </c>
      <c r="H595" s="135">
        <v>0.6684027777777778</v>
      </c>
      <c r="I595" s="136">
        <v>169002741</v>
      </c>
      <c r="J595" s="137">
        <v>26</v>
      </c>
      <c r="K595" s="137">
        <f>N595+O595+P595</f>
        <v>23.4107</v>
      </c>
      <c r="L595" s="137">
        <f>Q595+R595</f>
        <v>2.8093</v>
      </c>
      <c r="M595" s="137">
        <f>IF(J595=K595+L595,0,Y595)</f>
        <v>-0.22</v>
      </c>
      <c r="N595" s="138">
        <v>0</v>
      </c>
      <c r="O595" s="137">
        <v>23.4107</v>
      </c>
      <c r="P595" s="137">
        <v>0</v>
      </c>
      <c r="Q595" s="137">
        <v>0</v>
      </c>
      <c r="R595" s="137">
        <v>2.8093</v>
      </c>
      <c r="S595" s="138">
        <v>23.4107</v>
      </c>
      <c r="T595" s="137">
        <v>26.22</v>
      </c>
      <c r="U595" s="137">
        <v>0</v>
      </c>
      <c r="V595" s="137">
        <v>0</v>
      </c>
      <c r="W595" s="137">
        <v>0</v>
      </c>
      <c r="X595" s="137">
        <v>0</v>
      </c>
      <c r="Y595" s="137">
        <v>-0.22</v>
      </c>
      <c r="Z595" s="138">
        <v>40</v>
      </c>
      <c r="AA595" s="137">
        <v>0</v>
      </c>
      <c r="AB595" s="137">
        <v>0</v>
      </c>
      <c r="AC595" s="137"/>
      <c r="AD595" s="137">
        <v>0</v>
      </c>
      <c r="AE595" s="139">
        <v>-14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109</v>
      </c>
      <c r="F596" s="133" t="s">
        <v>111</v>
      </c>
      <c r="G596" s="134">
        <v>46132</v>
      </c>
      <c r="H596" s="135">
        <v>0.6689699074074074</v>
      </c>
      <c r="I596" s="136">
        <v>169002742</v>
      </c>
      <c r="J596" s="137">
        <v>265.74</v>
      </c>
      <c r="K596" s="137">
        <f>N596+O596+P596</f>
        <v>237.1418</v>
      </c>
      <c r="L596" s="137">
        <f>Q596+R596</f>
        <v>28.5982</v>
      </c>
      <c r="M596" s="137">
        <f>IF(J596=K596+L596,0,Y596)</f>
        <v>0</v>
      </c>
      <c r="N596" s="138">
        <v>1.5702</v>
      </c>
      <c r="O596" s="137">
        <v>235.5716</v>
      </c>
      <c r="P596" s="137">
        <v>0</v>
      </c>
      <c r="Q596" s="137">
        <v>0.3298</v>
      </c>
      <c r="R596" s="137">
        <v>28.2684</v>
      </c>
      <c r="S596" s="138">
        <v>237.1418</v>
      </c>
      <c r="T596" s="137">
        <v>265.74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0</v>
      </c>
      <c r="AA596" s="137">
        <v>0</v>
      </c>
      <c r="AB596" s="137">
        <v>265.74</v>
      </c>
      <c r="AC596" s="137">
        <v>0</v>
      </c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109</v>
      </c>
      <c r="F597" s="133" t="s">
        <v>111</v>
      </c>
      <c r="G597" s="134">
        <v>46132</v>
      </c>
      <c r="H597" s="135">
        <v>0.6710648148148148</v>
      </c>
      <c r="I597" s="136">
        <v>169002743</v>
      </c>
      <c r="J597" s="137">
        <v>63.6</v>
      </c>
      <c r="K597" s="137">
        <f>N597+O597+P597</f>
        <v>54.6448</v>
      </c>
      <c r="L597" s="137">
        <f>Q597+R597</f>
        <v>8.9552</v>
      </c>
      <c r="M597" s="137">
        <f>IF(J597=K597+L597,0,Y597)</f>
        <v>0</v>
      </c>
      <c r="N597" s="138">
        <v>42.6448</v>
      </c>
      <c r="O597" s="137">
        <v>0</v>
      </c>
      <c r="P597" s="137">
        <v>12</v>
      </c>
      <c r="Q597" s="137">
        <v>8.9552</v>
      </c>
      <c r="R597" s="137">
        <v>0</v>
      </c>
      <c r="S597" s="138">
        <v>42.6448</v>
      </c>
      <c r="T597" s="137">
        <v>51.6</v>
      </c>
      <c r="U597" s="137">
        <v>0</v>
      </c>
      <c r="V597" s="137">
        <v>0</v>
      </c>
      <c r="W597" s="137">
        <v>12</v>
      </c>
      <c r="X597" s="137">
        <v>0</v>
      </c>
      <c r="Y597" s="137">
        <v>0</v>
      </c>
      <c r="Z597" s="138">
        <v>0</v>
      </c>
      <c r="AA597" s="137">
        <v>0</v>
      </c>
      <c r="AB597" s="137">
        <v>63.6</v>
      </c>
      <c r="AC597" s="137">
        <v>0</v>
      </c>
      <c r="AD597" s="137">
        <v>0</v>
      </c>
      <c r="AE597" s="139">
        <v>0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109</v>
      </c>
      <c r="F598" s="133" t="s">
        <v>111</v>
      </c>
      <c r="G598" s="134">
        <v>46132</v>
      </c>
      <c r="H598" s="135">
        <v>0.6720601851851852</v>
      </c>
      <c r="I598" s="136">
        <v>169002744</v>
      </c>
      <c r="J598" s="137">
        <v>496</v>
      </c>
      <c r="K598" s="137">
        <f>N598+O598+P598</f>
        <v>415.3942</v>
      </c>
      <c r="L598" s="137">
        <f>Q598+R598</f>
        <v>80.3058</v>
      </c>
      <c r="M598" s="137">
        <f>IF(J598=K598+L598,0,Y598)</f>
        <v>0.3</v>
      </c>
      <c r="N598" s="138">
        <v>338.4298</v>
      </c>
      <c r="O598" s="137">
        <v>76.9644</v>
      </c>
      <c r="P598" s="137">
        <v>0</v>
      </c>
      <c r="Q598" s="137">
        <v>71.0702</v>
      </c>
      <c r="R598" s="137">
        <v>9.2356</v>
      </c>
      <c r="S598" s="138">
        <v>415.3942</v>
      </c>
      <c r="T598" s="137">
        <v>495.7</v>
      </c>
      <c r="U598" s="137">
        <v>0</v>
      </c>
      <c r="V598" s="137">
        <v>0</v>
      </c>
      <c r="W598" s="137">
        <v>0</v>
      </c>
      <c r="X598" s="137">
        <v>0</v>
      </c>
      <c r="Y598" s="137">
        <v>0.3</v>
      </c>
      <c r="Z598" s="138">
        <v>2000</v>
      </c>
      <c r="AA598" s="137">
        <v>0</v>
      </c>
      <c r="AB598" s="137">
        <v>0</v>
      </c>
      <c r="AC598" s="137"/>
      <c r="AD598" s="137">
        <v>0</v>
      </c>
      <c r="AE598" s="139">
        <v>-1504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109</v>
      </c>
      <c r="F599" s="133" t="s">
        <v>111</v>
      </c>
      <c r="G599" s="134">
        <v>46132</v>
      </c>
      <c r="H599" s="135">
        <v>0.6727314814814814</v>
      </c>
      <c r="I599" s="136">
        <v>169002745</v>
      </c>
      <c r="J599" s="137">
        <v>87.9</v>
      </c>
      <c r="K599" s="137">
        <f>N599+O599+P599</f>
        <v>72.6446</v>
      </c>
      <c r="L599" s="137">
        <f>Q599+R599</f>
        <v>15.2554</v>
      </c>
      <c r="M599" s="137">
        <f>IF(J599=K599+L599,0,Y599)</f>
        <v>0</v>
      </c>
      <c r="N599" s="138">
        <v>72.6446</v>
      </c>
      <c r="O599" s="137">
        <v>0</v>
      </c>
      <c r="P599" s="137">
        <v>0</v>
      </c>
      <c r="Q599" s="137">
        <v>15.2554</v>
      </c>
      <c r="R599" s="137">
        <v>0</v>
      </c>
      <c r="S599" s="138">
        <v>72.6446</v>
      </c>
      <c r="T599" s="137">
        <v>87.9</v>
      </c>
      <c r="U599" s="137">
        <v>0</v>
      </c>
      <c r="V599" s="137">
        <v>0</v>
      </c>
      <c r="W599" s="137">
        <v>0</v>
      </c>
      <c r="X599" s="137">
        <v>0</v>
      </c>
      <c r="Y599" s="137">
        <v>0</v>
      </c>
      <c r="Z599" s="138">
        <v>0</v>
      </c>
      <c r="AA599" s="137">
        <v>0</v>
      </c>
      <c r="AB599" s="137">
        <v>87.9</v>
      </c>
      <c r="AC599" s="137">
        <v>0</v>
      </c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109</v>
      </c>
      <c r="F600" s="133" t="s">
        <v>111</v>
      </c>
      <c r="G600" s="134">
        <v>46132</v>
      </c>
      <c r="H600" s="135">
        <v>0.6735300925925926</v>
      </c>
      <c r="I600" s="136">
        <v>169002746</v>
      </c>
      <c r="J600" s="137">
        <v>227</v>
      </c>
      <c r="K600" s="137">
        <f>N600+O600+P600</f>
        <v>202.8572</v>
      </c>
      <c r="L600" s="137">
        <f>Q600+R600</f>
        <v>24.3428</v>
      </c>
      <c r="M600" s="137">
        <f>IF(J600=K600+L600,0,Y600)</f>
        <v>-0.2</v>
      </c>
      <c r="N600" s="138">
        <v>0</v>
      </c>
      <c r="O600" s="137">
        <v>202.8572</v>
      </c>
      <c r="P600" s="137">
        <v>0</v>
      </c>
      <c r="Q600" s="137">
        <v>0</v>
      </c>
      <c r="R600" s="137">
        <v>24.3428</v>
      </c>
      <c r="S600" s="138">
        <v>202.8572</v>
      </c>
      <c r="T600" s="137">
        <v>227.2</v>
      </c>
      <c r="U600" s="137">
        <v>0</v>
      </c>
      <c r="V600" s="137">
        <v>0</v>
      </c>
      <c r="W600" s="137">
        <v>0</v>
      </c>
      <c r="X600" s="137">
        <v>0</v>
      </c>
      <c r="Y600" s="137">
        <v>-0.2</v>
      </c>
      <c r="Z600" s="138">
        <v>300</v>
      </c>
      <c r="AA600" s="137">
        <v>0</v>
      </c>
      <c r="AB600" s="137">
        <v>0</v>
      </c>
      <c r="AC600" s="137"/>
      <c r="AD600" s="137">
        <v>0</v>
      </c>
      <c r="AE600" s="139">
        <v>-73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109</v>
      </c>
      <c r="F601" s="133" t="s">
        <v>111</v>
      </c>
      <c r="G601" s="134">
        <v>46132</v>
      </c>
      <c r="H601" s="135">
        <v>0.6739467592592593</v>
      </c>
      <c r="I601" s="136">
        <v>169002747</v>
      </c>
      <c r="J601" s="137">
        <v>33</v>
      </c>
      <c r="K601" s="137">
        <f>N601+O601+P601</f>
        <v>29.4018</v>
      </c>
      <c r="L601" s="137">
        <f>Q601+R601</f>
        <v>3.5282</v>
      </c>
      <c r="M601" s="137">
        <f>IF(J601=K601+L601,0,Y601)</f>
        <v>0.07</v>
      </c>
      <c r="N601" s="138">
        <v>0</v>
      </c>
      <c r="O601" s="137">
        <v>29.4018</v>
      </c>
      <c r="P601" s="137">
        <v>0</v>
      </c>
      <c r="Q601" s="137">
        <v>0</v>
      </c>
      <c r="R601" s="137">
        <v>3.5282</v>
      </c>
      <c r="S601" s="138">
        <v>29.4018</v>
      </c>
      <c r="T601" s="137">
        <v>32.93</v>
      </c>
      <c r="U601" s="137">
        <v>0</v>
      </c>
      <c r="V601" s="137">
        <v>0</v>
      </c>
      <c r="W601" s="137">
        <v>0</v>
      </c>
      <c r="X601" s="137">
        <v>0</v>
      </c>
      <c r="Y601" s="137">
        <v>0.07</v>
      </c>
      <c r="Z601" s="138">
        <v>33</v>
      </c>
      <c r="AA601" s="137">
        <v>0</v>
      </c>
      <c r="AB601" s="137">
        <v>0</v>
      </c>
      <c r="AC601" s="137"/>
      <c r="AD601" s="137">
        <v>0</v>
      </c>
      <c r="AE601" s="139">
        <v>0</v>
      </c>
      <c r="AF601" s="56">
        <v>14.1137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109</v>
      </c>
      <c r="F602" s="133" t="s">
        <v>111</v>
      </c>
      <c r="G602" s="134">
        <v>46132</v>
      </c>
      <c r="H602" s="135">
        <v>0.6741666666666667</v>
      </c>
      <c r="I602" s="136">
        <v>169002748</v>
      </c>
      <c r="J602" s="137">
        <v>17</v>
      </c>
      <c r="K602" s="137">
        <f>N602+O602+P602</f>
        <v>15.0893</v>
      </c>
      <c r="L602" s="137">
        <f>Q602+R602</f>
        <v>1.8107</v>
      </c>
      <c r="M602" s="137">
        <f>IF(J602=K602+L602,0,Y602)</f>
        <v>0.1</v>
      </c>
      <c r="N602" s="138">
        <v>0</v>
      </c>
      <c r="O602" s="137">
        <v>15.0893</v>
      </c>
      <c r="P602" s="137">
        <v>0</v>
      </c>
      <c r="Q602" s="137">
        <v>0</v>
      </c>
      <c r="R602" s="137">
        <v>1.8107</v>
      </c>
      <c r="S602" s="138">
        <v>15.0893</v>
      </c>
      <c r="T602" s="137">
        <v>16.9</v>
      </c>
      <c r="U602" s="137">
        <v>0</v>
      </c>
      <c r="V602" s="137">
        <v>0</v>
      </c>
      <c r="W602" s="137">
        <v>0</v>
      </c>
      <c r="X602" s="137">
        <v>0</v>
      </c>
      <c r="Y602" s="137">
        <v>0.1</v>
      </c>
      <c r="Z602" s="138">
        <v>200</v>
      </c>
      <c r="AA602" s="137">
        <v>0</v>
      </c>
      <c r="AB602" s="137">
        <v>0</v>
      </c>
      <c r="AC602" s="137"/>
      <c r="AD602" s="137">
        <v>0</v>
      </c>
      <c r="AE602" s="139">
        <v>-183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109</v>
      </c>
      <c r="F603" s="133" t="s">
        <v>111</v>
      </c>
      <c r="G603" s="134">
        <v>46132</v>
      </c>
      <c r="H603" s="135">
        <v>0.6752546296296297</v>
      </c>
      <c r="I603" s="136">
        <v>169002749</v>
      </c>
      <c r="J603" s="137">
        <v>115</v>
      </c>
      <c r="K603" s="137">
        <f>N603+O603+P603</f>
        <v>102.4376</v>
      </c>
      <c r="L603" s="137">
        <f>Q603+R603</f>
        <v>12.2924</v>
      </c>
      <c r="M603" s="137">
        <f>IF(J603=K603+L603,0,Y603)</f>
        <v>0.27</v>
      </c>
      <c r="N603" s="138">
        <v>0</v>
      </c>
      <c r="O603" s="137">
        <v>102.4376</v>
      </c>
      <c r="P603" s="137">
        <v>0</v>
      </c>
      <c r="Q603" s="137">
        <v>0</v>
      </c>
      <c r="R603" s="137">
        <v>12.2924</v>
      </c>
      <c r="S603" s="138">
        <v>102.4376</v>
      </c>
      <c r="T603" s="137">
        <v>114.73</v>
      </c>
      <c r="U603" s="137">
        <v>0</v>
      </c>
      <c r="V603" s="137">
        <v>0</v>
      </c>
      <c r="W603" s="137">
        <v>0</v>
      </c>
      <c r="X603" s="137">
        <v>0</v>
      </c>
      <c r="Y603" s="137">
        <v>0.27</v>
      </c>
      <c r="Z603" s="138">
        <v>500</v>
      </c>
      <c r="AA603" s="137">
        <v>0</v>
      </c>
      <c r="AB603" s="137">
        <v>0</v>
      </c>
      <c r="AC603" s="137"/>
      <c r="AD603" s="137">
        <v>0</v>
      </c>
      <c r="AE603" s="139">
        <v>-385</v>
      </c>
      <c r="AF603" s="56">
        <v>5.07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109</v>
      </c>
      <c r="F604" s="133" t="s">
        <v>111</v>
      </c>
      <c r="G604" s="134">
        <v>46132</v>
      </c>
      <c r="H604" s="135">
        <v>0.6763310185185185</v>
      </c>
      <c r="I604" s="136">
        <v>169002750</v>
      </c>
      <c r="J604" s="137">
        <v>39.6</v>
      </c>
      <c r="K604" s="137">
        <f>N604+O604+P604</f>
        <v>35.3571</v>
      </c>
      <c r="L604" s="137">
        <f>Q604+R604</f>
        <v>4.2429</v>
      </c>
      <c r="M604" s="137">
        <f>IF(J604=K604+L604,0,Y604)</f>
        <v>0</v>
      </c>
      <c r="N604" s="138">
        <v>0</v>
      </c>
      <c r="O604" s="137">
        <v>35.3571</v>
      </c>
      <c r="P604" s="137">
        <v>0</v>
      </c>
      <c r="Q604" s="137">
        <v>0</v>
      </c>
      <c r="R604" s="137">
        <v>4.2429</v>
      </c>
      <c r="S604" s="138">
        <v>35.3571</v>
      </c>
      <c r="T604" s="137">
        <v>39.6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39.6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109</v>
      </c>
      <c r="F605" s="133" t="s">
        <v>111</v>
      </c>
      <c r="G605" s="134">
        <v>46132</v>
      </c>
      <c r="H605" s="135">
        <v>0.6765972222222222</v>
      </c>
      <c r="I605" s="136">
        <v>169002751</v>
      </c>
      <c r="J605" s="137">
        <v>29.9</v>
      </c>
      <c r="K605" s="137">
        <f>N605+O605+P605</f>
        <v>24.7107</v>
      </c>
      <c r="L605" s="137">
        <f>Q605+R605</f>
        <v>5.1893</v>
      </c>
      <c r="M605" s="137">
        <f>IF(J605=K605+L605,0,Y605)</f>
        <v>0</v>
      </c>
      <c r="N605" s="138">
        <v>24.7107</v>
      </c>
      <c r="O605" s="137">
        <v>0</v>
      </c>
      <c r="P605" s="137">
        <v>0</v>
      </c>
      <c r="Q605" s="137">
        <v>5.1893</v>
      </c>
      <c r="R605" s="137">
        <v>0</v>
      </c>
      <c r="S605" s="138">
        <v>24.7107</v>
      </c>
      <c r="T605" s="137">
        <v>29.9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29.9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109</v>
      </c>
      <c r="F606" s="133" t="s">
        <v>111</v>
      </c>
      <c r="G606" s="134">
        <v>46132</v>
      </c>
      <c r="H606" s="135">
        <v>0.6774537037037037</v>
      </c>
      <c r="I606" s="136">
        <v>169002752</v>
      </c>
      <c r="J606" s="137">
        <v>242.67</v>
      </c>
      <c r="K606" s="137">
        <f>N606+O606+P606</f>
        <v>209.504</v>
      </c>
      <c r="L606" s="137">
        <f>Q606+R606</f>
        <v>33.166000000000004</v>
      </c>
      <c r="M606" s="137">
        <f>IF(J606=K606+L606,0,Y606)</f>
        <v>0</v>
      </c>
      <c r="N606" s="138">
        <v>89.1736</v>
      </c>
      <c r="O606" s="137">
        <v>120.3304</v>
      </c>
      <c r="P606" s="137">
        <v>0</v>
      </c>
      <c r="Q606" s="137">
        <v>18.7264</v>
      </c>
      <c r="R606" s="137">
        <v>14.4396</v>
      </c>
      <c r="S606" s="138">
        <v>209.504</v>
      </c>
      <c r="T606" s="137">
        <v>242.67</v>
      </c>
      <c r="U606" s="137">
        <v>0</v>
      </c>
      <c r="V606" s="137">
        <v>0</v>
      </c>
      <c r="W606" s="137">
        <v>0</v>
      </c>
      <c r="X606" s="137">
        <v>0</v>
      </c>
      <c r="Y606" s="137">
        <v>0</v>
      </c>
      <c r="Z606" s="138">
        <v>0</v>
      </c>
      <c r="AA606" s="137">
        <v>0</v>
      </c>
      <c r="AB606" s="137">
        <v>242.67</v>
      </c>
      <c r="AC606" s="137">
        <v>0</v>
      </c>
      <c r="AD606" s="137">
        <v>0</v>
      </c>
      <c r="AE606" s="139">
        <v>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109</v>
      </c>
      <c r="F607" s="133" t="s">
        <v>111</v>
      </c>
      <c r="G607" s="134">
        <v>46132</v>
      </c>
      <c r="H607" s="135">
        <v>0.6782870370370371</v>
      </c>
      <c r="I607" s="136">
        <v>169002753</v>
      </c>
      <c r="J607" s="137">
        <v>31.32</v>
      </c>
      <c r="K607" s="137">
        <f>N607+O607+P607</f>
        <v>26.6427</v>
      </c>
      <c r="L607" s="137">
        <f>Q607+R607</f>
        <v>4.6773</v>
      </c>
      <c r="M607" s="137">
        <f>IF(J607=K607+L607,0,Y607)</f>
        <v>0</v>
      </c>
      <c r="N607" s="138">
        <v>16.4463</v>
      </c>
      <c r="O607" s="137">
        <v>10.1964</v>
      </c>
      <c r="P607" s="137">
        <v>0</v>
      </c>
      <c r="Q607" s="137">
        <v>3.4537</v>
      </c>
      <c r="R607" s="137">
        <v>1.2236</v>
      </c>
      <c r="S607" s="138">
        <v>26.6427</v>
      </c>
      <c r="T607" s="137">
        <v>31.32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31.32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109</v>
      </c>
      <c r="F608" s="133" t="s">
        <v>111</v>
      </c>
      <c r="G608" s="134">
        <v>46132</v>
      </c>
      <c r="H608" s="135">
        <v>0.6786226851851852</v>
      </c>
      <c r="I608" s="136">
        <v>169002754</v>
      </c>
      <c r="J608" s="137">
        <v>92</v>
      </c>
      <c r="K608" s="137">
        <f>N608+O608+P608</f>
        <v>81.8751</v>
      </c>
      <c r="L608" s="137">
        <f>Q608+R608</f>
        <v>9.8249</v>
      </c>
      <c r="M608" s="137">
        <f>IF(J608=K608+L608,0,Y608)</f>
        <v>0.3</v>
      </c>
      <c r="N608" s="138">
        <v>0</v>
      </c>
      <c r="O608" s="137">
        <v>81.8751</v>
      </c>
      <c r="P608" s="137">
        <v>0</v>
      </c>
      <c r="Q608" s="137">
        <v>0</v>
      </c>
      <c r="R608" s="137">
        <v>9.8249</v>
      </c>
      <c r="S608" s="138">
        <v>81.8751</v>
      </c>
      <c r="T608" s="137">
        <v>91.7</v>
      </c>
      <c r="U608" s="137">
        <v>0</v>
      </c>
      <c r="V608" s="137">
        <v>0</v>
      </c>
      <c r="W608" s="137">
        <v>0</v>
      </c>
      <c r="X608" s="137">
        <v>0</v>
      </c>
      <c r="Y608" s="137">
        <v>0.3</v>
      </c>
      <c r="Z608" s="138">
        <v>100</v>
      </c>
      <c r="AA608" s="137">
        <v>0</v>
      </c>
      <c r="AB608" s="137">
        <v>0</v>
      </c>
      <c r="AC608" s="137"/>
      <c r="AD608" s="137">
        <v>0</v>
      </c>
      <c r="AE608" s="139">
        <v>-8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109</v>
      </c>
      <c r="F609" s="133" t="s">
        <v>111</v>
      </c>
      <c r="G609" s="134">
        <v>46132</v>
      </c>
      <c r="H609" s="135">
        <v>0.6805902777777778</v>
      </c>
      <c r="I609" s="136">
        <v>169002755</v>
      </c>
      <c r="J609" s="137">
        <v>47</v>
      </c>
      <c r="K609" s="137">
        <f>N609+O609+P609</f>
        <v>41.6965</v>
      </c>
      <c r="L609" s="137">
        <f>Q609+R609</f>
        <v>5.0035</v>
      </c>
      <c r="M609" s="137">
        <f>IF(J609=K609+L609,0,Y609)</f>
        <v>0.3</v>
      </c>
      <c r="N609" s="138">
        <v>0</v>
      </c>
      <c r="O609" s="137">
        <v>41.6965</v>
      </c>
      <c r="P609" s="137">
        <v>0</v>
      </c>
      <c r="Q609" s="137">
        <v>0</v>
      </c>
      <c r="R609" s="137">
        <v>5.0035</v>
      </c>
      <c r="S609" s="138">
        <v>41.6965</v>
      </c>
      <c r="T609" s="137">
        <v>46.7</v>
      </c>
      <c r="U609" s="137">
        <v>0</v>
      </c>
      <c r="V609" s="137">
        <v>0</v>
      </c>
      <c r="W609" s="137">
        <v>0</v>
      </c>
      <c r="X609" s="137">
        <v>0</v>
      </c>
      <c r="Y609" s="137">
        <v>0.3</v>
      </c>
      <c r="Z609" s="138">
        <v>500</v>
      </c>
      <c r="AA609" s="137">
        <v>0</v>
      </c>
      <c r="AB609" s="137">
        <v>0</v>
      </c>
      <c r="AC609" s="137"/>
      <c r="AD609" s="137">
        <v>0</v>
      </c>
      <c r="AE609" s="139">
        <v>-453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109</v>
      </c>
      <c r="F610" s="133" t="s">
        <v>111</v>
      </c>
      <c r="G610" s="134">
        <v>46132</v>
      </c>
      <c r="H610" s="135">
        <v>0.6810648148148148</v>
      </c>
      <c r="I610" s="136">
        <v>169002756</v>
      </c>
      <c r="J610" s="137">
        <v>34</v>
      </c>
      <c r="K610" s="137">
        <f>N610+O610+P610</f>
        <v>30.2679</v>
      </c>
      <c r="L610" s="137">
        <f>Q610+R610</f>
        <v>3.6321</v>
      </c>
      <c r="M610" s="137">
        <f>IF(J610=K610+L610,0,Y610)</f>
        <v>0.1</v>
      </c>
      <c r="N610" s="138">
        <v>0</v>
      </c>
      <c r="O610" s="137">
        <v>30.2679</v>
      </c>
      <c r="P610" s="137">
        <v>0</v>
      </c>
      <c r="Q610" s="137">
        <v>0</v>
      </c>
      <c r="R610" s="137">
        <v>3.6321</v>
      </c>
      <c r="S610" s="138">
        <v>30.2679</v>
      </c>
      <c r="T610" s="137">
        <v>33.9</v>
      </c>
      <c r="U610" s="137">
        <v>0</v>
      </c>
      <c r="V610" s="137">
        <v>0</v>
      </c>
      <c r="W610" s="137">
        <v>0</v>
      </c>
      <c r="X610" s="137">
        <v>0</v>
      </c>
      <c r="Y610" s="137">
        <v>0.1</v>
      </c>
      <c r="Z610" s="138">
        <v>34</v>
      </c>
      <c r="AA610" s="137">
        <v>0</v>
      </c>
      <c r="AB610" s="137">
        <v>0</v>
      </c>
      <c r="AC610" s="137"/>
      <c r="AD610" s="137">
        <v>0</v>
      </c>
      <c r="AE610" s="139">
        <v>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109</v>
      </c>
      <c r="F611" s="133" t="s">
        <v>111</v>
      </c>
      <c r="G611" s="134">
        <v>46132</v>
      </c>
      <c r="H611" s="135">
        <v>0.6821875</v>
      </c>
      <c r="I611" s="136">
        <v>169002757</v>
      </c>
      <c r="J611" s="137">
        <v>278</v>
      </c>
      <c r="K611" s="137">
        <f>N611+O611+P611</f>
        <v>238.6909</v>
      </c>
      <c r="L611" s="137">
        <f>Q611+R611</f>
        <v>39.3091</v>
      </c>
      <c r="M611" s="137">
        <f>IF(J611=K611+L611,0,Y611)</f>
        <v>0</v>
      </c>
      <c r="N611" s="138">
        <v>118.5124</v>
      </c>
      <c r="O611" s="137">
        <v>120.1785</v>
      </c>
      <c r="P611" s="137">
        <v>0</v>
      </c>
      <c r="Q611" s="137">
        <v>24.8876</v>
      </c>
      <c r="R611" s="137">
        <v>14.4215</v>
      </c>
      <c r="S611" s="138">
        <v>238.6909</v>
      </c>
      <c r="T611" s="137">
        <v>278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278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109</v>
      </c>
      <c r="F612" s="133" t="s">
        <v>111</v>
      </c>
      <c r="G612" s="134">
        <v>46132</v>
      </c>
      <c r="H612" s="135">
        <v>0.682337962962963</v>
      </c>
      <c r="I612" s="136">
        <v>169002758</v>
      </c>
      <c r="J612" s="137">
        <v>88</v>
      </c>
      <c r="K612" s="137">
        <f>N612+O612+P612</f>
        <v>78.2143</v>
      </c>
      <c r="L612" s="137">
        <f>Q612+R612</f>
        <v>9.3857</v>
      </c>
      <c r="M612" s="137">
        <f>IF(J612=K612+L612,0,Y612)</f>
        <v>0.4</v>
      </c>
      <c r="N612" s="138">
        <v>0</v>
      </c>
      <c r="O612" s="137">
        <v>78.2143</v>
      </c>
      <c r="P612" s="137">
        <v>0</v>
      </c>
      <c r="Q612" s="137">
        <v>0</v>
      </c>
      <c r="R612" s="137">
        <v>9.3857</v>
      </c>
      <c r="S612" s="138">
        <v>78.2143</v>
      </c>
      <c r="T612" s="137">
        <v>87.6</v>
      </c>
      <c r="U612" s="137">
        <v>0</v>
      </c>
      <c r="V612" s="137">
        <v>0</v>
      </c>
      <c r="W612" s="137">
        <v>0</v>
      </c>
      <c r="X612" s="137">
        <v>0</v>
      </c>
      <c r="Y612" s="137">
        <v>0.4</v>
      </c>
      <c r="Z612" s="138">
        <v>100</v>
      </c>
      <c r="AA612" s="137">
        <v>0</v>
      </c>
      <c r="AB612" s="137">
        <v>0</v>
      </c>
      <c r="AC612" s="137"/>
      <c r="AD612" s="137">
        <v>0</v>
      </c>
      <c r="AE612" s="139">
        <v>-12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109</v>
      </c>
      <c r="F613" s="133" t="s">
        <v>111</v>
      </c>
      <c r="G613" s="134">
        <v>46132</v>
      </c>
      <c r="H613" s="135">
        <v>0.6828009259259259</v>
      </c>
      <c r="I613" s="136">
        <v>169002759</v>
      </c>
      <c r="J613" s="137">
        <v>59.7</v>
      </c>
      <c r="K613" s="137">
        <f>N613+O613+P613</f>
        <v>53.3035</v>
      </c>
      <c r="L613" s="137">
        <f>Q613+R613</f>
        <v>6.3965</v>
      </c>
      <c r="M613" s="137">
        <f>IF(J613=K613+L613,0,Y613)</f>
        <v>0</v>
      </c>
      <c r="N613" s="138">
        <v>0</v>
      </c>
      <c r="O613" s="137">
        <v>53.3035</v>
      </c>
      <c r="P613" s="137">
        <v>0</v>
      </c>
      <c r="Q613" s="137">
        <v>0</v>
      </c>
      <c r="R613" s="137">
        <v>6.3965</v>
      </c>
      <c r="S613" s="138">
        <v>53.3035</v>
      </c>
      <c r="T613" s="137">
        <v>59.7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59.7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109</v>
      </c>
      <c r="F614" s="133" t="s">
        <v>111</v>
      </c>
      <c r="G614" s="134">
        <v>46132</v>
      </c>
      <c r="H614" s="135">
        <v>0.6830092592592593</v>
      </c>
      <c r="I614" s="136">
        <v>169002760</v>
      </c>
      <c r="J614" s="137">
        <v>80</v>
      </c>
      <c r="K614" s="137">
        <f>N614+O614+P614</f>
        <v>66.0331</v>
      </c>
      <c r="L614" s="137">
        <f>Q614+R614</f>
        <v>13.8669</v>
      </c>
      <c r="M614" s="137">
        <f>IF(J614=K614+L614,0,Y614)</f>
        <v>0.1</v>
      </c>
      <c r="N614" s="138">
        <v>66.0331</v>
      </c>
      <c r="O614" s="137">
        <v>0</v>
      </c>
      <c r="P614" s="137">
        <v>0</v>
      </c>
      <c r="Q614" s="137">
        <v>13.8669</v>
      </c>
      <c r="R614" s="137">
        <v>0</v>
      </c>
      <c r="S614" s="138">
        <v>66.0331</v>
      </c>
      <c r="T614" s="137">
        <v>79.9</v>
      </c>
      <c r="U614" s="137">
        <v>0</v>
      </c>
      <c r="V614" s="137">
        <v>0</v>
      </c>
      <c r="W614" s="137">
        <v>0</v>
      </c>
      <c r="X614" s="137">
        <v>0</v>
      </c>
      <c r="Y614" s="137">
        <v>0.1</v>
      </c>
      <c r="Z614" s="138">
        <v>90</v>
      </c>
      <c r="AA614" s="137">
        <v>0</v>
      </c>
      <c r="AB614" s="137">
        <v>0</v>
      </c>
      <c r="AC614" s="137"/>
      <c r="AD614" s="137">
        <v>0</v>
      </c>
      <c r="AE614" s="139">
        <v>-10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109</v>
      </c>
      <c r="F615" s="133" t="s">
        <v>111</v>
      </c>
      <c r="G615" s="134">
        <v>46132</v>
      </c>
      <c r="H615" s="135">
        <v>0.6832870370370371</v>
      </c>
      <c r="I615" s="136">
        <v>169002761</v>
      </c>
      <c r="J615" s="137">
        <v>16</v>
      </c>
      <c r="K615" s="137">
        <f>N615+O615+P615</f>
        <v>14.1071</v>
      </c>
      <c r="L615" s="137">
        <f>Q615+R615</f>
        <v>1.6929</v>
      </c>
      <c r="M615" s="137">
        <f>IF(J615=K615+L615,0,Y615)</f>
        <v>0.2</v>
      </c>
      <c r="N615" s="138">
        <v>0</v>
      </c>
      <c r="O615" s="137">
        <v>14.1071</v>
      </c>
      <c r="P615" s="137">
        <v>0</v>
      </c>
      <c r="Q615" s="137">
        <v>0</v>
      </c>
      <c r="R615" s="137">
        <v>1.6929</v>
      </c>
      <c r="S615" s="138">
        <v>14.1071</v>
      </c>
      <c r="T615" s="137">
        <v>15.8</v>
      </c>
      <c r="U615" s="137">
        <v>0</v>
      </c>
      <c r="V615" s="137">
        <v>0</v>
      </c>
      <c r="W615" s="137">
        <v>0</v>
      </c>
      <c r="X615" s="137">
        <v>0</v>
      </c>
      <c r="Y615" s="137">
        <v>0.2</v>
      </c>
      <c r="Z615" s="138">
        <v>100</v>
      </c>
      <c r="AA615" s="137">
        <v>0</v>
      </c>
      <c r="AB615" s="137">
        <v>0</v>
      </c>
      <c r="AC615" s="137"/>
      <c r="AD615" s="137">
        <v>0</v>
      </c>
      <c r="AE615" s="139">
        <v>-84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109</v>
      </c>
      <c r="F616" s="133" t="s">
        <v>111</v>
      </c>
      <c r="G616" s="134">
        <v>46132</v>
      </c>
      <c r="H616" s="135">
        <v>0.6845023148148148</v>
      </c>
      <c r="I616" s="136">
        <v>169002762</v>
      </c>
      <c r="J616" s="137">
        <v>19</v>
      </c>
      <c r="K616" s="137">
        <f>N616+O616+P616</f>
        <v>17.2768</v>
      </c>
      <c r="L616" s="137">
        <f>Q616+R616</f>
        <v>2.0732</v>
      </c>
      <c r="M616" s="137">
        <f>IF(J616=K616+L616,0,Y616)</f>
        <v>-0.35</v>
      </c>
      <c r="N616" s="138">
        <v>0</v>
      </c>
      <c r="O616" s="137">
        <v>17.2768</v>
      </c>
      <c r="P616" s="137">
        <v>0</v>
      </c>
      <c r="Q616" s="137">
        <v>0</v>
      </c>
      <c r="R616" s="137">
        <v>2.0732</v>
      </c>
      <c r="S616" s="138">
        <v>17.2768</v>
      </c>
      <c r="T616" s="137">
        <v>19.35</v>
      </c>
      <c r="U616" s="137">
        <v>0</v>
      </c>
      <c r="V616" s="137">
        <v>0</v>
      </c>
      <c r="W616" s="137">
        <v>0</v>
      </c>
      <c r="X616" s="137">
        <v>0</v>
      </c>
      <c r="Y616" s="137">
        <v>-0.35</v>
      </c>
      <c r="Z616" s="138">
        <v>20</v>
      </c>
      <c r="AA616" s="137">
        <v>0</v>
      </c>
      <c r="AB616" s="137">
        <v>0</v>
      </c>
      <c r="AC616" s="137"/>
      <c r="AD616" s="137">
        <v>0</v>
      </c>
      <c r="AE616" s="139">
        <v>-1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109</v>
      </c>
      <c r="F617" s="133" t="s">
        <v>111</v>
      </c>
      <c r="G617" s="134">
        <v>46132</v>
      </c>
      <c r="H617" s="135">
        <v>0.6854629629629629</v>
      </c>
      <c r="I617" s="136">
        <v>169002763</v>
      </c>
      <c r="J617" s="137">
        <v>81</v>
      </c>
      <c r="K617" s="137">
        <f>N617+O617+P617</f>
        <v>72.4375</v>
      </c>
      <c r="L617" s="137">
        <f>Q617+R617</f>
        <v>8.6925</v>
      </c>
      <c r="M617" s="137">
        <f>IF(J617=K617+L617,0,Y617)</f>
        <v>-0.13</v>
      </c>
      <c r="N617" s="138">
        <v>0</v>
      </c>
      <c r="O617" s="137">
        <v>72.4375</v>
      </c>
      <c r="P617" s="137">
        <v>0</v>
      </c>
      <c r="Q617" s="137">
        <v>0</v>
      </c>
      <c r="R617" s="137">
        <v>8.6925</v>
      </c>
      <c r="S617" s="138">
        <v>72.4375</v>
      </c>
      <c r="T617" s="137">
        <v>81.13</v>
      </c>
      <c r="U617" s="137">
        <v>0</v>
      </c>
      <c r="V617" s="137">
        <v>0</v>
      </c>
      <c r="W617" s="137">
        <v>0</v>
      </c>
      <c r="X617" s="137">
        <v>0</v>
      </c>
      <c r="Y617" s="137">
        <v>-0.13</v>
      </c>
      <c r="Z617" s="138">
        <v>101</v>
      </c>
      <c r="AA617" s="137">
        <v>0</v>
      </c>
      <c r="AB617" s="137">
        <v>0</v>
      </c>
      <c r="AC617" s="137"/>
      <c r="AD617" s="137">
        <v>0</v>
      </c>
      <c r="AE617" s="139">
        <v>-20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109</v>
      </c>
      <c r="F618" s="133" t="s">
        <v>111</v>
      </c>
      <c r="G618" s="134">
        <v>46132</v>
      </c>
      <c r="H618" s="135">
        <v>0.6858564814814815</v>
      </c>
      <c r="I618" s="136">
        <v>169002764</v>
      </c>
      <c r="J618" s="137">
        <v>75.8</v>
      </c>
      <c r="K618" s="137">
        <f>N618+O618+P618</f>
        <v>67.6786</v>
      </c>
      <c r="L618" s="137">
        <f>Q618+R618</f>
        <v>8.1214</v>
      </c>
      <c r="M618" s="137">
        <f>IF(J618=K618+L618,0,Y618)</f>
        <v>0</v>
      </c>
      <c r="N618" s="138">
        <v>0</v>
      </c>
      <c r="O618" s="137">
        <v>67.6786</v>
      </c>
      <c r="P618" s="137">
        <v>0</v>
      </c>
      <c r="Q618" s="137">
        <v>0</v>
      </c>
      <c r="R618" s="137">
        <v>8.1214</v>
      </c>
      <c r="S618" s="138">
        <v>67.6786</v>
      </c>
      <c r="T618" s="137">
        <v>75.8</v>
      </c>
      <c r="U618" s="137">
        <v>0</v>
      </c>
      <c r="V618" s="137">
        <v>0</v>
      </c>
      <c r="W618" s="137">
        <v>0</v>
      </c>
      <c r="X618" s="137">
        <v>0</v>
      </c>
      <c r="Y618" s="137">
        <v>0</v>
      </c>
      <c r="Z618" s="138">
        <v>0</v>
      </c>
      <c r="AA618" s="137">
        <v>0</v>
      </c>
      <c r="AB618" s="137">
        <v>75.8</v>
      </c>
      <c r="AC618" s="137">
        <v>0</v>
      </c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109</v>
      </c>
      <c r="F619" s="133" t="s">
        <v>111</v>
      </c>
      <c r="G619" s="134">
        <v>46132</v>
      </c>
      <c r="H619" s="135">
        <v>0.6861111111111111</v>
      </c>
      <c r="I619" s="136">
        <v>169002765</v>
      </c>
      <c r="J619" s="137">
        <v>76</v>
      </c>
      <c r="K619" s="137">
        <f>N619+O619+P619</f>
        <v>67.5</v>
      </c>
      <c r="L619" s="137">
        <f>Q619+R619</f>
        <v>8.1</v>
      </c>
      <c r="M619" s="137">
        <f>IF(J619=K619+L619,0,Y619)</f>
        <v>0.4</v>
      </c>
      <c r="N619" s="138">
        <v>0</v>
      </c>
      <c r="O619" s="137">
        <v>67.5</v>
      </c>
      <c r="P619" s="137">
        <v>0</v>
      </c>
      <c r="Q619" s="137">
        <v>0</v>
      </c>
      <c r="R619" s="137">
        <v>8.1</v>
      </c>
      <c r="S619" s="138">
        <v>67.5</v>
      </c>
      <c r="T619" s="137">
        <v>75.6</v>
      </c>
      <c r="U619" s="137">
        <v>0</v>
      </c>
      <c r="V619" s="137">
        <v>0</v>
      </c>
      <c r="W619" s="137">
        <v>0</v>
      </c>
      <c r="X619" s="137">
        <v>0</v>
      </c>
      <c r="Y619" s="137">
        <v>0.4</v>
      </c>
      <c r="Z619" s="138">
        <v>100</v>
      </c>
      <c r="AA619" s="137">
        <v>0</v>
      </c>
      <c r="AB619" s="137">
        <v>0</v>
      </c>
      <c r="AC619" s="137"/>
      <c r="AD619" s="137">
        <v>0</v>
      </c>
      <c r="AE619" s="139">
        <v>-24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109</v>
      </c>
      <c r="F620" s="133" t="s">
        <v>111</v>
      </c>
      <c r="G620" s="134">
        <v>46132</v>
      </c>
      <c r="H620" s="135">
        <v>0.6865972222222222</v>
      </c>
      <c r="I620" s="136">
        <v>169002766</v>
      </c>
      <c r="J620" s="137">
        <v>103</v>
      </c>
      <c r="K620" s="137">
        <f>N620+O620+P620</f>
        <v>91.9285</v>
      </c>
      <c r="L620" s="137">
        <f>Q620+R620</f>
        <v>11.0315</v>
      </c>
      <c r="M620" s="137">
        <f>IF(J620=K620+L620,0,Y620)</f>
        <v>0.04</v>
      </c>
      <c r="N620" s="138">
        <v>0</v>
      </c>
      <c r="O620" s="137">
        <v>91.9285</v>
      </c>
      <c r="P620" s="137">
        <v>0</v>
      </c>
      <c r="Q620" s="137">
        <v>0</v>
      </c>
      <c r="R620" s="137">
        <v>11.0315</v>
      </c>
      <c r="S620" s="138">
        <v>91.9285</v>
      </c>
      <c r="T620" s="137">
        <v>102.96</v>
      </c>
      <c r="U620" s="137">
        <v>0</v>
      </c>
      <c r="V620" s="137">
        <v>0</v>
      </c>
      <c r="W620" s="137">
        <v>0</v>
      </c>
      <c r="X620" s="137">
        <v>0</v>
      </c>
      <c r="Y620" s="137">
        <v>0.04</v>
      </c>
      <c r="Z620" s="138">
        <v>205</v>
      </c>
      <c r="AA620" s="137">
        <v>0</v>
      </c>
      <c r="AB620" s="137">
        <v>0</v>
      </c>
      <c r="AC620" s="137"/>
      <c r="AD620" s="137">
        <v>0</v>
      </c>
      <c r="AE620" s="139">
        <v>-102</v>
      </c>
      <c r="AF620" s="56">
        <v>16.7307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109</v>
      </c>
      <c r="F621" s="133" t="s">
        <v>111</v>
      </c>
      <c r="G621" s="134">
        <v>46132</v>
      </c>
      <c r="H621" s="135">
        <v>0.6873032407407408</v>
      </c>
      <c r="I621" s="136">
        <v>169002767</v>
      </c>
      <c r="J621" s="137">
        <v>92.7</v>
      </c>
      <c r="K621" s="137">
        <f>N621+O621+P621</f>
        <v>76.6116</v>
      </c>
      <c r="L621" s="137">
        <f>Q621+R621</f>
        <v>16.0884</v>
      </c>
      <c r="M621" s="137">
        <f>IF(J621=K621+L621,0,Y621)</f>
        <v>0</v>
      </c>
      <c r="N621" s="138">
        <v>76.6116</v>
      </c>
      <c r="O621" s="137">
        <v>0</v>
      </c>
      <c r="P621" s="137">
        <v>0</v>
      </c>
      <c r="Q621" s="137">
        <v>16.0884</v>
      </c>
      <c r="R621" s="137">
        <v>0</v>
      </c>
      <c r="S621" s="138">
        <v>76.6116</v>
      </c>
      <c r="T621" s="137">
        <v>92.7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92.7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109</v>
      </c>
      <c r="F622" s="133" t="s">
        <v>111</v>
      </c>
      <c r="G622" s="134">
        <v>46132</v>
      </c>
      <c r="H622" s="135">
        <v>0.6883564814814814</v>
      </c>
      <c r="I622" s="136">
        <v>169002768</v>
      </c>
      <c r="J622" s="137">
        <v>508</v>
      </c>
      <c r="K622" s="137">
        <f>N622+O622+P622</f>
        <v>427.6562</v>
      </c>
      <c r="L622" s="137">
        <f>Q622+R622</f>
        <v>79.8438</v>
      </c>
      <c r="M622" s="137">
        <f>IF(J622=K622+L622,0,Y622)</f>
        <v>0.5</v>
      </c>
      <c r="N622" s="138">
        <v>316.942</v>
      </c>
      <c r="O622" s="137">
        <v>110.7142</v>
      </c>
      <c r="P622" s="137">
        <v>0</v>
      </c>
      <c r="Q622" s="137">
        <v>66.558</v>
      </c>
      <c r="R622" s="137">
        <v>13.2858</v>
      </c>
      <c r="S622" s="138">
        <v>427.6562</v>
      </c>
      <c r="T622" s="137">
        <v>507.5</v>
      </c>
      <c r="U622" s="137">
        <v>0</v>
      </c>
      <c r="V622" s="137">
        <v>0</v>
      </c>
      <c r="W622" s="137">
        <v>0</v>
      </c>
      <c r="X622" s="137">
        <v>0</v>
      </c>
      <c r="Y622" s="137">
        <v>0.5</v>
      </c>
      <c r="Z622" s="138">
        <v>520</v>
      </c>
      <c r="AA622" s="137">
        <v>0</v>
      </c>
      <c r="AB622" s="137">
        <v>0</v>
      </c>
      <c r="AC622" s="137"/>
      <c r="AD622" s="137">
        <v>0</v>
      </c>
      <c r="AE622" s="139">
        <v>-12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109</v>
      </c>
      <c r="F623" s="133" t="s">
        <v>111</v>
      </c>
      <c r="G623" s="134">
        <v>46132</v>
      </c>
      <c r="H623" s="135">
        <v>0.6885532407407408</v>
      </c>
      <c r="I623" s="136">
        <v>169002769</v>
      </c>
      <c r="J623" s="137">
        <v>48</v>
      </c>
      <c r="K623" s="137">
        <f>N623+O623+P623</f>
        <v>42.7679</v>
      </c>
      <c r="L623" s="137">
        <f>Q623+R623</f>
        <v>5.1321</v>
      </c>
      <c r="M623" s="137">
        <f>IF(J623=K623+L623,0,Y623)</f>
        <v>0.1</v>
      </c>
      <c r="N623" s="138">
        <v>0</v>
      </c>
      <c r="O623" s="137">
        <v>42.7679</v>
      </c>
      <c r="P623" s="137">
        <v>0</v>
      </c>
      <c r="Q623" s="137">
        <v>0</v>
      </c>
      <c r="R623" s="137">
        <v>5.1321</v>
      </c>
      <c r="S623" s="138">
        <v>42.7679</v>
      </c>
      <c r="T623" s="137">
        <v>47.9</v>
      </c>
      <c r="U623" s="137">
        <v>0</v>
      </c>
      <c r="V623" s="137">
        <v>0</v>
      </c>
      <c r="W623" s="137">
        <v>0</v>
      </c>
      <c r="X623" s="137">
        <v>0</v>
      </c>
      <c r="Y623" s="137">
        <v>0.1</v>
      </c>
      <c r="Z623" s="138">
        <v>50</v>
      </c>
      <c r="AA623" s="137">
        <v>0</v>
      </c>
      <c r="AB623" s="137">
        <v>0</v>
      </c>
      <c r="AC623" s="137"/>
      <c r="AD623" s="137">
        <v>0</v>
      </c>
      <c r="AE623" s="139">
        <v>-2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109</v>
      </c>
      <c r="F624" s="133" t="s">
        <v>111</v>
      </c>
      <c r="G624" s="134">
        <v>46132</v>
      </c>
      <c r="H624" s="135">
        <v>0.6890162037037038</v>
      </c>
      <c r="I624" s="136">
        <v>169002770</v>
      </c>
      <c r="J624" s="137">
        <v>49</v>
      </c>
      <c r="K624" s="137">
        <f>N624+O624+P624</f>
        <v>43.5714</v>
      </c>
      <c r="L624" s="137">
        <f>Q624+R624</f>
        <v>5.2286</v>
      </c>
      <c r="M624" s="137">
        <f>IF(J624=K624+L624,0,Y624)</f>
        <v>0.2</v>
      </c>
      <c r="N624" s="138">
        <v>0</v>
      </c>
      <c r="O624" s="137">
        <v>43.5714</v>
      </c>
      <c r="P624" s="137">
        <v>0</v>
      </c>
      <c r="Q624" s="137">
        <v>0</v>
      </c>
      <c r="R624" s="137">
        <v>5.2286</v>
      </c>
      <c r="S624" s="138">
        <v>43.5714</v>
      </c>
      <c r="T624" s="137">
        <v>48.8</v>
      </c>
      <c r="U624" s="137">
        <v>0</v>
      </c>
      <c r="V624" s="137">
        <v>0</v>
      </c>
      <c r="W624" s="137">
        <v>0</v>
      </c>
      <c r="X624" s="137">
        <v>0</v>
      </c>
      <c r="Y624" s="137">
        <v>0.2</v>
      </c>
      <c r="Z624" s="138">
        <v>50</v>
      </c>
      <c r="AA624" s="137">
        <v>0</v>
      </c>
      <c r="AB624" s="137">
        <v>0</v>
      </c>
      <c r="AC624" s="137"/>
      <c r="AD624" s="137">
        <v>0</v>
      </c>
      <c r="AE624" s="139">
        <v>-1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109</v>
      </c>
      <c r="F625" s="133" t="s">
        <v>111</v>
      </c>
      <c r="G625" s="134">
        <v>46132</v>
      </c>
      <c r="H625" s="135">
        <v>0.6895023148148148</v>
      </c>
      <c r="I625" s="136">
        <v>169002771</v>
      </c>
      <c r="J625" s="137">
        <v>33</v>
      </c>
      <c r="K625" s="137">
        <f>N625+O625+P625</f>
        <v>27.964199999999998</v>
      </c>
      <c r="L625" s="137">
        <f>Q625+R625</f>
        <v>4.8358</v>
      </c>
      <c r="M625" s="137">
        <f>IF(J625=K625+L625,0,Y625)</f>
        <v>0.2</v>
      </c>
      <c r="N625" s="138">
        <v>16.4463</v>
      </c>
      <c r="O625" s="137">
        <v>11.5179</v>
      </c>
      <c r="P625" s="137">
        <v>0</v>
      </c>
      <c r="Q625" s="137">
        <v>3.4537</v>
      </c>
      <c r="R625" s="137">
        <v>1.3821</v>
      </c>
      <c r="S625" s="138">
        <v>27.9642</v>
      </c>
      <c r="T625" s="137">
        <v>32.8</v>
      </c>
      <c r="U625" s="137">
        <v>0</v>
      </c>
      <c r="V625" s="137">
        <v>0</v>
      </c>
      <c r="W625" s="137">
        <v>0</v>
      </c>
      <c r="X625" s="137">
        <v>0</v>
      </c>
      <c r="Y625" s="137">
        <v>0.2</v>
      </c>
      <c r="Z625" s="138">
        <v>33</v>
      </c>
      <c r="AA625" s="137">
        <v>0</v>
      </c>
      <c r="AB625" s="137">
        <v>0</v>
      </c>
      <c r="AC625" s="137"/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109</v>
      </c>
      <c r="F626" s="133" t="s">
        <v>111</v>
      </c>
      <c r="G626" s="134">
        <v>46132</v>
      </c>
      <c r="H626" s="135">
        <v>0.6896412037037037</v>
      </c>
      <c r="I626" s="136">
        <v>169002772</v>
      </c>
      <c r="J626" s="137">
        <v>30</v>
      </c>
      <c r="K626" s="137">
        <f>N626+O626+P626</f>
        <v>24.7107</v>
      </c>
      <c r="L626" s="137">
        <f>Q626+R626</f>
        <v>5.1893</v>
      </c>
      <c r="M626" s="137">
        <f>IF(J626=K626+L626,0,Y626)</f>
        <v>0.1</v>
      </c>
      <c r="N626" s="138">
        <v>24.7107</v>
      </c>
      <c r="O626" s="137">
        <v>0</v>
      </c>
      <c r="P626" s="137">
        <v>0</v>
      </c>
      <c r="Q626" s="137">
        <v>5.1893</v>
      </c>
      <c r="R626" s="137">
        <v>0</v>
      </c>
      <c r="S626" s="138">
        <v>24.7107</v>
      </c>
      <c r="T626" s="137">
        <v>29.9</v>
      </c>
      <c r="U626" s="137">
        <v>0</v>
      </c>
      <c r="V626" s="137">
        <v>0</v>
      </c>
      <c r="W626" s="137">
        <v>0</v>
      </c>
      <c r="X626" s="137">
        <v>0</v>
      </c>
      <c r="Y626" s="137">
        <v>0.1</v>
      </c>
      <c r="Z626" s="138">
        <v>30</v>
      </c>
      <c r="AA626" s="137">
        <v>0</v>
      </c>
      <c r="AB626" s="137">
        <v>0</v>
      </c>
      <c r="AC626" s="137"/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109</v>
      </c>
      <c r="F627" s="133" t="s">
        <v>111</v>
      </c>
      <c r="G627" s="134">
        <v>46132</v>
      </c>
      <c r="H627" s="135">
        <v>0.6899652777777778</v>
      </c>
      <c r="I627" s="136">
        <v>169002773</v>
      </c>
      <c r="J627" s="137">
        <v>145.3</v>
      </c>
      <c r="K627" s="137">
        <f>N627+O627+P627</f>
        <v>123.3966</v>
      </c>
      <c r="L627" s="137">
        <f>Q627+R627</f>
        <v>21.903399999999998</v>
      </c>
      <c r="M627" s="137">
        <f>IF(J627=K627+L627,0,Y627)</f>
        <v>0</v>
      </c>
      <c r="N627" s="138">
        <v>78.843</v>
      </c>
      <c r="O627" s="137">
        <v>44.5536</v>
      </c>
      <c r="P627" s="137">
        <v>0</v>
      </c>
      <c r="Q627" s="137">
        <v>16.557</v>
      </c>
      <c r="R627" s="137">
        <v>5.3464</v>
      </c>
      <c r="S627" s="138">
        <v>123.3966</v>
      </c>
      <c r="T627" s="137">
        <v>145.3</v>
      </c>
      <c r="U627" s="137">
        <v>0</v>
      </c>
      <c r="V627" s="137">
        <v>0</v>
      </c>
      <c r="W627" s="137">
        <v>0</v>
      </c>
      <c r="X627" s="137">
        <v>0</v>
      </c>
      <c r="Y627" s="137">
        <v>0</v>
      </c>
      <c r="Z627" s="138">
        <v>0</v>
      </c>
      <c r="AA627" s="137">
        <v>0</v>
      </c>
      <c r="AB627" s="137">
        <v>145.3</v>
      </c>
      <c r="AC627" s="137">
        <v>0</v>
      </c>
      <c r="AD627" s="137">
        <v>0</v>
      </c>
      <c r="AE627" s="139">
        <v>0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109</v>
      </c>
      <c r="F628" s="133" t="s">
        <v>111</v>
      </c>
      <c r="G628" s="134">
        <v>46132</v>
      </c>
      <c r="H628" s="135">
        <v>0.6902314814814815</v>
      </c>
      <c r="I628" s="136">
        <v>169002774</v>
      </c>
      <c r="J628" s="137">
        <v>37</v>
      </c>
      <c r="K628" s="137">
        <f>N628+O628+P628</f>
        <v>31.6019</v>
      </c>
      <c r="L628" s="137">
        <f>Q628+R628</f>
        <v>5.1981</v>
      </c>
      <c r="M628" s="137">
        <f>IF(J628=K628+L628,0,Y628)</f>
        <v>0.2</v>
      </c>
      <c r="N628" s="138">
        <v>15.6198</v>
      </c>
      <c r="O628" s="137">
        <v>15.9821</v>
      </c>
      <c r="P628" s="137">
        <v>0</v>
      </c>
      <c r="Q628" s="137">
        <v>3.2802</v>
      </c>
      <c r="R628" s="137">
        <v>1.9179</v>
      </c>
      <c r="S628" s="138">
        <v>31.6019</v>
      </c>
      <c r="T628" s="137">
        <v>36.8</v>
      </c>
      <c r="U628" s="137">
        <v>0</v>
      </c>
      <c r="V628" s="137">
        <v>0</v>
      </c>
      <c r="W628" s="137">
        <v>0</v>
      </c>
      <c r="X628" s="137">
        <v>0</v>
      </c>
      <c r="Y628" s="137">
        <v>0.2</v>
      </c>
      <c r="Z628" s="138">
        <v>100</v>
      </c>
      <c r="AA628" s="137">
        <v>0</v>
      </c>
      <c r="AB628" s="137">
        <v>0</v>
      </c>
      <c r="AC628" s="137"/>
      <c r="AD628" s="137">
        <v>0</v>
      </c>
      <c r="AE628" s="139">
        <v>-63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109</v>
      </c>
      <c r="F629" s="133" t="s">
        <v>111</v>
      </c>
      <c r="G629" s="134">
        <v>46132</v>
      </c>
      <c r="H629" s="135">
        <v>0.6911921296296296</v>
      </c>
      <c r="I629" s="136">
        <v>169002775</v>
      </c>
      <c r="J629" s="137">
        <v>362.2</v>
      </c>
      <c r="K629" s="137">
        <f>N629+O629+P629</f>
        <v>323.393</v>
      </c>
      <c r="L629" s="137">
        <f>Q629+R629</f>
        <v>38.807</v>
      </c>
      <c r="M629" s="137">
        <f>IF(J629=K629+L629,0,Y629)</f>
        <v>0</v>
      </c>
      <c r="N629" s="138">
        <v>0</v>
      </c>
      <c r="O629" s="137">
        <v>323.393</v>
      </c>
      <c r="P629" s="137">
        <v>0</v>
      </c>
      <c r="Q629" s="137">
        <v>0</v>
      </c>
      <c r="R629" s="137">
        <v>38.807</v>
      </c>
      <c r="S629" s="138">
        <v>323.393</v>
      </c>
      <c r="T629" s="137">
        <v>362.2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362.2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109</v>
      </c>
      <c r="F630" s="133" t="s">
        <v>111</v>
      </c>
      <c r="G630" s="134">
        <v>46132</v>
      </c>
      <c r="H630" s="135">
        <v>0.6916435185185185</v>
      </c>
      <c r="I630" s="136">
        <v>169002776</v>
      </c>
      <c r="J630" s="137">
        <v>55.6</v>
      </c>
      <c r="K630" s="137">
        <f>N630+O630+P630</f>
        <v>49.643</v>
      </c>
      <c r="L630" s="137">
        <f>Q630+R630</f>
        <v>5.957</v>
      </c>
      <c r="M630" s="137">
        <f>IF(J630=K630+L630,0,Y630)</f>
        <v>0</v>
      </c>
      <c r="N630" s="138">
        <v>0</v>
      </c>
      <c r="O630" s="137">
        <v>49.643</v>
      </c>
      <c r="P630" s="137">
        <v>0</v>
      </c>
      <c r="Q630" s="137">
        <v>0</v>
      </c>
      <c r="R630" s="137">
        <v>5.957</v>
      </c>
      <c r="S630" s="138">
        <v>49.643</v>
      </c>
      <c r="T630" s="137">
        <v>55.6</v>
      </c>
      <c r="U630" s="137">
        <v>0</v>
      </c>
      <c r="V630" s="137">
        <v>0</v>
      </c>
      <c r="W630" s="137">
        <v>0</v>
      </c>
      <c r="X630" s="137">
        <v>0</v>
      </c>
      <c r="Y630" s="137">
        <v>0</v>
      </c>
      <c r="Z630" s="138">
        <v>0</v>
      </c>
      <c r="AA630" s="137">
        <v>0</v>
      </c>
      <c r="AB630" s="137">
        <v>55.6</v>
      </c>
      <c r="AC630" s="137">
        <v>0</v>
      </c>
      <c r="AD630" s="137">
        <v>0</v>
      </c>
      <c r="AE630" s="139">
        <v>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109</v>
      </c>
      <c r="F631" s="133" t="s">
        <v>111</v>
      </c>
      <c r="G631" s="134">
        <v>46132</v>
      </c>
      <c r="H631" s="135">
        <v>0.6930439814814815</v>
      </c>
      <c r="I631" s="136">
        <v>169002777</v>
      </c>
      <c r="J631" s="137">
        <v>162.9</v>
      </c>
      <c r="K631" s="137">
        <f>N631+O631+P631</f>
        <v>145.4464</v>
      </c>
      <c r="L631" s="137">
        <f>Q631+R631</f>
        <v>17.4536</v>
      </c>
      <c r="M631" s="137">
        <f>IF(J631=K631+L631,0,Y631)</f>
        <v>0</v>
      </c>
      <c r="N631" s="138">
        <v>0</v>
      </c>
      <c r="O631" s="137">
        <v>145.4464</v>
      </c>
      <c r="P631" s="137">
        <v>0</v>
      </c>
      <c r="Q631" s="137">
        <v>0</v>
      </c>
      <c r="R631" s="137">
        <v>17.4536</v>
      </c>
      <c r="S631" s="138">
        <v>145.4464</v>
      </c>
      <c r="T631" s="137">
        <v>162.9</v>
      </c>
      <c r="U631" s="137">
        <v>0</v>
      </c>
      <c r="V631" s="137">
        <v>0</v>
      </c>
      <c r="W631" s="137">
        <v>0</v>
      </c>
      <c r="X631" s="137">
        <v>0</v>
      </c>
      <c r="Y631" s="137">
        <v>0</v>
      </c>
      <c r="Z631" s="138">
        <v>0</v>
      </c>
      <c r="AA631" s="137">
        <v>0</v>
      </c>
      <c r="AB631" s="137">
        <v>162.9</v>
      </c>
      <c r="AC631" s="137">
        <v>0</v>
      </c>
      <c r="AD631" s="137">
        <v>0</v>
      </c>
      <c r="AE631" s="139">
        <v>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109</v>
      </c>
      <c r="F632" s="133" t="s">
        <v>111</v>
      </c>
      <c r="G632" s="134">
        <v>46132</v>
      </c>
      <c r="H632" s="135">
        <v>0.6934953703703703</v>
      </c>
      <c r="I632" s="136">
        <v>169002778</v>
      </c>
      <c r="J632" s="137">
        <v>86</v>
      </c>
      <c r="K632" s="137">
        <f>N632+O632+P632</f>
        <v>77.1429</v>
      </c>
      <c r="L632" s="137">
        <f>Q632+R632</f>
        <v>9.2571</v>
      </c>
      <c r="M632" s="137">
        <f>IF(J632=K632+L632,0,Y632)</f>
        <v>-0.4</v>
      </c>
      <c r="N632" s="138">
        <v>0</v>
      </c>
      <c r="O632" s="137">
        <v>77.1429</v>
      </c>
      <c r="P632" s="137">
        <v>0</v>
      </c>
      <c r="Q632" s="137">
        <v>0</v>
      </c>
      <c r="R632" s="137">
        <v>9.2571</v>
      </c>
      <c r="S632" s="138">
        <v>77.1429</v>
      </c>
      <c r="T632" s="137">
        <v>86.4</v>
      </c>
      <c r="U632" s="137">
        <v>0</v>
      </c>
      <c r="V632" s="137">
        <v>0</v>
      </c>
      <c r="W632" s="137">
        <v>0</v>
      </c>
      <c r="X632" s="137">
        <v>0</v>
      </c>
      <c r="Y632" s="137">
        <v>-0.4</v>
      </c>
      <c r="Z632" s="138">
        <v>100</v>
      </c>
      <c r="AA632" s="137">
        <v>0</v>
      </c>
      <c r="AB632" s="137">
        <v>0</v>
      </c>
      <c r="AC632" s="137"/>
      <c r="AD632" s="137">
        <v>0</v>
      </c>
      <c r="AE632" s="139">
        <v>-14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109</v>
      </c>
      <c r="F633" s="133" t="s">
        <v>111</v>
      </c>
      <c r="G633" s="134">
        <v>46132</v>
      </c>
      <c r="H633" s="135">
        <v>0.6941319444444445</v>
      </c>
      <c r="I633" s="136">
        <v>169002779</v>
      </c>
      <c r="J633" s="137">
        <v>148</v>
      </c>
      <c r="K633" s="137">
        <f>N633+O633+P633</f>
        <v>129.3134</v>
      </c>
      <c r="L633" s="137">
        <f>Q633+R633</f>
        <v>18.3366</v>
      </c>
      <c r="M633" s="137">
        <f>IF(J633=K633+L633,0,Y633)</f>
        <v>0.35</v>
      </c>
      <c r="N633" s="138">
        <v>31.3223</v>
      </c>
      <c r="O633" s="137">
        <v>97.9911</v>
      </c>
      <c r="P633" s="137">
        <v>0</v>
      </c>
      <c r="Q633" s="137">
        <v>6.5777</v>
      </c>
      <c r="R633" s="137">
        <v>11.7589</v>
      </c>
      <c r="S633" s="138">
        <v>129.3134</v>
      </c>
      <c r="T633" s="137">
        <v>147.65</v>
      </c>
      <c r="U633" s="137">
        <v>0</v>
      </c>
      <c r="V633" s="137">
        <v>0</v>
      </c>
      <c r="W633" s="137">
        <v>0</v>
      </c>
      <c r="X633" s="137">
        <v>0</v>
      </c>
      <c r="Y633" s="137">
        <v>0.35</v>
      </c>
      <c r="Z633" s="138">
        <v>200</v>
      </c>
      <c r="AA633" s="137">
        <v>0</v>
      </c>
      <c r="AB633" s="137">
        <v>0</v>
      </c>
      <c r="AC633" s="137"/>
      <c r="AD633" s="137">
        <v>0</v>
      </c>
      <c r="AE633" s="139">
        <v>-52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109</v>
      </c>
      <c r="F634" s="133" t="s">
        <v>111</v>
      </c>
      <c r="G634" s="134">
        <v>46132</v>
      </c>
      <c r="H634" s="135">
        <v>0.6949768518518519</v>
      </c>
      <c r="I634" s="136">
        <v>169002780</v>
      </c>
      <c r="J634" s="137">
        <v>100</v>
      </c>
      <c r="K634" s="137">
        <f>N634+O634+P634</f>
        <v>89.1964</v>
      </c>
      <c r="L634" s="137">
        <f>Q634+R634</f>
        <v>10.7036</v>
      </c>
      <c r="M634" s="137">
        <f>IF(J634=K634+L634,0,Y634)</f>
        <v>0.1</v>
      </c>
      <c r="N634" s="138">
        <v>0</v>
      </c>
      <c r="O634" s="137">
        <v>89.1964</v>
      </c>
      <c r="P634" s="137">
        <v>0</v>
      </c>
      <c r="Q634" s="137">
        <v>0</v>
      </c>
      <c r="R634" s="137">
        <v>10.7036</v>
      </c>
      <c r="S634" s="138">
        <v>89.1964</v>
      </c>
      <c r="T634" s="137">
        <v>99.9</v>
      </c>
      <c r="U634" s="137">
        <v>0</v>
      </c>
      <c r="V634" s="137">
        <v>0</v>
      </c>
      <c r="W634" s="137">
        <v>0</v>
      </c>
      <c r="X634" s="137">
        <v>0</v>
      </c>
      <c r="Y634" s="137">
        <v>0.1</v>
      </c>
      <c r="Z634" s="138">
        <v>100</v>
      </c>
      <c r="AA634" s="137">
        <v>0</v>
      </c>
      <c r="AB634" s="137">
        <v>0</v>
      </c>
      <c r="AC634" s="137"/>
      <c r="AD634" s="137">
        <v>0</v>
      </c>
      <c r="AE634" s="139">
        <v>0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109</v>
      </c>
      <c r="F635" s="133" t="s">
        <v>111</v>
      </c>
      <c r="G635" s="134">
        <v>46132</v>
      </c>
      <c r="H635" s="135">
        <v>0.6970717592592592</v>
      </c>
      <c r="I635" s="136">
        <v>169002781</v>
      </c>
      <c r="J635" s="137">
        <v>31</v>
      </c>
      <c r="K635" s="137">
        <f>N635+O635+P635</f>
        <v>26.4958</v>
      </c>
      <c r="L635" s="137">
        <f>Q635+R635</f>
        <v>4.3042</v>
      </c>
      <c r="M635" s="137">
        <f>IF(J635=K635+L635,0,Y635)</f>
        <v>0.2</v>
      </c>
      <c r="N635" s="138">
        <v>20.4958</v>
      </c>
      <c r="O635" s="137">
        <v>0</v>
      </c>
      <c r="P635" s="137">
        <v>6</v>
      </c>
      <c r="Q635" s="137">
        <v>4.3042</v>
      </c>
      <c r="R635" s="137">
        <v>0</v>
      </c>
      <c r="S635" s="138">
        <v>20.4958</v>
      </c>
      <c r="T635" s="137">
        <v>24.8</v>
      </c>
      <c r="U635" s="137">
        <v>0</v>
      </c>
      <c r="V635" s="137">
        <v>0</v>
      </c>
      <c r="W635" s="137">
        <v>6</v>
      </c>
      <c r="X635" s="137">
        <v>0</v>
      </c>
      <c r="Y635" s="137">
        <v>0.2</v>
      </c>
      <c r="Z635" s="138">
        <v>51</v>
      </c>
      <c r="AA635" s="137">
        <v>0</v>
      </c>
      <c r="AB635" s="137">
        <v>0</v>
      </c>
      <c r="AC635" s="137"/>
      <c r="AD635" s="137">
        <v>0</v>
      </c>
      <c r="AE635" s="139">
        <v>-20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109</v>
      </c>
      <c r="F636" s="133" t="s">
        <v>111</v>
      </c>
      <c r="G636" s="134">
        <v>46132</v>
      </c>
      <c r="H636" s="135">
        <v>0.6976736111111111</v>
      </c>
      <c r="I636" s="136">
        <v>169002782</v>
      </c>
      <c r="J636" s="137">
        <v>179</v>
      </c>
      <c r="K636" s="137">
        <f>N636+O636+P636</f>
        <v>147.9339</v>
      </c>
      <c r="L636" s="137">
        <f>Q636+R636</f>
        <v>31.0661</v>
      </c>
      <c r="M636" s="137">
        <f>IF(J636=K636+L636,0,Y636)</f>
        <v>0</v>
      </c>
      <c r="N636" s="138">
        <v>147.9339</v>
      </c>
      <c r="O636" s="137">
        <v>0</v>
      </c>
      <c r="P636" s="137">
        <v>0</v>
      </c>
      <c r="Q636" s="137">
        <v>31.0661</v>
      </c>
      <c r="R636" s="137">
        <v>0</v>
      </c>
      <c r="S636" s="138">
        <v>147.9339</v>
      </c>
      <c r="T636" s="137">
        <v>179</v>
      </c>
      <c r="U636" s="137">
        <v>0</v>
      </c>
      <c r="V636" s="137">
        <v>0</v>
      </c>
      <c r="W636" s="137">
        <v>0</v>
      </c>
      <c r="X636" s="137">
        <v>0</v>
      </c>
      <c r="Y636" s="137">
        <v>0</v>
      </c>
      <c r="Z636" s="138">
        <v>0</v>
      </c>
      <c r="AA636" s="137">
        <v>0</v>
      </c>
      <c r="AB636" s="137">
        <v>179</v>
      </c>
      <c r="AC636" s="137">
        <v>0</v>
      </c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109</v>
      </c>
      <c r="F637" s="133" t="s">
        <v>111</v>
      </c>
      <c r="G637" s="134">
        <v>46132</v>
      </c>
      <c r="H637" s="135">
        <v>0.6988541666666667</v>
      </c>
      <c r="I637" s="136">
        <v>169002783</v>
      </c>
      <c r="J637" s="137">
        <v>32</v>
      </c>
      <c r="K637" s="137">
        <f>N637+O637+P637</f>
        <v>28.3929</v>
      </c>
      <c r="L637" s="137">
        <f>Q637+R637</f>
        <v>3.4071</v>
      </c>
      <c r="M637" s="137">
        <f>IF(J637=K637+L637,0,Y637)</f>
        <v>0.2</v>
      </c>
      <c r="N637" s="138">
        <v>0</v>
      </c>
      <c r="O637" s="137">
        <v>28.3929</v>
      </c>
      <c r="P637" s="137">
        <v>0</v>
      </c>
      <c r="Q637" s="137">
        <v>0</v>
      </c>
      <c r="R637" s="137">
        <v>3.4071</v>
      </c>
      <c r="S637" s="138">
        <v>28.3929</v>
      </c>
      <c r="T637" s="137">
        <v>31.8</v>
      </c>
      <c r="U637" s="137">
        <v>0</v>
      </c>
      <c r="V637" s="137">
        <v>0</v>
      </c>
      <c r="W637" s="137">
        <v>0</v>
      </c>
      <c r="X637" s="137">
        <v>0</v>
      </c>
      <c r="Y637" s="137">
        <v>0.2</v>
      </c>
      <c r="Z637" s="138">
        <v>40</v>
      </c>
      <c r="AA637" s="137">
        <v>0</v>
      </c>
      <c r="AB637" s="137">
        <v>0</v>
      </c>
      <c r="AC637" s="137"/>
      <c r="AD637" s="137">
        <v>0</v>
      </c>
      <c r="AE637" s="139">
        <v>-8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109</v>
      </c>
      <c r="F638" s="133" t="s">
        <v>111</v>
      </c>
      <c r="G638" s="134">
        <v>46132</v>
      </c>
      <c r="H638" s="135">
        <v>0.6992361111111111</v>
      </c>
      <c r="I638" s="136">
        <v>169002784</v>
      </c>
      <c r="J638" s="137">
        <v>14</v>
      </c>
      <c r="K638" s="137">
        <f>N638+O638+P638</f>
        <v>12.8571</v>
      </c>
      <c r="L638" s="137">
        <f>Q638+R638</f>
        <v>1.5429</v>
      </c>
      <c r="M638" s="137">
        <f>IF(J638=K638+L638,0,Y638)</f>
        <v>-0.4</v>
      </c>
      <c r="N638" s="138">
        <v>0</v>
      </c>
      <c r="O638" s="137">
        <v>12.8571</v>
      </c>
      <c r="P638" s="137">
        <v>0</v>
      </c>
      <c r="Q638" s="137">
        <v>0</v>
      </c>
      <c r="R638" s="137">
        <v>1.5429</v>
      </c>
      <c r="S638" s="138">
        <v>12.8571</v>
      </c>
      <c r="T638" s="137">
        <v>14.4</v>
      </c>
      <c r="U638" s="137">
        <v>0</v>
      </c>
      <c r="V638" s="137">
        <v>0</v>
      </c>
      <c r="W638" s="137">
        <v>0</v>
      </c>
      <c r="X638" s="137">
        <v>0</v>
      </c>
      <c r="Y638" s="137">
        <v>-0.4</v>
      </c>
      <c r="Z638" s="138">
        <v>14</v>
      </c>
      <c r="AA638" s="137">
        <v>0</v>
      </c>
      <c r="AB638" s="137">
        <v>0</v>
      </c>
      <c r="AC638" s="137"/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109</v>
      </c>
      <c r="F639" s="133" t="s">
        <v>111</v>
      </c>
      <c r="G639" s="134">
        <v>46132</v>
      </c>
      <c r="H639" s="135">
        <v>0.7002430555555555</v>
      </c>
      <c r="I639" s="136">
        <v>169002785</v>
      </c>
      <c r="J639" s="137">
        <v>222</v>
      </c>
      <c r="K639" s="137">
        <f>N639+O639+P639</f>
        <v>198.2322</v>
      </c>
      <c r="L639" s="137">
        <f>Q639+R639</f>
        <v>23.7878</v>
      </c>
      <c r="M639" s="137">
        <f>IF(J639=K639+L639,0,Y639)</f>
        <v>-0.02</v>
      </c>
      <c r="N639" s="138">
        <v>0</v>
      </c>
      <c r="O639" s="137">
        <v>198.2322</v>
      </c>
      <c r="P639" s="137">
        <v>0</v>
      </c>
      <c r="Q639" s="137">
        <v>0</v>
      </c>
      <c r="R639" s="137">
        <v>23.7878</v>
      </c>
      <c r="S639" s="138">
        <v>198.2322</v>
      </c>
      <c r="T639" s="137">
        <v>222.02</v>
      </c>
      <c r="U639" s="137">
        <v>0</v>
      </c>
      <c r="V639" s="137">
        <v>0</v>
      </c>
      <c r="W639" s="137">
        <v>0</v>
      </c>
      <c r="X639" s="137">
        <v>0</v>
      </c>
      <c r="Y639" s="137">
        <v>-0.02</v>
      </c>
      <c r="Z639" s="138">
        <v>222</v>
      </c>
      <c r="AA639" s="137">
        <v>0</v>
      </c>
      <c r="AB639" s="137">
        <v>0</v>
      </c>
      <c r="AC639" s="137"/>
      <c r="AD639" s="137">
        <v>0</v>
      </c>
      <c r="AE639" s="139">
        <v>0</v>
      </c>
      <c r="AF639" s="56">
        <v>14.0224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109</v>
      </c>
      <c r="F640" s="133" t="s">
        <v>111</v>
      </c>
      <c r="G640" s="134">
        <v>46132</v>
      </c>
      <c r="H640" s="135">
        <v>0.7009722222222222</v>
      </c>
      <c r="I640" s="136">
        <v>169002786</v>
      </c>
      <c r="J640" s="137">
        <v>71.6</v>
      </c>
      <c r="K640" s="137">
        <f>N640+O640+P640</f>
        <v>63.9285</v>
      </c>
      <c r="L640" s="137">
        <f>Q640+R640</f>
        <v>7.6715</v>
      </c>
      <c r="M640" s="137">
        <f>IF(J640=K640+L640,0,Y640)</f>
        <v>0</v>
      </c>
      <c r="N640" s="138">
        <v>0</v>
      </c>
      <c r="O640" s="137">
        <v>63.9285</v>
      </c>
      <c r="P640" s="137">
        <v>0</v>
      </c>
      <c r="Q640" s="137">
        <v>0</v>
      </c>
      <c r="R640" s="137">
        <v>7.6715</v>
      </c>
      <c r="S640" s="138">
        <v>63.9285</v>
      </c>
      <c r="T640" s="137">
        <v>71.6</v>
      </c>
      <c r="U640" s="137">
        <v>0</v>
      </c>
      <c r="V640" s="137">
        <v>0</v>
      </c>
      <c r="W640" s="137">
        <v>0</v>
      </c>
      <c r="X640" s="137">
        <v>0</v>
      </c>
      <c r="Y640" s="137">
        <v>0</v>
      </c>
      <c r="Z640" s="138">
        <v>0</v>
      </c>
      <c r="AA640" s="137">
        <v>0</v>
      </c>
      <c r="AB640" s="137">
        <v>71.6</v>
      </c>
      <c r="AC640" s="137">
        <v>0</v>
      </c>
      <c r="AD640" s="137">
        <v>0</v>
      </c>
      <c r="AE640" s="139">
        <v>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109</v>
      </c>
      <c r="F641" s="133" t="s">
        <v>111</v>
      </c>
      <c r="G641" s="134">
        <v>46132</v>
      </c>
      <c r="H641" s="135">
        <v>0.7013194444444445</v>
      </c>
      <c r="I641" s="136">
        <v>169002787</v>
      </c>
      <c r="J641" s="137">
        <v>180</v>
      </c>
      <c r="K641" s="137">
        <f>N641+O641+P641</f>
        <v>149.9993</v>
      </c>
      <c r="L641" s="137">
        <f>Q641+R641</f>
        <v>29.9007</v>
      </c>
      <c r="M641" s="137">
        <f>IF(J641=K641+L641,0,Y641)</f>
        <v>0.1</v>
      </c>
      <c r="N641" s="138">
        <v>132.2314</v>
      </c>
      <c r="O641" s="137">
        <v>17.7679</v>
      </c>
      <c r="P641" s="137">
        <v>0</v>
      </c>
      <c r="Q641" s="137">
        <v>27.7686</v>
      </c>
      <c r="R641" s="137">
        <v>2.1321</v>
      </c>
      <c r="S641" s="138">
        <v>149.9993</v>
      </c>
      <c r="T641" s="137">
        <v>179.9</v>
      </c>
      <c r="U641" s="137">
        <v>0</v>
      </c>
      <c r="V641" s="137">
        <v>0</v>
      </c>
      <c r="W641" s="137">
        <v>0</v>
      </c>
      <c r="X641" s="137">
        <v>0</v>
      </c>
      <c r="Y641" s="137">
        <v>0.1</v>
      </c>
      <c r="Z641" s="138">
        <v>500</v>
      </c>
      <c r="AA641" s="137">
        <v>0</v>
      </c>
      <c r="AB641" s="137">
        <v>0</v>
      </c>
      <c r="AC641" s="137"/>
      <c r="AD641" s="137">
        <v>0</v>
      </c>
      <c r="AE641" s="139">
        <v>-320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109</v>
      </c>
      <c r="F642" s="133" t="s">
        <v>111</v>
      </c>
      <c r="G642" s="134">
        <v>46132</v>
      </c>
      <c r="H642" s="135">
        <v>0.7027083333333334</v>
      </c>
      <c r="I642" s="136">
        <v>169002788</v>
      </c>
      <c r="J642" s="137">
        <v>21</v>
      </c>
      <c r="K642" s="137">
        <f>N642+O642+P642</f>
        <v>18.8303</v>
      </c>
      <c r="L642" s="137">
        <f>Q642+R642</f>
        <v>2.2597</v>
      </c>
      <c r="M642" s="137">
        <f>IF(J642=K642+L642,0,Y642)</f>
        <v>-0.09</v>
      </c>
      <c r="N642" s="138">
        <v>0</v>
      </c>
      <c r="O642" s="137">
        <v>18.8303</v>
      </c>
      <c r="P642" s="137">
        <v>0</v>
      </c>
      <c r="Q642" s="137">
        <v>0</v>
      </c>
      <c r="R642" s="137">
        <v>2.2597</v>
      </c>
      <c r="S642" s="138">
        <v>18.8303</v>
      </c>
      <c r="T642" s="137">
        <v>21.09</v>
      </c>
      <c r="U642" s="137">
        <v>0</v>
      </c>
      <c r="V642" s="137">
        <v>0</v>
      </c>
      <c r="W642" s="137">
        <v>0</v>
      </c>
      <c r="X642" s="137">
        <v>0</v>
      </c>
      <c r="Y642" s="137">
        <v>-0.09</v>
      </c>
      <c r="Z642" s="138">
        <v>21</v>
      </c>
      <c r="AA642" s="137">
        <v>0</v>
      </c>
      <c r="AB642" s="137">
        <v>0</v>
      </c>
      <c r="AC642" s="137"/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109</v>
      </c>
      <c r="F643" s="133" t="s">
        <v>111</v>
      </c>
      <c r="G643" s="134">
        <v>46132</v>
      </c>
      <c r="H643" s="135">
        <v>0.7032291666666667</v>
      </c>
      <c r="I643" s="136">
        <v>169002789</v>
      </c>
      <c r="J643" s="137">
        <v>161</v>
      </c>
      <c r="K643" s="137">
        <f>N643+O643+P643</f>
        <v>133.0579</v>
      </c>
      <c r="L643" s="137">
        <f>Q643+R643</f>
        <v>27.9421</v>
      </c>
      <c r="M643" s="137">
        <f>IF(J643=K643+L643,0,Y643)</f>
        <v>0</v>
      </c>
      <c r="N643" s="138">
        <v>133.0579</v>
      </c>
      <c r="O643" s="137">
        <v>0</v>
      </c>
      <c r="P643" s="137">
        <v>0</v>
      </c>
      <c r="Q643" s="137">
        <v>27.9421</v>
      </c>
      <c r="R643" s="137">
        <v>0</v>
      </c>
      <c r="S643" s="138">
        <v>133.0579</v>
      </c>
      <c r="T643" s="137">
        <v>161</v>
      </c>
      <c r="U643" s="137">
        <v>0</v>
      </c>
      <c r="V643" s="137">
        <v>0</v>
      </c>
      <c r="W643" s="137">
        <v>0</v>
      </c>
      <c r="X643" s="137">
        <v>0</v>
      </c>
      <c r="Y643" s="137">
        <v>0</v>
      </c>
      <c r="Z643" s="138">
        <v>201</v>
      </c>
      <c r="AA643" s="137">
        <v>0</v>
      </c>
      <c r="AB643" s="137">
        <v>0</v>
      </c>
      <c r="AC643" s="137"/>
      <c r="AD643" s="137">
        <v>0</v>
      </c>
      <c r="AE643" s="139">
        <v>-40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109</v>
      </c>
      <c r="F644" s="133" t="s">
        <v>111</v>
      </c>
      <c r="G644" s="134">
        <v>46132</v>
      </c>
      <c r="H644" s="135">
        <v>0.7036921296296297</v>
      </c>
      <c r="I644" s="136">
        <v>169002790</v>
      </c>
      <c r="J644" s="137">
        <v>123.7</v>
      </c>
      <c r="K644" s="137">
        <f>N644+O644+P644</f>
        <v>110.4464</v>
      </c>
      <c r="L644" s="137">
        <f>Q644+R644</f>
        <v>13.2536</v>
      </c>
      <c r="M644" s="137">
        <f>IF(J644=K644+L644,0,Y644)</f>
        <v>0</v>
      </c>
      <c r="N644" s="138">
        <v>0</v>
      </c>
      <c r="O644" s="137">
        <v>110.4464</v>
      </c>
      <c r="P644" s="137">
        <v>0</v>
      </c>
      <c r="Q644" s="137">
        <v>0</v>
      </c>
      <c r="R644" s="137">
        <v>13.2536</v>
      </c>
      <c r="S644" s="138">
        <v>110.4464</v>
      </c>
      <c r="T644" s="137">
        <v>123.7</v>
      </c>
      <c r="U644" s="137">
        <v>0</v>
      </c>
      <c r="V644" s="137">
        <v>0</v>
      </c>
      <c r="W644" s="137">
        <v>0</v>
      </c>
      <c r="X644" s="137">
        <v>0</v>
      </c>
      <c r="Y644" s="137">
        <v>0</v>
      </c>
      <c r="Z644" s="138">
        <v>0</v>
      </c>
      <c r="AA644" s="137">
        <v>0</v>
      </c>
      <c r="AB644" s="137">
        <v>123.7</v>
      </c>
      <c r="AC644" s="137">
        <v>0</v>
      </c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109</v>
      </c>
      <c r="F645" s="133" t="s">
        <v>111</v>
      </c>
      <c r="G645" s="134">
        <v>46132</v>
      </c>
      <c r="H645" s="135">
        <v>0.7039930555555556</v>
      </c>
      <c r="I645" s="136">
        <v>169002791</v>
      </c>
      <c r="J645" s="137">
        <v>23.8</v>
      </c>
      <c r="K645" s="137">
        <f>N645+O645+P645</f>
        <v>21.25</v>
      </c>
      <c r="L645" s="137">
        <f>Q645+R645</f>
        <v>2.55</v>
      </c>
      <c r="M645" s="137">
        <f>IF(J645=K645+L645,0,Y645)</f>
        <v>0</v>
      </c>
      <c r="N645" s="138">
        <v>0</v>
      </c>
      <c r="O645" s="137">
        <v>21.25</v>
      </c>
      <c r="P645" s="137">
        <v>0</v>
      </c>
      <c r="Q645" s="137">
        <v>0</v>
      </c>
      <c r="R645" s="137">
        <v>2.55</v>
      </c>
      <c r="S645" s="138">
        <v>21.25</v>
      </c>
      <c r="T645" s="137">
        <v>23.8</v>
      </c>
      <c r="U645" s="137">
        <v>0</v>
      </c>
      <c r="V645" s="137">
        <v>0</v>
      </c>
      <c r="W645" s="137">
        <v>0</v>
      </c>
      <c r="X645" s="137">
        <v>0</v>
      </c>
      <c r="Y645" s="137">
        <v>0</v>
      </c>
      <c r="Z645" s="138">
        <v>0</v>
      </c>
      <c r="AA645" s="137">
        <v>0</v>
      </c>
      <c r="AB645" s="137">
        <v>23.8</v>
      </c>
      <c r="AC645" s="137">
        <v>0</v>
      </c>
      <c r="AD645" s="137">
        <v>0</v>
      </c>
      <c r="AE645" s="139">
        <v>0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109</v>
      </c>
      <c r="F646" s="133" t="s">
        <v>111</v>
      </c>
      <c r="G646" s="134">
        <v>46132</v>
      </c>
      <c r="H646" s="135">
        <v>0.7056597222222222</v>
      </c>
      <c r="I646" s="136">
        <v>169002792</v>
      </c>
      <c r="J646" s="137">
        <v>20</v>
      </c>
      <c r="K646" s="137">
        <f>N646+O646+P646</f>
        <v>17.7679</v>
      </c>
      <c r="L646" s="137">
        <f>Q646+R646</f>
        <v>2.1321</v>
      </c>
      <c r="M646" s="137">
        <f>IF(J646=K646+L646,0,Y646)</f>
        <v>0.1</v>
      </c>
      <c r="N646" s="138">
        <v>0</v>
      </c>
      <c r="O646" s="137">
        <v>17.7679</v>
      </c>
      <c r="P646" s="137">
        <v>0</v>
      </c>
      <c r="Q646" s="137">
        <v>0</v>
      </c>
      <c r="R646" s="137">
        <v>2.1321</v>
      </c>
      <c r="S646" s="138">
        <v>17.7679</v>
      </c>
      <c r="T646" s="137">
        <v>19.9</v>
      </c>
      <c r="U646" s="137">
        <v>0</v>
      </c>
      <c r="V646" s="137">
        <v>0</v>
      </c>
      <c r="W646" s="137">
        <v>0</v>
      </c>
      <c r="X646" s="137">
        <v>0</v>
      </c>
      <c r="Y646" s="137">
        <v>0.1</v>
      </c>
      <c r="Z646" s="138">
        <v>20</v>
      </c>
      <c r="AA646" s="137">
        <v>0</v>
      </c>
      <c r="AB646" s="137">
        <v>0</v>
      </c>
      <c r="AC646" s="137"/>
      <c r="AD646" s="137">
        <v>0</v>
      </c>
      <c r="AE646" s="139">
        <v>0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109</v>
      </c>
      <c r="F647" s="133" t="s">
        <v>111</v>
      </c>
      <c r="G647" s="134">
        <v>46132</v>
      </c>
      <c r="H647" s="135">
        <v>0.7061689814814814</v>
      </c>
      <c r="I647" s="136">
        <v>169002793</v>
      </c>
      <c r="J647" s="137">
        <v>92.7</v>
      </c>
      <c r="K647" s="137">
        <f>N647+O647+P647</f>
        <v>82.7678</v>
      </c>
      <c r="L647" s="137">
        <f>Q647+R647</f>
        <v>9.9322</v>
      </c>
      <c r="M647" s="137">
        <f>IF(J647=K647+L647,0,Y647)</f>
        <v>0</v>
      </c>
      <c r="N647" s="138">
        <v>0</v>
      </c>
      <c r="O647" s="137">
        <v>82.7678</v>
      </c>
      <c r="P647" s="137">
        <v>0</v>
      </c>
      <c r="Q647" s="137">
        <v>0</v>
      </c>
      <c r="R647" s="137">
        <v>9.9322</v>
      </c>
      <c r="S647" s="138">
        <v>82.7678</v>
      </c>
      <c r="T647" s="137">
        <v>92.7</v>
      </c>
      <c r="U647" s="137">
        <v>0</v>
      </c>
      <c r="V647" s="137">
        <v>0</v>
      </c>
      <c r="W647" s="137">
        <v>0</v>
      </c>
      <c r="X647" s="137">
        <v>0</v>
      </c>
      <c r="Y647" s="137">
        <v>0</v>
      </c>
      <c r="Z647" s="138">
        <v>0</v>
      </c>
      <c r="AA647" s="137">
        <v>0</v>
      </c>
      <c r="AB647" s="137">
        <v>92.7</v>
      </c>
      <c r="AC647" s="137">
        <v>0</v>
      </c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109</v>
      </c>
      <c r="F648" s="133" t="s">
        <v>111</v>
      </c>
      <c r="G648" s="134">
        <v>46132</v>
      </c>
      <c r="H648" s="135">
        <v>0.7066203703703704</v>
      </c>
      <c r="I648" s="136">
        <v>169002794</v>
      </c>
      <c r="J648" s="137">
        <v>145.1</v>
      </c>
      <c r="K648" s="137">
        <f>N648+O648+P648</f>
        <v>126.5119</v>
      </c>
      <c r="L648" s="137">
        <f>Q648+R648</f>
        <v>18.5881</v>
      </c>
      <c r="M648" s="137">
        <f>IF(J648=K648+L648,0,Y648)</f>
        <v>0</v>
      </c>
      <c r="N648" s="138">
        <v>37.8512</v>
      </c>
      <c r="O648" s="137">
        <v>88.6607</v>
      </c>
      <c r="P648" s="137">
        <v>0</v>
      </c>
      <c r="Q648" s="137">
        <v>7.9488</v>
      </c>
      <c r="R648" s="137">
        <v>10.6393</v>
      </c>
      <c r="S648" s="138">
        <v>126.5119</v>
      </c>
      <c r="T648" s="137">
        <v>145.1</v>
      </c>
      <c r="U648" s="137">
        <v>0</v>
      </c>
      <c r="V648" s="137">
        <v>0</v>
      </c>
      <c r="W648" s="137">
        <v>0</v>
      </c>
      <c r="X648" s="137">
        <v>0</v>
      </c>
      <c r="Y648" s="137">
        <v>0</v>
      </c>
      <c r="Z648" s="138">
        <v>0</v>
      </c>
      <c r="AA648" s="137">
        <v>0</v>
      </c>
      <c r="AB648" s="137">
        <v>145.1</v>
      </c>
      <c r="AC648" s="137">
        <v>0</v>
      </c>
      <c r="AD648" s="137">
        <v>0</v>
      </c>
      <c r="AE648" s="139">
        <v>0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109</v>
      </c>
      <c r="F649" s="133" t="s">
        <v>111</v>
      </c>
      <c r="G649" s="134">
        <v>46132</v>
      </c>
      <c r="H649" s="135">
        <v>0.7070833333333333</v>
      </c>
      <c r="I649" s="136">
        <v>169002795</v>
      </c>
      <c r="J649" s="137">
        <v>213.8</v>
      </c>
      <c r="K649" s="137">
        <f>N649+O649+P649</f>
        <v>181.861</v>
      </c>
      <c r="L649" s="137">
        <f>Q649+R649</f>
        <v>31.939</v>
      </c>
      <c r="M649" s="137">
        <f>IF(J649=K649+L649,0,Y649)</f>
        <v>0</v>
      </c>
      <c r="N649" s="138">
        <v>112.3967</v>
      </c>
      <c r="O649" s="137">
        <v>69.4643</v>
      </c>
      <c r="P649" s="137">
        <v>0</v>
      </c>
      <c r="Q649" s="137">
        <v>23.6033</v>
      </c>
      <c r="R649" s="137">
        <v>8.3357</v>
      </c>
      <c r="S649" s="138">
        <v>181.861</v>
      </c>
      <c r="T649" s="137">
        <v>213.8</v>
      </c>
      <c r="U649" s="137">
        <v>0</v>
      </c>
      <c r="V649" s="137">
        <v>0</v>
      </c>
      <c r="W649" s="137">
        <v>0</v>
      </c>
      <c r="X649" s="137">
        <v>0</v>
      </c>
      <c r="Y649" s="137">
        <v>0</v>
      </c>
      <c r="Z649" s="138">
        <v>0</v>
      </c>
      <c r="AA649" s="137">
        <v>0</v>
      </c>
      <c r="AB649" s="137">
        <v>213.8</v>
      </c>
      <c r="AC649" s="137">
        <v>0</v>
      </c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109</v>
      </c>
      <c r="F650" s="133" t="s">
        <v>111</v>
      </c>
      <c r="G650" s="134">
        <v>46132</v>
      </c>
      <c r="H650" s="135">
        <v>0.7074074074074074</v>
      </c>
      <c r="I650" s="136">
        <v>169002796</v>
      </c>
      <c r="J650" s="137">
        <v>105.9</v>
      </c>
      <c r="K650" s="137">
        <f>N650+O650+P650</f>
        <v>94.5535</v>
      </c>
      <c r="L650" s="137">
        <f>Q650+R650</f>
        <v>11.3465</v>
      </c>
      <c r="M650" s="137">
        <f>IF(J650=K650+L650,0,Y650)</f>
        <v>0</v>
      </c>
      <c r="N650" s="138">
        <v>0</v>
      </c>
      <c r="O650" s="137">
        <v>94.5535</v>
      </c>
      <c r="P650" s="137">
        <v>0</v>
      </c>
      <c r="Q650" s="137">
        <v>0</v>
      </c>
      <c r="R650" s="137">
        <v>11.3465</v>
      </c>
      <c r="S650" s="138">
        <v>94.5535</v>
      </c>
      <c r="T650" s="137">
        <v>105.9</v>
      </c>
      <c r="U650" s="137">
        <v>0</v>
      </c>
      <c r="V650" s="137">
        <v>0</v>
      </c>
      <c r="W650" s="137">
        <v>0</v>
      </c>
      <c r="X650" s="137">
        <v>0</v>
      </c>
      <c r="Y650" s="137">
        <v>0</v>
      </c>
      <c r="Z650" s="138">
        <v>0</v>
      </c>
      <c r="AA650" s="137">
        <v>0</v>
      </c>
      <c r="AB650" s="137">
        <v>105.9</v>
      </c>
      <c r="AC650" s="137">
        <v>0</v>
      </c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109</v>
      </c>
      <c r="F651" s="133" t="s">
        <v>111</v>
      </c>
      <c r="G651" s="134">
        <v>46132</v>
      </c>
      <c r="H651" s="135">
        <v>0.7077662037037037</v>
      </c>
      <c r="I651" s="136">
        <v>169002797</v>
      </c>
      <c r="J651" s="137">
        <v>94.6</v>
      </c>
      <c r="K651" s="137">
        <f>N651+O651+P651</f>
        <v>84.4642</v>
      </c>
      <c r="L651" s="137">
        <f>Q651+R651</f>
        <v>10.1358</v>
      </c>
      <c r="M651" s="137">
        <f>IF(J651=K651+L651,0,Y651)</f>
        <v>0</v>
      </c>
      <c r="N651" s="138">
        <v>0</v>
      </c>
      <c r="O651" s="137">
        <v>84.4642</v>
      </c>
      <c r="P651" s="137">
        <v>0</v>
      </c>
      <c r="Q651" s="137">
        <v>0</v>
      </c>
      <c r="R651" s="137">
        <v>10.1358</v>
      </c>
      <c r="S651" s="138">
        <v>84.4642</v>
      </c>
      <c r="T651" s="137">
        <v>94.6</v>
      </c>
      <c r="U651" s="137">
        <v>0</v>
      </c>
      <c r="V651" s="137">
        <v>0</v>
      </c>
      <c r="W651" s="137">
        <v>0</v>
      </c>
      <c r="X651" s="137">
        <v>0</v>
      </c>
      <c r="Y651" s="137">
        <v>0</v>
      </c>
      <c r="Z651" s="138">
        <v>0</v>
      </c>
      <c r="AA651" s="137">
        <v>0</v>
      </c>
      <c r="AB651" s="137">
        <v>94.6</v>
      </c>
      <c r="AC651" s="137">
        <v>0</v>
      </c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109</v>
      </c>
      <c r="F652" s="133" t="s">
        <v>111</v>
      </c>
      <c r="G652" s="134">
        <v>46132</v>
      </c>
      <c r="H652" s="135">
        <v>0.7081828703703704</v>
      </c>
      <c r="I652" s="136">
        <v>169002798</v>
      </c>
      <c r="J652" s="137">
        <v>170.5</v>
      </c>
      <c r="K652" s="137">
        <f>N652+O652+P652</f>
        <v>152.2321</v>
      </c>
      <c r="L652" s="137">
        <f>Q652+R652</f>
        <v>18.2679</v>
      </c>
      <c r="M652" s="137">
        <f>IF(J652=K652+L652,0,Y652)</f>
        <v>0</v>
      </c>
      <c r="N652" s="138">
        <v>0</v>
      </c>
      <c r="O652" s="137">
        <v>152.2321</v>
      </c>
      <c r="P652" s="137">
        <v>0</v>
      </c>
      <c r="Q652" s="137">
        <v>0</v>
      </c>
      <c r="R652" s="137">
        <v>18.2679</v>
      </c>
      <c r="S652" s="138">
        <v>152.2321</v>
      </c>
      <c r="T652" s="137">
        <v>170.5</v>
      </c>
      <c r="U652" s="137">
        <v>0</v>
      </c>
      <c r="V652" s="137">
        <v>0</v>
      </c>
      <c r="W652" s="137">
        <v>0</v>
      </c>
      <c r="X652" s="137">
        <v>0</v>
      </c>
      <c r="Y652" s="137">
        <v>0</v>
      </c>
      <c r="Z652" s="138">
        <v>0</v>
      </c>
      <c r="AA652" s="137">
        <v>0</v>
      </c>
      <c r="AB652" s="137">
        <v>170.5</v>
      </c>
      <c r="AC652" s="137">
        <v>0</v>
      </c>
      <c r="AD652" s="137">
        <v>0</v>
      </c>
      <c r="AE652" s="139">
        <v>0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109</v>
      </c>
      <c r="F653" s="133" t="s">
        <v>111</v>
      </c>
      <c r="G653" s="134">
        <v>46132</v>
      </c>
      <c r="H653" s="135">
        <v>0.7084259259259259</v>
      </c>
      <c r="I653" s="136">
        <v>169002799</v>
      </c>
      <c r="J653" s="137">
        <v>40</v>
      </c>
      <c r="K653" s="137">
        <f>N653+O653+P653</f>
        <v>35.625</v>
      </c>
      <c r="L653" s="137">
        <f>Q653+R653</f>
        <v>4.275</v>
      </c>
      <c r="M653" s="137">
        <f>IF(J653=K653+L653,0,Y653)</f>
        <v>0.1</v>
      </c>
      <c r="N653" s="138">
        <v>0</v>
      </c>
      <c r="O653" s="137">
        <v>35.625</v>
      </c>
      <c r="P653" s="137">
        <v>0</v>
      </c>
      <c r="Q653" s="137">
        <v>0</v>
      </c>
      <c r="R653" s="137">
        <v>4.275</v>
      </c>
      <c r="S653" s="138">
        <v>35.625</v>
      </c>
      <c r="T653" s="137">
        <v>39.9</v>
      </c>
      <c r="U653" s="137">
        <v>0</v>
      </c>
      <c r="V653" s="137">
        <v>0</v>
      </c>
      <c r="W653" s="137">
        <v>0</v>
      </c>
      <c r="X653" s="137">
        <v>0</v>
      </c>
      <c r="Y653" s="137">
        <v>0.1</v>
      </c>
      <c r="Z653" s="138">
        <v>40</v>
      </c>
      <c r="AA653" s="137">
        <v>0</v>
      </c>
      <c r="AB653" s="137">
        <v>0</v>
      </c>
      <c r="AC653" s="137"/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109</v>
      </c>
      <c r="F654" s="133" t="s">
        <v>111</v>
      </c>
      <c r="G654" s="134">
        <v>46132</v>
      </c>
      <c r="H654" s="135">
        <v>0.7100347222222222</v>
      </c>
      <c r="I654" s="136">
        <v>169002800</v>
      </c>
      <c r="J654" s="137">
        <v>119.54</v>
      </c>
      <c r="K654" s="137">
        <f>N654+O654+P654</f>
        <v>106.7323</v>
      </c>
      <c r="L654" s="137">
        <f>Q654+R654</f>
        <v>12.8077</v>
      </c>
      <c r="M654" s="137">
        <f>IF(J654=K654+L654,0,Y654)</f>
        <v>0</v>
      </c>
      <c r="N654" s="138">
        <v>0</v>
      </c>
      <c r="O654" s="137">
        <v>106.7323</v>
      </c>
      <c r="P654" s="137">
        <v>0</v>
      </c>
      <c r="Q654" s="137">
        <v>0</v>
      </c>
      <c r="R654" s="137">
        <v>12.8077</v>
      </c>
      <c r="S654" s="138">
        <v>106.7323</v>
      </c>
      <c r="T654" s="137">
        <v>119.54</v>
      </c>
      <c r="U654" s="137">
        <v>0</v>
      </c>
      <c r="V654" s="137">
        <v>0</v>
      </c>
      <c r="W654" s="137">
        <v>0</v>
      </c>
      <c r="X654" s="137">
        <v>0</v>
      </c>
      <c r="Y654" s="137">
        <v>0</v>
      </c>
      <c r="Z654" s="138">
        <v>0</v>
      </c>
      <c r="AA654" s="137">
        <v>0</v>
      </c>
      <c r="AB654" s="137">
        <v>119.54</v>
      </c>
      <c r="AC654" s="137">
        <v>0</v>
      </c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109</v>
      </c>
      <c r="F655" s="133" t="s">
        <v>111</v>
      </c>
      <c r="G655" s="134">
        <v>46132</v>
      </c>
      <c r="H655" s="135">
        <v>0.710300925925926</v>
      </c>
      <c r="I655" s="136">
        <v>169002801</v>
      </c>
      <c r="J655" s="137">
        <v>39.95</v>
      </c>
      <c r="K655" s="137">
        <f>N655+O655+P655</f>
        <v>35.6696</v>
      </c>
      <c r="L655" s="137">
        <f>Q655+R655</f>
        <v>4.2804</v>
      </c>
      <c r="M655" s="137">
        <f>IF(J655=K655+L655,0,Y655)</f>
        <v>0</v>
      </c>
      <c r="N655" s="138">
        <v>0</v>
      </c>
      <c r="O655" s="137">
        <v>35.6696</v>
      </c>
      <c r="P655" s="137">
        <v>0</v>
      </c>
      <c r="Q655" s="137">
        <v>0</v>
      </c>
      <c r="R655" s="137">
        <v>4.2804</v>
      </c>
      <c r="S655" s="138">
        <v>35.6696</v>
      </c>
      <c r="T655" s="137">
        <v>39.95</v>
      </c>
      <c r="U655" s="137">
        <v>0</v>
      </c>
      <c r="V655" s="137">
        <v>0</v>
      </c>
      <c r="W655" s="137">
        <v>0</v>
      </c>
      <c r="X655" s="137">
        <v>0</v>
      </c>
      <c r="Y655" s="137">
        <v>0</v>
      </c>
      <c r="Z655" s="138">
        <v>0</v>
      </c>
      <c r="AA655" s="137">
        <v>0</v>
      </c>
      <c r="AB655" s="137">
        <v>39.95</v>
      </c>
      <c r="AC655" s="137">
        <v>0</v>
      </c>
      <c r="AD655" s="137">
        <v>0</v>
      </c>
      <c r="AE655" s="139">
        <v>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109</v>
      </c>
      <c r="F656" s="133" t="s">
        <v>111</v>
      </c>
      <c r="G656" s="134">
        <v>46132</v>
      </c>
      <c r="H656" s="135">
        <v>0.710625</v>
      </c>
      <c r="I656" s="136">
        <v>169002802</v>
      </c>
      <c r="J656" s="137">
        <v>17.35</v>
      </c>
      <c r="K656" s="137">
        <f>N656+O656+P656</f>
        <v>15.4911</v>
      </c>
      <c r="L656" s="137">
        <f>Q656+R656</f>
        <v>1.8589</v>
      </c>
      <c r="M656" s="137">
        <f>IF(J656=K656+L656,0,Y656)</f>
        <v>0</v>
      </c>
      <c r="N656" s="138">
        <v>0</v>
      </c>
      <c r="O656" s="137">
        <v>15.4911</v>
      </c>
      <c r="P656" s="137">
        <v>0</v>
      </c>
      <c r="Q656" s="137">
        <v>0</v>
      </c>
      <c r="R656" s="137">
        <v>1.8589</v>
      </c>
      <c r="S656" s="138">
        <v>15.4911</v>
      </c>
      <c r="T656" s="137">
        <v>17.35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17.35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109</v>
      </c>
      <c r="F657" s="133" t="s">
        <v>111</v>
      </c>
      <c r="G657" s="134">
        <v>46132</v>
      </c>
      <c r="H657" s="135">
        <v>0.7116666666666667</v>
      </c>
      <c r="I657" s="136">
        <v>169002803</v>
      </c>
      <c r="J657" s="137">
        <v>46</v>
      </c>
      <c r="K657" s="137">
        <f>N657+O657+P657</f>
        <v>40.9821</v>
      </c>
      <c r="L657" s="137">
        <f>Q657+R657</f>
        <v>4.9179</v>
      </c>
      <c r="M657" s="137">
        <f>IF(J657=K657+L657,0,Y657)</f>
        <v>0.1</v>
      </c>
      <c r="N657" s="138">
        <v>0</v>
      </c>
      <c r="O657" s="137">
        <v>40.9821</v>
      </c>
      <c r="P657" s="137">
        <v>0</v>
      </c>
      <c r="Q657" s="137">
        <v>0</v>
      </c>
      <c r="R657" s="137">
        <v>4.9179</v>
      </c>
      <c r="S657" s="138">
        <v>40.9821</v>
      </c>
      <c r="T657" s="137">
        <v>45.9</v>
      </c>
      <c r="U657" s="137">
        <v>0</v>
      </c>
      <c r="V657" s="137">
        <v>0</v>
      </c>
      <c r="W657" s="137">
        <v>0</v>
      </c>
      <c r="X657" s="137">
        <v>0</v>
      </c>
      <c r="Y657" s="137">
        <v>0.1</v>
      </c>
      <c r="Z657" s="138">
        <v>200</v>
      </c>
      <c r="AA657" s="137">
        <v>0</v>
      </c>
      <c r="AB657" s="137">
        <v>0</v>
      </c>
      <c r="AC657" s="137"/>
      <c r="AD657" s="137">
        <v>0</v>
      </c>
      <c r="AE657" s="139">
        <v>-154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109</v>
      </c>
      <c r="F658" s="133" t="s">
        <v>111</v>
      </c>
      <c r="G658" s="134">
        <v>46132</v>
      </c>
      <c r="H658" s="135">
        <v>0.7120601851851852</v>
      </c>
      <c r="I658" s="136">
        <v>169002804</v>
      </c>
      <c r="J658" s="137">
        <v>29.9</v>
      </c>
      <c r="K658" s="137">
        <f>N658+O658+P658</f>
        <v>26.6964</v>
      </c>
      <c r="L658" s="137">
        <f>Q658+R658</f>
        <v>3.2036</v>
      </c>
      <c r="M658" s="137">
        <f>IF(J658=K658+L658,0,Y658)</f>
        <v>0</v>
      </c>
      <c r="N658" s="138">
        <v>0</v>
      </c>
      <c r="O658" s="137">
        <v>26.6964</v>
      </c>
      <c r="P658" s="137">
        <v>0</v>
      </c>
      <c r="Q658" s="137">
        <v>0</v>
      </c>
      <c r="R658" s="137">
        <v>3.2036</v>
      </c>
      <c r="S658" s="138">
        <v>26.6964</v>
      </c>
      <c r="T658" s="137">
        <v>29.9</v>
      </c>
      <c r="U658" s="137">
        <v>0</v>
      </c>
      <c r="V658" s="137">
        <v>0</v>
      </c>
      <c r="W658" s="137">
        <v>0</v>
      </c>
      <c r="X658" s="137">
        <v>0</v>
      </c>
      <c r="Y658" s="137">
        <v>0</v>
      </c>
      <c r="Z658" s="138">
        <v>0</v>
      </c>
      <c r="AA658" s="137">
        <v>0</v>
      </c>
      <c r="AB658" s="137">
        <v>29.9</v>
      </c>
      <c r="AC658" s="137">
        <v>0</v>
      </c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109</v>
      </c>
      <c r="F659" s="133" t="s">
        <v>111</v>
      </c>
      <c r="G659" s="134">
        <v>46132</v>
      </c>
      <c r="H659" s="135">
        <v>0.7127662037037037</v>
      </c>
      <c r="I659" s="136">
        <v>169002805</v>
      </c>
      <c r="J659" s="137">
        <v>209</v>
      </c>
      <c r="K659" s="137">
        <f>N659+O659+P659</f>
        <v>172.562</v>
      </c>
      <c r="L659" s="137">
        <f>Q659+R659</f>
        <v>36.238</v>
      </c>
      <c r="M659" s="137">
        <f>IF(J659=K659+L659,0,Y659)</f>
        <v>0.2</v>
      </c>
      <c r="N659" s="138">
        <v>172.562</v>
      </c>
      <c r="O659" s="137">
        <v>0</v>
      </c>
      <c r="P659" s="137">
        <v>0</v>
      </c>
      <c r="Q659" s="137">
        <v>36.238</v>
      </c>
      <c r="R659" s="137">
        <v>0</v>
      </c>
      <c r="S659" s="138">
        <v>172.562</v>
      </c>
      <c r="T659" s="137">
        <v>208.8</v>
      </c>
      <c r="U659" s="137">
        <v>0</v>
      </c>
      <c r="V659" s="137">
        <v>0</v>
      </c>
      <c r="W659" s="137">
        <v>0</v>
      </c>
      <c r="X659" s="137">
        <v>0</v>
      </c>
      <c r="Y659" s="137">
        <v>0.2</v>
      </c>
      <c r="Z659" s="138">
        <v>209</v>
      </c>
      <c r="AA659" s="137">
        <v>0</v>
      </c>
      <c r="AB659" s="137">
        <v>0</v>
      </c>
      <c r="AC659" s="137"/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109</v>
      </c>
      <c r="F660" s="133" t="s">
        <v>111</v>
      </c>
      <c r="G660" s="134">
        <v>46132</v>
      </c>
      <c r="H660" s="135">
        <v>0.7134837962962963</v>
      </c>
      <c r="I660" s="136">
        <v>169002806</v>
      </c>
      <c r="J660" s="137">
        <v>40.8</v>
      </c>
      <c r="K660" s="137">
        <f>N660+O660+P660</f>
        <v>34.1109</v>
      </c>
      <c r="L660" s="137">
        <f>Q660+R660</f>
        <v>6.689100000000001</v>
      </c>
      <c r="M660" s="137">
        <f>IF(J660=K660+L660,0,Y660)</f>
        <v>0</v>
      </c>
      <c r="N660" s="138">
        <v>28.843</v>
      </c>
      <c r="O660" s="137">
        <v>5.2679</v>
      </c>
      <c r="P660" s="137">
        <v>0</v>
      </c>
      <c r="Q660" s="137">
        <v>6.057</v>
      </c>
      <c r="R660" s="137">
        <v>0.6321</v>
      </c>
      <c r="S660" s="138">
        <v>34.1109</v>
      </c>
      <c r="T660" s="137">
        <v>40.8</v>
      </c>
      <c r="U660" s="137">
        <v>0</v>
      </c>
      <c r="V660" s="137">
        <v>0</v>
      </c>
      <c r="W660" s="137">
        <v>0</v>
      </c>
      <c r="X660" s="137">
        <v>0</v>
      </c>
      <c r="Y660" s="137">
        <v>0</v>
      </c>
      <c r="Z660" s="138">
        <v>0</v>
      </c>
      <c r="AA660" s="137">
        <v>0</v>
      </c>
      <c r="AB660" s="137">
        <v>40.8</v>
      </c>
      <c r="AC660" s="137">
        <v>0</v>
      </c>
      <c r="AD660" s="137">
        <v>0</v>
      </c>
      <c r="AE660" s="139">
        <v>0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109</v>
      </c>
      <c r="F661" s="133" t="s">
        <v>111</v>
      </c>
      <c r="G661" s="134">
        <v>46132</v>
      </c>
      <c r="H661" s="135">
        <v>0.7153587962962963</v>
      </c>
      <c r="I661" s="136">
        <v>169002807</v>
      </c>
      <c r="J661" s="137">
        <v>64.8</v>
      </c>
      <c r="K661" s="137">
        <f>N661+O661+P661</f>
        <v>57.8571</v>
      </c>
      <c r="L661" s="137">
        <f>Q661+R661</f>
        <v>6.9429</v>
      </c>
      <c r="M661" s="137">
        <f>IF(J661=K661+L661,0,Y661)</f>
        <v>0</v>
      </c>
      <c r="N661" s="138">
        <v>0</v>
      </c>
      <c r="O661" s="137">
        <v>57.8571</v>
      </c>
      <c r="P661" s="137">
        <v>0</v>
      </c>
      <c r="Q661" s="137">
        <v>0</v>
      </c>
      <c r="R661" s="137">
        <v>6.9429</v>
      </c>
      <c r="S661" s="138">
        <v>57.8571</v>
      </c>
      <c r="T661" s="137">
        <v>64.8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64.8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109</v>
      </c>
      <c r="F662" s="133" t="s">
        <v>111</v>
      </c>
      <c r="G662" s="134">
        <v>46132</v>
      </c>
      <c r="H662" s="135">
        <v>0.7169097222222223</v>
      </c>
      <c r="I662" s="136">
        <v>169002808</v>
      </c>
      <c r="J662" s="137">
        <v>189.4</v>
      </c>
      <c r="K662" s="137">
        <f>N662+O662+P662</f>
        <v>169.1072</v>
      </c>
      <c r="L662" s="137">
        <f>Q662+R662</f>
        <v>20.2928</v>
      </c>
      <c r="M662" s="137">
        <f>IF(J662=K662+L662,0,Y662)</f>
        <v>0</v>
      </c>
      <c r="N662" s="138">
        <v>0</v>
      </c>
      <c r="O662" s="137">
        <v>169.1072</v>
      </c>
      <c r="P662" s="137">
        <v>0</v>
      </c>
      <c r="Q662" s="137">
        <v>0</v>
      </c>
      <c r="R662" s="137">
        <v>20.2928</v>
      </c>
      <c r="S662" s="138">
        <v>169.1072</v>
      </c>
      <c r="T662" s="137">
        <v>189.4</v>
      </c>
      <c r="U662" s="137">
        <v>0</v>
      </c>
      <c r="V662" s="137">
        <v>0</v>
      </c>
      <c r="W662" s="137">
        <v>0</v>
      </c>
      <c r="X662" s="137">
        <v>0</v>
      </c>
      <c r="Y662" s="137">
        <v>0</v>
      </c>
      <c r="Z662" s="138">
        <v>0</v>
      </c>
      <c r="AA662" s="137">
        <v>0</v>
      </c>
      <c r="AB662" s="137">
        <v>189.4</v>
      </c>
      <c r="AC662" s="137">
        <v>0</v>
      </c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109</v>
      </c>
      <c r="F663" s="133" t="s">
        <v>111</v>
      </c>
      <c r="G663" s="134">
        <v>46132</v>
      </c>
      <c r="H663" s="135">
        <v>0.7178935185185186</v>
      </c>
      <c r="I663" s="136">
        <v>169002809</v>
      </c>
      <c r="J663" s="137">
        <v>32</v>
      </c>
      <c r="K663" s="137">
        <f>N663+O663+P663</f>
        <v>26.3636</v>
      </c>
      <c r="L663" s="137">
        <f>Q663+R663</f>
        <v>5.5364</v>
      </c>
      <c r="M663" s="137">
        <f>IF(J663=K663+L663,0,Y663)</f>
        <v>0.1</v>
      </c>
      <c r="N663" s="138">
        <v>26.3636</v>
      </c>
      <c r="O663" s="137">
        <v>0</v>
      </c>
      <c r="P663" s="137">
        <v>0</v>
      </c>
      <c r="Q663" s="137">
        <v>5.5364</v>
      </c>
      <c r="R663" s="137">
        <v>0</v>
      </c>
      <c r="S663" s="138">
        <v>26.3636</v>
      </c>
      <c r="T663" s="137">
        <v>31.9</v>
      </c>
      <c r="U663" s="137">
        <v>0</v>
      </c>
      <c r="V663" s="137">
        <v>0</v>
      </c>
      <c r="W663" s="137">
        <v>0</v>
      </c>
      <c r="X663" s="137">
        <v>0</v>
      </c>
      <c r="Y663" s="137">
        <v>0.1</v>
      </c>
      <c r="Z663" s="138">
        <v>40</v>
      </c>
      <c r="AA663" s="137">
        <v>0</v>
      </c>
      <c r="AB663" s="137">
        <v>0</v>
      </c>
      <c r="AC663" s="137"/>
      <c r="AD663" s="137">
        <v>0</v>
      </c>
      <c r="AE663" s="139">
        <v>-8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109</v>
      </c>
      <c r="F664" s="133" t="s">
        <v>111</v>
      </c>
      <c r="G664" s="134">
        <v>46132</v>
      </c>
      <c r="H664" s="135">
        <v>0.7186342592592593</v>
      </c>
      <c r="I664" s="136">
        <v>169002810</v>
      </c>
      <c r="J664" s="137">
        <v>153.5</v>
      </c>
      <c r="K664" s="137">
        <f>N664+O664+P664</f>
        <v>137.0536</v>
      </c>
      <c r="L664" s="137">
        <f>Q664+R664</f>
        <v>16.4464</v>
      </c>
      <c r="M664" s="137">
        <f>IF(J664=K664+L664,0,Y664)</f>
        <v>0</v>
      </c>
      <c r="N664" s="138">
        <v>0</v>
      </c>
      <c r="O664" s="137">
        <v>137.0536</v>
      </c>
      <c r="P664" s="137">
        <v>0</v>
      </c>
      <c r="Q664" s="137">
        <v>0</v>
      </c>
      <c r="R664" s="137">
        <v>16.4464</v>
      </c>
      <c r="S664" s="138">
        <v>137.0536</v>
      </c>
      <c r="T664" s="137">
        <v>153.5</v>
      </c>
      <c r="U664" s="137">
        <v>0</v>
      </c>
      <c r="V664" s="137">
        <v>0</v>
      </c>
      <c r="W664" s="137">
        <v>0</v>
      </c>
      <c r="X664" s="137">
        <v>0</v>
      </c>
      <c r="Y664" s="137">
        <v>0</v>
      </c>
      <c r="Z664" s="138">
        <v>0</v>
      </c>
      <c r="AA664" s="137">
        <v>0</v>
      </c>
      <c r="AB664" s="137">
        <v>153.5</v>
      </c>
      <c r="AC664" s="137">
        <v>0</v>
      </c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109</v>
      </c>
      <c r="F665" s="133" t="s">
        <v>111</v>
      </c>
      <c r="G665" s="134">
        <v>46132</v>
      </c>
      <c r="H665" s="135">
        <v>0.7191203703703704</v>
      </c>
      <c r="I665" s="136">
        <v>169002811</v>
      </c>
      <c r="J665" s="137">
        <v>31</v>
      </c>
      <c r="K665" s="137">
        <f>N665+O665+P665</f>
        <v>28.0357</v>
      </c>
      <c r="L665" s="137">
        <f>Q665+R665</f>
        <v>3.3643</v>
      </c>
      <c r="M665" s="137">
        <f>IF(J665=K665+L665,0,Y665)</f>
        <v>-0.4</v>
      </c>
      <c r="N665" s="138">
        <v>0</v>
      </c>
      <c r="O665" s="137">
        <v>28.0357</v>
      </c>
      <c r="P665" s="137">
        <v>0</v>
      </c>
      <c r="Q665" s="137">
        <v>0</v>
      </c>
      <c r="R665" s="137">
        <v>3.3643</v>
      </c>
      <c r="S665" s="138">
        <v>28.0357</v>
      </c>
      <c r="T665" s="137">
        <v>31.4</v>
      </c>
      <c r="U665" s="137">
        <v>0</v>
      </c>
      <c r="V665" s="137">
        <v>0</v>
      </c>
      <c r="W665" s="137">
        <v>0</v>
      </c>
      <c r="X665" s="137">
        <v>0</v>
      </c>
      <c r="Y665" s="137">
        <v>-0.4</v>
      </c>
      <c r="Z665" s="138">
        <v>201</v>
      </c>
      <c r="AA665" s="137">
        <v>0</v>
      </c>
      <c r="AB665" s="137">
        <v>0</v>
      </c>
      <c r="AC665" s="137"/>
      <c r="AD665" s="137">
        <v>0</v>
      </c>
      <c r="AE665" s="139">
        <v>-170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109</v>
      </c>
      <c r="F666" s="133" t="s">
        <v>111</v>
      </c>
      <c r="G666" s="134">
        <v>46132</v>
      </c>
      <c r="H666" s="135">
        <v>0.7198263888888888</v>
      </c>
      <c r="I666" s="136">
        <v>169002812</v>
      </c>
      <c r="J666" s="137">
        <v>53</v>
      </c>
      <c r="K666" s="137">
        <f>N666+O666+P666</f>
        <v>47.2321</v>
      </c>
      <c r="L666" s="137">
        <f>Q666+R666</f>
        <v>5.6679</v>
      </c>
      <c r="M666" s="137">
        <f>IF(J666=K666+L666,0,Y666)</f>
        <v>0.1</v>
      </c>
      <c r="N666" s="138">
        <v>0</v>
      </c>
      <c r="O666" s="137">
        <v>47.2321</v>
      </c>
      <c r="P666" s="137">
        <v>0</v>
      </c>
      <c r="Q666" s="137">
        <v>0</v>
      </c>
      <c r="R666" s="137">
        <v>5.6679</v>
      </c>
      <c r="S666" s="138">
        <v>47.2321</v>
      </c>
      <c r="T666" s="137">
        <v>52.9</v>
      </c>
      <c r="U666" s="137">
        <v>0</v>
      </c>
      <c r="V666" s="137">
        <v>0</v>
      </c>
      <c r="W666" s="137">
        <v>0</v>
      </c>
      <c r="X666" s="137">
        <v>0</v>
      </c>
      <c r="Y666" s="137">
        <v>0.1</v>
      </c>
      <c r="Z666" s="138">
        <v>200</v>
      </c>
      <c r="AA666" s="137">
        <v>0</v>
      </c>
      <c r="AB666" s="137">
        <v>0</v>
      </c>
      <c r="AC666" s="137"/>
      <c r="AD666" s="137">
        <v>0</v>
      </c>
      <c r="AE666" s="139">
        <v>-147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109</v>
      </c>
      <c r="F667" s="133" t="s">
        <v>111</v>
      </c>
      <c r="G667" s="134">
        <v>46132</v>
      </c>
      <c r="H667" s="135">
        <v>0.7213773148148148</v>
      </c>
      <c r="I667" s="136">
        <v>169002813</v>
      </c>
      <c r="J667" s="137">
        <v>161</v>
      </c>
      <c r="K667" s="137">
        <f>N667+O667+P667</f>
        <v>133.0579</v>
      </c>
      <c r="L667" s="137">
        <f>Q667+R667</f>
        <v>27.9421</v>
      </c>
      <c r="M667" s="137">
        <f>IF(J667=K667+L667,0,Y667)</f>
        <v>0</v>
      </c>
      <c r="N667" s="138">
        <v>133.0579</v>
      </c>
      <c r="O667" s="137">
        <v>0</v>
      </c>
      <c r="P667" s="137">
        <v>0</v>
      </c>
      <c r="Q667" s="137">
        <v>27.9421</v>
      </c>
      <c r="R667" s="137">
        <v>0</v>
      </c>
      <c r="S667" s="138">
        <v>133.0579</v>
      </c>
      <c r="T667" s="137">
        <v>161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170</v>
      </c>
      <c r="AA667" s="137">
        <v>0</v>
      </c>
      <c r="AB667" s="137">
        <v>0</v>
      </c>
      <c r="AC667" s="137"/>
      <c r="AD667" s="137">
        <v>0</v>
      </c>
      <c r="AE667" s="139">
        <v>-9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109</v>
      </c>
      <c r="F668" s="133" t="s">
        <v>111</v>
      </c>
      <c r="G668" s="134">
        <v>46132</v>
      </c>
      <c r="H668" s="135">
        <v>0.7222106481481482</v>
      </c>
      <c r="I668" s="136">
        <v>169002814</v>
      </c>
      <c r="J668" s="137">
        <v>222</v>
      </c>
      <c r="K668" s="137">
        <f>N668+O668+P668</f>
        <v>192.2322</v>
      </c>
      <c r="L668" s="137">
        <f>Q668+R668</f>
        <v>29.3678</v>
      </c>
      <c r="M668" s="137">
        <f>IF(J668=K668+L668,0,Y668)</f>
        <v>0.4</v>
      </c>
      <c r="N668" s="138">
        <v>70</v>
      </c>
      <c r="O668" s="137">
        <v>122.2322</v>
      </c>
      <c r="P668" s="137">
        <v>0</v>
      </c>
      <c r="Q668" s="137">
        <v>14.7</v>
      </c>
      <c r="R668" s="137">
        <v>14.6678</v>
      </c>
      <c r="S668" s="138">
        <v>192.2322</v>
      </c>
      <c r="T668" s="137">
        <v>221.6</v>
      </c>
      <c r="U668" s="137">
        <v>0</v>
      </c>
      <c r="V668" s="137">
        <v>0</v>
      </c>
      <c r="W668" s="137">
        <v>0</v>
      </c>
      <c r="X668" s="137">
        <v>0</v>
      </c>
      <c r="Y668" s="137">
        <v>0.4</v>
      </c>
      <c r="Z668" s="138">
        <v>1000</v>
      </c>
      <c r="AA668" s="137">
        <v>0</v>
      </c>
      <c r="AB668" s="137">
        <v>0</v>
      </c>
      <c r="AC668" s="137"/>
      <c r="AD668" s="137">
        <v>0</v>
      </c>
      <c r="AE668" s="139">
        <v>-778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109</v>
      </c>
      <c r="F669" s="133" t="s">
        <v>111</v>
      </c>
      <c r="G669" s="134">
        <v>46132</v>
      </c>
      <c r="H669" s="135">
        <v>0.7225578703703703</v>
      </c>
      <c r="I669" s="136">
        <v>169002815</v>
      </c>
      <c r="J669" s="137">
        <v>32</v>
      </c>
      <c r="K669" s="137">
        <f>N669+O669+P669</f>
        <v>26.281</v>
      </c>
      <c r="L669" s="137">
        <f>Q669+R669</f>
        <v>5.519</v>
      </c>
      <c r="M669" s="137">
        <f>IF(J669=K669+L669,0,Y669)</f>
        <v>0.2</v>
      </c>
      <c r="N669" s="138">
        <v>26.281</v>
      </c>
      <c r="O669" s="137">
        <v>0</v>
      </c>
      <c r="P669" s="137">
        <v>0</v>
      </c>
      <c r="Q669" s="137">
        <v>5.519</v>
      </c>
      <c r="R669" s="137">
        <v>0</v>
      </c>
      <c r="S669" s="138">
        <v>26.281</v>
      </c>
      <c r="T669" s="137">
        <v>31.8</v>
      </c>
      <c r="U669" s="137">
        <v>0</v>
      </c>
      <c r="V669" s="137">
        <v>0</v>
      </c>
      <c r="W669" s="137">
        <v>0</v>
      </c>
      <c r="X669" s="137">
        <v>0</v>
      </c>
      <c r="Y669" s="137">
        <v>0.2</v>
      </c>
      <c r="Z669" s="138">
        <v>200</v>
      </c>
      <c r="AA669" s="137">
        <v>0</v>
      </c>
      <c r="AB669" s="137">
        <v>0</v>
      </c>
      <c r="AC669" s="137"/>
      <c r="AD669" s="137">
        <v>0</v>
      </c>
      <c r="AE669" s="139">
        <v>-168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109</v>
      </c>
      <c r="F670" s="133" t="s">
        <v>111</v>
      </c>
      <c r="G670" s="134">
        <v>46132</v>
      </c>
      <c r="H670" s="135">
        <v>0.7233449074074074</v>
      </c>
      <c r="I670" s="136">
        <v>169002816</v>
      </c>
      <c r="J670" s="137">
        <v>200</v>
      </c>
      <c r="K670" s="137">
        <f>N670+O670+P670</f>
        <v>165.2066</v>
      </c>
      <c r="L670" s="137">
        <f>Q670+R670</f>
        <v>34.6934</v>
      </c>
      <c r="M670" s="137">
        <f>IF(J670=K670+L670,0,Y670)</f>
        <v>0.1</v>
      </c>
      <c r="N670" s="138">
        <v>165.2066</v>
      </c>
      <c r="O670" s="137">
        <v>0</v>
      </c>
      <c r="P670" s="137">
        <v>0</v>
      </c>
      <c r="Q670" s="137">
        <v>34.6934</v>
      </c>
      <c r="R670" s="137">
        <v>0</v>
      </c>
      <c r="S670" s="138">
        <v>165.2066</v>
      </c>
      <c r="T670" s="137">
        <v>199.9</v>
      </c>
      <c r="U670" s="137">
        <v>0</v>
      </c>
      <c r="V670" s="137">
        <v>0</v>
      </c>
      <c r="W670" s="137">
        <v>0</v>
      </c>
      <c r="X670" s="137">
        <v>0</v>
      </c>
      <c r="Y670" s="137">
        <v>0.1</v>
      </c>
      <c r="Z670" s="138">
        <v>200</v>
      </c>
      <c r="AA670" s="137">
        <v>0</v>
      </c>
      <c r="AB670" s="137">
        <v>0</v>
      </c>
      <c r="AC670" s="137"/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109</v>
      </c>
      <c r="F671" s="133" t="s">
        <v>111</v>
      </c>
      <c r="G671" s="134">
        <v>46132</v>
      </c>
      <c r="H671" s="135">
        <v>0.7237847222222222</v>
      </c>
      <c r="I671" s="136">
        <v>169002817</v>
      </c>
      <c r="J671" s="137">
        <v>125.4</v>
      </c>
      <c r="K671" s="137">
        <f>N671+O671+P671</f>
        <v>108.79650000000001</v>
      </c>
      <c r="L671" s="137">
        <f>Q671+R671</f>
        <v>16.603499999999997</v>
      </c>
      <c r="M671" s="137">
        <f>IF(J671=K671+L671,0,Y671)</f>
        <v>0</v>
      </c>
      <c r="N671" s="138">
        <v>39.4215</v>
      </c>
      <c r="O671" s="137">
        <v>69.375</v>
      </c>
      <c r="P671" s="137">
        <v>0</v>
      </c>
      <c r="Q671" s="137">
        <v>8.2785</v>
      </c>
      <c r="R671" s="137">
        <v>8.325</v>
      </c>
      <c r="S671" s="138">
        <v>108.7965</v>
      </c>
      <c r="T671" s="137">
        <v>125.4</v>
      </c>
      <c r="U671" s="137">
        <v>0</v>
      </c>
      <c r="V671" s="137">
        <v>0</v>
      </c>
      <c r="W671" s="137">
        <v>0</v>
      </c>
      <c r="X671" s="137">
        <v>0</v>
      </c>
      <c r="Y671" s="137">
        <v>0</v>
      </c>
      <c r="Z671" s="138">
        <v>0</v>
      </c>
      <c r="AA671" s="137">
        <v>0</v>
      </c>
      <c r="AB671" s="137">
        <v>125.4</v>
      </c>
      <c r="AC671" s="137">
        <v>0</v>
      </c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109</v>
      </c>
      <c r="F672" s="133" t="s">
        <v>111</v>
      </c>
      <c r="G672" s="134">
        <v>46132</v>
      </c>
      <c r="H672" s="135">
        <v>0.734525462962963</v>
      </c>
      <c r="I672" s="136">
        <v>169002818</v>
      </c>
      <c r="J672" s="137">
        <v>39.8</v>
      </c>
      <c r="K672" s="137">
        <f>N672+O672+P672</f>
        <v>32.8926</v>
      </c>
      <c r="L672" s="137">
        <f>Q672+R672</f>
        <v>6.9074</v>
      </c>
      <c r="M672" s="137">
        <f>IF(J672=K672+L672,0,Y672)</f>
        <v>0</v>
      </c>
      <c r="N672" s="138">
        <v>32.8926</v>
      </c>
      <c r="O672" s="137">
        <v>0</v>
      </c>
      <c r="P672" s="137">
        <v>0</v>
      </c>
      <c r="Q672" s="137">
        <v>6.9074</v>
      </c>
      <c r="R672" s="137">
        <v>0</v>
      </c>
      <c r="S672" s="138">
        <v>32.8926</v>
      </c>
      <c r="T672" s="137">
        <v>39.8</v>
      </c>
      <c r="U672" s="137">
        <v>0</v>
      </c>
      <c r="V672" s="137">
        <v>0</v>
      </c>
      <c r="W672" s="137">
        <v>0</v>
      </c>
      <c r="X672" s="137">
        <v>0</v>
      </c>
      <c r="Y672" s="137">
        <v>0</v>
      </c>
      <c r="Z672" s="138">
        <v>0</v>
      </c>
      <c r="AA672" s="137">
        <v>0</v>
      </c>
      <c r="AB672" s="137">
        <v>39.8</v>
      </c>
      <c r="AC672" s="137">
        <v>0</v>
      </c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109</v>
      </c>
      <c r="F673" s="133" t="s">
        <v>111</v>
      </c>
      <c r="G673" s="134">
        <v>46132</v>
      </c>
      <c r="H673" s="135">
        <v>0.7359490740740741</v>
      </c>
      <c r="I673" s="136">
        <v>169002819</v>
      </c>
      <c r="J673" s="137">
        <v>164</v>
      </c>
      <c r="K673" s="137">
        <f>N673+O673+P673</f>
        <v>145.4642</v>
      </c>
      <c r="L673" s="137">
        <f>Q673+R673</f>
        <v>18.9358</v>
      </c>
      <c r="M673" s="137">
        <f>IF(J673=K673+L673,0,Y673)</f>
        <v>-0.4</v>
      </c>
      <c r="N673" s="138">
        <v>16.4463</v>
      </c>
      <c r="O673" s="137">
        <v>129.0179</v>
      </c>
      <c r="P673" s="137">
        <v>0</v>
      </c>
      <c r="Q673" s="137">
        <v>3.4537</v>
      </c>
      <c r="R673" s="137">
        <v>15.4821</v>
      </c>
      <c r="S673" s="138">
        <v>145.4642</v>
      </c>
      <c r="T673" s="137">
        <v>164.4</v>
      </c>
      <c r="U673" s="137">
        <v>0</v>
      </c>
      <c r="V673" s="137">
        <v>0</v>
      </c>
      <c r="W673" s="137">
        <v>0</v>
      </c>
      <c r="X673" s="137">
        <v>0</v>
      </c>
      <c r="Y673" s="137">
        <v>-0.4</v>
      </c>
      <c r="Z673" s="138">
        <v>200</v>
      </c>
      <c r="AA673" s="137">
        <v>0</v>
      </c>
      <c r="AB673" s="137">
        <v>0</v>
      </c>
      <c r="AC673" s="137"/>
      <c r="AD673" s="137">
        <v>0</v>
      </c>
      <c r="AE673" s="139">
        <v>-36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109</v>
      </c>
      <c r="F674" s="133" t="s">
        <v>111</v>
      </c>
      <c r="G674" s="134">
        <v>46132</v>
      </c>
      <c r="H674" s="135">
        <v>0.7363194444444444</v>
      </c>
      <c r="I674" s="136">
        <v>169002820</v>
      </c>
      <c r="J674" s="137">
        <v>30</v>
      </c>
      <c r="K674" s="137">
        <f>N674+O674+P674</f>
        <v>26.6964</v>
      </c>
      <c r="L674" s="137">
        <f>Q674+R674</f>
        <v>3.2036</v>
      </c>
      <c r="M674" s="137">
        <f>IF(J674=K674+L674,0,Y674)</f>
        <v>0.1</v>
      </c>
      <c r="N674" s="138">
        <v>0</v>
      </c>
      <c r="O674" s="137">
        <v>26.6964</v>
      </c>
      <c r="P674" s="137">
        <v>0</v>
      </c>
      <c r="Q674" s="137">
        <v>0</v>
      </c>
      <c r="R674" s="137">
        <v>3.2036</v>
      </c>
      <c r="S674" s="138">
        <v>26.6964</v>
      </c>
      <c r="T674" s="137">
        <v>29.9</v>
      </c>
      <c r="U674" s="137">
        <v>0</v>
      </c>
      <c r="V674" s="137">
        <v>0</v>
      </c>
      <c r="W674" s="137">
        <v>0</v>
      </c>
      <c r="X674" s="137">
        <v>0</v>
      </c>
      <c r="Y674" s="137">
        <v>0.1</v>
      </c>
      <c r="Z674" s="138">
        <v>50</v>
      </c>
      <c r="AA674" s="137">
        <v>0</v>
      </c>
      <c r="AB674" s="137">
        <v>0</v>
      </c>
      <c r="AC674" s="137"/>
      <c r="AD674" s="137">
        <v>0</v>
      </c>
      <c r="AE674" s="139">
        <v>-20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109</v>
      </c>
      <c r="F675" s="133" t="s">
        <v>111</v>
      </c>
      <c r="G675" s="134">
        <v>46132</v>
      </c>
      <c r="H675" s="135">
        <v>0.7366782407407407</v>
      </c>
      <c r="I675" s="136">
        <v>169002821</v>
      </c>
      <c r="J675" s="137">
        <v>62</v>
      </c>
      <c r="K675" s="137">
        <f>N675+O675+P675</f>
        <v>53.54559999999999</v>
      </c>
      <c r="L675" s="137">
        <f>Q675+R675</f>
        <v>8.0544</v>
      </c>
      <c r="M675" s="137">
        <f>IF(J675=K675+L675,0,Y675)</f>
        <v>0.4</v>
      </c>
      <c r="N675" s="138">
        <v>18.0992</v>
      </c>
      <c r="O675" s="137">
        <v>35.4464</v>
      </c>
      <c r="P675" s="137">
        <v>0</v>
      </c>
      <c r="Q675" s="137">
        <v>3.8008</v>
      </c>
      <c r="R675" s="137">
        <v>4.2536</v>
      </c>
      <c r="S675" s="138">
        <v>53.5456</v>
      </c>
      <c r="T675" s="137">
        <v>61.6</v>
      </c>
      <c r="U675" s="137">
        <v>0</v>
      </c>
      <c r="V675" s="137">
        <v>0</v>
      </c>
      <c r="W675" s="137">
        <v>0</v>
      </c>
      <c r="X675" s="137">
        <v>0</v>
      </c>
      <c r="Y675" s="137">
        <v>0.4</v>
      </c>
      <c r="Z675" s="138">
        <v>70</v>
      </c>
      <c r="AA675" s="137">
        <v>0</v>
      </c>
      <c r="AB675" s="137">
        <v>0</v>
      </c>
      <c r="AC675" s="137"/>
      <c r="AD675" s="137">
        <v>0</v>
      </c>
      <c r="AE675" s="139">
        <v>-8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109</v>
      </c>
      <c r="F676" s="133" t="s">
        <v>111</v>
      </c>
      <c r="G676" s="134">
        <v>46132</v>
      </c>
      <c r="H676" s="135">
        <v>0.7415162037037037</v>
      </c>
      <c r="I676" s="136">
        <v>169002822</v>
      </c>
      <c r="J676" s="137">
        <v>35</v>
      </c>
      <c r="K676" s="137">
        <f>N676+O676+P676</f>
        <v>30.760800000000003</v>
      </c>
      <c r="L676" s="137">
        <f>Q676+R676</f>
        <v>4.5392</v>
      </c>
      <c r="M676" s="137">
        <f>IF(J676=K676+L676,0,Y676)</f>
        <v>-0.3</v>
      </c>
      <c r="N676" s="138">
        <v>9.4215</v>
      </c>
      <c r="O676" s="137">
        <v>21.3393</v>
      </c>
      <c r="P676" s="137">
        <v>0</v>
      </c>
      <c r="Q676" s="137">
        <v>1.9785</v>
      </c>
      <c r="R676" s="137">
        <v>2.5607</v>
      </c>
      <c r="S676" s="138">
        <v>30.7608</v>
      </c>
      <c r="T676" s="137">
        <v>35.3</v>
      </c>
      <c r="U676" s="137">
        <v>0</v>
      </c>
      <c r="V676" s="137">
        <v>0</v>
      </c>
      <c r="W676" s="137">
        <v>0</v>
      </c>
      <c r="X676" s="137">
        <v>0</v>
      </c>
      <c r="Y676" s="137">
        <v>-0.3</v>
      </c>
      <c r="Z676" s="138">
        <v>35</v>
      </c>
      <c r="AA676" s="137">
        <v>0</v>
      </c>
      <c r="AB676" s="137">
        <v>0</v>
      </c>
      <c r="AC676" s="137"/>
      <c r="AD676" s="137">
        <v>0</v>
      </c>
      <c r="AE676" s="139">
        <v>0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109</v>
      </c>
      <c r="F677" s="133" t="s">
        <v>111</v>
      </c>
      <c r="G677" s="134">
        <v>46132</v>
      </c>
      <c r="H677" s="135">
        <v>0.7419212962962963</v>
      </c>
      <c r="I677" s="136">
        <v>169002823</v>
      </c>
      <c r="J677" s="137">
        <v>95.4</v>
      </c>
      <c r="K677" s="137">
        <f>N677+O677+P677</f>
        <v>78.843</v>
      </c>
      <c r="L677" s="137">
        <f>Q677+R677</f>
        <v>16.557</v>
      </c>
      <c r="M677" s="137">
        <f>IF(J677=K677+L677,0,Y677)</f>
        <v>0</v>
      </c>
      <c r="N677" s="138">
        <v>78.843</v>
      </c>
      <c r="O677" s="137">
        <v>0</v>
      </c>
      <c r="P677" s="137">
        <v>0</v>
      </c>
      <c r="Q677" s="137">
        <v>16.557</v>
      </c>
      <c r="R677" s="137">
        <v>0</v>
      </c>
      <c r="S677" s="138">
        <v>78.843</v>
      </c>
      <c r="T677" s="137">
        <v>95.4</v>
      </c>
      <c r="U677" s="137">
        <v>0</v>
      </c>
      <c r="V677" s="137">
        <v>0</v>
      </c>
      <c r="W677" s="137">
        <v>0</v>
      </c>
      <c r="X677" s="137">
        <v>0</v>
      </c>
      <c r="Y677" s="137">
        <v>0</v>
      </c>
      <c r="Z677" s="138">
        <v>0</v>
      </c>
      <c r="AA677" s="137">
        <v>0</v>
      </c>
      <c r="AB677" s="137">
        <v>95.4</v>
      </c>
      <c r="AC677" s="137">
        <v>0</v>
      </c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109</v>
      </c>
      <c r="F678" s="133" t="s">
        <v>111</v>
      </c>
      <c r="G678" s="134">
        <v>46132</v>
      </c>
      <c r="H678" s="135">
        <v>0.7424537037037037</v>
      </c>
      <c r="I678" s="136">
        <v>169002824</v>
      </c>
      <c r="J678" s="137">
        <v>173</v>
      </c>
      <c r="K678" s="137">
        <f>N678+O678+P678</f>
        <v>142.9752</v>
      </c>
      <c r="L678" s="137">
        <f>Q678+R678</f>
        <v>30.0248</v>
      </c>
      <c r="M678" s="137">
        <f>IF(J678=K678+L678,0,Y678)</f>
        <v>0</v>
      </c>
      <c r="N678" s="138">
        <v>142.9752</v>
      </c>
      <c r="O678" s="137">
        <v>0</v>
      </c>
      <c r="P678" s="137">
        <v>0</v>
      </c>
      <c r="Q678" s="137">
        <v>30.0248</v>
      </c>
      <c r="R678" s="137">
        <v>0</v>
      </c>
      <c r="S678" s="138">
        <v>142.9752</v>
      </c>
      <c r="T678" s="137">
        <v>173</v>
      </c>
      <c r="U678" s="137">
        <v>0</v>
      </c>
      <c r="V678" s="137">
        <v>0</v>
      </c>
      <c r="W678" s="137">
        <v>0</v>
      </c>
      <c r="X678" s="137">
        <v>0</v>
      </c>
      <c r="Y678" s="137">
        <v>0</v>
      </c>
      <c r="Z678" s="138">
        <v>200</v>
      </c>
      <c r="AA678" s="137">
        <v>0</v>
      </c>
      <c r="AB678" s="137">
        <v>0</v>
      </c>
      <c r="AC678" s="137"/>
      <c r="AD678" s="137">
        <v>0</v>
      </c>
      <c r="AE678" s="139">
        <v>-27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109</v>
      </c>
      <c r="F679" s="133" t="s">
        <v>111</v>
      </c>
      <c r="G679" s="134">
        <v>46132</v>
      </c>
      <c r="H679" s="135">
        <v>0.7434606481481482</v>
      </c>
      <c r="I679" s="136">
        <v>169002825</v>
      </c>
      <c r="J679" s="137">
        <v>374.19</v>
      </c>
      <c r="K679" s="137">
        <f>N679+O679+P679</f>
        <v>334.0981</v>
      </c>
      <c r="L679" s="137">
        <f>Q679+R679</f>
        <v>40.0919</v>
      </c>
      <c r="M679" s="137">
        <f>IF(J679=K679+L679,0,Y679)</f>
        <v>0</v>
      </c>
      <c r="N679" s="138">
        <v>0</v>
      </c>
      <c r="O679" s="137">
        <v>334.0981</v>
      </c>
      <c r="P679" s="137">
        <v>0</v>
      </c>
      <c r="Q679" s="137">
        <v>0</v>
      </c>
      <c r="R679" s="137">
        <v>40.0919</v>
      </c>
      <c r="S679" s="138">
        <v>334.0981</v>
      </c>
      <c r="T679" s="137">
        <v>374.19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374.19</v>
      </c>
      <c r="AC679" s="137">
        <v>0</v>
      </c>
      <c r="AD679" s="137">
        <v>0</v>
      </c>
      <c r="AE679" s="139">
        <v>0</v>
      </c>
      <c r="AF679" s="56">
        <v>5.397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109</v>
      </c>
      <c r="F680" s="133" t="s">
        <v>111</v>
      </c>
      <c r="G680" s="134">
        <v>46132</v>
      </c>
      <c r="H680" s="135">
        <v>0.7440740740740741</v>
      </c>
      <c r="I680" s="136">
        <v>169002826</v>
      </c>
      <c r="J680" s="137">
        <v>196.99</v>
      </c>
      <c r="K680" s="137">
        <f>N680+O680+P680</f>
        <v>167.35660000000001</v>
      </c>
      <c r="L680" s="137">
        <f>Q680+R680</f>
        <v>29.6334</v>
      </c>
      <c r="M680" s="137">
        <f>IF(J680=K680+L680,0,Y680)</f>
        <v>0</v>
      </c>
      <c r="N680" s="138">
        <v>106.1156</v>
      </c>
      <c r="O680" s="137">
        <v>61.241</v>
      </c>
      <c r="P680" s="137">
        <v>0</v>
      </c>
      <c r="Q680" s="137">
        <v>22.2844</v>
      </c>
      <c r="R680" s="137">
        <v>7.349</v>
      </c>
      <c r="S680" s="138">
        <v>167.3566</v>
      </c>
      <c r="T680" s="137">
        <v>196.99</v>
      </c>
      <c r="U680" s="137">
        <v>0</v>
      </c>
      <c r="V680" s="137">
        <v>0</v>
      </c>
      <c r="W680" s="137">
        <v>0</v>
      </c>
      <c r="X680" s="137">
        <v>0</v>
      </c>
      <c r="Y680" s="137">
        <v>0</v>
      </c>
      <c r="Z680" s="138">
        <v>0</v>
      </c>
      <c r="AA680" s="137">
        <v>0</v>
      </c>
      <c r="AB680" s="137">
        <v>196.99</v>
      </c>
      <c r="AC680" s="137">
        <v>0</v>
      </c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109</v>
      </c>
      <c r="F681" s="133" t="s">
        <v>111</v>
      </c>
      <c r="G681" s="134">
        <v>46132</v>
      </c>
      <c r="H681" s="135">
        <v>0.7442708333333333</v>
      </c>
      <c r="I681" s="136">
        <v>169002827</v>
      </c>
      <c r="J681" s="137">
        <v>38</v>
      </c>
      <c r="K681" s="137">
        <f>N681+O681+P681</f>
        <v>34.0982</v>
      </c>
      <c r="L681" s="137">
        <f>Q681+R681</f>
        <v>4.0918</v>
      </c>
      <c r="M681" s="137">
        <f>IF(J681=K681+L681,0,Y681)</f>
        <v>-0.19</v>
      </c>
      <c r="N681" s="138">
        <v>0</v>
      </c>
      <c r="O681" s="137">
        <v>34.0982</v>
      </c>
      <c r="P681" s="137">
        <v>0</v>
      </c>
      <c r="Q681" s="137">
        <v>0</v>
      </c>
      <c r="R681" s="137">
        <v>4.0918</v>
      </c>
      <c r="S681" s="138">
        <v>34.0982</v>
      </c>
      <c r="T681" s="137">
        <v>38.19</v>
      </c>
      <c r="U681" s="137">
        <v>0</v>
      </c>
      <c r="V681" s="137">
        <v>0</v>
      </c>
      <c r="W681" s="137">
        <v>0</v>
      </c>
      <c r="X681" s="137">
        <v>0</v>
      </c>
      <c r="Y681" s="137">
        <v>-0.19</v>
      </c>
      <c r="Z681" s="138">
        <v>50</v>
      </c>
      <c r="AA681" s="137">
        <v>0</v>
      </c>
      <c r="AB681" s="137">
        <v>0</v>
      </c>
      <c r="AC681" s="137"/>
      <c r="AD681" s="137">
        <v>0</v>
      </c>
      <c r="AE681" s="139">
        <v>-12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109</v>
      </c>
      <c r="F682" s="133" t="s">
        <v>111</v>
      </c>
      <c r="G682" s="134">
        <v>46132</v>
      </c>
      <c r="H682" s="135">
        <v>0.7446064814814815</v>
      </c>
      <c r="I682" s="136">
        <v>169002828</v>
      </c>
      <c r="J682" s="137">
        <v>75.71</v>
      </c>
      <c r="K682" s="137">
        <f>N682+O682+P682</f>
        <v>67.5982</v>
      </c>
      <c r="L682" s="137">
        <f>Q682+R682</f>
        <v>8.1118</v>
      </c>
      <c r="M682" s="137">
        <f>IF(J682=K682+L682,0,Y682)</f>
        <v>0</v>
      </c>
      <c r="N682" s="138">
        <v>0</v>
      </c>
      <c r="O682" s="137">
        <v>67.5982</v>
      </c>
      <c r="P682" s="137">
        <v>0</v>
      </c>
      <c r="Q682" s="137">
        <v>0</v>
      </c>
      <c r="R682" s="137">
        <v>8.1118</v>
      </c>
      <c r="S682" s="138">
        <v>67.5982</v>
      </c>
      <c r="T682" s="137">
        <v>75.71</v>
      </c>
      <c r="U682" s="137">
        <v>0</v>
      </c>
      <c r="V682" s="137">
        <v>0</v>
      </c>
      <c r="W682" s="137">
        <v>0</v>
      </c>
      <c r="X682" s="137">
        <v>0</v>
      </c>
      <c r="Y682" s="137">
        <v>0</v>
      </c>
      <c r="Z682" s="138">
        <v>0</v>
      </c>
      <c r="AA682" s="137">
        <v>0</v>
      </c>
      <c r="AB682" s="137">
        <v>75.71</v>
      </c>
      <c r="AC682" s="137">
        <v>0</v>
      </c>
      <c r="AD682" s="137">
        <v>0</v>
      </c>
      <c r="AE682" s="139">
        <v>0</v>
      </c>
      <c r="AF682" s="56">
        <v>11.1178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109</v>
      </c>
      <c r="F683" s="133" t="s">
        <v>111</v>
      </c>
      <c r="G683" s="134">
        <v>46132</v>
      </c>
      <c r="H683" s="135">
        <v>0.7466782407407407</v>
      </c>
      <c r="I683" s="136">
        <v>169002829</v>
      </c>
      <c r="J683" s="137">
        <v>202.5</v>
      </c>
      <c r="K683" s="137">
        <f>N683+O683+P683</f>
        <v>180.8035</v>
      </c>
      <c r="L683" s="137">
        <f>Q683+R683</f>
        <v>21.6965</v>
      </c>
      <c r="M683" s="137">
        <f>IF(J683=K683+L683,0,Y683)</f>
        <v>0</v>
      </c>
      <c r="N683" s="138">
        <v>0</v>
      </c>
      <c r="O683" s="137">
        <v>180.8035</v>
      </c>
      <c r="P683" s="137">
        <v>0</v>
      </c>
      <c r="Q683" s="137">
        <v>0</v>
      </c>
      <c r="R683" s="137">
        <v>21.6965</v>
      </c>
      <c r="S683" s="138">
        <v>180.8035</v>
      </c>
      <c r="T683" s="137">
        <v>202.5</v>
      </c>
      <c r="U683" s="137">
        <v>0</v>
      </c>
      <c r="V683" s="137">
        <v>0</v>
      </c>
      <c r="W683" s="137">
        <v>0</v>
      </c>
      <c r="X683" s="137">
        <v>0</v>
      </c>
      <c r="Y683" s="137">
        <v>0</v>
      </c>
      <c r="Z683" s="138">
        <v>0</v>
      </c>
      <c r="AA683" s="137">
        <v>0</v>
      </c>
      <c r="AB683" s="137">
        <v>202.5</v>
      </c>
      <c r="AC683" s="137">
        <v>0</v>
      </c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109</v>
      </c>
      <c r="F684" s="133" t="s">
        <v>111</v>
      </c>
      <c r="G684" s="134">
        <v>46132</v>
      </c>
      <c r="H684" s="135">
        <v>0.7469675925925926</v>
      </c>
      <c r="I684" s="136">
        <v>169002830</v>
      </c>
      <c r="J684" s="137">
        <v>39.8</v>
      </c>
      <c r="K684" s="137">
        <f>N684+O684+P684</f>
        <v>35.5357</v>
      </c>
      <c r="L684" s="137">
        <f>Q684+R684</f>
        <v>4.2643</v>
      </c>
      <c r="M684" s="137">
        <f>IF(J684=K684+L684,0,Y684)</f>
        <v>0</v>
      </c>
      <c r="N684" s="138">
        <v>0</v>
      </c>
      <c r="O684" s="137">
        <v>35.5357</v>
      </c>
      <c r="P684" s="137">
        <v>0</v>
      </c>
      <c r="Q684" s="137">
        <v>0</v>
      </c>
      <c r="R684" s="137">
        <v>4.2643</v>
      </c>
      <c r="S684" s="138">
        <v>35.5357</v>
      </c>
      <c r="T684" s="137">
        <v>39.8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39.8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109</v>
      </c>
      <c r="F685" s="133" t="s">
        <v>111</v>
      </c>
      <c r="G685" s="134">
        <v>46132</v>
      </c>
      <c r="H685" s="135">
        <v>0.7501157407407407</v>
      </c>
      <c r="I685" s="136">
        <v>169002831</v>
      </c>
      <c r="J685" s="137">
        <v>308.23</v>
      </c>
      <c r="K685" s="137">
        <f>N685+O685+P685</f>
        <v>268.8698</v>
      </c>
      <c r="L685" s="137">
        <f>Q685+R685</f>
        <v>39.3602</v>
      </c>
      <c r="M685" s="137">
        <f>IF(J685=K685+L685,0,Y685)</f>
        <v>0</v>
      </c>
      <c r="N685" s="138">
        <v>78.843</v>
      </c>
      <c r="O685" s="137">
        <v>190.0268</v>
      </c>
      <c r="P685" s="137">
        <v>0</v>
      </c>
      <c r="Q685" s="137">
        <v>16.557</v>
      </c>
      <c r="R685" s="137">
        <v>22.8032</v>
      </c>
      <c r="S685" s="138">
        <v>268.8698</v>
      </c>
      <c r="T685" s="137">
        <v>308.23</v>
      </c>
      <c r="U685" s="137">
        <v>0</v>
      </c>
      <c r="V685" s="137">
        <v>0</v>
      </c>
      <c r="W685" s="137">
        <v>0</v>
      </c>
      <c r="X685" s="137">
        <v>0</v>
      </c>
      <c r="Y685" s="137">
        <v>0</v>
      </c>
      <c r="Z685" s="138">
        <v>0</v>
      </c>
      <c r="AA685" s="137">
        <v>0</v>
      </c>
      <c r="AB685" s="137">
        <v>308.23</v>
      </c>
      <c r="AC685" s="137">
        <v>0</v>
      </c>
      <c r="AD685" s="137">
        <v>0</v>
      </c>
      <c r="AE685" s="139">
        <v>0</v>
      </c>
      <c r="AF685" s="56">
        <v>52.05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109</v>
      </c>
      <c r="F686" s="133" t="s">
        <v>111</v>
      </c>
      <c r="G686" s="134">
        <v>46132</v>
      </c>
      <c r="H686" s="135">
        <v>0.7503703703703704</v>
      </c>
      <c r="I686" s="136">
        <v>169002832</v>
      </c>
      <c r="J686" s="137">
        <v>50</v>
      </c>
      <c r="K686" s="137">
        <f>N686+O686+P686</f>
        <v>41.157</v>
      </c>
      <c r="L686" s="137">
        <f>Q686+R686</f>
        <v>8.643</v>
      </c>
      <c r="M686" s="137">
        <f>IF(J686=K686+L686,0,Y686)</f>
        <v>0.2</v>
      </c>
      <c r="N686" s="138">
        <v>41.157</v>
      </c>
      <c r="O686" s="137">
        <v>0</v>
      </c>
      <c r="P686" s="137">
        <v>0</v>
      </c>
      <c r="Q686" s="137">
        <v>8.643</v>
      </c>
      <c r="R686" s="137">
        <v>0</v>
      </c>
      <c r="S686" s="138">
        <v>41.157</v>
      </c>
      <c r="T686" s="137">
        <v>49.8</v>
      </c>
      <c r="U686" s="137">
        <v>0</v>
      </c>
      <c r="V686" s="137">
        <v>0</v>
      </c>
      <c r="W686" s="137">
        <v>0</v>
      </c>
      <c r="X686" s="137">
        <v>0</v>
      </c>
      <c r="Y686" s="137">
        <v>0.2</v>
      </c>
      <c r="Z686" s="138">
        <v>200</v>
      </c>
      <c r="AA686" s="137">
        <v>0</v>
      </c>
      <c r="AB686" s="137">
        <v>0</v>
      </c>
      <c r="AC686" s="137"/>
      <c r="AD686" s="137">
        <v>0</v>
      </c>
      <c r="AE686" s="139">
        <v>-150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109</v>
      </c>
      <c r="F687" s="133" t="s">
        <v>111</v>
      </c>
      <c r="G687" s="134">
        <v>46132</v>
      </c>
      <c r="H687" s="135">
        <v>0.7513888888888889</v>
      </c>
      <c r="I687" s="136">
        <v>169002833</v>
      </c>
      <c r="J687" s="137">
        <v>642</v>
      </c>
      <c r="K687" s="137">
        <f>N687+O687+P687</f>
        <v>545.8248</v>
      </c>
      <c r="L687" s="137">
        <f>Q687+R687</f>
        <v>95.67519999999999</v>
      </c>
      <c r="M687" s="137">
        <f>IF(J687=K687+L687,0,Y687)</f>
        <v>0.5</v>
      </c>
      <c r="N687" s="138">
        <v>335.2892</v>
      </c>
      <c r="O687" s="137">
        <v>210.5356</v>
      </c>
      <c r="P687" s="137">
        <v>0</v>
      </c>
      <c r="Q687" s="137">
        <v>70.4108</v>
      </c>
      <c r="R687" s="137">
        <v>25.2644</v>
      </c>
      <c r="S687" s="138">
        <v>545.8248</v>
      </c>
      <c r="T687" s="137">
        <v>641.5</v>
      </c>
      <c r="U687" s="137">
        <v>0</v>
      </c>
      <c r="V687" s="137">
        <v>0</v>
      </c>
      <c r="W687" s="137">
        <v>0</v>
      </c>
      <c r="X687" s="137">
        <v>0</v>
      </c>
      <c r="Y687" s="137">
        <v>0.5</v>
      </c>
      <c r="Z687" s="138">
        <v>1002</v>
      </c>
      <c r="AA687" s="137">
        <v>0</v>
      </c>
      <c r="AB687" s="137">
        <v>0</v>
      </c>
      <c r="AC687" s="137"/>
      <c r="AD687" s="137">
        <v>0</v>
      </c>
      <c r="AE687" s="139">
        <v>-360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109</v>
      </c>
      <c r="F688" s="133" t="s">
        <v>111</v>
      </c>
      <c r="G688" s="134">
        <v>46132</v>
      </c>
      <c r="H688" s="135">
        <v>0.7524768518518519</v>
      </c>
      <c r="I688" s="136">
        <v>169002834</v>
      </c>
      <c r="J688" s="137">
        <v>195.6</v>
      </c>
      <c r="K688" s="137">
        <f>N688+O688+P688</f>
        <v>174.5167</v>
      </c>
      <c r="L688" s="137">
        <f>Q688+R688</f>
        <v>21.083299999999998</v>
      </c>
      <c r="M688" s="137">
        <f>IF(J688=K688+L688,0,Y688)</f>
        <v>0</v>
      </c>
      <c r="N688" s="138">
        <v>1.5702</v>
      </c>
      <c r="O688" s="137">
        <v>172.9465</v>
      </c>
      <c r="P688" s="137">
        <v>0</v>
      </c>
      <c r="Q688" s="137">
        <v>0.3298</v>
      </c>
      <c r="R688" s="137">
        <v>20.7535</v>
      </c>
      <c r="S688" s="138">
        <v>174.5167</v>
      </c>
      <c r="T688" s="137">
        <v>195.6</v>
      </c>
      <c r="U688" s="137">
        <v>0</v>
      </c>
      <c r="V688" s="137">
        <v>0</v>
      </c>
      <c r="W688" s="137">
        <v>0</v>
      </c>
      <c r="X688" s="137">
        <v>0</v>
      </c>
      <c r="Y688" s="137">
        <v>0</v>
      </c>
      <c r="Z688" s="138">
        <v>0</v>
      </c>
      <c r="AA688" s="137">
        <v>0</v>
      </c>
      <c r="AB688" s="137">
        <v>195.6</v>
      </c>
      <c r="AC688" s="137">
        <v>0</v>
      </c>
      <c r="AD688" s="137">
        <v>0</v>
      </c>
      <c r="AE688" s="139">
        <v>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109</v>
      </c>
      <c r="F689" s="133" t="s">
        <v>111</v>
      </c>
      <c r="G689" s="134">
        <v>46132</v>
      </c>
      <c r="H689" s="135">
        <v>0.7526736111111111</v>
      </c>
      <c r="I689" s="136">
        <v>169002835</v>
      </c>
      <c r="J689" s="137">
        <v>106</v>
      </c>
      <c r="K689" s="137">
        <f>N689+O689+P689</f>
        <v>92.7107</v>
      </c>
      <c r="L689" s="137">
        <f>Q689+R689</f>
        <v>12.9893</v>
      </c>
      <c r="M689" s="137">
        <f>IF(J689=K689+L689,0,Y689)</f>
        <v>0.3</v>
      </c>
      <c r="N689" s="138">
        <v>24.7107</v>
      </c>
      <c r="O689" s="137">
        <v>65</v>
      </c>
      <c r="P689" s="137">
        <v>3</v>
      </c>
      <c r="Q689" s="137">
        <v>5.1893</v>
      </c>
      <c r="R689" s="137">
        <v>7.8</v>
      </c>
      <c r="S689" s="138">
        <v>89.7107</v>
      </c>
      <c r="T689" s="137">
        <v>102.7</v>
      </c>
      <c r="U689" s="137">
        <v>0</v>
      </c>
      <c r="V689" s="137">
        <v>0</v>
      </c>
      <c r="W689" s="137">
        <v>3</v>
      </c>
      <c r="X689" s="137">
        <v>0</v>
      </c>
      <c r="Y689" s="137">
        <v>0.3</v>
      </c>
      <c r="Z689" s="138">
        <v>200</v>
      </c>
      <c r="AA689" s="137">
        <v>0</v>
      </c>
      <c r="AB689" s="137">
        <v>0</v>
      </c>
      <c r="AC689" s="137"/>
      <c r="AD689" s="137">
        <v>0</v>
      </c>
      <c r="AE689" s="139">
        <v>-94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109</v>
      </c>
      <c r="F690" s="133" t="s">
        <v>111</v>
      </c>
      <c r="G690" s="134">
        <v>46132</v>
      </c>
      <c r="H690" s="135">
        <v>0.753287037037037</v>
      </c>
      <c r="I690" s="136">
        <v>169002836</v>
      </c>
      <c r="J690" s="137">
        <v>286.8</v>
      </c>
      <c r="K690" s="137">
        <f>N690+O690+P690</f>
        <v>247.4845</v>
      </c>
      <c r="L690" s="137">
        <f>Q690+R690</f>
        <v>39.3155</v>
      </c>
      <c r="M690" s="137">
        <f>IF(J690=K690+L690,0,Y690)</f>
        <v>0</v>
      </c>
      <c r="N690" s="138">
        <v>106.8595</v>
      </c>
      <c r="O690" s="137">
        <v>140.625</v>
      </c>
      <c r="P690" s="137">
        <v>0</v>
      </c>
      <c r="Q690" s="137">
        <v>22.4405</v>
      </c>
      <c r="R690" s="137">
        <v>16.875</v>
      </c>
      <c r="S690" s="138">
        <v>247.4845</v>
      </c>
      <c r="T690" s="137">
        <v>286.8</v>
      </c>
      <c r="U690" s="137">
        <v>0</v>
      </c>
      <c r="V690" s="137">
        <v>0</v>
      </c>
      <c r="W690" s="137">
        <v>0</v>
      </c>
      <c r="X690" s="137">
        <v>0</v>
      </c>
      <c r="Y690" s="137">
        <v>0</v>
      </c>
      <c r="Z690" s="138">
        <v>0</v>
      </c>
      <c r="AA690" s="137">
        <v>0</v>
      </c>
      <c r="AB690" s="137">
        <v>286.8</v>
      </c>
      <c r="AC690" s="137">
        <v>0</v>
      </c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109</v>
      </c>
      <c r="F691" s="133" t="s">
        <v>111</v>
      </c>
      <c r="G691" s="134">
        <v>46132</v>
      </c>
      <c r="H691" s="135">
        <v>0.7533912037037037</v>
      </c>
      <c r="I691" s="136">
        <v>169002837</v>
      </c>
      <c r="J691" s="137">
        <v>23</v>
      </c>
      <c r="K691" s="137">
        <f>N691+O691+P691</f>
        <v>18.9256</v>
      </c>
      <c r="L691" s="137">
        <f>Q691+R691</f>
        <v>3.9744</v>
      </c>
      <c r="M691" s="137">
        <f>IF(J691=K691+L691,0,Y691)</f>
        <v>0.1</v>
      </c>
      <c r="N691" s="138">
        <v>18.9256</v>
      </c>
      <c r="O691" s="137">
        <v>0</v>
      </c>
      <c r="P691" s="137">
        <v>0</v>
      </c>
      <c r="Q691" s="137">
        <v>3.9744</v>
      </c>
      <c r="R691" s="137">
        <v>0</v>
      </c>
      <c r="S691" s="138">
        <v>18.9256</v>
      </c>
      <c r="T691" s="137">
        <v>22.9</v>
      </c>
      <c r="U691" s="137">
        <v>0</v>
      </c>
      <c r="V691" s="137">
        <v>0</v>
      </c>
      <c r="W691" s="137">
        <v>0</v>
      </c>
      <c r="X691" s="137">
        <v>0</v>
      </c>
      <c r="Y691" s="137">
        <v>0.1</v>
      </c>
      <c r="Z691" s="138">
        <v>25</v>
      </c>
      <c r="AA691" s="137">
        <v>0</v>
      </c>
      <c r="AB691" s="137">
        <v>0</v>
      </c>
      <c r="AC691" s="137"/>
      <c r="AD691" s="137">
        <v>0</v>
      </c>
      <c r="AE691" s="139">
        <v>-2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109</v>
      </c>
      <c r="F692" s="133" t="s">
        <v>111</v>
      </c>
      <c r="G692" s="134">
        <v>46132</v>
      </c>
      <c r="H692" s="135">
        <v>0.7535648148148149</v>
      </c>
      <c r="I692" s="136">
        <v>169002838</v>
      </c>
      <c r="J692" s="137">
        <v>28</v>
      </c>
      <c r="K692" s="137">
        <f>N692+O692+P692</f>
        <v>24.9107</v>
      </c>
      <c r="L692" s="137">
        <f>Q692+R692</f>
        <v>2.9893</v>
      </c>
      <c r="M692" s="137">
        <f>IF(J692=K692+L692,0,Y692)</f>
        <v>0.1</v>
      </c>
      <c r="N692" s="138">
        <v>0</v>
      </c>
      <c r="O692" s="137">
        <v>24.9107</v>
      </c>
      <c r="P692" s="137">
        <v>0</v>
      </c>
      <c r="Q692" s="137">
        <v>0</v>
      </c>
      <c r="R692" s="137">
        <v>2.9893</v>
      </c>
      <c r="S692" s="138">
        <v>24.9107</v>
      </c>
      <c r="T692" s="137">
        <v>27.9</v>
      </c>
      <c r="U692" s="137">
        <v>0</v>
      </c>
      <c r="V692" s="137">
        <v>0</v>
      </c>
      <c r="W692" s="137">
        <v>0</v>
      </c>
      <c r="X692" s="137">
        <v>0</v>
      </c>
      <c r="Y692" s="137">
        <v>0.1</v>
      </c>
      <c r="Z692" s="138">
        <v>50</v>
      </c>
      <c r="AA692" s="137">
        <v>0</v>
      </c>
      <c r="AB692" s="137">
        <v>0</v>
      </c>
      <c r="AC692" s="137"/>
      <c r="AD692" s="137">
        <v>0</v>
      </c>
      <c r="AE692" s="139">
        <v>-22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109</v>
      </c>
      <c r="F693" s="133" t="s">
        <v>111</v>
      </c>
      <c r="G693" s="134">
        <v>46132</v>
      </c>
      <c r="H693" s="135">
        <v>0.755162037037037</v>
      </c>
      <c r="I693" s="136">
        <v>169002839</v>
      </c>
      <c r="J693" s="137">
        <v>203.73</v>
      </c>
      <c r="K693" s="137">
        <f>N693+O693+P693</f>
        <v>181.9018</v>
      </c>
      <c r="L693" s="137">
        <f>Q693+R693</f>
        <v>21.8282</v>
      </c>
      <c r="M693" s="137">
        <f>IF(J693=K693+L693,0,Y693)</f>
        <v>0</v>
      </c>
      <c r="N693" s="138">
        <v>0</v>
      </c>
      <c r="O693" s="137">
        <v>181.9018</v>
      </c>
      <c r="P693" s="137">
        <v>0</v>
      </c>
      <c r="Q693" s="137">
        <v>0</v>
      </c>
      <c r="R693" s="137">
        <v>21.8282</v>
      </c>
      <c r="S693" s="138">
        <v>181.9018</v>
      </c>
      <c r="T693" s="137">
        <v>203.73</v>
      </c>
      <c r="U693" s="137">
        <v>0</v>
      </c>
      <c r="V693" s="137">
        <v>0</v>
      </c>
      <c r="W693" s="137">
        <v>0</v>
      </c>
      <c r="X693" s="137">
        <v>0</v>
      </c>
      <c r="Y693" s="137">
        <v>0</v>
      </c>
      <c r="Z693" s="138">
        <v>0</v>
      </c>
      <c r="AA693" s="137">
        <v>0</v>
      </c>
      <c r="AB693" s="137">
        <v>203.73</v>
      </c>
      <c r="AC693" s="137">
        <v>0</v>
      </c>
      <c r="AD693" s="137">
        <v>0</v>
      </c>
      <c r="AE693" s="139">
        <v>0</v>
      </c>
      <c r="AF693" s="56">
        <v>20.97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109</v>
      </c>
      <c r="F694" s="133" t="s">
        <v>111</v>
      </c>
      <c r="G694" s="134">
        <v>46132</v>
      </c>
      <c r="H694" s="135">
        <v>0.7562384259259259</v>
      </c>
      <c r="I694" s="136">
        <v>169002840</v>
      </c>
      <c r="J694" s="137">
        <v>249</v>
      </c>
      <c r="K694" s="137">
        <f>N694+O694+P694</f>
        <v>213.1583</v>
      </c>
      <c r="L694" s="137">
        <f>Q694+R694</f>
        <v>35.7617</v>
      </c>
      <c r="M694" s="137">
        <f>IF(J694=K694+L694,0,Y694)</f>
        <v>0.08</v>
      </c>
      <c r="N694" s="138">
        <v>113.1405</v>
      </c>
      <c r="O694" s="137">
        <v>100.0178</v>
      </c>
      <c r="P694" s="137">
        <v>0</v>
      </c>
      <c r="Q694" s="137">
        <v>23.7595</v>
      </c>
      <c r="R694" s="137">
        <v>12.0022</v>
      </c>
      <c r="S694" s="138">
        <v>213.1583</v>
      </c>
      <c r="T694" s="137">
        <v>248.92</v>
      </c>
      <c r="U694" s="137">
        <v>0</v>
      </c>
      <c r="V694" s="137">
        <v>0</v>
      </c>
      <c r="W694" s="137">
        <v>0</v>
      </c>
      <c r="X694" s="137">
        <v>0</v>
      </c>
      <c r="Y694" s="137">
        <v>0.08</v>
      </c>
      <c r="Z694" s="138">
        <v>249</v>
      </c>
      <c r="AA694" s="137">
        <v>0</v>
      </c>
      <c r="AB694" s="137">
        <v>0</v>
      </c>
      <c r="AC694" s="137"/>
      <c r="AD694" s="137">
        <v>0</v>
      </c>
      <c r="AE694" s="139">
        <v>0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109</v>
      </c>
      <c r="F695" s="133" t="s">
        <v>111</v>
      </c>
      <c r="G695" s="134">
        <v>46132</v>
      </c>
      <c r="H695" s="135">
        <v>0.8299421296296297</v>
      </c>
      <c r="I695" s="136">
        <v>169002841</v>
      </c>
      <c r="J695" s="137">
        <v>129.6</v>
      </c>
      <c r="K695" s="137">
        <f>N695+O695+P695</f>
        <v>107.1074</v>
      </c>
      <c r="L695" s="137">
        <f>Q695+R695</f>
        <v>22.4926</v>
      </c>
      <c r="M695" s="137">
        <f>IF(J695=K695+L695,0,Y695)</f>
        <v>0</v>
      </c>
      <c r="N695" s="138">
        <v>107.1074</v>
      </c>
      <c r="O695" s="137">
        <v>0</v>
      </c>
      <c r="P695" s="137">
        <v>0</v>
      </c>
      <c r="Q695" s="137">
        <v>22.4926</v>
      </c>
      <c r="R695" s="137">
        <v>0</v>
      </c>
      <c r="S695" s="138">
        <v>107.1074</v>
      </c>
      <c r="T695" s="137">
        <v>129.6</v>
      </c>
      <c r="U695" s="137">
        <v>0</v>
      </c>
      <c r="V695" s="137">
        <v>0</v>
      </c>
      <c r="W695" s="137">
        <v>0</v>
      </c>
      <c r="X695" s="137">
        <v>0</v>
      </c>
      <c r="Y695" s="137">
        <v>0</v>
      </c>
      <c r="Z695" s="138">
        <v>0</v>
      </c>
      <c r="AA695" s="137">
        <v>0</v>
      </c>
      <c r="AB695" s="137">
        <v>129.6</v>
      </c>
      <c r="AC695" s="137">
        <v>0</v>
      </c>
      <c r="AD695" s="137">
        <v>0</v>
      </c>
      <c r="AE695" s="139">
        <v>0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109</v>
      </c>
      <c r="F696" s="133" t="s">
        <v>111</v>
      </c>
      <c r="G696" s="134">
        <v>46132</v>
      </c>
      <c r="H696" s="135">
        <v>0.8313773148148148</v>
      </c>
      <c r="I696" s="136">
        <v>169002842</v>
      </c>
      <c r="J696" s="137">
        <v>36</v>
      </c>
      <c r="K696" s="137">
        <f>N696+O696+P696</f>
        <v>30.1901</v>
      </c>
      <c r="L696" s="137">
        <f>Q696+R696</f>
        <v>5.7099</v>
      </c>
      <c r="M696" s="137">
        <f>IF(J696=K696+L696,0,Y696)</f>
        <v>0.1</v>
      </c>
      <c r="N696" s="138">
        <v>27.1901</v>
      </c>
      <c r="O696" s="137">
        <v>0</v>
      </c>
      <c r="P696" s="137">
        <v>3</v>
      </c>
      <c r="Q696" s="137">
        <v>5.7099</v>
      </c>
      <c r="R696" s="137">
        <v>0</v>
      </c>
      <c r="S696" s="138">
        <v>27.1901</v>
      </c>
      <c r="T696" s="137">
        <v>32.9</v>
      </c>
      <c r="U696" s="137">
        <v>0</v>
      </c>
      <c r="V696" s="137">
        <v>0</v>
      </c>
      <c r="W696" s="137">
        <v>3</v>
      </c>
      <c r="X696" s="137">
        <v>0</v>
      </c>
      <c r="Y696" s="137">
        <v>0.1</v>
      </c>
      <c r="Z696" s="138">
        <v>500</v>
      </c>
      <c r="AA696" s="137">
        <v>0</v>
      </c>
      <c r="AB696" s="137">
        <v>0</v>
      </c>
      <c r="AC696" s="137"/>
      <c r="AD696" s="137">
        <v>0</v>
      </c>
      <c r="AE696" s="139">
        <v>-464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109</v>
      </c>
      <c r="F697" s="133" t="s">
        <v>111</v>
      </c>
      <c r="G697" s="134">
        <v>46132</v>
      </c>
      <c r="H697" s="135">
        <v>0.8320601851851852</v>
      </c>
      <c r="I697" s="136">
        <v>169002843</v>
      </c>
      <c r="J697" s="137">
        <v>1.9</v>
      </c>
      <c r="K697" s="137">
        <f>N697+O697+P697</f>
        <v>1.5702</v>
      </c>
      <c r="L697" s="137">
        <f>Q697+R697</f>
        <v>0.3298</v>
      </c>
      <c r="M697" s="137">
        <f>IF(J697=K697+L697,0,Y697)</f>
        <v>0</v>
      </c>
      <c r="N697" s="138">
        <v>1.5702</v>
      </c>
      <c r="O697" s="137">
        <v>0</v>
      </c>
      <c r="P697" s="137">
        <v>0</v>
      </c>
      <c r="Q697" s="137">
        <v>0.3298</v>
      </c>
      <c r="R697" s="137">
        <v>0</v>
      </c>
      <c r="S697" s="138">
        <v>1.5702</v>
      </c>
      <c r="T697" s="137">
        <v>1.9</v>
      </c>
      <c r="U697" s="137">
        <v>0</v>
      </c>
      <c r="V697" s="137">
        <v>0</v>
      </c>
      <c r="W697" s="137">
        <v>0</v>
      </c>
      <c r="X697" s="137">
        <v>0</v>
      </c>
      <c r="Y697" s="137">
        <v>0</v>
      </c>
      <c r="Z697" s="138">
        <v>0</v>
      </c>
      <c r="AA697" s="137">
        <v>0</v>
      </c>
      <c r="AB697" s="137">
        <v>1.9</v>
      </c>
      <c r="AC697" s="137">
        <v>0</v>
      </c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109</v>
      </c>
      <c r="F698" s="133" t="s">
        <v>111</v>
      </c>
      <c r="G698" s="134">
        <v>46132</v>
      </c>
      <c r="H698" s="135">
        <v>0.8324652777777778</v>
      </c>
      <c r="I698" s="136">
        <v>169002844</v>
      </c>
      <c r="J698" s="137">
        <v>44.93</v>
      </c>
      <c r="K698" s="137">
        <f>N698+O698+P698</f>
        <v>40.1161</v>
      </c>
      <c r="L698" s="137">
        <f>Q698+R698</f>
        <v>4.8139</v>
      </c>
      <c r="M698" s="137">
        <f>IF(J698=K698+L698,0,Y698)</f>
        <v>0</v>
      </c>
      <c r="N698" s="138">
        <v>0</v>
      </c>
      <c r="O698" s="137">
        <v>40.1161</v>
      </c>
      <c r="P698" s="137">
        <v>0</v>
      </c>
      <c r="Q698" s="137">
        <v>0</v>
      </c>
      <c r="R698" s="137">
        <v>4.8139</v>
      </c>
      <c r="S698" s="138">
        <v>40.1161</v>
      </c>
      <c r="T698" s="137">
        <v>44.93</v>
      </c>
      <c r="U698" s="137">
        <v>0</v>
      </c>
      <c r="V698" s="137">
        <v>0</v>
      </c>
      <c r="W698" s="137">
        <v>0</v>
      </c>
      <c r="X698" s="137">
        <v>0</v>
      </c>
      <c r="Y698" s="137">
        <v>0</v>
      </c>
      <c r="Z698" s="138">
        <v>0</v>
      </c>
      <c r="AA698" s="137">
        <v>0</v>
      </c>
      <c r="AB698" s="137">
        <v>44.93</v>
      </c>
      <c r="AC698" s="137">
        <v>0</v>
      </c>
      <c r="AD698" s="137">
        <v>0</v>
      </c>
      <c r="AE698" s="139">
        <v>0</v>
      </c>
      <c r="AF698" s="56">
        <v>10.5567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/>
      <c r="J1" s="101"/>
      <c r="K1" s="101" t="s">
        <v>131</v>
      </c>
      <c r="L1" s="101"/>
      <c r="M1" s="101"/>
      <c r="N1" s="101"/>
      <c r="O1" s="101"/>
      <c r="P1" s="149" t="s">
        <v>65</v>
      </c>
      <c r="Q1" s="149"/>
      <c r="R1" s="149" t="s">
        <v>132</v>
      </c>
      <c r="S1" s="149"/>
      <c r="T1" s="149"/>
      <c r="U1" s="149"/>
      <c r="V1" s="149"/>
      <c r="W1" s="150" t="s">
        <v>133</v>
      </c>
      <c r="X1" s="150"/>
      <c r="Y1" s="142" t="s">
        <v>134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118</v>
      </c>
      <c r="C2" s="153" t="s">
        <v>68</v>
      </c>
      <c r="D2" s="154" t="s">
        <v>119</v>
      </c>
      <c r="E2" s="152" t="s">
        <v>69</v>
      </c>
      <c r="F2" s="155" t="s">
        <v>66</v>
      </c>
      <c r="G2" s="156" t="s">
        <v>120</v>
      </c>
      <c r="H2" s="157" t="s">
        <v>121</v>
      </c>
      <c r="I2" s="158" t="s">
        <v>122</v>
      </c>
      <c r="J2" s="159" t="s">
        <v>135</v>
      </c>
      <c r="K2" s="160" t="s">
        <v>136</v>
      </c>
      <c r="L2" s="161" t="s">
        <v>137</v>
      </c>
      <c r="M2" s="161" t="s">
        <v>138</v>
      </c>
      <c r="N2" s="161" t="s">
        <v>139</v>
      </c>
      <c r="O2" s="162" t="s">
        <v>140</v>
      </c>
      <c r="P2" s="151" t="s">
        <v>141</v>
      </c>
      <c r="Q2" s="162" t="s">
        <v>142</v>
      </c>
      <c r="R2" s="163" t="s">
        <v>131</v>
      </c>
      <c r="S2" s="163"/>
      <c r="T2" s="163"/>
      <c r="U2" s="163"/>
      <c r="V2" s="164" t="s">
        <v>143</v>
      </c>
      <c r="W2" s="165" t="s">
        <v>133</v>
      </c>
      <c r="X2" s="162" t="s">
        <v>144</v>
      </c>
      <c r="Y2" s="166">
        <f>SUBTOTAL(109,Y4:Y999225)</f>
        <v>92256.22579999815</v>
      </c>
      <c r="Z2" s="69">
        <f>SUBTOTAL(109,Z4:Z999225)</f>
        <v>80410.62169273927</v>
      </c>
      <c r="AA2" s="67">
        <f>SUBTOTAL(109,AA4:AA999225)</f>
        <v>11845.60410726086</v>
      </c>
      <c r="AB2" s="66">
        <f>SUBTOTAL(109,AB4:AB999225)</f>
        <v>6</v>
      </c>
      <c r="AC2" s="166">
        <f>SUBTOTAL(109,AC4:AC999225)</f>
        <v>92295.12579999815</v>
      </c>
      <c r="AD2" s="70">
        <f>SUBTOTAL(109,AD4:AD999225)</f>
        <v>117438.24999999422</v>
      </c>
      <c r="AE2" s="67">
        <f>SUBTOTAL(109,AE4:AE999225)</f>
        <v>3356.4299999999976</v>
      </c>
      <c r="AF2" s="68">
        <f>SUBTOTAL(109,AF4:AF999225)</f>
        <v>1083.0861000000011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145</v>
      </c>
      <c r="S3" s="168" t="s">
        <v>146</v>
      </c>
      <c r="T3" s="167" t="s">
        <v>49</v>
      </c>
      <c r="U3" s="169" t="s">
        <v>147</v>
      </c>
      <c r="V3" s="170" t="s">
        <v>148</v>
      </c>
      <c r="W3" s="165"/>
      <c r="X3" s="162"/>
      <c r="Y3" s="77" t="s">
        <v>149</v>
      </c>
      <c r="Z3" s="77" t="s">
        <v>150</v>
      </c>
      <c r="AA3" s="77" t="s">
        <v>151</v>
      </c>
      <c r="AB3" s="78" t="s">
        <v>152</v>
      </c>
      <c r="AC3" s="80" t="s">
        <v>153</v>
      </c>
      <c r="AD3" s="81" t="s">
        <v>154</v>
      </c>
      <c r="AE3" s="78" t="s">
        <v>155</v>
      </c>
      <c r="AF3" s="79" t="s">
        <v>156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46132</v>
      </c>
      <c r="H4" s="98">
        <v>0.3162962962962963</v>
      </c>
      <c r="I4" s="91">
        <v>161000330</v>
      </c>
      <c r="J4" s="96" t="s">
        <v>157</v>
      </c>
      <c r="K4" s="49" t="s">
        <v>158</v>
      </c>
      <c r="L4" s="39" t="s">
        <v>159</v>
      </c>
      <c r="M4" s="49" t="s">
        <v>160</v>
      </c>
      <c r="N4" s="39" t="s">
        <v>161</v>
      </c>
      <c r="O4" s="96" t="s">
        <v>162</v>
      </c>
      <c r="P4" s="49" t="s">
        <v>157</v>
      </c>
      <c r="Q4" s="96" t="s">
        <v>104</v>
      </c>
      <c r="R4" s="92">
        <v>32.9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163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32.9</v>
      </c>
      <c r="AD4" s="172">
        <v>32.9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46132</v>
      </c>
      <c r="H5" s="98">
        <v>0.3180208333333333</v>
      </c>
      <c r="I5" s="91">
        <v>161000331</v>
      </c>
      <c r="J5" s="96" t="s">
        <v>157</v>
      </c>
      <c r="K5" s="49" t="s">
        <v>164</v>
      </c>
      <c r="L5" s="39" t="s">
        <v>165</v>
      </c>
      <c r="M5" s="49" t="s">
        <v>166</v>
      </c>
      <c r="N5" s="39" t="s">
        <v>167</v>
      </c>
      <c r="O5" s="96" t="s">
        <v>168</v>
      </c>
      <c r="P5" s="49" t="s">
        <v>157</v>
      </c>
      <c r="Q5" s="96" t="s">
        <v>104</v>
      </c>
      <c r="R5" s="92">
        <v>23.9</v>
      </c>
      <c r="S5" s="92">
        <f>R5-T5</f>
        <v>19.752066115702476</v>
      </c>
      <c r="T5" s="92">
        <f>R5*U5/(U5+100)</f>
        <v>4.147933884297521</v>
      </c>
      <c r="U5" s="91">
        <v>21</v>
      </c>
      <c r="V5" s="93">
        <v>0</v>
      </c>
      <c r="W5" s="171">
        <v>1</v>
      </c>
      <c r="X5" s="148" t="s">
        <v>163</v>
      </c>
      <c r="Y5" s="94">
        <f>R5*W5</f>
        <v>23.9</v>
      </c>
      <c r="Z5" s="92">
        <f>S5*W5</f>
        <v>19.752066115702476</v>
      </c>
      <c r="AA5" s="92">
        <f>T5*W5</f>
        <v>4.147933884297521</v>
      </c>
      <c r="AB5" s="92">
        <f>V5*W5</f>
        <v>0</v>
      </c>
      <c r="AC5" s="93">
        <f>(R5+V5)*W5</f>
        <v>23.9</v>
      </c>
      <c r="AD5" s="172">
        <v>23.9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46132</v>
      </c>
      <c r="H6" s="98">
        <v>0.33067129629629627</v>
      </c>
      <c r="I6" s="91">
        <v>161000332</v>
      </c>
      <c r="J6" s="96" t="s">
        <v>157</v>
      </c>
      <c r="K6" s="49" t="s">
        <v>169</v>
      </c>
      <c r="L6" s="39" t="s">
        <v>170</v>
      </c>
      <c r="M6" s="49" t="s">
        <v>171</v>
      </c>
      <c r="N6" s="39" t="s">
        <v>172</v>
      </c>
      <c r="O6" s="96" t="s">
        <v>173</v>
      </c>
      <c r="P6" s="49" t="s">
        <v>157</v>
      </c>
      <c r="Q6" s="96" t="s">
        <v>104</v>
      </c>
      <c r="R6" s="92">
        <v>10.9</v>
      </c>
      <c r="S6" s="92">
        <f>R6-T6</f>
        <v>9.732142857142858</v>
      </c>
      <c r="T6" s="92">
        <f>R6*U6/(U6+100)</f>
        <v>1.167857142857143</v>
      </c>
      <c r="U6" s="91">
        <v>12</v>
      </c>
      <c r="V6" s="93">
        <v>0</v>
      </c>
      <c r="W6" s="171">
        <v>1</v>
      </c>
      <c r="X6" s="148" t="s">
        <v>163</v>
      </c>
      <c r="Y6" s="94">
        <f>R6*W6</f>
        <v>10.9</v>
      </c>
      <c r="Z6" s="92">
        <f>S6*W6</f>
        <v>9.732142857142858</v>
      </c>
      <c r="AA6" s="92">
        <f>T6*W6</f>
        <v>1.167857142857143</v>
      </c>
      <c r="AB6" s="92">
        <f>V6*W6</f>
        <v>0</v>
      </c>
      <c r="AC6" s="93">
        <f>(R6+V6)*W6</f>
        <v>10.9</v>
      </c>
      <c r="AD6" s="172">
        <v>10.9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46132</v>
      </c>
      <c r="H7" s="98">
        <v>0.33067129629629627</v>
      </c>
      <c r="I7" s="91">
        <v>161000332</v>
      </c>
      <c r="J7" s="96" t="s">
        <v>157</v>
      </c>
      <c r="K7" s="49" t="s">
        <v>174</v>
      </c>
      <c r="L7" s="39" t="s">
        <v>175</v>
      </c>
      <c r="M7" s="49" t="s">
        <v>171</v>
      </c>
      <c r="N7" s="39" t="s">
        <v>172</v>
      </c>
      <c r="O7" s="96" t="s">
        <v>176</v>
      </c>
      <c r="P7" s="49" t="s">
        <v>157</v>
      </c>
      <c r="Q7" s="96" t="s">
        <v>104</v>
      </c>
      <c r="R7" s="92">
        <v>11.4</v>
      </c>
      <c r="S7" s="92">
        <f>R7-T7</f>
        <v>10.178571428571429</v>
      </c>
      <c r="T7" s="92">
        <f>R7*U7/(U7+100)</f>
        <v>1.2214285714285715</v>
      </c>
      <c r="U7" s="91">
        <v>12</v>
      </c>
      <c r="V7" s="93">
        <v>0</v>
      </c>
      <c r="W7" s="171">
        <v>1</v>
      </c>
      <c r="X7" s="148" t="s">
        <v>163</v>
      </c>
      <c r="Y7" s="94">
        <f>R7*W7</f>
        <v>11.4</v>
      </c>
      <c r="Z7" s="92">
        <f>S7*W7</f>
        <v>10.178571428571429</v>
      </c>
      <c r="AA7" s="92">
        <f>T7*W7</f>
        <v>1.2214285714285715</v>
      </c>
      <c r="AB7" s="92">
        <f>V7*W7</f>
        <v>0</v>
      </c>
      <c r="AC7" s="93">
        <f>(R7+V7)*W7</f>
        <v>11.4</v>
      </c>
      <c r="AD7" s="172">
        <v>11.4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46132</v>
      </c>
      <c r="H8" s="98">
        <v>0.33067129629629627</v>
      </c>
      <c r="I8" s="91">
        <v>161000332</v>
      </c>
      <c r="J8" s="96" t="s">
        <v>157</v>
      </c>
      <c r="K8" s="49" t="s">
        <v>177</v>
      </c>
      <c r="L8" s="39" t="s">
        <v>178</v>
      </c>
      <c r="M8" s="49" t="s">
        <v>171</v>
      </c>
      <c r="N8" s="39" t="s">
        <v>172</v>
      </c>
      <c r="O8" s="96" t="s">
        <v>179</v>
      </c>
      <c r="P8" s="49" t="s">
        <v>157</v>
      </c>
      <c r="Q8" s="96" t="s">
        <v>104</v>
      </c>
      <c r="R8" s="92">
        <v>11.4</v>
      </c>
      <c r="S8" s="92">
        <f>R8-T8</f>
        <v>10.178571428571429</v>
      </c>
      <c r="T8" s="92">
        <f>R8*U8/(U8+100)</f>
        <v>1.2214285714285715</v>
      </c>
      <c r="U8" s="91">
        <v>12</v>
      </c>
      <c r="V8" s="93">
        <v>0</v>
      </c>
      <c r="W8" s="171">
        <v>1</v>
      </c>
      <c r="X8" s="148" t="s">
        <v>163</v>
      </c>
      <c r="Y8" s="94">
        <f>R8*W8</f>
        <v>11.4</v>
      </c>
      <c r="Z8" s="92">
        <f>S8*W8</f>
        <v>10.178571428571429</v>
      </c>
      <c r="AA8" s="92">
        <f>T8*W8</f>
        <v>1.2214285714285715</v>
      </c>
      <c r="AB8" s="92">
        <f>V8*W8</f>
        <v>0</v>
      </c>
      <c r="AC8" s="93">
        <f>(R8+V8)*W8</f>
        <v>11.4</v>
      </c>
      <c r="AD8" s="172">
        <v>11.4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46132</v>
      </c>
      <c r="H9" s="98">
        <v>0.33067129629629627</v>
      </c>
      <c r="I9" s="91">
        <v>161000332</v>
      </c>
      <c r="J9" s="96" t="s">
        <v>157</v>
      </c>
      <c r="K9" s="49" t="s">
        <v>180</v>
      </c>
      <c r="L9" s="39" t="s">
        <v>181</v>
      </c>
      <c r="M9" s="49" t="s">
        <v>171</v>
      </c>
      <c r="N9" s="39" t="s">
        <v>172</v>
      </c>
      <c r="O9" s="96" t="s">
        <v>182</v>
      </c>
      <c r="P9" s="49" t="s">
        <v>157</v>
      </c>
      <c r="Q9" s="96" t="s">
        <v>104</v>
      </c>
      <c r="R9" s="92">
        <v>11.4</v>
      </c>
      <c r="S9" s="92">
        <f>R9-T9</f>
        <v>10.178571428571429</v>
      </c>
      <c r="T9" s="92">
        <f>R9*U9/(U9+100)</f>
        <v>1.2214285714285715</v>
      </c>
      <c r="U9" s="91">
        <v>12</v>
      </c>
      <c r="V9" s="93">
        <v>0</v>
      </c>
      <c r="W9" s="171">
        <v>1</v>
      </c>
      <c r="X9" s="148" t="s">
        <v>163</v>
      </c>
      <c r="Y9" s="94">
        <f>R9*W9</f>
        <v>11.4</v>
      </c>
      <c r="Z9" s="92">
        <f>S9*W9</f>
        <v>10.178571428571429</v>
      </c>
      <c r="AA9" s="92">
        <f>T9*W9</f>
        <v>1.2214285714285715</v>
      </c>
      <c r="AB9" s="92">
        <f>V9*W9</f>
        <v>0</v>
      </c>
      <c r="AC9" s="93">
        <f>(R9+V9)*W9</f>
        <v>11.4</v>
      </c>
      <c r="AD9" s="172">
        <v>11.4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46132</v>
      </c>
      <c r="H10" s="98">
        <v>0.33067129629629627</v>
      </c>
      <c r="I10" s="91">
        <v>161000332</v>
      </c>
      <c r="J10" s="96" t="s">
        <v>157</v>
      </c>
      <c r="K10" s="49" t="s">
        <v>183</v>
      </c>
      <c r="L10" s="39" t="s">
        <v>184</v>
      </c>
      <c r="M10" s="49" t="s">
        <v>185</v>
      </c>
      <c r="N10" s="39" t="s">
        <v>186</v>
      </c>
      <c r="O10" s="96" t="s">
        <v>187</v>
      </c>
      <c r="P10" s="49" t="s">
        <v>157</v>
      </c>
      <c r="Q10" s="96" t="s">
        <v>104</v>
      </c>
      <c r="R10" s="92">
        <v>1.9</v>
      </c>
      <c r="S10" s="92">
        <f>R10-T10</f>
        <v>1.5702479338842974</v>
      </c>
      <c r="T10" s="92">
        <f>R10*U10/(U10+100)</f>
        <v>0.32975206611570246</v>
      </c>
      <c r="U10" s="91">
        <v>21</v>
      </c>
      <c r="V10" s="93">
        <v>0</v>
      </c>
      <c r="W10" s="171">
        <v>1</v>
      </c>
      <c r="X10" s="148" t="s">
        <v>163</v>
      </c>
      <c r="Y10" s="94">
        <f>R10*W10</f>
        <v>1.9</v>
      </c>
      <c r="Z10" s="92">
        <f>S10*W10</f>
        <v>1.5702479338842974</v>
      </c>
      <c r="AA10" s="92">
        <f>T10*W10</f>
        <v>0.32975206611570246</v>
      </c>
      <c r="AB10" s="92">
        <f>V10*W10</f>
        <v>0</v>
      </c>
      <c r="AC10" s="93">
        <f>(R10+V10)*W10</f>
        <v>1.9</v>
      </c>
      <c r="AD10" s="172">
        <v>1.9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46132</v>
      </c>
      <c r="H11" s="98">
        <v>0.33067129629629627</v>
      </c>
      <c r="I11" s="91">
        <v>161000332</v>
      </c>
      <c r="J11" s="96" t="s">
        <v>157</v>
      </c>
      <c r="K11" s="49" t="s">
        <v>188</v>
      </c>
      <c r="L11" s="39" t="s">
        <v>189</v>
      </c>
      <c r="M11" s="49" t="s">
        <v>190</v>
      </c>
      <c r="N11" s="39" t="s">
        <v>191</v>
      </c>
      <c r="O11" s="96" t="s">
        <v>192</v>
      </c>
      <c r="P11" s="49" t="s">
        <v>157</v>
      </c>
      <c r="Q11" s="96" t="s">
        <v>104</v>
      </c>
      <c r="R11" s="92">
        <v>33.9</v>
      </c>
      <c r="S11" s="92">
        <f>R11-T11</f>
        <v>30.267857142857142</v>
      </c>
      <c r="T11" s="92">
        <f>R11*U11/(U11+100)</f>
        <v>3.6321428571428567</v>
      </c>
      <c r="U11" s="91">
        <v>12</v>
      </c>
      <c r="V11" s="93">
        <v>0</v>
      </c>
      <c r="W11" s="171">
        <v>0.294</v>
      </c>
      <c r="X11" s="148" t="s">
        <v>193</v>
      </c>
      <c r="Y11" s="94">
        <f>R11*W11</f>
        <v>9.9666</v>
      </c>
      <c r="Z11" s="92">
        <f>S11*W11</f>
        <v>8.89875</v>
      </c>
      <c r="AA11" s="92">
        <f>T11*W11</f>
        <v>1.0678499999999997</v>
      </c>
      <c r="AB11" s="92">
        <f>V11*W11</f>
        <v>0</v>
      </c>
      <c r="AC11" s="93">
        <f>(R11+V11)*W11</f>
        <v>9.9666</v>
      </c>
      <c r="AD11" s="172">
        <v>33.9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46132</v>
      </c>
      <c r="H12" s="98">
        <v>0.33067129629629627</v>
      </c>
      <c r="I12" s="91">
        <v>161000332</v>
      </c>
      <c r="J12" s="96" t="s">
        <v>157</v>
      </c>
      <c r="K12" s="49" t="s">
        <v>188</v>
      </c>
      <c r="L12" s="39" t="s">
        <v>189</v>
      </c>
      <c r="M12" s="49" t="s">
        <v>190</v>
      </c>
      <c r="N12" s="39" t="s">
        <v>191</v>
      </c>
      <c r="O12" s="96" t="s">
        <v>192</v>
      </c>
      <c r="P12" s="49" t="s">
        <v>157</v>
      </c>
      <c r="Q12" s="96" t="s">
        <v>104</v>
      </c>
      <c r="R12" s="92">
        <v>33.9</v>
      </c>
      <c r="S12" s="92">
        <f>R12-T12</f>
        <v>30.267857142857142</v>
      </c>
      <c r="T12" s="92">
        <f>R12*U12/(U12+100)</f>
        <v>3.6321428571428567</v>
      </c>
      <c r="U12" s="91">
        <v>12</v>
      </c>
      <c r="V12" s="93">
        <v>0</v>
      </c>
      <c r="W12" s="171">
        <v>0.264</v>
      </c>
      <c r="X12" s="148" t="s">
        <v>193</v>
      </c>
      <c r="Y12" s="94">
        <f>R12*W12</f>
        <v>8.9496</v>
      </c>
      <c r="Z12" s="92">
        <f>S12*W12</f>
        <v>7.990714285714286</v>
      </c>
      <c r="AA12" s="92">
        <f>T12*W12</f>
        <v>0.9588857142857142</v>
      </c>
      <c r="AB12" s="92">
        <f>V12*W12</f>
        <v>0</v>
      </c>
      <c r="AC12" s="93">
        <f>(R12+V12)*W12</f>
        <v>8.9496</v>
      </c>
      <c r="AD12" s="172">
        <v>33.9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46132</v>
      </c>
      <c r="H13" s="98">
        <v>0.33067129629629627</v>
      </c>
      <c r="I13" s="50">
        <v>161000332</v>
      </c>
      <c r="J13" s="96" t="s">
        <v>157</v>
      </c>
      <c r="K13" s="49" t="s">
        <v>188</v>
      </c>
      <c r="L13" s="39" t="s">
        <v>189</v>
      </c>
      <c r="M13" s="49" t="s">
        <v>190</v>
      </c>
      <c r="N13" s="39" t="s">
        <v>191</v>
      </c>
      <c r="O13" s="96" t="s">
        <v>192</v>
      </c>
      <c r="P13" s="49" t="s">
        <v>157</v>
      </c>
      <c r="Q13" s="96" t="s">
        <v>104</v>
      </c>
      <c r="R13" s="52">
        <v>33.9</v>
      </c>
      <c r="S13" s="52">
        <f>R13-T13</f>
        <v>30.267857142857142</v>
      </c>
      <c r="T13" s="52">
        <f>R13*U13/(U13+100)</f>
        <v>3.6321428571428567</v>
      </c>
      <c r="U13" s="50">
        <v>12</v>
      </c>
      <c r="V13" s="53">
        <v>0</v>
      </c>
      <c r="W13" s="147">
        <v>0.284</v>
      </c>
      <c r="X13" s="148" t="s">
        <v>193</v>
      </c>
      <c r="Y13" s="54">
        <f>R13*W13</f>
        <v>9.6276</v>
      </c>
      <c r="Z13" s="52">
        <f>S13*W13</f>
        <v>8.596071428571427</v>
      </c>
      <c r="AA13" s="52">
        <f>T13*W13</f>
        <v>1.0315285714285711</v>
      </c>
      <c r="AB13" s="52">
        <f>V13*W13</f>
        <v>0</v>
      </c>
      <c r="AC13" s="53">
        <f>(R13+V13)*W13</f>
        <v>9.6276</v>
      </c>
      <c r="AD13" s="138">
        <v>33.9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46132</v>
      </c>
      <c r="H14" s="98">
        <v>0.3580787037037037</v>
      </c>
      <c r="I14" s="50">
        <v>161000333</v>
      </c>
      <c r="J14" s="96" t="s">
        <v>157</v>
      </c>
      <c r="K14" s="49" t="s">
        <v>194</v>
      </c>
      <c r="L14" s="39" t="s">
        <v>195</v>
      </c>
      <c r="M14" s="49" t="s">
        <v>196</v>
      </c>
      <c r="N14" s="39" t="s">
        <v>197</v>
      </c>
      <c r="O14" s="96" t="s">
        <v>198</v>
      </c>
      <c r="P14" s="49" t="s">
        <v>157</v>
      </c>
      <c r="Q14" s="96" t="s">
        <v>104</v>
      </c>
      <c r="R14" s="52">
        <v>18.9</v>
      </c>
      <c r="S14" s="52">
        <f>R14-T14</f>
        <v>16.875</v>
      </c>
      <c r="T14" s="52">
        <f>R14*U14/(U14+100)</f>
        <v>2.025</v>
      </c>
      <c r="U14" s="50">
        <v>12</v>
      </c>
      <c r="V14" s="53">
        <v>0</v>
      </c>
      <c r="W14" s="147">
        <v>2</v>
      </c>
      <c r="X14" s="148" t="s">
        <v>163</v>
      </c>
      <c r="Y14" s="54">
        <f>R14*W14</f>
        <v>37.8</v>
      </c>
      <c r="Z14" s="52">
        <f>S14*W14</f>
        <v>33.75</v>
      </c>
      <c r="AA14" s="52">
        <f>T14*W14</f>
        <v>4.05</v>
      </c>
      <c r="AB14" s="52">
        <f>V14*W14</f>
        <v>0</v>
      </c>
      <c r="AC14" s="53">
        <f>(R14+V14)*W14</f>
        <v>37.8</v>
      </c>
      <c r="AD14" s="138">
        <v>18.9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46132</v>
      </c>
      <c r="H15" s="98">
        <v>0.3580787037037037</v>
      </c>
      <c r="I15" s="50">
        <v>161000333</v>
      </c>
      <c r="J15" s="96" t="s">
        <v>157</v>
      </c>
      <c r="K15" s="49" t="s">
        <v>199</v>
      </c>
      <c r="L15" s="39" t="s">
        <v>200</v>
      </c>
      <c r="M15" s="49" t="s">
        <v>201</v>
      </c>
      <c r="N15" s="39" t="s">
        <v>202</v>
      </c>
      <c r="O15" s="96" t="s">
        <v>203</v>
      </c>
      <c r="P15" s="49" t="s">
        <v>157</v>
      </c>
      <c r="Q15" s="96" t="s">
        <v>104</v>
      </c>
      <c r="R15" s="52">
        <v>11.9</v>
      </c>
      <c r="S15" s="52">
        <f>R15-T15</f>
        <v>10.625</v>
      </c>
      <c r="T15" s="52">
        <f>R15*U15/(U15+100)</f>
        <v>1.2750000000000001</v>
      </c>
      <c r="U15" s="50">
        <v>12</v>
      </c>
      <c r="V15" s="53">
        <v>0</v>
      </c>
      <c r="W15" s="147">
        <v>1</v>
      </c>
      <c r="X15" s="148" t="s">
        <v>163</v>
      </c>
      <c r="Y15" s="54">
        <f>R15*W15</f>
        <v>11.9</v>
      </c>
      <c r="Z15" s="52">
        <f>S15*W15</f>
        <v>10.625</v>
      </c>
      <c r="AA15" s="52">
        <f>T15*W15</f>
        <v>1.2750000000000001</v>
      </c>
      <c r="AB15" s="52">
        <f>V15*W15</f>
        <v>0</v>
      </c>
      <c r="AC15" s="53">
        <f>(R15+V15)*W15</f>
        <v>11.9</v>
      </c>
      <c r="AD15" s="138">
        <v>11.9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46132</v>
      </c>
      <c r="H16" s="98">
        <v>0.3580787037037037</v>
      </c>
      <c r="I16" s="50">
        <v>161000333</v>
      </c>
      <c r="J16" s="96" t="s">
        <v>157</v>
      </c>
      <c r="K16" s="49" t="s">
        <v>199</v>
      </c>
      <c r="L16" s="39" t="s">
        <v>200</v>
      </c>
      <c r="M16" s="49" t="s">
        <v>201</v>
      </c>
      <c r="N16" s="39" t="s">
        <v>202</v>
      </c>
      <c r="O16" s="96" t="s">
        <v>203</v>
      </c>
      <c r="P16" s="49" t="s">
        <v>157</v>
      </c>
      <c r="Q16" s="96" t="s">
        <v>104</v>
      </c>
      <c r="R16" s="52">
        <v>11.9</v>
      </c>
      <c r="S16" s="52">
        <f>R16-T16</f>
        <v>10.625</v>
      </c>
      <c r="T16" s="52">
        <f>R16*U16/(U16+100)</f>
        <v>1.2750000000000001</v>
      </c>
      <c r="U16" s="50">
        <v>12</v>
      </c>
      <c r="V16" s="53">
        <v>0</v>
      </c>
      <c r="W16" s="147">
        <v>1</v>
      </c>
      <c r="X16" s="148" t="s">
        <v>163</v>
      </c>
      <c r="Y16" s="54">
        <f>R16*W16</f>
        <v>11.9</v>
      </c>
      <c r="Z16" s="52">
        <f>S16*W16</f>
        <v>10.625</v>
      </c>
      <c r="AA16" s="52">
        <f>T16*W16</f>
        <v>1.2750000000000001</v>
      </c>
      <c r="AB16" s="52">
        <f>V16*W16</f>
        <v>0</v>
      </c>
      <c r="AC16" s="53">
        <f>(R16+V16)*W16</f>
        <v>11.9</v>
      </c>
      <c r="AD16" s="138">
        <v>11.9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46132</v>
      </c>
      <c r="H17" s="98">
        <v>0.3580787037037037</v>
      </c>
      <c r="I17" s="50">
        <v>161000333</v>
      </c>
      <c r="J17" s="96" t="s">
        <v>157</v>
      </c>
      <c r="K17" s="49" t="s">
        <v>204</v>
      </c>
      <c r="L17" s="39" t="s">
        <v>205</v>
      </c>
      <c r="M17" s="49" t="s">
        <v>201</v>
      </c>
      <c r="N17" s="39" t="s">
        <v>202</v>
      </c>
      <c r="O17" s="96" t="s">
        <v>206</v>
      </c>
      <c r="P17" s="49" t="s">
        <v>157</v>
      </c>
      <c r="Q17" s="96" t="s">
        <v>104</v>
      </c>
      <c r="R17" s="52">
        <v>11.9</v>
      </c>
      <c r="S17" s="52">
        <f>R17-T17</f>
        <v>10.625</v>
      </c>
      <c r="T17" s="52">
        <f>R17*U17/(U17+100)</f>
        <v>1.2750000000000001</v>
      </c>
      <c r="U17" s="50">
        <v>12</v>
      </c>
      <c r="V17" s="53">
        <v>0</v>
      </c>
      <c r="W17" s="147">
        <v>1</v>
      </c>
      <c r="X17" s="148" t="s">
        <v>163</v>
      </c>
      <c r="Y17" s="54">
        <f>R17*W17</f>
        <v>11.9</v>
      </c>
      <c r="Z17" s="52">
        <f>S17*W17</f>
        <v>10.625</v>
      </c>
      <c r="AA17" s="52">
        <f>T17*W17</f>
        <v>1.2750000000000001</v>
      </c>
      <c r="AB17" s="52">
        <f>V17*W17</f>
        <v>0</v>
      </c>
      <c r="AC17" s="53">
        <f>(R17+V17)*W17</f>
        <v>11.9</v>
      </c>
      <c r="AD17" s="138">
        <v>11.9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46132</v>
      </c>
      <c r="H18" s="98">
        <v>0.3580787037037037</v>
      </c>
      <c r="I18" s="50">
        <v>161000333</v>
      </c>
      <c r="J18" s="96" t="s">
        <v>157</v>
      </c>
      <c r="K18" s="49" t="s">
        <v>204</v>
      </c>
      <c r="L18" s="39" t="s">
        <v>205</v>
      </c>
      <c r="M18" s="49" t="s">
        <v>201</v>
      </c>
      <c r="N18" s="39" t="s">
        <v>202</v>
      </c>
      <c r="O18" s="96" t="s">
        <v>206</v>
      </c>
      <c r="P18" s="49" t="s">
        <v>157</v>
      </c>
      <c r="Q18" s="96" t="s">
        <v>104</v>
      </c>
      <c r="R18" s="52">
        <v>11.9</v>
      </c>
      <c r="S18" s="52">
        <f>R18-T18</f>
        <v>10.625</v>
      </c>
      <c r="T18" s="52">
        <f>R18*U18/(U18+100)</f>
        <v>1.2750000000000001</v>
      </c>
      <c r="U18" s="50">
        <v>12</v>
      </c>
      <c r="V18" s="53">
        <v>0</v>
      </c>
      <c r="W18" s="147">
        <v>1</v>
      </c>
      <c r="X18" s="148" t="s">
        <v>163</v>
      </c>
      <c r="Y18" s="54">
        <f>R18*W18</f>
        <v>11.9</v>
      </c>
      <c r="Z18" s="52">
        <f>S18*W18</f>
        <v>10.625</v>
      </c>
      <c r="AA18" s="52">
        <f>T18*W18</f>
        <v>1.2750000000000001</v>
      </c>
      <c r="AB18" s="52">
        <f>V18*W18</f>
        <v>0</v>
      </c>
      <c r="AC18" s="53">
        <f>(R18+V18)*W18</f>
        <v>11.9</v>
      </c>
      <c r="AD18" s="138">
        <v>11.9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46132</v>
      </c>
      <c r="H19" s="98">
        <v>0.3677199074074074</v>
      </c>
      <c r="I19" s="50">
        <v>161000334</v>
      </c>
      <c r="J19" s="96" t="s">
        <v>157</v>
      </c>
      <c r="K19" s="49" t="s">
        <v>207</v>
      </c>
      <c r="L19" s="39" t="s">
        <v>208</v>
      </c>
      <c r="M19" s="49" t="s">
        <v>209</v>
      </c>
      <c r="N19" s="39" t="s">
        <v>210</v>
      </c>
      <c r="O19" s="96" t="s">
        <v>211</v>
      </c>
      <c r="P19" s="49" t="s">
        <v>157</v>
      </c>
      <c r="Q19" s="96" t="s">
        <v>104</v>
      </c>
      <c r="R19" s="52">
        <v>17.9</v>
      </c>
      <c r="S19" s="52">
        <f>R19-T19</f>
        <v>15.982142857142856</v>
      </c>
      <c r="T19" s="52">
        <f>R19*U19/(U19+100)</f>
        <v>1.9178571428571427</v>
      </c>
      <c r="U19" s="50">
        <v>12</v>
      </c>
      <c r="V19" s="53">
        <v>0</v>
      </c>
      <c r="W19" s="147">
        <v>1</v>
      </c>
      <c r="X19" s="148" t="s">
        <v>163</v>
      </c>
      <c r="Y19" s="54">
        <f>R19*W19</f>
        <v>17.9</v>
      </c>
      <c r="Z19" s="52">
        <f>S19*W19</f>
        <v>15.982142857142856</v>
      </c>
      <c r="AA19" s="52">
        <f>T19*W19</f>
        <v>1.9178571428571427</v>
      </c>
      <c r="AB19" s="52">
        <f>V19*W19</f>
        <v>0</v>
      </c>
      <c r="AC19" s="53">
        <f>(R19+V19)*W19</f>
        <v>17.9</v>
      </c>
      <c r="AD19" s="138">
        <v>17.9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46132</v>
      </c>
      <c r="H20" s="98">
        <v>0.3677199074074074</v>
      </c>
      <c r="I20" s="50">
        <v>161000334</v>
      </c>
      <c r="J20" s="96" t="s">
        <v>157</v>
      </c>
      <c r="K20" s="49" t="s">
        <v>212</v>
      </c>
      <c r="L20" s="39" t="s">
        <v>213</v>
      </c>
      <c r="M20" s="49" t="s">
        <v>214</v>
      </c>
      <c r="N20" s="39" t="s">
        <v>215</v>
      </c>
      <c r="O20" s="96" t="s">
        <v>216</v>
      </c>
      <c r="P20" s="49" t="s">
        <v>157</v>
      </c>
      <c r="Q20" s="96" t="s">
        <v>104</v>
      </c>
      <c r="R20" s="52">
        <v>24.9</v>
      </c>
      <c r="S20" s="52">
        <f>R20-T20</f>
        <v>22.232142857142858</v>
      </c>
      <c r="T20" s="52">
        <f>R20*U20/(U20+100)</f>
        <v>2.6678571428571423</v>
      </c>
      <c r="U20" s="50">
        <v>12</v>
      </c>
      <c r="V20" s="53">
        <v>0</v>
      </c>
      <c r="W20" s="147">
        <v>3</v>
      </c>
      <c r="X20" s="148" t="s">
        <v>163</v>
      </c>
      <c r="Y20" s="54">
        <f>R20*W20</f>
        <v>74.69999999999999</v>
      </c>
      <c r="Z20" s="52">
        <f>S20*W20</f>
        <v>66.69642857142857</v>
      </c>
      <c r="AA20" s="52">
        <f>T20*W20</f>
        <v>8.003571428571426</v>
      </c>
      <c r="AB20" s="52">
        <f>V20*W20</f>
        <v>0</v>
      </c>
      <c r="AC20" s="53">
        <f>(R20+V20)*W20</f>
        <v>74.69999999999999</v>
      </c>
      <c r="AD20" s="138">
        <v>24.9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46132</v>
      </c>
      <c r="H21" s="98">
        <v>0.37863425925925925</v>
      </c>
      <c r="I21" s="50">
        <v>161000335</v>
      </c>
      <c r="J21" s="96" t="s">
        <v>157</v>
      </c>
      <c r="K21" s="49" t="s">
        <v>217</v>
      </c>
      <c r="L21" s="39" t="s">
        <v>218</v>
      </c>
      <c r="M21" s="49" t="s">
        <v>219</v>
      </c>
      <c r="N21" s="39" t="s">
        <v>220</v>
      </c>
      <c r="O21" s="96" t="s">
        <v>221</v>
      </c>
      <c r="P21" s="49" t="s">
        <v>157</v>
      </c>
      <c r="Q21" s="96" t="s">
        <v>104</v>
      </c>
      <c r="R21" s="52">
        <v>44.9</v>
      </c>
      <c r="S21" s="52">
        <f>R21-T21</f>
        <v>37.107438016528924</v>
      </c>
      <c r="T21" s="52">
        <f>R21*U21/(U21+100)</f>
        <v>7.792561983471074</v>
      </c>
      <c r="U21" s="50">
        <v>21</v>
      </c>
      <c r="V21" s="53">
        <v>0</v>
      </c>
      <c r="W21" s="147">
        <v>1</v>
      </c>
      <c r="X21" s="148" t="s">
        <v>163</v>
      </c>
      <c r="Y21" s="54">
        <f>R21*W21</f>
        <v>44.9</v>
      </c>
      <c r="Z21" s="52">
        <f>S21*W21</f>
        <v>37.107438016528924</v>
      </c>
      <c r="AA21" s="52">
        <f>T21*W21</f>
        <v>7.792561983471074</v>
      </c>
      <c r="AB21" s="52">
        <f>V21*W21</f>
        <v>0</v>
      </c>
      <c r="AC21" s="53">
        <f>(R21+V21)*W21</f>
        <v>44.9</v>
      </c>
      <c r="AD21" s="138">
        <v>44.9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46132</v>
      </c>
      <c r="H22" s="98">
        <v>0.37863425925925925</v>
      </c>
      <c r="I22" s="50">
        <v>161000335</v>
      </c>
      <c r="J22" s="96" t="s">
        <v>157</v>
      </c>
      <c r="K22" s="49" t="s">
        <v>222</v>
      </c>
      <c r="L22" s="39" t="s">
        <v>223</v>
      </c>
      <c r="M22" s="49" t="s">
        <v>224</v>
      </c>
      <c r="N22" s="39" t="s">
        <v>167</v>
      </c>
      <c r="O22" s="96" t="s">
        <v>225</v>
      </c>
      <c r="P22" s="49" t="s">
        <v>157</v>
      </c>
      <c r="Q22" s="96" t="s">
        <v>104</v>
      </c>
      <c r="R22" s="52">
        <v>34.9</v>
      </c>
      <c r="S22" s="52">
        <f>R22-T22</f>
        <v>28.84297520661157</v>
      </c>
      <c r="T22" s="52">
        <f>R22*U22/(U22+100)</f>
        <v>6.05702479338843</v>
      </c>
      <c r="U22" s="50">
        <v>21</v>
      </c>
      <c r="V22" s="53">
        <v>0</v>
      </c>
      <c r="W22" s="147">
        <v>1</v>
      </c>
      <c r="X22" s="148" t="s">
        <v>163</v>
      </c>
      <c r="Y22" s="54">
        <f>R22*W22</f>
        <v>34.9</v>
      </c>
      <c r="Z22" s="52">
        <f>S22*W22</f>
        <v>28.84297520661157</v>
      </c>
      <c r="AA22" s="52">
        <f>T22*W22</f>
        <v>6.05702479338843</v>
      </c>
      <c r="AB22" s="52">
        <f>V22*W22</f>
        <v>0</v>
      </c>
      <c r="AC22" s="53">
        <f>(R22+V22)*W22</f>
        <v>34.9</v>
      </c>
      <c r="AD22" s="138">
        <v>34.9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46132</v>
      </c>
      <c r="H23" s="98">
        <v>0.37863425925925925</v>
      </c>
      <c r="I23" s="50">
        <v>161000335</v>
      </c>
      <c r="J23" s="96" t="s">
        <v>157</v>
      </c>
      <c r="K23" s="49" t="s">
        <v>212</v>
      </c>
      <c r="L23" s="39" t="s">
        <v>213</v>
      </c>
      <c r="M23" s="49" t="s">
        <v>214</v>
      </c>
      <c r="N23" s="39" t="s">
        <v>215</v>
      </c>
      <c r="O23" s="96" t="s">
        <v>216</v>
      </c>
      <c r="P23" s="49" t="s">
        <v>157</v>
      </c>
      <c r="Q23" s="96" t="s">
        <v>104</v>
      </c>
      <c r="R23" s="52">
        <v>24.9</v>
      </c>
      <c r="S23" s="52">
        <f>R23-T23</f>
        <v>22.232142857142858</v>
      </c>
      <c r="T23" s="52">
        <f>R23*U23/(U23+100)</f>
        <v>2.6678571428571423</v>
      </c>
      <c r="U23" s="50">
        <v>12</v>
      </c>
      <c r="V23" s="53">
        <v>0</v>
      </c>
      <c r="W23" s="147">
        <v>2</v>
      </c>
      <c r="X23" s="148" t="s">
        <v>163</v>
      </c>
      <c r="Y23" s="54">
        <f>R23*W23</f>
        <v>49.8</v>
      </c>
      <c r="Z23" s="52">
        <f>S23*W23</f>
        <v>44.464285714285715</v>
      </c>
      <c r="AA23" s="52">
        <f>T23*W23</f>
        <v>5.3357142857142845</v>
      </c>
      <c r="AB23" s="52">
        <f>V23*W23</f>
        <v>0</v>
      </c>
      <c r="AC23" s="53">
        <f>(R23+V23)*W23</f>
        <v>49.8</v>
      </c>
      <c r="AD23" s="138">
        <v>24.9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46132</v>
      </c>
      <c r="H24" s="98">
        <v>0.3839930555555556</v>
      </c>
      <c r="I24" s="50">
        <v>161000336</v>
      </c>
      <c r="J24" s="96" t="s">
        <v>157</v>
      </c>
      <c r="K24" s="49" t="s">
        <v>226</v>
      </c>
      <c r="L24" s="39" t="s">
        <v>227</v>
      </c>
      <c r="M24" s="49" t="s">
        <v>201</v>
      </c>
      <c r="N24" s="39" t="s">
        <v>228</v>
      </c>
      <c r="O24" s="96" t="s">
        <v>229</v>
      </c>
      <c r="P24" s="49" t="s">
        <v>157</v>
      </c>
      <c r="Q24" s="96" t="s">
        <v>104</v>
      </c>
      <c r="R24" s="52">
        <v>29.9</v>
      </c>
      <c r="S24" s="52">
        <f>R24-T24</f>
        <v>26.69642857142857</v>
      </c>
      <c r="T24" s="52">
        <f>R24*U24/(U24+100)</f>
        <v>3.2035714285714283</v>
      </c>
      <c r="U24" s="50">
        <v>12</v>
      </c>
      <c r="V24" s="53">
        <v>0</v>
      </c>
      <c r="W24" s="147">
        <v>1</v>
      </c>
      <c r="X24" s="148" t="s">
        <v>163</v>
      </c>
      <c r="Y24" s="54">
        <f>R24*W24</f>
        <v>29.9</v>
      </c>
      <c r="Z24" s="52">
        <f>S24*W24</f>
        <v>26.69642857142857</v>
      </c>
      <c r="AA24" s="52">
        <f>T24*W24</f>
        <v>3.2035714285714283</v>
      </c>
      <c r="AB24" s="52">
        <f>V24*W24</f>
        <v>0</v>
      </c>
      <c r="AC24" s="53">
        <f>(R24+V24)*W24</f>
        <v>29.9</v>
      </c>
      <c r="AD24" s="138">
        <v>29.9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46132</v>
      </c>
      <c r="H25" s="98">
        <v>0.3839930555555556</v>
      </c>
      <c r="I25" s="50">
        <v>161000336</v>
      </c>
      <c r="J25" s="96" t="s">
        <v>157</v>
      </c>
      <c r="K25" s="49" t="s">
        <v>230</v>
      </c>
      <c r="L25" s="39" t="s">
        <v>231</v>
      </c>
      <c r="M25" s="49" t="s">
        <v>232</v>
      </c>
      <c r="N25" s="39" t="s">
        <v>233</v>
      </c>
      <c r="O25" s="96" t="s">
        <v>234</v>
      </c>
      <c r="P25" s="49" t="s">
        <v>235</v>
      </c>
      <c r="Q25" s="96" t="s">
        <v>236</v>
      </c>
      <c r="R25" s="52">
        <v>24.9</v>
      </c>
      <c r="S25" s="52">
        <f>R25-T25</f>
        <v>20.578512396694215</v>
      </c>
      <c r="T25" s="52">
        <f>R25*U25/(U25+100)</f>
        <v>4.321487603305785</v>
      </c>
      <c r="U25" s="50">
        <v>21</v>
      </c>
      <c r="V25" s="53">
        <v>0</v>
      </c>
      <c r="W25" s="147">
        <v>1</v>
      </c>
      <c r="X25" s="148" t="s">
        <v>163</v>
      </c>
      <c r="Y25" s="54">
        <f>R25*W25</f>
        <v>24.9</v>
      </c>
      <c r="Z25" s="52">
        <f>S25*W25</f>
        <v>20.578512396694215</v>
      </c>
      <c r="AA25" s="52">
        <f>T25*W25</f>
        <v>4.321487603305785</v>
      </c>
      <c r="AB25" s="52">
        <f>V25*W25</f>
        <v>0</v>
      </c>
      <c r="AC25" s="53">
        <f>(R25+V25)*W25</f>
        <v>24.9</v>
      </c>
      <c r="AD25" s="138">
        <v>24.9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46132</v>
      </c>
      <c r="H26" s="98">
        <v>0.40315972222222224</v>
      </c>
      <c r="I26" s="50">
        <v>161000337</v>
      </c>
      <c r="J26" s="96" t="s">
        <v>157</v>
      </c>
      <c r="K26" s="49" t="s">
        <v>237</v>
      </c>
      <c r="L26" s="39" t="s">
        <v>238</v>
      </c>
      <c r="M26" s="49" t="s">
        <v>196</v>
      </c>
      <c r="N26" s="39" t="s">
        <v>239</v>
      </c>
      <c r="O26" s="96" t="s">
        <v>240</v>
      </c>
      <c r="P26" s="49" t="s">
        <v>157</v>
      </c>
      <c r="Q26" s="96" t="s">
        <v>104</v>
      </c>
      <c r="R26" s="52">
        <v>27.9</v>
      </c>
      <c r="S26" s="52">
        <f>R26-T26</f>
        <v>24.910714285714285</v>
      </c>
      <c r="T26" s="52">
        <f>R26*U26/(U26+100)</f>
        <v>2.989285714285714</v>
      </c>
      <c r="U26" s="50">
        <v>12</v>
      </c>
      <c r="V26" s="53">
        <v>0</v>
      </c>
      <c r="W26" s="147">
        <v>1</v>
      </c>
      <c r="X26" s="148" t="s">
        <v>163</v>
      </c>
      <c r="Y26" s="54">
        <f>R26*W26</f>
        <v>27.9</v>
      </c>
      <c r="Z26" s="52">
        <f>S26*W26</f>
        <v>24.910714285714285</v>
      </c>
      <c r="AA26" s="52">
        <f>T26*W26</f>
        <v>2.989285714285714</v>
      </c>
      <c r="AB26" s="52">
        <f>V26*W26</f>
        <v>0</v>
      </c>
      <c r="AC26" s="53">
        <f>(R26+V26)*W26</f>
        <v>27.9</v>
      </c>
      <c r="AD26" s="138">
        <v>27.9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46132</v>
      </c>
      <c r="H27" s="98">
        <v>0.40315972222222224</v>
      </c>
      <c r="I27" s="50">
        <v>161000337</v>
      </c>
      <c r="J27" s="96" t="s">
        <v>157</v>
      </c>
      <c r="K27" s="49" t="s">
        <v>177</v>
      </c>
      <c r="L27" s="39" t="s">
        <v>178</v>
      </c>
      <c r="M27" s="49" t="s">
        <v>171</v>
      </c>
      <c r="N27" s="39" t="s">
        <v>172</v>
      </c>
      <c r="O27" s="96" t="s">
        <v>179</v>
      </c>
      <c r="P27" s="49" t="s">
        <v>157</v>
      </c>
      <c r="Q27" s="96" t="s">
        <v>104</v>
      </c>
      <c r="R27" s="52">
        <v>11.4</v>
      </c>
      <c r="S27" s="52">
        <f>R27-T27</f>
        <v>10.178571428571429</v>
      </c>
      <c r="T27" s="52">
        <f>R27*U27/(U27+100)</f>
        <v>1.2214285714285715</v>
      </c>
      <c r="U27" s="50">
        <v>12</v>
      </c>
      <c r="V27" s="53">
        <v>0</v>
      </c>
      <c r="W27" s="147">
        <v>1</v>
      </c>
      <c r="X27" s="148" t="s">
        <v>163</v>
      </c>
      <c r="Y27" s="54">
        <f>R27*W27</f>
        <v>11.4</v>
      </c>
      <c r="Z27" s="52">
        <f>S27*W27</f>
        <v>10.178571428571429</v>
      </c>
      <c r="AA27" s="52">
        <f>T27*W27</f>
        <v>1.2214285714285715</v>
      </c>
      <c r="AB27" s="52">
        <f>V27*W27</f>
        <v>0</v>
      </c>
      <c r="AC27" s="53">
        <f>(R27+V27)*W27</f>
        <v>11.4</v>
      </c>
      <c r="AD27" s="138">
        <v>11.4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46132</v>
      </c>
      <c r="H28" s="98">
        <v>0.4294675925925926</v>
      </c>
      <c r="I28" s="50">
        <v>161000338</v>
      </c>
      <c r="J28" s="96" t="s">
        <v>157</v>
      </c>
      <c r="K28" s="49" t="s">
        <v>241</v>
      </c>
      <c r="L28" s="39" t="s">
        <v>242</v>
      </c>
      <c r="M28" s="49" t="s">
        <v>243</v>
      </c>
      <c r="N28" s="39" t="s">
        <v>244</v>
      </c>
      <c r="O28" s="96" t="s">
        <v>245</v>
      </c>
      <c r="P28" s="49" t="s">
        <v>157</v>
      </c>
      <c r="Q28" s="96" t="s">
        <v>104</v>
      </c>
      <c r="R28" s="52">
        <v>27.9</v>
      </c>
      <c r="S28" s="52">
        <f>R28-T28</f>
        <v>24.910714285714285</v>
      </c>
      <c r="T28" s="52">
        <f>R28*U28/(U28+100)</f>
        <v>2.989285714285714</v>
      </c>
      <c r="U28" s="50">
        <v>12</v>
      </c>
      <c r="V28" s="53">
        <v>0</v>
      </c>
      <c r="W28" s="147">
        <v>1</v>
      </c>
      <c r="X28" s="148" t="s">
        <v>163</v>
      </c>
      <c r="Y28" s="54">
        <f>R28*W28</f>
        <v>27.9</v>
      </c>
      <c r="Z28" s="52">
        <f>S28*W28</f>
        <v>24.910714285714285</v>
      </c>
      <c r="AA28" s="52">
        <f>T28*W28</f>
        <v>2.989285714285714</v>
      </c>
      <c r="AB28" s="52">
        <f>V28*W28</f>
        <v>0</v>
      </c>
      <c r="AC28" s="53">
        <f>(R28+V28)*W28</f>
        <v>27.9</v>
      </c>
      <c r="AD28" s="138">
        <v>27.9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46132</v>
      </c>
      <c r="H29" s="98">
        <v>0.4294675925925926</v>
      </c>
      <c r="I29" s="50">
        <v>161000338</v>
      </c>
      <c r="J29" s="96" t="s">
        <v>157</v>
      </c>
      <c r="K29" s="49" t="s">
        <v>246</v>
      </c>
      <c r="L29" s="39" t="s">
        <v>247</v>
      </c>
      <c r="M29" s="49" t="s">
        <v>248</v>
      </c>
      <c r="N29" s="39" t="s">
        <v>244</v>
      </c>
      <c r="O29" s="96" t="s">
        <v>249</v>
      </c>
      <c r="P29" s="49" t="s">
        <v>157</v>
      </c>
      <c r="Q29" s="96" t="s">
        <v>104</v>
      </c>
      <c r="R29" s="52">
        <v>13.9</v>
      </c>
      <c r="S29" s="52">
        <f>R29-T29</f>
        <v>12.410714285714286</v>
      </c>
      <c r="T29" s="52">
        <f>R29*U29/(U29+100)</f>
        <v>1.4892857142857143</v>
      </c>
      <c r="U29" s="50">
        <v>12</v>
      </c>
      <c r="V29" s="53">
        <v>0</v>
      </c>
      <c r="W29" s="147">
        <v>1</v>
      </c>
      <c r="X29" s="148" t="s">
        <v>163</v>
      </c>
      <c r="Y29" s="54">
        <f>R29*W29</f>
        <v>13.9</v>
      </c>
      <c r="Z29" s="52">
        <f>S29*W29</f>
        <v>12.410714285714286</v>
      </c>
      <c r="AA29" s="52">
        <f>T29*W29</f>
        <v>1.4892857142857143</v>
      </c>
      <c r="AB29" s="52">
        <f>V29*W29</f>
        <v>0</v>
      </c>
      <c r="AC29" s="53">
        <f>(R29+V29)*W29</f>
        <v>13.9</v>
      </c>
      <c r="AD29" s="138">
        <v>13.9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46132</v>
      </c>
      <c r="H30" s="98">
        <v>0.4294675925925926</v>
      </c>
      <c r="I30" s="50">
        <v>161000338</v>
      </c>
      <c r="J30" s="96" t="s">
        <v>157</v>
      </c>
      <c r="K30" s="49" t="s">
        <v>250</v>
      </c>
      <c r="L30" s="39" t="s">
        <v>251</v>
      </c>
      <c r="M30" s="49" t="s">
        <v>209</v>
      </c>
      <c r="N30" s="39" t="s">
        <v>228</v>
      </c>
      <c r="O30" s="96" t="s">
        <v>252</v>
      </c>
      <c r="P30" s="49" t="s">
        <v>157</v>
      </c>
      <c r="Q30" s="96" t="s">
        <v>104</v>
      </c>
      <c r="R30" s="52">
        <v>27.9</v>
      </c>
      <c r="S30" s="52">
        <f>R30-T30</f>
        <v>24.910714285714285</v>
      </c>
      <c r="T30" s="52">
        <f>R30*U30/(U30+100)</f>
        <v>2.989285714285714</v>
      </c>
      <c r="U30" s="50">
        <v>12</v>
      </c>
      <c r="V30" s="53">
        <v>0</v>
      </c>
      <c r="W30" s="147">
        <v>1</v>
      </c>
      <c r="X30" s="148" t="s">
        <v>163</v>
      </c>
      <c r="Y30" s="54">
        <f>R30*W30</f>
        <v>27.9</v>
      </c>
      <c r="Z30" s="52">
        <f>S30*W30</f>
        <v>24.910714285714285</v>
      </c>
      <c r="AA30" s="52">
        <f>T30*W30</f>
        <v>2.989285714285714</v>
      </c>
      <c r="AB30" s="52">
        <f>V30*W30</f>
        <v>0</v>
      </c>
      <c r="AC30" s="53">
        <f>(R30+V30)*W30</f>
        <v>27.9</v>
      </c>
      <c r="AD30" s="138">
        <v>27.9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46132</v>
      </c>
      <c r="H31" s="98">
        <v>0.4294675925925926</v>
      </c>
      <c r="I31" s="50">
        <v>161000338</v>
      </c>
      <c r="J31" s="96" t="s">
        <v>157</v>
      </c>
      <c r="K31" s="49" t="s">
        <v>253</v>
      </c>
      <c r="L31" s="39" t="s">
        <v>254</v>
      </c>
      <c r="M31" s="49" t="s">
        <v>255</v>
      </c>
      <c r="N31" s="39" t="s">
        <v>256</v>
      </c>
      <c r="O31" s="96" t="s">
        <v>257</v>
      </c>
      <c r="P31" s="49" t="s">
        <v>157</v>
      </c>
      <c r="Q31" s="96" t="s">
        <v>104</v>
      </c>
      <c r="R31" s="52">
        <v>23.9</v>
      </c>
      <c r="S31" s="52">
        <f>R31-T31</f>
        <v>19.752066115702476</v>
      </c>
      <c r="T31" s="52">
        <f>R31*U31/(U31+100)</f>
        <v>4.147933884297521</v>
      </c>
      <c r="U31" s="50">
        <v>21</v>
      </c>
      <c r="V31" s="53">
        <v>0</v>
      </c>
      <c r="W31" s="147">
        <v>1</v>
      </c>
      <c r="X31" s="148" t="s">
        <v>163</v>
      </c>
      <c r="Y31" s="54">
        <f>R31*W31</f>
        <v>23.9</v>
      </c>
      <c r="Z31" s="52">
        <f>S31*W31</f>
        <v>19.752066115702476</v>
      </c>
      <c r="AA31" s="52">
        <f>T31*W31</f>
        <v>4.147933884297521</v>
      </c>
      <c r="AB31" s="52">
        <f>V31*W31</f>
        <v>0</v>
      </c>
      <c r="AC31" s="53">
        <f>(R31+V31)*W31</f>
        <v>23.9</v>
      </c>
      <c r="AD31" s="138">
        <v>23.9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46132</v>
      </c>
      <c r="H32" s="98">
        <v>0.4294675925925926</v>
      </c>
      <c r="I32" s="50">
        <v>161000338</v>
      </c>
      <c r="J32" s="96" t="s">
        <v>157</v>
      </c>
      <c r="K32" s="49" t="s">
        <v>258</v>
      </c>
      <c r="L32" s="39" t="s">
        <v>259</v>
      </c>
      <c r="M32" s="49" t="s">
        <v>185</v>
      </c>
      <c r="N32" s="39" t="s">
        <v>186</v>
      </c>
      <c r="O32" s="96" t="s">
        <v>260</v>
      </c>
      <c r="P32" s="49" t="s">
        <v>157</v>
      </c>
      <c r="Q32" s="96" t="s">
        <v>104</v>
      </c>
      <c r="R32" s="52">
        <v>19.9</v>
      </c>
      <c r="S32" s="52">
        <f>R32-T32</f>
        <v>16.446280991735534</v>
      </c>
      <c r="T32" s="52">
        <f>R32*U32/(U32+100)</f>
        <v>3.4537190082644624</v>
      </c>
      <c r="U32" s="50">
        <v>21</v>
      </c>
      <c r="V32" s="53">
        <v>0</v>
      </c>
      <c r="W32" s="147">
        <v>1</v>
      </c>
      <c r="X32" s="148" t="s">
        <v>163</v>
      </c>
      <c r="Y32" s="54">
        <f>R32*W32</f>
        <v>19.9</v>
      </c>
      <c r="Z32" s="52">
        <f>S32*W32</f>
        <v>16.446280991735534</v>
      </c>
      <c r="AA32" s="52">
        <f>T32*W32</f>
        <v>3.4537190082644624</v>
      </c>
      <c r="AB32" s="52">
        <f>V32*W32</f>
        <v>0</v>
      </c>
      <c r="AC32" s="53">
        <f>(R32+V32)*W32</f>
        <v>19.9</v>
      </c>
      <c r="AD32" s="138">
        <v>19.9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46132</v>
      </c>
      <c r="H33" s="98">
        <v>0.43596064814814817</v>
      </c>
      <c r="I33" s="50">
        <v>161000339</v>
      </c>
      <c r="J33" s="96" t="s">
        <v>157</v>
      </c>
      <c r="K33" s="49" t="s">
        <v>261</v>
      </c>
      <c r="L33" s="39" t="s">
        <v>262</v>
      </c>
      <c r="M33" s="49" t="s">
        <v>263</v>
      </c>
      <c r="N33" s="39" t="s">
        <v>264</v>
      </c>
      <c r="O33" s="96" t="s">
        <v>265</v>
      </c>
      <c r="P33" s="49" t="s">
        <v>157</v>
      </c>
      <c r="Q33" s="96" t="s">
        <v>104</v>
      </c>
      <c r="R33" s="52">
        <v>37.9</v>
      </c>
      <c r="S33" s="52">
        <f>R33-T33</f>
        <v>33.839285714285715</v>
      </c>
      <c r="T33" s="52">
        <f>R33*U33/(U33+100)</f>
        <v>4.060714285714285</v>
      </c>
      <c r="U33" s="50">
        <v>12</v>
      </c>
      <c r="V33" s="53">
        <v>0</v>
      </c>
      <c r="W33" s="147">
        <v>1</v>
      </c>
      <c r="X33" s="148" t="s">
        <v>163</v>
      </c>
      <c r="Y33" s="54">
        <f>R33*W33</f>
        <v>37.9</v>
      </c>
      <c r="Z33" s="52">
        <f>S33*W33</f>
        <v>33.839285714285715</v>
      </c>
      <c r="AA33" s="52">
        <f>T33*W33</f>
        <v>4.060714285714285</v>
      </c>
      <c r="AB33" s="52">
        <f>V33*W33</f>
        <v>0</v>
      </c>
      <c r="AC33" s="53">
        <f>(R33+V33)*W33</f>
        <v>37.9</v>
      </c>
      <c r="AD33" s="138">
        <v>37.9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46132</v>
      </c>
      <c r="H34" s="98">
        <v>0.445625</v>
      </c>
      <c r="I34" s="50">
        <v>161000340</v>
      </c>
      <c r="J34" s="96" t="s">
        <v>157</v>
      </c>
      <c r="K34" s="49" t="s">
        <v>266</v>
      </c>
      <c r="L34" s="39" t="s">
        <v>267</v>
      </c>
      <c r="M34" s="49" t="s">
        <v>268</v>
      </c>
      <c r="N34" s="39" t="s">
        <v>269</v>
      </c>
      <c r="O34" s="96" t="s">
        <v>270</v>
      </c>
      <c r="P34" s="49" t="s">
        <v>235</v>
      </c>
      <c r="Q34" s="96" t="s">
        <v>236</v>
      </c>
      <c r="R34" s="52">
        <v>11.9</v>
      </c>
      <c r="S34" s="52">
        <f>R34-T34</f>
        <v>10.625</v>
      </c>
      <c r="T34" s="52">
        <f>R34*U34/(U34+100)</f>
        <v>1.2750000000000001</v>
      </c>
      <c r="U34" s="50">
        <v>12</v>
      </c>
      <c r="V34" s="53">
        <v>0</v>
      </c>
      <c r="W34" s="147">
        <v>1</v>
      </c>
      <c r="X34" s="148" t="s">
        <v>163</v>
      </c>
      <c r="Y34" s="54">
        <f>R34*W34</f>
        <v>11.9</v>
      </c>
      <c r="Z34" s="52">
        <f>S34*W34</f>
        <v>10.625</v>
      </c>
      <c r="AA34" s="52">
        <f>T34*W34</f>
        <v>1.2750000000000001</v>
      </c>
      <c r="AB34" s="52">
        <f>V34*W34</f>
        <v>0</v>
      </c>
      <c r="AC34" s="53">
        <f>(R34+V34)*W34</f>
        <v>11.9</v>
      </c>
      <c r="AD34" s="138">
        <v>11.9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46132</v>
      </c>
      <c r="H35" s="98">
        <v>0.445625</v>
      </c>
      <c r="I35" s="50">
        <v>161000340</v>
      </c>
      <c r="J35" s="96" t="s">
        <v>157</v>
      </c>
      <c r="K35" s="49" t="s">
        <v>271</v>
      </c>
      <c r="L35" s="39" t="s">
        <v>272</v>
      </c>
      <c r="M35" s="49" t="s">
        <v>214</v>
      </c>
      <c r="N35" s="39" t="s">
        <v>273</v>
      </c>
      <c r="O35" s="96" t="s">
        <v>274</v>
      </c>
      <c r="P35" s="49" t="s">
        <v>157</v>
      </c>
      <c r="Q35" s="96" t="s">
        <v>104</v>
      </c>
      <c r="R35" s="52">
        <v>13.9</v>
      </c>
      <c r="S35" s="52">
        <f>R35-T35</f>
        <v>12.410714285714286</v>
      </c>
      <c r="T35" s="52">
        <f>R35*U35/(U35+100)</f>
        <v>1.4892857142857143</v>
      </c>
      <c r="U35" s="50">
        <v>12</v>
      </c>
      <c r="V35" s="53">
        <v>0</v>
      </c>
      <c r="W35" s="147">
        <v>1</v>
      </c>
      <c r="X35" s="148" t="s">
        <v>163</v>
      </c>
      <c r="Y35" s="54">
        <f>R35*W35</f>
        <v>13.9</v>
      </c>
      <c r="Z35" s="52">
        <f>S35*W35</f>
        <v>12.410714285714286</v>
      </c>
      <c r="AA35" s="52">
        <f>T35*W35</f>
        <v>1.4892857142857143</v>
      </c>
      <c r="AB35" s="52">
        <f>V35*W35</f>
        <v>0</v>
      </c>
      <c r="AC35" s="53">
        <f>(R35+V35)*W35</f>
        <v>13.9</v>
      </c>
      <c r="AD35" s="138">
        <v>13.9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46132</v>
      </c>
      <c r="H36" s="98">
        <v>0.445625</v>
      </c>
      <c r="I36" s="50">
        <v>161000340</v>
      </c>
      <c r="J36" s="96" t="s">
        <v>157</v>
      </c>
      <c r="K36" s="49" t="s">
        <v>275</v>
      </c>
      <c r="L36" s="39" t="s">
        <v>276</v>
      </c>
      <c r="M36" s="49" t="s">
        <v>277</v>
      </c>
      <c r="N36" s="39" t="s">
        <v>278</v>
      </c>
      <c r="O36" s="96" t="s">
        <v>279</v>
      </c>
      <c r="P36" s="49" t="s">
        <v>235</v>
      </c>
      <c r="Q36" s="96" t="s">
        <v>236</v>
      </c>
      <c r="R36" s="52">
        <v>169</v>
      </c>
      <c r="S36" s="52">
        <f>R36-T36</f>
        <v>150.89285714285714</v>
      </c>
      <c r="T36" s="52">
        <f>R36*U36/(U36+100)</f>
        <v>18.107142857142858</v>
      </c>
      <c r="U36" s="50">
        <v>12</v>
      </c>
      <c r="V36" s="53">
        <v>0</v>
      </c>
      <c r="W36" s="147">
        <v>0.374</v>
      </c>
      <c r="X36" s="148" t="s">
        <v>193</v>
      </c>
      <c r="Y36" s="54">
        <f>R36*W36</f>
        <v>63.206</v>
      </c>
      <c r="Z36" s="52">
        <f>S36*W36</f>
        <v>56.43392857142857</v>
      </c>
      <c r="AA36" s="52">
        <f>T36*W36</f>
        <v>6.7720714285714285</v>
      </c>
      <c r="AB36" s="52">
        <f>V36*W36</f>
        <v>0</v>
      </c>
      <c r="AC36" s="53">
        <f>(R36+V36)*W36</f>
        <v>63.206</v>
      </c>
      <c r="AD36" s="138">
        <v>169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46132</v>
      </c>
      <c r="H37" s="98">
        <v>0.4469212962962963</v>
      </c>
      <c r="I37" s="50">
        <v>161000341</v>
      </c>
      <c r="J37" s="96" t="s">
        <v>157</v>
      </c>
      <c r="K37" s="49" t="s">
        <v>250</v>
      </c>
      <c r="L37" s="39" t="s">
        <v>251</v>
      </c>
      <c r="M37" s="49" t="s">
        <v>209</v>
      </c>
      <c r="N37" s="39" t="s">
        <v>228</v>
      </c>
      <c r="O37" s="96" t="s">
        <v>252</v>
      </c>
      <c r="P37" s="49" t="s">
        <v>157</v>
      </c>
      <c r="Q37" s="96" t="s">
        <v>104</v>
      </c>
      <c r="R37" s="52">
        <v>27.9</v>
      </c>
      <c r="S37" s="52">
        <f>R37-T37</f>
        <v>24.910714285714285</v>
      </c>
      <c r="T37" s="52">
        <f>R37*U37/(U37+100)</f>
        <v>2.989285714285714</v>
      </c>
      <c r="U37" s="50">
        <v>12</v>
      </c>
      <c r="V37" s="53">
        <v>0</v>
      </c>
      <c r="W37" s="147">
        <v>1</v>
      </c>
      <c r="X37" s="148" t="s">
        <v>163</v>
      </c>
      <c r="Y37" s="54">
        <f>R37*W37</f>
        <v>27.9</v>
      </c>
      <c r="Z37" s="52">
        <f>S37*W37</f>
        <v>24.910714285714285</v>
      </c>
      <c r="AA37" s="52">
        <f>T37*W37</f>
        <v>2.989285714285714</v>
      </c>
      <c r="AB37" s="52">
        <f>V37*W37</f>
        <v>0</v>
      </c>
      <c r="AC37" s="53">
        <f>(R37+V37)*W37</f>
        <v>27.9</v>
      </c>
      <c r="AD37" s="138">
        <v>27.9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46132</v>
      </c>
      <c r="H38" s="98">
        <v>0.4469212962962963</v>
      </c>
      <c r="I38" s="50">
        <v>161000341</v>
      </c>
      <c r="J38" s="96" t="s">
        <v>157</v>
      </c>
      <c r="K38" s="49" t="s">
        <v>280</v>
      </c>
      <c r="L38" s="39" t="s">
        <v>281</v>
      </c>
      <c r="M38" s="49" t="s">
        <v>282</v>
      </c>
      <c r="N38" s="39" t="s">
        <v>210</v>
      </c>
      <c r="O38" s="96" t="s">
        <v>283</v>
      </c>
      <c r="P38" s="49" t="s">
        <v>157</v>
      </c>
      <c r="Q38" s="96" t="s">
        <v>104</v>
      </c>
      <c r="R38" s="52">
        <v>21.9</v>
      </c>
      <c r="S38" s="52">
        <f>R38-T38</f>
        <v>19.553571428571427</v>
      </c>
      <c r="T38" s="52">
        <f>R38*U38/(U38+100)</f>
        <v>2.346428571428571</v>
      </c>
      <c r="U38" s="50">
        <v>12</v>
      </c>
      <c r="V38" s="53">
        <v>0</v>
      </c>
      <c r="W38" s="147">
        <v>1</v>
      </c>
      <c r="X38" s="148" t="s">
        <v>163</v>
      </c>
      <c r="Y38" s="54">
        <f>R38*W38</f>
        <v>21.9</v>
      </c>
      <c r="Z38" s="52">
        <f>S38*W38</f>
        <v>19.553571428571427</v>
      </c>
      <c r="AA38" s="52">
        <f>T38*W38</f>
        <v>2.346428571428571</v>
      </c>
      <c r="AB38" s="52">
        <f>V38*W38</f>
        <v>0</v>
      </c>
      <c r="AC38" s="53">
        <f>(R38+V38)*W38</f>
        <v>21.9</v>
      </c>
      <c r="AD38" s="138">
        <v>21.9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46132</v>
      </c>
      <c r="H39" s="98">
        <v>0.4469212962962963</v>
      </c>
      <c r="I39" s="50">
        <v>161000341</v>
      </c>
      <c r="J39" s="96" t="s">
        <v>157</v>
      </c>
      <c r="K39" s="49" t="s">
        <v>284</v>
      </c>
      <c r="L39" s="39" t="s">
        <v>285</v>
      </c>
      <c r="M39" s="49" t="s">
        <v>185</v>
      </c>
      <c r="N39" s="39" t="s">
        <v>286</v>
      </c>
      <c r="O39" s="96" t="s">
        <v>287</v>
      </c>
      <c r="P39" s="49" t="s">
        <v>157</v>
      </c>
      <c r="Q39" s="96" t="s">
        <v>104</v>
      </c>
      <c r="R39" s="52">
        <v>25.9</v>
      </c>
      <c r="S39" s="52">
        <f>R39-T39</f>
        <v>21.404958677685947</v>
      </c>
      <c r="T39" s="52">
        <f>R39*U39/(U39+100)</f>
        <v>4.49504132231405</v>
      </c>
      <c r="U39" s="50">
        <v>21</v>
      </c>
      <c r="V39" s="53">
        <v>0</v>
      </c>
      <c r="W39" s="147">
        <v>1</v>
      </c>
      <c r="X39" s="148" t="s">
        <v>163</v>
      </c>
      <c r="Y39" s="54">
        <f>R39*W39</f>
        <v>25.9</v>
      </c>
      <c r="Z39" s="52">
        <f>S39*W39</f>
        <v>21.404958677685947</v>
      </c>
      <c r="AA39" s="52">
        <f>T39*W39</f>
        <v>4.49504132231405</v>
      </c>
      <c r="AB39" s="52">
        <f>V39*W39</f>
        <v>0</v>
      </c>
      <c r="AC39" s="53">
        <f>(R39+V39)*W39</f>
        <v>25.9</v>
      </c>
      <c r="AD39" s="138">
        <v>25.9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46132</v>
      </c>
      <c r="H40" s="98">
        <v>0.44766203703703705</v>
      </c>
      <c r="I40" s="50">
        <v>161000342</v>
      </c>
      <c r="J40" s="96" t="s">
        <v>157</v>
      </c>
      <c r="K40" s="49" t="s">
        <v>288</v>
      </c>
      <c r="L40" s="39" t="s">
        <v>289</v>
      </c>
      <c r="M40" s="49" t="s">
        <v>290</v>
      </c>
      <c r="N40" s="39" t="s">
        <v>291</v>
      </c>
      <c r="O40" s="96" t="s">
        <v>292</v>
      </c>
      <c r="P40" s="49" t="s">
        <v>157</v>
      </c>
      <c r="Q40" s="96" t="s">
        <v>104</v>
      </c>
      <c r="R40" s="52">
        <v>16.9</v>
      </c>
      <c r="S40" s="52">
        <f>R40-T40</f>
        <v>15.089285714285714</v>
      </c>
      <c r="T40" s="52">
        <f>R40*U40/(U40+100)</f>
        <v>1.8107142857142855</v>
      </c>
      <c r="U40" s="50">
        <v>12</v>
      </c>
      <c r="V40" s="53">
        <v>0</v>
      </c>
      <c r="W40" s="147">
        <v>1</v>
      </c>
      <c r="X40" s="148" t="s">
        <v>163</v>
      </c>
      <c r="Y40" s="54">
        <f>R40*W40</f>
        <v>16.9</v>
      </c>
      <c r="Z40" s="52">
        <f>S40*W40</f>
        <v>15.089285714285714</v>
      </c>
      <c r="AA40" s="52">
        <f>T40*W40</f>
        <v>1.8107142857142855</v>
      </c>
      <c r="AB40" s="52">
        <f>V40*W40</f>
        <v>0</v>
      </c>
      <c r="AC40" s="53">
        <f>(R40+V40)*W40</f>
        <v>16.9</v>
      </c>
      <c r="AD40" s="138">
        <v>16.9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46132</v>
      </c>
      <c r="H41" s="98">
        <v>0.44766203703703705</v>
      </c>
      <c r="I41" s="50">
        <v>161000342</v>
      </c>
      <c r="J41" s="96" t="s">
        <v>157</v>
      </c>
      <c r="K41" s="49" t="s">
        <v>293</v>
      </c>
      <c r="L41" s="39" t="s">
        <v>294</v>
      </c>
      <c r="M41" s="49" t="s">
        <v>295</v>
      </c>
      <c r="N41" s="39" t="s">
        <v>296</v>
      </c>
      <c r="O41" s="96" t="s">
        <v>297</v>
      </c>
      <c r="P41" s="49" t="s">
        <v>157</v>
      </c>
      <c r="Q41" s="96" t="s">
        <v>104</v>
      </c>
      <c r="R41" s="52">
        <v>2.9</v>
      </c>
      <c r="S41" s="52">
        <f>R41-T41</f>
        <v>2.5892857142857144</v>
      </c>
      <c r="T41" s="52">
        <f>R41*U41/(U41+100)</f>
        <v>0.31071428571428567</v>
      </c>
      <c r="U41" s="50">
        <v>12</v>
      </c>
      <c r="V41" s="53">
        <v>0</v>
      </c>
      <c r="W41" s="147">
        <v>2</v>
      </c>
      <c r="X41" s="148" t="s">
        <v>163</v>
      </c>
      <c r="Y41" s="54">
        <f>R41*W41</f>
        <v>5.8</v>
      </c>
      <c r="Z41" s="52">
        <f>S41*W41</f>
        <v>5.178571428571429</v>
      </c>
      <c r="AA41" s="52">
        <f>T41*W41</f>
        <v>0.6214285714285713</v>
      </c>
      <c r="AB41" s="52">
        <f>V41*W41</f>
        <v>0</v>
      </c>
      <c r="AC41" s="53">
        <f>(R41+V41)*W41</f>
        <v>5.8</v>
      </c>
      <c r="AD41" s="138">
        <v>2.9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46132</v>
      </c>
      <c r="H42" s="98">
        <v>0.4510300925925926</v>
      </c>
      <c r="I42" s="50">
        <v>161000343</v>
      </c>
      <c r="J42" s="96" t="s">
        <v>157</v>
      </c>
      <c r="K42" s="49" t="s">
        <v>298</v>
      </c>
      <c r="L42" s="39" t="s">
        <v>299</v>
      </c>
      <c r="M42" s="49" t="s">
        <v>300</v>
      </c>
      <c r="N42" s="39" t="s">
        <v>301</v>
      </c>
      <c r="O42" s="96" t="s">
        <v>302</v>
      </c>
      <c r="P42" s="49" t="s">
        <v>157</v>
      </c>
      <c r="Q42" s="96" t="s">
        <v>104</v>
      </c>
      <c r="R42" s="52">
        <v>29.9</v>
      </c>
      <c r="S42" s="52">
        <f>R42-T42</f>
        <v>26.69642857142857</v>
      </c>
      <c r="T42" s="52">
        <f>R42*U42/(U42+100)</f>
        <v>3.2035714285714283</v>
      </c>
      <c r="U42" s="50">
        <v>12</v>
      </c>
      <c r="V42" s="53">
        <v>0</v>
      </c>
      <c r="W42" s="147">
        <v>1</v>
      </c>
      <c r="X42" s="148" t="s">
        <v>163</v>
      </c>
      <c r="Y42" s="54">
        <f>R42*W42</f>
        <v>29.9</v>
      </c>
      <c r="Z42" s="52">
        <f>S42*W42</f>
        <v>26.69642857142857</v>
      </c>
      <c r="AA42" s="52">
        <f>T42*W42</f>
        <v>3.2035714285714283</v>
      </c>
      <c r="AB42" s="52">
        <f>V42*W42</f>
        <v>0</v>
      </c>
      <c r="AC42" s="53">
        <f>(R42+V42)*W42</f>
        <v>29.9</v>
      </c>
      <c r="AD42" s="138">
        <v>29.9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46132</v>
      </c>
      <c r="H43" s="98">
        <v>0.4510300925925926</v>
      </c>
      <c r="I43" s="50">
        <v>161000343</v>
      </c>
      <c r="J43" s="96" t="s">
        <v>157</v>
      </c>
      <c r="K43" s="49" t="s">
        <v>303</v>
      </c>
      <c r="L43" s="39" t="s">
        <v>304</v>
      </c>
      <c r="M43" s="49" t="s">
        <v>214</v>
      </c>
      <c r="N43" s="39" t="s">
        <v>296</v>
      </c>
      <c r="O43" s="96" t="s">
        <v>305</v>
      </c>
      <c r="P43" s="49" t="s">
        <v>157</v>
      </c>
      <c r="Q43" s="96" t="s">
        <v>104</v>
      </c>
      <c r="R43" s="52">
        <v>11.9</v>
      </c>
      <c r="S43" s="52">
        <f>R43-T43</f>
        <v>10.625</v>
      </c>
      <c r="T43" s="52">
        <f>R43*U43/(U43+100)</f>
        <v>1.2750000000000001</v>
      </c>
      <c r="U43" s="50">
        <v>12</v>
      </c>
      <c r="V43" s="53">
        <v>0</v>
      </c>
      <c r="W43" s="147">
        <v>2</v>
      </c>
      <c r="X43" s="148" t="s">
        <v>163</v>
      </c>
      <c r="Y43" s="54">
        <f>R43*W43</f>
        <v>23.8</v>
      </c>
      <c r="Z43" s="52">
        <f>S43*W43</f>
        <v>21.25</v>
      </c>
      <c r="AA43" s="52">
        <f>T43*W43</f>
        <v>2.5500000000000003</v>
      </c>
      <c r="AB43" s="52">
        <f>V43*W43</f>
        <v>0</v>
      </c>
      <c r="AC43" s="53">
        <f>(R43+V43)*W43</f>
        <v>23.8</v>
      </c>
      <c r="AD43" s="138">
        <v>11.9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46132</v>
      </c>
      <c r="H44" s="98">
        <v>0.45368055555555553</v>
      </c>
      <c r="I44" s="50">
        <v>161000344</v>
      </c>
      <c r="J44" s="96" t="s">
        <v>157</v>
      </c>
      <c r="K44" s="49" t="s">
        <v>306</v>
      </c>
      <c r="L44" s="39" t="s">
        <v>307</v>
      </c>
      <c r="M44" s="49" t="s">
        <v>308</v>
      </c>
      <c r="N44" s="39" t="s">
        <v>309</v>
      </c>
      <c r="O44" s="96" t="s">
        <v>310</v>
      </c>
      <c r="P44" s="49" t="s">
        <v>157</v>
      </c>
      <c r="Q44" s="96" t="s">
        <v>104</v>
      </c>
      <c r="R44" s="52">
        <v>29.9</v>
      </c>
      <c r="S44" s="52">
        <f>R44-T44</f>
        <v>26.69642857142857</v>
      </c>
      <c r="T44" s="52">
        <f>R44*U44/(U44+100)</f>
        <v>3.2035714285714283</v>
      </c>
      <c r="U44" s="50">
        <v>12</v>
      </c>
      <c r="V44" s="53">
        <v>0</v>
      </c>
      <c r="W44" s="147">
        <v>1</v>
      </c>
      <c r="X44" s="148" t="s">
        <v>163</v>
      </c>
      <c r="Y44" s="54">
        <f>R44*W44</f>
        <v>29.9</v>
      </c>
      <c r="Z44" s="52">
        <f>S44*W44</f>
        <v>26.69642857142857</v>
      </c>
      <c r="AA44" s="52">
        <f>T44*W44</f>
        <v>3.2035714285714283</v>
      </c>
      <c r="AB44" s="52">
        <f>V44*W44</f>
        <v>0</v>
      </c>
      <c r="AC44" s="53">
        <f>(R44+V44)*W44</f>
        <v>29.9</v>
      </c>
      <c r="AD44" s="138">
        <v>29.9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46132</v>
      </c>
      <c r="H45" s="98">
        <v>0.45368055555555553</v>
      </c>
      <c r="I45" s="50">
        <v>161000344</v>
      </c>
      <c r="J45" s="96" t="s">
        <v>157</v>
      </c>
      <c r="K45" s="49" t="s">
        <v>266</v>
      </c>
      <c r="L45" s="39" t="s">
        <v>267</v>
      </c>
      <c r="M45" s="49" t="s">
        <v>268</v>
      </c>
      <c r="N45" s="39" t="s">
        <v>269</v>
      </c>
      <c r="O45" s="96" t="s">
        <v>270</v>
      </c>
      <c r="P45" s="49" t="s">
        <v>235</v>
      </c>
      <c r="Q45" s="96" t="s">
        <v>236</v>
      </c>
      <c r="R45" s="52">
        <v>11.9</v>
      </c>
      <c r="S45" s="52">
        <f>R45-T45</f>
        <v>10.625</v>
      </c>
      <c r="T45" s="52">
        <f>R45*U45/(U45+100)</f>
        <v>1.2750000000000001</v>
      </c>
      <c r="U45" s="50">
        <v>12</v>
      </c>
      <c r="V45" s="53">
        <v>0</v>
      </c>
      <c r="W45" s="147">
        <v>1</v>
      </c>
      <c r="X45" s="148" t="s">
        <v>163</v>
      </c>
      <c r="Y45" s="54">
        <f>R45*W45</f>
        <v>11.9</v>
      </c>
      <c r="Z45" s="52">
        <f>S45*W45</f>
        <v>10.625</v>
      </c>
      <c r="AA45" s="52">
        <f>T45*W45</f>
        <v>1.2750000000000001</v>
      </c>
      <c r="AB45" s="52">
        <f>V45*W45</f>
        <v>0</v>
      </c>
      <c r="AC45" s="53">
        <f>(R45+V45)*W45</f>
        <v>11.9</v>
      </c>
      <c r="AD45" s="138">
        <v>11.9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46132</v>
      </c>
      <c r="H46" s="98">
        <v>0.45368055555555553</v>
      </c>
      <c r="I46" s="50">
        <v>161000344</v>
      </c>
      <c r="J46" s="96" t="s">
        <v>157</v>
      </c>
      <c r="K46" s="49" t="s">
        <v>293</v>
      </c>
      <c r="L46" s="39" t="s">
        <v>294</v>
      </c>
      <c r="M46" s="49" t="s">
        <v>295</v>
      </c>
      <c r="N46" s="39" t="s">
        <v>296</v>
      </c>
      <c r="O46" s="96" t="s">
        <v>297</v>
      </c>
      <c r="P46" s="49" t="s">
        <v>157</v>
      </c>
      <c r="Q46" s="96" t="s">
        <v>104</v>
      </c>
      <c r="R46" s="52">
        <v>2.9</v>
      </c>
      <c r="S46" s="52">
        <f>R46-T46</f>
        <v>2.5892857142857144</v>
      </c>
      <c r="T46" s="52">
        <f>R46*U46/(U46+100)</f>
        <v>0.31071428571428567</v>
      </c>
      <c r="U46" s="50">
        <v>12</v>
      </c>
      <c r="V46" s="53">
        <v>0</v>
      </c>
      <c r="W46" s="147">
        <v>2</v>
      </c>
      <c r="X46" s="148" t="s">
        <v>163</v>
      </c>
      <c r="Y46" s="54">
        <f>R46*W46</f>
        <v>5.8</v>
      </c>
      <c r="Z46" s="52">
        <f>S46*W46</f>
        <v>5.178571428571429</v>
      </c>
      <c r="AA46" s="52">
        <f>T46*W46</f>
        <v>0.6214285714285713</v>
      </c>
      <c r="AB46" s="52">
        <f>V46*W46</f>
        <v>0</v>
      </c>
      <c r="AC46" s="53">
        <f>(R46+V46)*W46</f>
        <v>5.8</v>
      </c>
      <c r="AD46" s="138">
        <v>2.9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46132</v>
      </c>
      <c r="H47" s="98">
        <v>0.4602662037037037</v>
      </c>
      <c r="I47" s="50">
        <v>161000345</v>
      </c>
      <c r="J47" s="96" t="s">
        <v>157</v>
      </c>
      <c r="K47" s="49" t="s">
        <v>311</v>
      </c>
      <c r="L47" s="39" t="s">
        <v>312</v>
      </c>
      <c r="M47" s="49" t="s">
        <v>313</v>
      </c>
      <c r="N47" s="39" t="s">
        <v>314</v>
      </c>
      <c r="O47" s="96" t="s">
        <v>315</v>
      </c>
      <c r="P47" s="49" t="s">
        <v>157</v>
      </c>
      <c r="Q47" s="96" t="s">
        <v>104</v>
      </c>
      <c r="R47" s="52">
        <v>45.9</v>
      </c>
      <c r="S47" s="52">
        <f>R47-T47</f>
        <v>40.982142857142854</v>
      </c>
      <c r="T47" s="52">
        <f>R47*U47/(U47+100)</f>
        <v>4.917857142857143</v>
      </c>
      <c r="U47" s="50">
        <v>12</v>
      </c>
      <c r="V47" s="53">
        <v>0</v>
      </c>
      <c r="W47" s="147">
        <v>1</v>
      </c>
      <c r="X47" s="148" t="s">
        <v>163</v>
      </c>
      <c r="Y47" s="54">
        <f>R47*W47</f>
        <v>45.9</v>
      </c>
      <c r="Z47" s="52">
        <f>S47*W47</f>
        <v>40.982142857142854</v>
      </c>
      <c r="AA47" s="52">
        <f>T47*W47</f>
        <v>4.917857142857143</v>
      </c>
      <c r="AB47" s="52">
        <f>V47*W47</f>
        <v>0</v>
      </c>
      <c r="AC47" s="53">
        <f>(R47+V47)*W47</f>
        <v>45.9</v>
      </c>
      <c r="AD47" s="138">
        <v>45.9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46132</v>
      </c>
      <c r="H48" s="98">
        <v>0.4602662037037037</v>
      </c>
      <c r="I48" s="50">
        <v>161000345</v>
      </c>
      <c r="J48" s="96" t="s">
        <v>157</v>
      </c>
      <c r="K48" s="49" t="s">
        <v>316</v>
      </c>
      <c r="L48" s="39" t="s">
        <v>317</v>
      </c>
      <c r="M48" s="49" t="s">
        <v>318</v>
      </c>
      <c r="N48" s="39" t="s">
        <v>319</v>
      </c>
      <c r="O48" s="96" t="s">
        <v>320</v>
      </c>
      <c r="P48" s="49" t="s">
        <v>157</v>
      </c>
      <c r="Q48" s="96" t="s">
        <v>104</v>
      </c>
      <c r="R48" s="52">
        <v>39.9</v>
      </c>
      <c r="S48" s="52">
        <f>R48-T48</f>
        <v>35.625</v>
      </c>
      <c r="T48" s="52">
        <f>R48*U48/(U48+100)</f>
        <v>4.2749999999999995</v>
      </c>
      <c r="U48" s="50">
        <v>12</v>
      </c>
      <c r="V48" s="53">
        <v>0</v>
      </c>
      <c r="W48" s="147">
        <v>1</v>
      </c>
      <c r="X48" s="148" t="s">
        <v>163</v>
      </c>
      <c r="Y48" s="54">
        <f>R48*W48</f>
        <v>39.9</v>
      </c>
      <c r="Z48" s="52">
        <f>S48*W48</f>
        <v>35.625</v>
      </c>
      <c r="AA48" s="52">
        <f>T48*W48</f>
        <v>4.2749999999999995</v>
      </c>
      <c r="AB48" s="52">
        <f>V48*W48</f>
        <v>0</v>
      </c>
      <c r="AC48" s="53">
        <f>(R48+V48)*W48</f>
        <v>39.9</v>
      </c>
      <c r="AD48" s="138">
        <v>39.9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46132</v>
      </c>
      <c r="H49" s="98">
        <v>0.4602662037037037</v>
      </c>
      <c r="I49" s="50">
        <v>161000345</v>
      </c>
      <c r="J49" s="96" t="s">
        <v>157</v>
      </c>
      <c r="K49" s="49" t="s">
        <v>321</v>
      </c>
      <c r="L49" s="39" t="s">
        <v>322</v>
      </c>
      <c r="M49" s="49" t="s">
        <v>232</v>
      </c>
      <c r="N49" s="39" t="s">
        <v>233</v>
      </c>
      <c r="O49" s="96" t="s">
        <v>323</v>
      </c>
      <c r="P49" s="49" t="s">
        <v>157</v>
      </c>
      <c r="Q49" s="96" t="s">
        <v>104</v>
      </c>
      <c r="R49" s="52">
        <v>24.9</v>
      </c>
      <c r="S49" s="52">
        <f>R49-T49</f>
        <v>20.578512396694215</v>
      </c>
      <c r="T49" s="52">
        <f>R49*U49/(U49+100)</f>
        <v>4.321487603305785</v>
      </c>
      <c r="U49" s="50">
        <v>21</v>
      </c>
      <c r="V49" s="53">
        <v>0</v>
      </c>
      <c r="W49" s="147">
        <v>1</v>
      </c>
      <c r="X49" s="148" t="s">
        <v>163</v>
      </c>
      <c r="Y49" s="54">
        <f>R49*W49</f>
        <v>24.9</v>
      </c>
      <c r="Z49" s="52">
        <f>S49*W49</f>
        <v>20.578512396694215</v>
      </c>
      <c r="AA49" s="52">
        <f>T49*W49</f>
        <v>4.321487603305785</v>
      </c>
      <c r="AB49" s="52">
        <f>V49*W49</f>
        <v>0</v>
      </c>
      <c r="AC49" s="53">
        <f>(R49+V49)*W49</f>
        <v>24.9</v>
      </c>
      <c r="AD49" s="138">
        <v>24.9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46132</v>
      </c>
      <c r="H50" s="98">
        <v>0.4807175925925926</v>
      </c>
      <c r="I50" s="50">
        <v>161000346</v>
      </c>
      <c r="J50" s="96" t="s">
        <v>157</v>
      </c>
      <c r="K50" s="49" t="s">
        <v>324</v>
      </c>
      <c r="L50" s="39" t="s">
        <v>325</v>
      </c>
      <c r="M50" s="49" t="s">
        <v>326</v>
      </c>
      <c r="N50" s="39" t="s">
        <v>327</v>
      </c>
      <c r="O50" s="96" t="s">
        <v>328</v>
      </c>
      <c r="P50" s="49" t="s">
        <v>157</v>
      </c>
      <c r="Q50" s="96" t="s">
        <v>104</v>
      </c>
      <c r="R50" s="52">
        <v>8.4</v>
      </c>
      <c r="S50" s="52">
        <f>R50-T50</f>
        <v>7.5</v>
      </c>
      <c r="T50" s="52">
        <f>R50*U50/(U50+100)</f>
        <v>0.9000000000000001</v>
      </c>
      <c r="U50" s="50">
        <v>12</v>
      </c>
      <c r="V50" s="53">
        <v>0</v>
      </c>
      <c r="W50" s="147">
        <v>1</v>
      </c>
      <c r="X50" s="148" t="s">
        <v>163</v>
      </c>
      <c r="Y50" s="54">
        <f>R50*W50</f>
        <v>8.4</v>
      </c>
      <c r="Z50" s="52">
        <f>S50*W50</f>
        <v>7.5</v>
      </c>
      <c r="AA50" s="52">
        <f>T50*W50</f>
        <v>0.9000000000000001</v>
      </c>
      <c r="AB50" s="52">
        <f>V50*W50</f>
        <v>0</v>
      </c>
      <c r="AC50" s="53">
        <f>(R50+V50)*W50</f>
        <v>8.4</v>
      </c>
      <c r="AD50" s="138">
        <v>8.4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46132</v>
      </c>
      <c r="H51" s="98">
        <v>0.49940972222222224</v>
      </c>
      <c r="I51" s="50">
        <v>161000347</v>
      </c>
      <c r="J51" s="96" t="s">
        <v>157</v>
      </c>
      <c r="K51" s="49" t="s">
        <v>329</v>
      </c>
      <c r="L51" s="39" t="s">
        <v>330</v>
      </c>
      <c r="M51" s="49" t="s">
        <v>185</v>
      </c>
      <c r="N51" s="39" t="s">
        <v>331</v>
      </c>
      <c r="O51" s="96" t="s">
        <v>332</v>
      </c>
      <c r="P51" s="49" t="s">
        <v>157</v>
      </c>
      <c r="Q51" s="96" t="s">
        <v>104</v>
      </c>
      <c r="R51" s="52">
        <v>49.9</v>
      </c>
      <c r="S51" s="52">
        <f>R51-T51</f>
        <v>44.55357142857143</v>
      </c>
      <c r="T51" s="52">
        <f>R51*U51/(U51+100)</f>
        <v>5.346428571428571</v>
      </c>
      <c r="U51" s="50">
        <v>12</v>
      </c>
      <c r="V51" s="53">
        <v>0</v>
      </c>
      <c r="W51" s="147">
        <v>1</v>
      </c>
      <c r="X51" s="148" t="s">
        <v>163</v>
      </c>
      <c r="Y51" s="54">
        <f>R51*W51</f>
        <v>49.9</v>
      </c>
      <c r="Z51" s="52">
        <f>S51*W51</f>
        <v>44.55357142857143</v>
      </c>
      <c r="AA51" s="52">
        <f>T51*W51</f>
        <v>5.346428571428571</v>
      </c>
      <c r="AB51" s="52">
        <f>V51*W51</f>
        <v>0</v>
      </c>
      <c r="AC51" s="53">
        <f>(R51+V51)*W51</f>
        <v>49.9</v>
      </c>
      <c r="AD51" s="138">
        <v>49.9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46132</v>
      </c>
      <c r="H52" s="98">
        <v>0.49940972222222224</v>
      </c>
      <c r="I52" s="50">
        <v>161000347</v>
      </c>
      <c r="J52" s="96" t="s">
        <v>157</v>
      </c>
      <c r="K52" s="49" t="s">
        <v>333</v>
      </c>
      <c r="L52" s="39" t="s">
        <v>334</v>
      </c>
      <c r="M52" s="49" t="s">
        <v>326</v>
      </c>
      <c r="N52" s="39" t="s">
        <v>327</v>
      </c>
      <c r="O52" s="96" t="s">
        <v>335</v>
      </c>
      <c r="P52" s="49" t="s">
        <v>157</v>
      </c>
      <c r="Q52" s="96" t="s">
        <v>104</v>
      </c>
      <c r="R52" s="52">
        <v>6.9</v>
      </c>
      <c r="S52" s="52">
        <f>R52-T52</f>
        <v>6.160714285714286</v>
      </c>
      <c r="T52" s="52">
        <f>R52*U52/(U52+100)</f>
        <v>0.7392857142857144</v>
      </c>
      <c r="U52" s="50">
        <v>12</v>
      </c>
      <c r="V52" s="53">
        <v>0</v>
      </c>
      <c r="W52" s="147">
        <v>1</v>
      </c>
      <c r="X52" s="148" t="s">
        <v>163</v>
      </c>
      <c r="Y52" s="54">
        <f>R52*W52</f>
        <v>6.9</v>
      </c>
      <c r="Z52" s="52">
        <f>S52*W52</f>
        <v>6.160714285714286</v>
      </c>
      <c r="AA52" s="52">
        <f>T52*W52</f>
        <v>0.7392857142857144</v>
      </c>
      <c r="AB52" s="52">
        <f>V52*W52</f>
        <v>0</v>
      </c>
      <c r="AC52" s="53">
        <f>(R52+V52)*W52</f>
        <v>6.9</v>
      </c>
      <c r="AD52" s="138">
        <v>6.9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46132</v>
      </c>
      <c r="H53" s="98">
        <v>0.49940972222222224</v>
      </c>
      <c r="I53" s="50">
        <v>161000347</v>
      </c>
      <c r="J53" s="96" t="s">
        <v>157</v>
      </c>
      <c r="K53" s="49" t="s">
        <v>336</v>
      </c>
      <c r="L53" s="39" t="s">
        <v>337</v>
      </c>
      <c r="M53" s="49" t="s">
        <v>190</v>
      </c>
      <c r="N53" s="39" t="s">
        <v>191</v>
      </c>
      <c r="O53" s="96" t="s">
        <v>338</v>
      </c>
      <c r="P53" s="49" t="s">
        <v>157</v>
      </c>
      <c r="Q53" s="96" t="s">
        <v>104</v>
      </c>
      <c r="R53" s="52">
        <v>11.9</v>
      </c>
      <c r="S53" s="52">
        <f>R53-T53</f>
        <v>10.625</v>
      </c>
      <c r="T53" s="52">
        <f>R53*U53/(U53+100)</f>
        <v>1.2750000000000001</v>
      </c>
      <c r="U53" s="50">
        <v>12</v>
      </c>
      <c r="V53" s="53">
        <v>0</v>
      </c>
      <c r="W53" s="147">
        <v>0.924</v>
      </c>
      <c r="X53" s="148" t="s">
        <v>193</v>
      </c>
      <c r="Y53" s="54">
        <f>R53*W53</f>
        <v>10.995600000000001</v>
      </c>
      <c r="Z53" s="52">
        <f>S53*W53</f>
        <v>9.8175</v>
      </c>
      <c r="AA53" s="52">
        <f>T53*W53</f>
        <v>1.1781000000000001</v>
      </c>
      <c r="AB53" s="52">
        <f>V53*W53</f>
        <v>0</v>
      </c>
      <c r="AC53" s="53">
        <f>(R53+V53)*W53</f>
        <v>10.995600000000001</v>
      </c>
      <c r="AD53" s="138">
        <v>11.9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46132</v>
      </c>
      <c r="H54" s="98">
        <v>0.5022685185185185</v>
      </c>
      <c r="I54" s="50">
        <v>161000348</v>
      </c>
      <c r="J54" s="96" t="s">
        <v>157</v>
      </c>
      <c r="K54" s="49" t="s">
        <v>339</v>
      </c>
      <c r="L54" s="39" t="s">
        <v>340</v>
      </c>
      <c r="M54" s="49" t="s">
        <v>341</v>
      </c>
      <c r="N54" s="39" t="s">
        <v>233</v>
      </c>
      <c r="O54" s="96" t="s">
        <v>342</v>
      </c>
      <c r="P54" s="49" t="s">
        <v>157</v>
      </c>
      <c r="Q54" s="96" t="s">
        <v>104</v>
      </c>
      <c r="R54" s="52">
        <v>18.9</v>
      </c>
      <c r="S54" s="52">
        <f>R54-T54</f>
        <v>15.6198347107438</v>
      </c>
      <c r="T54" s="52">
        <f>R54*U54/(U54+100)</f>
        <v>3.2801652892561983</v>
      </c>
      <c r="U54" s="50">
        <v>21</v>
      </c>
      <c r="V54" s="53">
        <v>0</v>
      </c>
      <c r="W54" s="147">
        <v>1</v>
      </c>
      <c r="X54" s="148" t="s">
        <v>163</v>
      </c>
      <c r="Y54" s="54">
        <f>R54*W54</f>
        <v>18.9</v>
      </c>
      <c r="Z54" s="52">
        <f>S54*W54</f>
        <v>15.6198347107438</v>
      </c>
      <c r="AA54" s="52">
        <f>T54*W54</f>
        <v>3.2801652892561983</v>
      </c>
      <c r="AB54" s="52">
        <f>V54*W54</f>
        <v>0</v>
      </c>
      <c r="AC54" s="53">
        <f>(R54+V54)*W54</f>
        <v>18.9</v>
      </c>
      <c r="AD54" s="138">
        <v>18.9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46132</v>
      </c>
      <c r="H55" s="98">
        <v>0.5022685185185185</v>
      </c>
      <c r="I55" s="50">
        <v>161000348</v>
      </c>
      <c r="J55" s="96" t="s">
        <v>157</v>
      </c>
      <c r="K55" s="49" t="s">
        <v>343</v>
      </c>
      <c r="L55" s="39" t="s">
        <v>344</v>
      </c>
      <c r="M55" s="49" t="s">
        <v>232</v>
      </c>
      <c r="N55" s="39" t="s">
        <v>233</v>
      </c>
      <c r="O55" s="96" t="s">
        <v>345</v>
      </c>
      <c r="P55" s="49" t="s">
        <v>235</v>
      </c>
      <c r="Q55" s="96" t="s">
        <v>236</v>
      </c>
      <c r="R55" s="52">
        <v>24.9</v>
      </c>
      <c r="S55" s="52">
        <f>R55-T55</f>
        <v>20.578512396694215</v>
      </c>
      <c r="T55" s="52">
        <f>R55*U55/(U55+100)</f>
        <v>4.321487603305785</v>
      </c>
      <c r="U55" s="50">
        <v>21</v>
      </c>
      <c r="V55" s="53">
        <v>0</v>
      </c>
      <c r="W55" s="147">
        <v>1</v>
      </c>
      <c r="X55" s="148" t="s">
        <v>163</v>
      </c>
      <c r="Y55" s="54">
        <f>R55*W55</f>
        <v>24.9</v>
      </c>
      <c r="Z55" s="52">
        <f>S55*W55</f>
        <v>20.578512396694215</v>
      </c>
      <c r="AA55" s="52">
        <f>T55*W55</f>
        <v>4.321487603305785</v>
      </c>
      <c r="AB55" s="52">
        <f>V55*W55</f>
        <v>0</v>
      </c>
      <c r="AC55" s="53">
        <f>(R55+V55)*W55</f>
        <v>24.9</v>
      </c>
      <c r="AD55" s="138">
        <v>24.9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46132</v>
      </c>
      <c r="H56" s="98">
        <v>0.5121990740740741</v>
      </c>
      <c r="I56" s="50">
        <v>161000349</v>
      </c>
      <c r="J56" s="96" t="s">
        <v>157</v>
      </c>
      <c r="K56" s="49" t="s">
        <v>346</v>
      </c>
      <c r="L56" s="39" t="s">
        <v>347</v>
      </c>
      <c r="M56" s="49" t="s">
        <v>171</v>
      </c>
      <c r="N56" s="39" t="s">
        <v>348</v>
      </c>
      <c r="O56" s="96" t="s">
        <v>349</v>
      </c>
      <c r="P56" s="49" t="s">
        <v>157</v>
      </c>
      <c r="Q56" s="96" t="s">
        <v>104</v>
      </c>
      <c r="R56" s="52">
        <v>14.9</v>
      </c>
      <c r="S56" s="52">
        <f>R56-T56</f>
        <v>13.303571428571429</v>
      </c>
      <c r="T56" s="52">
        <f>R56*U56/(U56+100)</f>
        <v>1.5964285714285715</v>
      </c>
      <c r="U56" s="50">
        <v>12</v>
      </c>
      <c r="V56" s="53">
        <v>0</v>
      </c>
      <c r="W56" s="147">
        <v>1</v>
      </c>
      <c r="X56" s="148" t="s">
        <v>163</v>
      </c>
      <c r="Y56" s="54">
        <f>R56*W56</f>
        <v>14.9</v>
      </c>
      <c r="Z56" s="52">
        <f>S56*W56</f>
        <v>13.303571428571429</v>
      </c>
      <c r="AA56" s="52">
        <f>T56*W56</f>
        <v>1.5964285714285715</v>
      </c>
      <c r="AB56" s="52">
        <f>V56*W56</f>
        <v>0</v>
      </c>
      <c r="AC56" s="53">
        <f>(R56+V56)*W56</f>
        <v>14.9</v>
      </c>
      <c r="AD56" s="138">
        <v>14.9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46132</v>
      </c>
      <c r="H57" s="98">
        <v>0.5121990740740741</v>
      </c>
      <c r="I57" s="50">
        <v>161000349</v>
      </c>
      <c r="J57" s="96" t="s">
        <v>157</v>
      </c>
      <c r="K57" s="49" t="s">
        <v>350</v>
      </c>
      <c r="L57" s="39" t="s">
        <v>351</v>
      </c>
      <c r="M57" s="49" t="s">
        <v>352</v>
      </c>
      <c r="N57" s="39" t="s">
        <v>353</v>
      </c>
      <c r="O57" s="96" t="s">
        <v>354</v>
      </c>
      <c r="P57" s="49" t="s">
        <v>157</v>
      </c>
      <c r="Q57" s="96" t="s">
        <v>104</v>
      </c>
      <c r="R57" s="52">
        <v>27.9</v>
      </c>
      <c r="S57" s="52">
        <f>R57-T57</f>
        <v>23.05785123966942</v>
      </c>
      <c r="T57" s="52">
        <f>R57*U57/(U57+100)</f>
        <v>4.842148760330578</v>
      </c>
      <c r="U57" s="50">
        <v>21</v>
      </c>
      <c r="V57" s="53">
        <v>0</v>
      </c>
      <c r="W57" s="147">
        <v>1</v>
      </c>
      <c r="X57" s="148" t="s">
        <v>163</v>
      </c>
      <c r="Y57" s="54">
        <f>R57*W57</f>
        <v>27.9</v>
      </c>
      <c r="Z57" s="52">
        <f>S57*W57</f>
        <v>23.05785123966942</v>
      </c>
      <c r="AA57" s="52">
        <f>T57*W57</f>
        <v>4.842148760330578</v>
      </c>
      <c r="AB57" s="52">
        <f>V57*W57</f>
        <v>0</v>
      </c>
      <c r="AC57" s="53">
        <f>(R57+V57)*W57</f>
        <v>27.9</v>
      </c>
      <c r="AD57" s="138">
        <v>27.9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46132</v>
      </c>
      <c r="H58" s="98">
        <v>0.5184027777777778</v>
      </c>
      <c r="I58" s="50">
        <v>161000350</v>
      </c>
      <c r="J58" s="96" t="s">
        <v>157</v>
      </c>
      <c r="K58" s="49" t="s">
        <v>355</v>
      </c>
      <c r="L58" s="39" t="s">
        <v>356</v>
      </c>
      <c r="M58" s="49" t="s">
        <v>171</v>
      </c>
      <c r="N58" s="39" t="s">
        <v>264</v>
      </c>
      <c r="O58" s="96" t="s">
        <v>357</v>
      </c>
      <c r="P58" s="49" t="s">
        <v>157</v>
      </c>
      <c r="Q58" s="96" t="s">
        <v>104</v>
      </c>
      <c r="R58" s="52">
        <v>4.5</v>
      </c>
      <c r="S58" s="52">
        <f>R58-T58</f>
        <v>4.017857142857143</v>
      </c>
      <c r="T58" s="52">
        <f>R58*U58/(U58+100)</f>
        <v>0.48214285714285715</v>
      </c>
      <c r="U58" s="50">
        <v>12</v>
      </c>
      <c r="V58" s="53">
        <v>0</v>
      </c>
      <c r="W58" s="147">
        <v>1</v>
      </c>
      <c r="X58" s="148" t="s">
        <v>163</v>
      </c>
      <c r="Y58" s="54">
        <f>R58*W58</f>
        <v>4.5</v>
      </c>
      <c r="Z58" s="52">
        <f>S58*W58</f>
        <v>4.017857142857143</v>
      </c>
      <c r="AA58" s="52">
        <f>T58*W58</f>
        <v>0.48214285714285715</v>
      </c>
      <c r="AB58" s="52">
        <f>V58*W58</f>
        <v>0</v>
      </c>
      <c r="AC58" s="53">
        <f>(R58+V58)*W58</f>
        <v>4.5</v>
      </c>
      <c r="AD58" s="138">
        <v>4.5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46132</v>
      </c>
      <c r="H59" s="98">
        <v>0.5184027777777778</v>
      </c>
      <c r="I59" s="50">
        <v>161000350</v>
      </c>
      <c r="J59" s="96" t="s">
        <v>157</v>
      </c>
      <c r="K59" s="49" t="s">
        <v>358</v>
      </c>
      <c r="L59" s="39" t="s">
        <v>359</v>
      </c>
      <c r="M59" s="49" t="s">
        <v>360</v>
      </c>
      <c r="N59" s="39" t="s">
        <v>220</v>
      </c>
      <c r="O59" s="96" t="s">
        <v>361</v>
      </c>
      <c r="P59" s="49" t="s">
        <v>157</v>
      </c>
      <c r="Q59" s="96" t="s">
        <v>104</v>
      </c>
      <c r="R59" s="52">
        <v>11.4</v>
      </c>
      <c r="S59" s="52">
        <f>R59-T59</f>
        <v>9.421487603305785</v>
      </c>
      <c r="T59" s="52">
        <f>R59*U59/(U59+100)</f>
        <v>1.9785123966942149</v>
      </c>
      <c r="U59" s="50">
        <v>21</v>
      </c>
      <c r="V59" s="53">
        <v>0</v>
      </c>
      <c r="W59" s="147">
        <v>1</v>
      </c>
      <c r="X59" s="148" t="s">
        <v>163</v>
      </c>
      <c r="Y59" s="54">
        <f>R59*W59</f>
        <v>11.4</v>
      </c>
      <c r="Z59" s="52">
        <f>S59*W59</f>
        <v>9.421487603305785</v>
      </c>
      <c r="AA59" s="52">
        <f>T59*W59</f>
        <v>1.9785123966942149</v>
      </c>
      <c r="AB59" s="52">
        <f>V59*W59</f>
        <v>0</v>
      </c>
      <c r="AC59" s="53">
        <f>(R59+V59)*W59</f>
        <v>11.4</v>
      </c>
      <c r="AD59" s="138">
        <v>11.4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46132</v>
      </c>
      <c r="H60" s="98">
        <v>0.5424305555555555</v>
      </c>
      <c r="I60" s="50">
        <v>161000351</v>
      </c>
      <c r="J60" s="96" t="s">
        <v>157</v>
      </c>
      <c r="K60" s="49" t="s">
        <v>362</v>
      </c>
      <c r="L60" s="39" t="s">
        <v>363</v>
      </c>
      <c r="M60" s="49" t="s">
        <v>364</v>
      </c>
      <c r="N60" s="39" t="s">
        <v>365</v>
      </c>
      <c r="O60" s="96" t="s">
        <v>366</v>
      </c>
      <c r="P60" s="49" t="s">
        <v>157</v>
      </c>
      <c r="Q60" s="96" t="s">
        <v>104</v>
      </c>
      <c r="R60" s="52">
        <v>44.9</v>
      </c>
      <c r="S60" s="52">
        <f>R60-T60</f>
        <v>40.089285714285715</v>
      </c>
      <c r="T60" s="52">
        <f>R60*U60/(U60+100)</f>
        <v>4.810714285714285</v>
      </c>
      <c r="U60" s="50">
        <v>12</v>
      </c>
      <c r="V60" s="53">
        <v>0</v>
      </c>
      <c r="W60" s="147">
        <v>1</v>
      </c>
      <c r="X60" s="148" t="s">
        <v>163</v>
      </c>
      <c r="Y60" s="54">
        <f>R60*W60</f>
        <v>44.9</v>
      </c>
      <c r="Z60" s="52">
        <f>S60*W60</f>
        <v>40.089285714285715</v>
      </c>
      <c r="AA60" s="52">
        <f>T60*W60</f>
        <v>4.810714285714285</v>
      </c>
      <c r="AB60" s="52">
        <f>V60*W60</f>
        <v>0</v>
      </c>
      <c r="AC60" s="53">
        <f>(R60+V60)*W60</f>
        <v>44.9</v>
      </c>
      <c r="AD60" s="138">
        <v>44.9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46132</v>
      </c>
      <c r="H61" s="98">
        <v>0.5424305555555555</v>
      </c>
      <c r="I61" s="50">
        <v>161000351</v>
      </c>
      <c r="J61" s="96" t="s">
        <v>157</v>
      </c>
      <c r="K61" s="49" t="s">
        <v>367</v>
      </c>
      <c r="L61" s="39" t="s">
        <v>368</v>
      </c>
      <c r="M61" s="49" t="s">
        <v>369</v>
      </c>
      <c r="N61" s="39" t="s">
        <v>278</v>
      </c>
      <c r="O61" s="96" t="s">
        <v>370</v>
      </c>
      <c r="P61" s="49" t="s">
        <v>157</v>
      </c>
      <c r="Q61" s="96" t="s">
        <v>104</v>
      </c>
      <c r="R61" s="52">
        <v>344.9</v>
      </c>
      <c r="S61" s="52">
        <f>R61-T61</f>
        <v>307.94642857142856</v>
      </c>
      <c r="T61" s="52">
        <f>R61*U61/(U61+100)</f>
        <v>36.95357142857142</v>
      </c>
      <c r="U61" s="50">
        <v>12</v>
      </c>
      <c r="V61" s="53">
        <v>0</v>
      </c>
      <c r="W61" s="147">
        <v>0.106</v>
      </c>
      <c r="X61" s="148" t="s">
        <v>193</v>
      </c>
      <c r="Y61" s="54">
        <f>R61*W61</f>
        <v>36.5594</v>
      </c>
      <c r="Z61" s="52">
        <f>S61*W61</f>
        <v>32.64232142857143</v>
      </c>
      <c r="AA61" s="52">
        <f>T61*W61</f>
        <v>3.9170785714285707</v>
      </c>
      <c r="AB61" s="52">
        <f>V61*W61</f>
        <v>0</v>
      </c>
      <c r="AC61" s="53">
        <f>(R61+V61)*W61</f>
        <v>36.5594</v>
      </c>
      <c r="AD61" s="138">
        <v>344.9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46132</v>
      </c>
      <c r="H62" s="98">
        <v>0.5424305555555555</v>
      </c>
      <c r="I62" s="50">
        <v>161000351</v>
      </c>
      <c r="J62" s="96" t="s">
        <v>157</v>
      </c>
      <c r="K62" s="49" t="s">
        <v>371</v>
      </c>
      <c r="L62" s="39" t="s">
        <v>372</v>
      </c>
      <c r="M62" s="49" t="s">
        <v>277</v>
      </c>
      <c r="N62" s="39" t="s">
        <v>373</v>
      </c>
      <c r="O62" s="96" t="s">
        <v>374</v>
      </c>
      <c r="P62" s="49" t="s">
        <v>157</v>
      </c>
      <c r="Q62" s="96" t="s">
        <v>104</v>
      </c>
      <c r="R62" s="52">
        <v>208.9</v>
      </c>
      <c r="S62" s="52">
        <f>R62-T62</f>
        <v>186.51785714285714</v>
      </c>
      <c r="T62" s="52">
        <f>R62*U62/(U62+100)</f>
        <v>22.38214285714286</v>
      </c>
      <c r="U62" s="50">
        <v>12</v>
      </c>
      <c r="V62" s="53">
        <v>0</v>
      </c>
      <c r="W62" s="147">
        <v>0.306</v>
      </c>
      <c r="X62" s="148" t="s">
        <v>193</v>
      </c>
      <c r="Y62" s="54">
        <f>R62*W62</f>
        <v>63.9234</v>
      </c>
      <c r="Z62" s="52">
        <f>S62*W62</f>
        <v>57.074464285714285</v>
      </c>
      <c r="AA62" s="52">
        <f>T62*W62</f>
        <v>6.848935714285715</v>
      </c>
      <c r="AB62" s="52">
        <f>V62*W62</f>
        <v>0</v>
      </c>
      <c r="AC62" s="53">
        <f>(R62+V62)*W62</f>
        <v>63.9234</v>
      </c>
      <c r="AD62" s="138">
        <v>208.9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46132</v>
      </c>
      <c r="H63" s="98">
        <v>0.545775462962963</v>
      </c>
      <c r="I63" s="50">
        <v>161000352</v>
      </c>
      <c r="J63" s="96" t="s">
        <v>157</v>
      </c>
      <c r="K63" s="49" t="s">
        <v>375</v>
      </c>
      <c r="L63" s="39" t="s">
        <v>376</v>
      </c>
      <c r="M63" s="49" t="s">
        <v>232</v>
      </c>
      <c r="N63" s="39" t="s">
        <v>233</v>
      </c>
      <c r="O63" s="96" t="s">
        <v>377</v>
      </c>
      <c r="P63" s="49" t="s">
        <v>157</v>
      </c>
      <c r="Q63" s="96" t="s">
        <v>104</v>
      </c>
      <c r="R63" s="52">
        <v>29.9</v>
      </c>
      <c r="S63" s="52">
        <f>R63-T63</f>
        <v>24.710743801652892</v>
      </c>
      <c r="T63" s="52">
        <f>R63*U63/(U63+100)</f>
        <v>5.189256198347107</v>
      </c>
      <c r="U63" s="50">
        <v>21</v>
      </c>
      <c r="V63" s="53">
        <v>0</v>
      </c>
      <c r="W63" s="147">
        <v>1</v>
      </c>
      <c r="X63" s="148" t="s">
        <v>163</v>
      </c>
      <c r="Y63" s="54">
        <f>R63*W63</f>
        <v>29.9</v>
      </c>
      <c r="Z63" s="52">
        <f>S63*W63</f>
        <v>24.710743801652892</v>
      </c>
      <c r="AA63" s="52">
        <f>T63*W63</f>
        <v>5.189256198347107</v>
      </c>
      <c r="AB63" s="52">
        <f>V63*W63</f>
        <v>0</v>
      </c>
      <c r="AC63" s="53">
        <f>(R63+V63)*W63</f>
        <v>29.9</v>
      </c>
      <c r="AD63" s="138">
        <v>29.9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46132</v>
      </c>
      <c r="H64" s="98">
        <v>0.5474189814814815</v>
      </c>
      <c r="I64" s="50">
        <v>161000353</v>
      </c>
      <c r="J64" s="96" t="s">
        <v>157</v>
      </c>
      <c r="K64" s="49" t="s">
        <v>378</v>
      </c>
      <c r="L64" s="39" t="s">
        <v>379</v>
      </c>
      <c r="M64" s="49" t="s">
        <v>171</v>
      </c>
      <c r="N64" s="39" t="s">
        <v>264</v>
      </c>
      <c r="O64" s="96" t="s">
        <v>357</v>
      </c>
      <c r="P64" s="49" t="s">
        <v>157</v>
      </c>
      <c r="Q64" s="96" t="s">
        <v>104</v>
      </c>
      <c r="R64" s="52">
        <v>4.5</v>
      </c>
      <c r="S64" s="52">
        <f>R64-T64</f>
        <v>4.017857142857143</v>
      </c>
      <c r="T64" s="52">
        <f>R64*U64/(U64+100)</f>
        <v>0.48214285714285715</v>
      </c>
      <c r="U64" s="50">
        <v>12</v>
      </c>
      <c r="V64" s="53">
        <v>0</v>
      </c>
      <c r="W64" s="147">
        <v>1</v>
      </c>
      <c r="X64" s="148" t="s">
        <v>163</v>
      </c>
      <c r="Y64" s="54">
        <f>R64*W64</f>
        <v>4.5</v>
      </c>
      <c r="Z64" s="52">
        <f>S64*W64</f>
        <v>4.017857142857143</v>
      </c>
      <c r="AA64" s="52">
        <f>T64*W64</f>
        <v>0.48214285714285715</v>
      </c>
      <c r="AB64" s="52">
        <f>V64*W64</f>
        <v>0</v>
      </c>
      <c r="AC64" s="53">
        <f>(R64+V64)*W64</f>
        <v>4.5</v>
      </c>
      <c r="AD64" s="138">
        <v>4.5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46132</v>
      </c>
      <c r="H65" s="98">
        <v>0.5474189814814815</v>
      </c>
      <c r="I65" s="50">
        <v>161000353</v>
      </c>
      <c r="J65" s="96" t="s">
        <v>157</v>
      </c>
      <c r="K65" s="49" t="s">
        <v>380</v>
      </c>
      <c r="L65" s="39" t="s">
        <v>381</v>
      </c>
      <c r="M65" s="49" t="s">
        <v>171</v>
      </c>
      <c r="N65" s="39" t="s">
        <v>264</v>
      </c>
      <c r="O65" s="96" t="s">
        <v>357</v>
      </c>
      <c r="P65" s="49" t="s">
        <v>157</v>
      </c>
      <c r="Q65" s="96" t="s">
        <v>104</v>
      </c>
      <c r="R65" s="52">
        <v>4.5</v>
      </c>
      <c r="S65" s="52">
        <f>R65-T65</f>
        <v>4.017857142857143</v>
      </c>
      <c r="T65" s="52">
        <f>R65*U65/(U65+100)</f>
        <v>0.48214285714285715</v>
      </c>
      <c r="U65" s="50">
        <v>12</v>
      </c>
      <c r="V65" s="53">
        <v>0</v>
      </c>
      <c r="W65" s="147">
        <v>1</v>
      </c>
      <c r="X65" s="148" t="s">
        <v>163</v>
      </c>
      <c r="Y65" s="54">
        <f>R65*W65</f>
        <v>4.5</v>
      </c>
      <c r="Z65" s="52">
        <f>S65*W65</f>
        <v>4.017857142857143</v>
      </c>
      <c r="AA65" s="52">
        <f>T65*W65</f>
        <v>0.48214285714285715</v>
      </c>
      <c r="AB65" s="52">
        <f>V65*W65</f>
        <v>0</v>
      </c>
      <c r="AC65" s="53">
        <f>(R65+V65)*W65</f>
        <v>4.5</v>
      </c>
      <c r="AD65" s="138">
        <v>4.5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46132</v>
      </c>
      <c r="H66" s="98">
        <v>0.5474189814814815</v>
      </c>
      <c r="I66" s="50">
        <v>161000353</v>
      </c>
      <c r="J66" s="96" t="s">
        <v>157</v>
      </c>
      <c r="K66" s="49" t="s">
        <v>382</v>
      </c>
      <c r="L66" s="39" t="s">
        <v>383</v>
      </c>
      <c r="M66" s="49" t="s">
        <v>384</v>
      </c>
      <c r="N66" s="39" t="s">
        <v>264</v>
      </c>
      <c r="O66" s="96" t="s">
        <v>385</v>
      </c>
      <c r="P66" s="49" t="s">
        <v>157</v>
      </c>
      <c r="Q66" s="96" t="s">
        <v>104</v>
      </c>
      <c r="R66" s="52">
        <v>6.9</v>
      </c>
      <c r="S66" s="52">
        <f>R66-T66</f>
        <v>6.160714285714286</v>
      </c>
      <c r="T66" s="52">
        <f>R66*U66/(U66+100)</f>
        <v>0.7392857142857144</v>
      </c>
      <c r="U66" s="50">
        <v>12</v>
      </c>
      <c r="V66" s="53">
        <v>0</v>
      </c>
      <c r="W66" s="147">
        <v>1</v>
      </c>
      <c r="X66" s="148" t="s">
        <v>163</v>
      </c>
      <c r="Y66" s="54">
        <f>R66*W66</f>
        <v>6.9</v>
      </c>
      <c r="Z66" s="52">
        <f>S66*W66</f>
        <v>6.160714285714286</v>
      </c>
      <c r="AA66" s="52">
        <f>T66*W66</f>
        <v>0.7392857142857144</v>
      </c>
      <c r="AB66" s="52">
        <f>V66*W66</f>
        <v>0</v>
      </c>
      <c r="AC66" s="53">
        <f>(R66+V66)*W66</f>
        <v>6.9</v>
      </c>
      <c r="AD66" s="138">
        <v>6.9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46132</v>
      </c>
      <c r="H67" s="98">
        <v>0.5474189814814815</v>
      </c>
      <c r="I67" s="50">
        <v>161000353</v>
      </c>
      <c r="J67" s="96" t="s">
        <v>157</v>
      </c>
      <c r="K67" s="49" t="s">
        <v>386</v>
      </c>
      <c r="L67" s="39" t="s">
        <v>387</v>
      </c>
      <c r="M67" s="49" t="s">
        <v>219</v>
      </c>
      <c r="N67" s="39" t="s">
        <v>388</v>
      </c>
      <c r="O67" s="96" t="s">
        <v>389</v>
      </c>
      <c r="P67" s="49" t="s">
        <v>157</v>
      </c>
      <c r="Q67" s="96" t="s">
        <v>104</v>
      </c>
      <c r="R67" s="52">
        <v>29.9</v>
      </c>
      <c r="S67" s="52">
        <f>R67-T67</f>
        <v>24.710743801652892</v>
      </c>
      <c r="T67" s="52">
        <f>R67*U67/(U67+100)</f>
        <v>5.189256198347107</v>
      </c>
      <c r="U67" s="50">
        <v>21</v>
      </c>
      <c r="V67" s="53">
        <v>0</v>
      </c>
      <c r="W67" s="147">
        <v>1</v>
      </c>
      <c r="X67" s="148" t="s">
        <v>163</v>
      </c>
      <c r="Y67" s="54">
        <f>R67*W67</f>
        <v>29.9</v>
      </c>
      <c r="Z67" s="52">
        <f>S67*W67</f>
        <v>24.710743801652892</v>
      </c>
      <c r="AA67" s="52">
        <f>T67*W67</f>
        <v>5.189256198347107</v>
      </c>
      <c r="AB67" s="52">
        <f>V67*W67</f>
        <v>0</v>
      </c>
      <c r="AC67" s="53">
        <f>(R67+V67)*W67</f>
        <v>29.9</v>
      </c>
      <c r="AD67" s="138">
        <v>29.9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46132</v>
      </c>
      <c r="H68" s="98">
        <v>0.5474189814814815</v>
      </c>
      <c r="I68" s="50">
        <v>161000353</v>
      </c>
      <c r="J68" s="96" t="s">
        <v>157</v>
      </c>
      <c r="K68" s="49" t="s">
        <v>390</v>
      </c>
      <c r="L68" s="39" t="s">
        <v>391</v>
      </c>
      <c r="M68" s="49" t="s">
        <v>214</v>
      </c>
      <c r="N68" s="39" t="s">
        <v>273</v>
      </c>
      <c r="O68" s="96" t="s">
        <v>392</v>
      </c>
      <c r="P68" s="49" t="s">
        <v>157</v>
      </c>
      <c r="Q68" s="96" t="s">
        <v>104</v>
      </c>
      <c r="R68" s="52">
        <v>15.9</v>
      </c>
      <c r="S68" s="52">
        <f>R68-T68</f>
        <v>14.196428571428571</v>
      </c>
      <c r="T68" s="52">
        <f>R68*U68/(U68+100)</f>
        <v>1.7035714285714287</v>
      </c>
      <c r="U68" s="50">
        <v>12</v>
      </c>
      <c r="V68" s="53">
        <v>0</v>
      </c>
      <c r="W68" s="147">
        <v>3</v>
      </c>
      <c r="X68" s="148" t="s">
        <v>163</v>
      </c>
      <c r="Y68" s="54">
        <f>R68*W68</f>
        <v>47.7</v>
      </c>
      <c r="Z68" s="52">
        <f>S68*W68</f>
        <v>42.589285714285715</v>
      </c>
      <c r="AA68" s="52">
        <f>T68*W68</f>
        <v>5.110714285714286</v>
      </c>
      <c r="AB68" s="52">
        <f>V68*W68</f>
        <v>0</v>
      </c>
      <c r="AC68" s="53">
        <f>(R68+V68)*W68</f>
        <v>47.7</v>
      </c>
      <c r="AD68" s="138">
        <v>15.9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46132</v>
      </c>
      <c r="H69" s="98">
        <v>0.5609953703703704</v>
      </c>
      <c r="I69" s="50">
        <v>161000354</v>
      </c>
      <c r="J69" s="96" t="s">
        <v>157</v>
      </c>
      <c r="K69" s="49" t="s">
        <v>393</v>
      </c>
      <c r="L69" s="39" t="s">
        <v>394</v>
      </c>
      <c r="M69" s="49" t="s">
        <v>395</v>
      </c>
      <c r="N69" s="39" t="s">
        <v>167</v>
      </c>
      <c r="O69" s="96" t="s">
        <v>396</v>
      </c>
      <c r="P69" s="49" t="s">
        <v>157</v>
      </c>
      <c r="Q69" s="96" t="s">
        <v>104</v>
      </c>
      <c r="R69" s="52">
        <v>41.9</v>
      </c>
      <c r="S69" s="52">
        <f>R69-T69</f>
        <v>34.62809917355372</v>
      </c>
      <c r="T69" s="52">
        <f>R69*U69/(U69+100)</f>
        <v>7.271900826446281</v>
      </c>
      <c r="U69" s="50">
        <v>21</v>
      </c>
      <c r="V69" s="53">
        <v>0</v>
      </c>
      <c r="W69" s="147">
        <v>1</v>
      </c>
      <c r="X69" s="148" t="s">
        <v>163</v>
      </c>
      <c r="Y69" s="54">
        <f>R69*W69</f>
        <v>41.9</v>
      </c>
      <c r="Z69" s="52">
        <f>S69*W69</f>
        <v>34.62809917355372</v>
      </c>
      <c r="AA69" s="52">
        <f>T69*W69</f>
        <v>7.271900826446281</v>
      </c>
      <c r="AB69" s="52">
        <f>V69*W69</f>
        <v>0</v>
      </c>
      <c r="AC69" s="53">
        <f>(R69+V69)*W69</f>
        <v>41.9</v>
      </c>
      <c r="AD69" s="138">
        <v>41.9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46132</v>
      </c>
      <c r="H70" s="98">
        <v>0.5630787037037037</v>
      </c>
      <c r="I70" s="50">
        <v>161000355</v>
      </c>
      <c r="J70" s="96" t="s">
        <v>157</v>
      </c>
      <c r="K70" s="49" t="s">
        <v>397</v>
      </c>
      <c r="L70" s="39" t="s">
        <v>398</v>
      </c>
      <c r="M70" s="49" t="s">
        <v>399</v>
      </c>
      <c r="N70" s="39" t="s">
        <v>353</v>
      </c>
      <c r="O70" s="96" t="s">
        <v>400</v>
      </c>
      <c r="P70" s="49" t="s">
        <v>235</v>
      </c>
      <c r="Q70" s="96" t="s">
        <v>236</v>
      </c>
      <c r="R70" s="52">
        <v>26.9</v>
      </c>
      <c r="S70" s="52">
        <f>R70-T70</f>
        <v>22.231404958677686</v>
      </c>
      <c r="T70" s="52">
        <f>R70*U70/(U70+100)</f>
        <v>4.668595041322314</v>
      </c>
      <c r="U70" s="50">
        <v>21</v>
      </c>
      <c r="V70" s="53">
        <v>0</v>
      </c>
      <c r="W70" s="147">
        <v>1</v>
      </c>
      <c r="X70" s="148" t="s">
        <v>163</v>
      </c>
      <c r="Y70" s="54">
        <f>R70*W70</f>
        <v>26.9</v>
      </c>
      <c r="Z70" s="52">
        <f>S70*W70</f>
        <v>22.231404958677686</v>
      </c>
      <c r="AA70" s="52">
        <f>T70*W70</f>
        <v>4.668595041322314</v>
      </c>
      <c r="AB70" s="52">
        <f>V70*W70</f>
        <v>0</v>
      </c>
      <c r="AC70" s="53">
        <f>(R70+V70)*W70</f>
        <v>26.9</v>
      </c>
      <c r="AD70" s="138">
        <v>26.9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46132</v>
      </c>
      <c r="H71" s="98">
        <v>0.5630787037037037</v>
      </c>
      <c r="I71" s="50">
        <v>161000355</v>
      </c>
      <c r="J71" s="96" t="s">
        <v>157</v>
      </c>
      <c r="K71" s="49" t="s">
        <v>401</v>
      </c>
      <c r="L71" s="39" t="s">
        <v>402</v>
      </c>
      <c r="M71" s="49" t="s">
        <v>403</v>
      </c>
      <c r="N71" s="39" t="s">
        <v>404</v>
      </c>
      <c r="O71" s="96" t="s">
        <v>405</v>
      </c>
      <c r="P71" s="49" t="s">
        <v>157</v>
      </c>
      <c r="Q71" s="96" t="s">
        <v>104</v>
      </c>
      <c r="R71" s="52">
        <v>169.9</v>
      </c>
      <c r="S71" s="52">
        <f>R71-T71</f>
        <v>151.69642857142858</v>
      </c>
      <c r="T71" s="52">
        <f>R71*U71/(U71+100)</f>
        <v>18.20357142857143</v>
      </c>
      <c r="U71" s="50">
        <v>12</v>
      </c>
      <c r="V71" s="53">
        <v>0</v>
      </c>
      <c r="W71" s="147">
        <v>0.118</v>
      </c>
      <c r="X71" s="148" t="s">
        <v>193</v>
      </c>
      <c r="Y71" s="54">
        <f>R71*W71</f>
        <v>20.0482</v>
      </c>
      <c r="Z71" s="52">
        <f>S71*W71</f>
        <v>17.900178571428572</v>
      </c>
      <c r="AA71" s="52">
        <f>T71*W71</f>
        <v>2.1480214285714285</v>
      </c>
      <c r="AB71" s="52">
        <f>V71*W71</f>
        <v>0</v>
      </c>
      <c r="AC71" s="53">
        <f>(R71+V71)*W71</f>
        <v>20.0482</v>
      </c>
      <c r="AD71" s="138">
        <v>169.9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46132</v>
      </c>
      <c r="H72" s="98">
        <v>0.5630787037037037</v>
      </c>
      <c r="I72" s="50">
        <v>161000355</v>
      </c>
      <c r="J72" s="96" t="s">
        <v>157</v>
      </c>
      <c r="K72" s="49" t="s">
        <v>303</v>
      </c>
      <c r="L72" s="39" t="s">
        <v>304</v>
      </c>
      <c r="M72" s="49" t="s">
        <v>214</v>
      </c>
      <c r="N72" s="39" t="s">
        <v>296</v>
      </c>
      <c r="O72" s="96" t="s">
        <v>305</v>
      </c>
      <c r="P72" s="49" t="s">
        <v>157</v>
      </c>
      <c r="Q72" s="96" t="s">
        <v>104</v>
      </c>
      <c r="R72" s="52">
        <v>11.9</v>
      </c>
      <c r="S72" s="52">
        <f>R72-T72</f>
        <v>10.625</v>
      </c>
      <c r="T72" s="52">
        <f>R72*U72/(U72+100)</f>
        <v>1.2750000000000001</v>
      </c>
      <c r="U72" s="50">
        <v>12</v>
      </c>
      <c r="V72" s="53">
        <v>0</v>
      </c>
      <c r="W72" s="147">
        <v>2</v>
      </c>
      <c r="X72" s="148" t="s">
        <v>163</v>
      </c>
      <c r="Y72" s="54">
        <f>R72*W72</f>
        <v>23.8</v>
      </c>
      <c r="Z72" s="52">
        <f>S72*W72</f>
        <v>21.25</v>
      </c>
      <c r="AA72" s="52">
        <f>T72*W72</f>
        <v>2.5500000000000003</v>
      </c>
      <c r="AB72" s="52">
        <f>V72*W72</f>
        <v>0</v>
      </c>
      <c r="AC72" s="53">
        <f>(R72+V72)*W72</f>
        <v>23.8</v>
      </c>
      <c r="AD72" s="138">
        <v>11.9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46132</v>
      </c>
      <c r="H73" s="98">
        <v>0.5630787037037037</v>
      </c>
      <c r="I73" s="50">
        <v>161000355</v>
      </c>
      <c r="J73" s="96" t="s">
        <v>157</v>
      </c>
      <c r="K73" s="49" t="s">
        <v>406</v>
      </c>
      <c r="L73" s="39" t="s">
        <v>407</v>
      </c>
      <c r="M73" s="49" t="s">
        <v>277</v>
      </c>
      <c r="N73" s="39" t="s">
        <v>408</v>
      </c>
      <c r="O73" s="96" t="s">
        <v>409</v>
      </c>
      <c r="P73" s="49" t="s">
        <v>157</v>
      </c>
      <c r="Q73" s="96" t="s">
        <v>104</v>
      </c>
      <c r="R73" s="52">
        <v>259.9</v>
      </c>
      <c r="S73" s="52">
        <f>R73-T73</f>
        <v>232.05357142857142</v>
      </c>
      <c r="T73" s="52">
        <f>R73*U73/(U73+100)</f>
        <v>27.846428571428568</v>
      </c>
      <c r="U73" s="50">
        <v>12</v>
      </c>
      <c r="V73" s="53">
        <v>0</v>
      </c>
      <c r="W73" s="147">
        <v>0.126</v>
      </c>
      <c r="X73" s="148" t="s">
        <v>410</v>
      </c>
      <c r="Y73" s="54">
        <f>R73*W73</f>
        <v>32.7474</v>
      </c>
      <c r="Z73" s="52">
        <f>S73*W73</f>
        <v>29.23875</v>
      </c>
      <c r="AA73" s="52">
        <f>T73*W73</f>
        <v>3.5086499999999994</v>
      </c>
      <c r="AB73" s="52">
        <f>V73*W73</f>
        <v>0</v>
      </c>
      <c r="AC73" s="53">
        <f>(R73+V73)*W73</f>
        <v>32.7474</v>
      </c>
      <c r="AD73" s="138">
        <v>259.9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46132</v>
      </c>
      <c r="H74" s="98">
        <v>0.5657407407407408</v>
      </c>
      <c r="I74" s="50">
        <v>161000356</v>
      </c>
      <c r="J74" s="96" t="s">
        <v>157</v>
      </c>
      <c r="K74" s="49" t="s">
        <v>411</v>
      </c>
      <c r="L74" s="39" t="s">
        <v>412</v>
      </c>
      <c r="M74" s="49" t="s">
        <v>413</v>
      </c>
      <c r="N74" s="39" t="s">
        <v>414</v>
      </c>
      <c r="O74" s="96" t="s">
        <v>415</v>
      </c>
      <c r="P74" s="49" t="s">
        <v>157</v>
      </c>
      <c r="Q74" s="96" t="s">
        <v>104</v>
      </c>
      <c r="R74" s="52">
        <v>12.4</v>
      </c>
      <c r="S74" s="52">
        <f>R74-T74</f>
        <v>11.071428571428571</v>
      </c>
      <c r="T74" s="52">
        <f>R74*U74/(U74+100)</f>
        <v>1.3285714285714287</v>
      </c>
      <c r="U74" s="50">
        <v>12</v>
      </c>
      <c r="V74" s="53">
        <v>0</v>
      </c>
      <c r="W74" s="147">
        <v>1</v>
      </c>
      <c r="X74" s="148" t="s">
        <v>163</v>
      </c>
      <c r="Y74" s="54">
        <f>R74*W74</f>
        <v>12.4</v>
      </c>
      <c r="Z74" s="52">
        <f>S74*W74</f>
        <v>11.071428571428571</v>
      </c>
      <c r="AA74" s="52">
        <f>T74*W74</f>
        <v>1.3285714285714287</v>
      </c>
      <c r="AB74" s="52">
        <f>V74*W74</f>
        <v>0</v>
      </c>
      <c r="AC74" s="53">
        <f>(R74+V74)*W74</f>
        <v>12.4</v>
      </c>
      <c r="AD74" s="138">
        <v>12.4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46132</v>
      </c>
      <c r="H75" s="98">
        <v>0.5695601851851851</v>
      </c>
      <c r="I75" s="50">
        <v>161000357</v>
      </c>
      <c r="J75" s="96" t="s">
        <v>157</v>
      </c>
      <c r="K75" s="49" t="s">
        <v>416</v>
      </c>
      <c r="L75" s="39" t="s">
        <v>417</v>
      </c>
      <c r="M75" s="49" t="s">
        <v>214</v>
      </c>
      <c r="N75" s="39" t="s">
        <v>418</v>
      </c>
      <c r="O75" s="96" t="s">
        <v>419</v>
      </c>
      <c r="P75" s="49" t="s">
        <v>157</v>
      </c>
      <c r="Q75" s="96" t="s">
        <v>104</v>
      </c>
      <c r="R75" s="52">
        <v>19.9</v>
      </c>
      <c r="S75" s="52">
        <f>R75-T75</f>
        <v>17.767857142857142</v>
      </c>
      <c r="T75" s="52">
        <f>R75*U75/(U75+100)</f>
        <v>2.132142857142857</v>
      </c>
      <c r="U75" s="50">
        <v>12</v>
      </c>
      <c r="V75" s="53">
        <v>0</v>
      </c>
      <c r="W75" s="147">
        <v>1</v>
      </c>
      <c r="X75" s="148" t="s">
        <v>163</v>
      </c>
      <c r="Y75" s="54">
        <f>R75*W75</f>
        <v>19.9</v>
      </c>
      <c r="Z75" s="52">
        <f>S75*W75</f>
        <v>17.767857142857142</v>
      </c>
      <c r="AA75" s="52">
        <f>T75*W75</f>
        <v>2.132142857142857</v>
      </c>
      <c r="AB75" s="52">
        <f>V75*W75</f>
        <v>0</v>
      </c>
      <c r="AC75" s="53">
        <f>(R75+V75)*W75</f>
        <v>19.9</v>
      </c>
      <c r="AD75" s="138">
        <v>19.9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46132</v>
      </c>
      <c r="H76" s="98">
        <v>0.5747800925925926</v>
      </c>
      <c r="I76" s="50">
        <v>161000358</v>
      </c>
      <c r="J76" s="96" t="s">
        <v>157</v>
      </c>
      <c r="K76" s="49" t="s">
        <v>420</v>
      </c>
      <c r="L76" s="39" t="s">
        <v>421</v>
      </c>
      <c r="M76" s="49" t="s">
        <v>232</v>
      </c>
      <c r="N76" s="39" t="s">
        <v>233</v>
      </c>
      <c r="O76" s="96" t="s">
        <v>422</v>
      </c>
      <c r="P76" s="49" t="s">
        <v>157</v>
      </c>
      <c r="Q76" s="96" t="s">
        <v>104</v>
      </c>
      <c r="R76" s="52">
        <v>19.9</v>
      </c>
      <c r="S76" s="52">
        <f>R76-T76</f>
        <v>16.446280991735534</v>
      </c>
      <c r="T76" s="52">
        <f>R76*U76/(U76+100)</f>
        <v>3.4537190082644624</v>
      </c>
      <c r="U76" s="50">
        <v>21</v>
      </c>
      <c r="V76" s="53">
        <v>0</v>
      </c>
      <c r="W76" s="147">
        <v>1</v>
      </c>
      <c r="X76" s="148" t="s">
        <v>163</v>
      </c>
      <c r="Y76" s="54">
        <f>R76*W76</f>
        <v>19.9</v>
      </c>
      <c r="Z76" s="52">
        <f>S76*W76</f>
        <v>16.446280991735534</v>
      </c>
      <c r="AA76" s="52">
        <f>T76*W76</f>
        <v>3.4537190082644624</v>
      </c>
      <c r="AB76" s="52">
        <f>V76*W76</f>
        <v>0</v>
      </c>
      <c r="AC76" s="53">
        <f>(R76+V76)*W76</f>
        <v>19.9</v>
      </c>
      <c r="AD76" s="138">
        <v>19.9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46132</v>
      </c>
      <c r="H77" s="98">
        <v>0.5832523148148148</v>
      </c>
      <c r="I77" s="50">
        <v>161000359</v>
      </c>
      <c r="J77" s="96" t="s">
        <v>157</v>
      </c>
      <c r="K77" s="49" t="s">
        <v>423</v>
      </c>
      <c r="L77" s="39" t="s">
        <v>424</v>
      </c>
      <c r="M77" s="49" t="s">
        <v>425</v>
      </c>
      <c r="N77" s="39" t="s">
        <v>172</v>
      </c>
      <c r="O77" s="96" t="s">
        <v>426</v>
      </c>
      <c r="P77" s="49" t="s">
        <v>157</v>
      </c>
      <c r="Q77" s="96" t="s">
        <v>104</v>
      </c>
      <c r="R77" s="52">
        <v>15.9</v>
      </c>
      <c r="S77" s="52">
        <f>R77-T77</f>
        <v>14.196428571428571</v>
      </c>
      <c r="T77" s="52">
        <f>R77*U77/(U77+100)</f>
        <v>1.7035714285714287</v>
      </c>
      <c r="U77" s="50">
        <v>12</v>
      </c>
      <c r="V77" s="53">
        <v>0</v>
      </c>
      <c r="W77" s="147">
        <v>1</v>
      </c>
      <c r="X77" s="148" t="s">
        <v>163</v>
      </c>
      <c r="Y77" s="54">
        <f>R77*W77</f>
        <v>15.9</v>
      </c>
      <c r="Z77" s="52">
        <f>S77*W77</f>
        <v>14.196428571428571</v>
      </c>
      <c r="AA77" s="52">
        <f>T77*W77</f>
        <v>1.7035714285714287</v>
      </c>
      <c r="AB77" s="52">
        <f>V77*W77</f>
        <v>0</v>
      </c>
      <c r="AC77" s="53">
        <f>(R77+V77)*W77</f>
        <v>15.9</v>
      </c>
      <c r="AD77" s="138">
        <v>15.9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46132</v>
      </c>
      <c r="H78" s="98">
        <v>0.5923032407407407</v>
      </c>
      <c r="I78" s="50">
        <v>161000360</v>
      </c>
      <c r="J78" s="96" t="s">
        <v>157</v>
      </c>
      <c r="K78" s="49" t="s">
        <v>427</v>
      </c>
      <c r="L78" s="39" t="s">
        <v>428</v>
      </c>
      <c r="M78" s="49" t="s">
        <v>429</v>
      </c>
      <c r="N78" s="39" t="s">
        <v>239</v>
      </c>
      <c r="O78" s="96" t="s">
        <v>430</v>
      </c>
      <c r="P78" s="49" t="s">
        <v>157</v>
      </c>
      <c r="Q78" s="96" t="s">
        <v>104</v>
      </c>
      <c r="R78" s="52">
        <v>19.9</v>
      </c>
      <c r="S78" s="52">
        <f>R78-T78</f>
        <v>17.767857142857142</v>
      </c>
      <c r="T78" s="52">
        <f>R78*U78/(U78+100)</f>
        <v>2.132142857142857</v>
      </c>
      <c r="U78" s="50">
        <v>12</v>
      </c>
      <c r="V78" s="53">
        <v>0</v>
      </c>
      <c r="W78" s="147">
        <v>1</v>
      </c>
      <c r="X78" s="148" t="s">
        <v>163</v>
      </c>
      <c r="Y78" s="54">
        <f>R78*W78</f>
        <v>19.9</v>
      </c>
      <c r="Z78" s="52">
        <f>S78*W78</f>
        <v>17.767857142857142</v>
      </c>
      <c r="AA78" s="52">
        <f>T78*W78</f>
        <v>2.132142857142857</v>
      </c>
      <c r="AB78" s="52">
        <f>V78*W78</f>
        <v>0</v>
      </c>
      <c r="AC78" s="53">
        <f>(R78+V78)*W78</f>
        <v>19.9</v>
      </c>
      <c r="AD78" s="138">
        <v>19.9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46132</v>
      </c>
      <c r="H79" s="98">
        <v>0.5923032407407407</v>
      </c>
      <c r="I79" s="50">
        <v>161000360</v>
      </c>
      <c r="J79" s="96" t="s">
        <v>157</v>
      </c>
      <c r="K79" s="49" t="s">
        <v>431</v>
      </c>
      <c r="L79" s="39" t="s">
        <v>432</v>
      </c>
      <c r="M79" s="49" t="s">
        <v>268</v>
      </c>
      <c r="N79" s="39" t="s">
        <v>433</v>
      </c>
      <c r="O79" s="96" t="s">
        <v>434</v>
      </c>
      <c r="P79" s="49" t="s">
        <v>157</v>
      </c>
      <c r="Q79" s="96" t="s">
        <v>104</v>
      </c>
      <c r="R79" s="52">
        <v>37.9</v>
      </c>
      <c r="S79" s="52">
        <f>R79-T79</f>
        <v>33.839285714285715</v>
      </c>
      <c r="T79" s="52">
        <f>R79*U79/(U79+100)</f>
        <v>4.060714285714285</v>
      </c>
      <c r="U79" s="50">
        <v>12</v>
      </c>
      <c r="V79" s="53">
        <v>0</v>
      </c>
      <c r="W79" s="147">
        <v>1</v>
      </c>
      <c r="X79" s="148" t="s">
        <v>163</v>
      </c>
      <c r="Y79" s="54">
        <f>R79*W79</f>
        <v>37.9</v>
      </c>
      <c r="Z79" s="52">
        <f>S79*W79</f>
        <v>33.839285714285715</v>
      </c>
      <c r="AA79" s="52">
        <f>T79*W79</f>
        <v>4.060714285714285</v>
      </c>
      <c r="AB79" s="52">
        <f>V79*W79</f>
        <v>0</v>
      </c>
      <c r="AC79" s="53">
        <f>(R79+V79)*W79</f>
        <v>37.9</v>
      </c>
      <c r="AD79" s="138">
        <v>37.9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46132</v>
      </c>
      <c r="H80" s="98">
        <v>0.6027893518518519</v>
      </c>
      <c r="I80" s="50">
        <v>161000361</v>
      </c>
      <c r="J80" s="96" t="s">
        <v>157</v>
      </c>
      <c r="K80" s="49" t="s">
        <v>435</v>
      </c>
      <c r="L80" s="39" t="s">
        <v>436</v>
      </c>
      <c r="M80" s="49" t="s">
        <v>219</v>
      </c>
      <c r="N80" s="39" t="s">
        <v>244</v>
      </c>
      <c r="O80" s="96" t="s">
        <v>437</v>
      </c>
      <c r="P80" s="49" t="s">
        <v>157</v>
      </c>
      <c r="Q80" s="96" t="s">
        <v>104</v>
      </c>
      <c r="R80" s="52">
        <v>49.9</v>
      </c>
      <c r="S80" s="52">
        <f>R80-T80</f>
        <v>44.55357142857143</v>
      </c>
      <c r="T80" s="52">
        <f>R80*U80/(U80+100)</f>
        <v>5.346428571428571</v>
      </c>
      <c r="U80" s="50">
        <v>12</v>
      </c>
      <c r="V80" s="53">
        <v>0</v>
      </c>
      <c r="W80" s="147">
        <v>1</v>
      </c>
      <c r="X80" s="148" t="s">
        <v>163</v>
      </c>
      <c r="Y80" s="54">
        <f>R80*W80</f>
        <v>49.9</v>
      </c>
      <c r="Z80" s="52">
        <f>S80*W80</f>
        <v>44.55357142857143</v>
      </c>
      <c r="AA80" s="52">
        <f>T80*W80</f>
        <v>5.346428571428571</v>
      </c>
      <c r="AB80" s="52">
        <f>V80*W80</f>
        <v>0</v>
      </c>
      <c r="AC80" s="53">
        <f>(R80+V80)*W80</f>
        <v>49.9</v>
      </c>
      <c r="AD80" s="138">
        <v>49.9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46132</v>
      </c>
      <c r="H81" s="98">
        <v>0.6027893518518519</v>
      </c>
      <c r="I81" s="50">
        <v>161000361</v>
      </c>
      <c r="J81" s="96" t="s">
        <v>157</v>
      </c>
      <c r="K81" s="49" t="s">
        <v>438</v>
      </c>
      <c r="L81" s="39" t="s">
        <v>439</v>
      </c>
      <c r="M81" s="49" t="s">
        <v>185</v>
      </c>
      <c r="N81" s="39" t="s">
        <v>440</v>
      </c>
      <c r="O81" s="96" t="s">
        <v>441</v>
      </c>
      <c r="P81" s="49" t="s">
        <v>157</v>
      </c>
      <c r="Q81" s="96" t="s">
        <v>104</v>
      </c>
      <c r="R81" s="52">
        <v>27.9</v>
      </c>
      <c r="S81" s="52">
        <f>R81-T81</f>
        <v>24.910714285714285</v>
      </c>
      <c r="T81" s="52">
        <f>R81*U81/(U81+100)</f>
        <v>2.989285714285714</v>
      </c>
      <c r="U81" s="50">
        <v>12</v>
      </c>
      <c r="V81" s="53">
        <v>0</v>
      </c>
      <c r="W81" s="147">
        <v>1</v>
      </c>
      <c r="X81" s="148" t="s">
        <v>163</v>
      </c>
      <c r="Y81" s="54">
        <f>R81*W81</f>
        <v>27.9</v>
      </c>
      <c r="Z81" s="52">
        <f>S81*W81</f>
        <v>24.910714285714285</v>
      </c>
      <c r="AA81" s="52">
        <f>T81*W81</f>
        <v>2.989285714285714</v>
      </c>
      <c r="AB81" s="52">
        <f>V81*W81</f>
        <v>0</v>
      </c>
      <c r="AC81" s="53">
        <f>(R81+V81)*W81</f>
        <v>27.9</v>
      </c>
      <c r="AD81" s="138">
        <v>27.9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46132</v>
      </c>
      <c r="H82" s="98">
        <v>0.606412037037037</v>
      </c>
      <c r="I82" s="50">
        <v>161000362</v>
      </c>
      <c r="J82" s="96" t="s">
        <v>157</v>
      </c>
      <c r="K82" s="49" t="s">
        <v>442</v>
      </c>
      <c r="L82" s="39" t="s">
        <v>443</v>
      </c>
      <c r="M82" s="49" t="s">
        <v>444</v>
      </c>
      <c r="N82" s="39" t="s">
        <v>445</v>
      </c>
      <c r="O82" s="96" t="s">
        <v>446</v>
      </c>
      <c r="P82" s="49" t="s">
        <v>157</v>
      </c>
      <c r="Q82" s="96" t="s">
        <v>104</v>
      </c>
      <c r="R82" s="52">
        <v>19.9</v>
      </c>
      <c r="S82" s="52">
        <f>R82-T82</f>
        <v>17.767857142857142</v>
      </c>
      <c r="T82" s="52">
        <f>R82*U82/(U82+100)</f>
        <v>2.132142857142857</v>
      </c>
      <c r="U82" s="50">
        <v>12</v>
      </c>
      <c r="V82" s="53">
        <v>0</v>
      </c>
      <c r="W82" s="147">
        <v>1</v>
      </c>
      <c r="X82" s="148" t="s">
        <v>163</v>
      </c>
      <c r="Y82" s="54">
        <f>R82*W82</f>
        <v>19.9</v>
      </c>
      <c r="Z82" s="52">
        <f>S82*W82</f>
        <v>17.767857142857142</v>
      </c>
      <c r="AA82" s="52">
        <f>T82*W82</f>
        <v>2.132142857142857</v>
      </c>
      <c r="AB82" s="52">
        <f>V82*W82</f>
        <v>0</v>
      </c>
      <c r="AC82" s="53">
        <f>(R82+V82)*W82</f>
        <v>19.9</v>
      </c>
      <c r="AD82" s="138">
        <v>19.9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46132</v>
      </c>
      <c r="H83" s="98">
        <v>0.606412037037037</v>
      </c>
      <c r="I83" s="50">
        <v>161000362</v>
      </c>
      <c r="J83" s="96" t="s">
        <v>157</v>
      </c>
      <c r="K83" s="49" t="s">
        <v>447</v>
      </c>
      <c r="L83" s="39" t="s">
        <v>448</v>
      </c>
      <c r="M83" s="49" t="s">
        <v>201</v>
      </c>
      <c r="N83" s="39" t="s">
        <v>202</v>
      </c>
      <c r="O83" s="96" t="s">
        <v>449</v>
      </c>
      <c r="P83" s="49" t="s">
        <v>235</v>
      </c>
      <c r="Q83" s="96" t="s">
        <v>236</v>
      </c>
      <c r="R83" s="52">
        <v>19.9</v>
      </c>
      <c r="S83" s="52">
        <f>R83-T83</f>
        <v>17.767857142857142</v>
      </c>
      <c r="T83" s="52">
        <f>R83*U83/(U83+100)</f>
        <v>2.132142857142857</v>
      </c>
      <c r="U83" s="50">
        <v>12</v>
      </c>
      <c r="V83" s="53">
        <v>0</v>
      </c>
      <c r="W83" s="147">
        <v>2</v>
      </c>
      <c r="X83" s="148" t="s">
        <v>163</v>
      </c>
      <c r="Y83" s="54">
        <f>R83*W83</f>
        <v>39.8</v>
      </c>
      <c r="Z83" s="52">
        <f>S83*W83</f>
        <v>35.535714285714285</v>
      </c>
      <c r="AA83" s="52">
        <f>T83*W83</f>
        <v>4.264285714285714</v>
      </c>
      <c r="AB83" s="52">
        <f>V83*W83</f>
        <v>0</v>
      </c>
      <c r="AC83" s="53">
        <f>(R83+V83)*W83</f>
        <v>39.8</v>
      </c>
      <c r="AD83" s="138">
        <v>19.9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46132</v>
      </c>
      <c r="H84" s="98">
        <v>0.606412037037037</v>
      </c>
      <c r="I84" s="50">
        <v>161000362</v>
      </c>
      <c r="J84" s="96" t="s">
        <v>157</v>
      </c>
      <c r="K84" s="49" t="s">
        <v>450</v>
      </c>
      <c r="L84" s="39" t="s">
        <v>451</v>
      </c>
      <c r="M84" s="49" t="s">
        <v>300</v>
      </c>
      <c r="N84" s="39" t="s">
        <v>365</v>
      </c>
      <c r="O84" s="96" t="s">
        <v>452</v>
      </c>
      <c r="P84" s="49" t="s">
        <v>157</v>
      </c>
      <c r="Q84" s="96" t="s">
        <v>104</v>
      </c>
      <c r="R84" s="52">
        <v>24.9</v>
      </c>
      <c r="S84" s="52">
        <f>R84-T84</f>
        <v>22.232142857142858</v>
      </c>
      <c r="T84" s="52">
        <f>R84*U84/(U84+100)</f>
        <v>2.6678571428571423</v>
      </c>
      <c r="U84" s="50">
        <v>12</v>
      </c>
      <c r="V84" s="53">
        <v>0</v>
      </c>
      <c r="W84" s="147">
        <v>1</v>
      </c>
      <c r="X84" s="148" t="s">
        <v>163</v>
      </c>
      <c r="Y84" s="54">
        <f>R84*W84</f>
        <v>24.9</v>
      </c>
      <c r="Z84" s="52">
        <f>S84*W84</f>
        <v>22.232142857142858</v>
      </c>
      <c r="AA84" s="52">
        <f>T84*W84</f>
        <v>2.6678571428571423</v>
      </c>
      <c r="AB84" s="52">
        <f>V84*W84</f>
        <v>0</v>
      </c>
      <c r="AC84" s="53">
        <f>(R84+V84)*W84</f>
        <v>24.9</v>
      </c>
      <c r="AD84" s="138">
        <v>24.9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46132</v>
      </c>
      <c r="H85" s="98">
        <v>0.606412037037037</v>
      </c>
      <c r="I85" s="50">
        <v>161000362</v>
      </c>
      <c r="J85" s="96" t="s">
        <v>157</v>
      </c>
      <c r="K85" s="49" t="s">
        <v>453</v>
      </c>
      <c r="L85" s="39" t="s">
        <v>454</v>
      </c>
      <c r="M85" s="49" t="s">
        <v>190</v>
      </c>
      <c r="N85" s="39" t="s">
        <v>191</v>
      </c>
      <c r="O85" s="96" t="s">
        <v>455</v>
      </c>
      <c r="P85" s="49" t="s">
        <v>157</v>
      </c>
      <c r="Q85" s="96" t="s">
        <v>104</v>
      </c>
      <c r="R85" s="52">
        <v>49.9</v>
      </c>
      <c r="S85" s="52">
        <f>R85-T85</f>
        <v>44.55357142857143</v>
      </c>
      <c r="T85" s="52">
        <f>R85*U85/(U85+100)</f>
        <v>5.346428571428571</v>
      </c>
      <c r="U85" s="50">
        <v>12</v>
      </c>
      <c r="V85" s="53">
        <v>0</v>
      </c>
      <c r="W85" s="147">
        <v>0.778</v>
      </c>
      <c r="X85" s="148" t="s">
        <v>193</v>
      </c>
      <c r="Y85" s="54">
        <f>R85*W85</f>
        <v>38.8222</v>
      </c>
      <c r="Z85" s="52">
        <f>S85*W85</f>
        <v>34.66267857142857</v>
      </c>
      <c r="AA85" s="52">
        <f>T85*W85</f>
        <v>4.159521428571428</v>
      </c>
      <c r="AB85" s="52">
        <f>V85*W85</f>
        <v>0</v>
      </c>
      <c r="AC85" s="53">
        <f>(R85+V85)*W85</f>
        <v>38.8222</v>
      </c>
      <c r="AD85" s="138">
        <v>49.9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46132</v>
      </c>
      <c r="H86" s="98">
        <v>0.606412037037037</v>
      </c>
      <c r="I86" s="50">
        <v>161000362</v>
      </c>
      <c r="J86" s="96" t="s">
        <v>157</v>
      </c>
      <c r="K86" s="49" t="s">
        <v>456</v>
      </c>
      <c r="L86" s="39" t="s">
        <v>457</v>
      </c>
      <c r="M86" s="49" t="s">
        <v>190</v>
      </c>
      <c r="N86" s="39" t="s">
        <v>191</v>
      </c>
      <c r="O86" s="96" t="s">
        <v>458</v>
      </c>
      <c r="P86" s="49" t="s">
        <v>157</v>
      </c>
      <c r="Q86" s="96" t="s">
        <v>104</v>
      </c>
      <c r="R86" s="52">
        <v>22.9</v>
      </c>
      <c r="S86" s="52">
        <f>R86-T86</f>
        <v>20.44642857142857</v>
      </c>
      <c r="T86" s="52">
        <f>R86*U86/(U86+100)</f>
        <v>2.4535714285714283</v>
      </c>
      <c r="U86" s="50">
        <v>12</v>
      </c>
      <c r="V86" s="53">
        <v>0</v>
      </c>
      <c r="W86" s="147">
        <v>0.298</v>
      </c>
      <c r="X86" s="148" t="s">
        <v>193</v>
      </c>
      <c r="Y86" s="54">
        <f>R86*W86</f>
        <v>6.824199999999999</v>
      </c>
      <c r="Z86" s="52">
        <f>S86*W86</f>
        <v>6.093035714285714</v>
      </c>
      <c r="AA86" s="52">
        <f>T86*W86</f>
        <v>0.7311642857142856</v>
      </c>
      <c r="AB86" s="52">
        <f>V86*W86</f>
        <v>0</v>
      </c>
      <c r="AC86" s="53">
        <f>(R86+V86)*W86</f>
        <v>6.824199999999999</v>
      </c>
      <c r="AD86" s="138">
        <v>22.9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46132</v>
      </c>
      <c r="H87" s="98">
        <v>0.606412037037037</v>
      </c>
      <c r="I87" s="50">
        <v>161000362</v>
      </c>
      <c r="J87" s="96" t="s">
        <v>157</v>
      </c>
      <c r="K87" s="49" t="s">
        <v>459</v>
      </c>
      <c r="L87" s="39" t="s">
        <v>460</v>
      </c>
      <c r="M87" s="49" t="s">
        <v>461</v>
      </c>
      <c r="N87" s="39" t="s">
        <v>462</v>
      </c>
      <c r="O87" s="96" t="s">
        <v>463</v>
      </c>
      <c r="P87" s="49" t="s">
        <v>157</v>
      </c>
      <c r="Q87" s="96" t="s">
        <v>104</v>
      </c>
      <c r="R87" s="52">
        <v>49.9</v>
      </c>
      <c r="S87" s="52">
        <f>R87-T87</f>
        <v>44.55357142857143</v>
      </c>
      <c r="T87" s="52">
        <f>R87*U87/(U87+100)</f>
        <v>5.346428571428571</v>
      </c>
      <c r="U87" s="50">
        <v>12</v>
      </c>
      <c r="V87" s="53">
        <v>0</v>
      </c>
      <c r="W87" s="147">
        <v>1</v>
      </c>
      <c r="X87" s="148" t="s">
        <v>163</v>
      </c>
      <c r="Y87" s="54">
        <f>R87*W87</f>
        <v>49.9</v>
      </c>
      <c r="Z87" s="52">
        <f>S87*W87</f>
        <v>44.55357142857143</v>
      </c>
      <c r="AA87" s="52">
        <f>T87*W87</f>
        <v>5.346428571428571</v>
      </c>
      <c r="AB87" s="52">
        <f>V87*W87</f>
        <v>0</v>
      </c>
      <c r="AC87" s="53">
        <f>(R87+V87)*W87</f>
        <v>49.9</v>
      </c>
      <c r="AD87" s="138">
        <v>49.9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46132</v>
      </c>
      <c r="H88" s="98">
        <v>0.609212962962963</v>
      </c>
      <c r="I88" s="50">
        <v>161000363</v>
      </c>
      <c r="J88" s="96" t="s">
        <v>157</v>
      </c>
      <c r="K88" s="49" t="s">
        <v>464</v>
      </c>
      <c r="L88" s="39" t="s">
        <v>465</v>
      </c>
      <c r="M88" s="49" t="s">
        <v>466</v>
      </c>
      <c r="N88" s="39" t="s">
        <v>210</v>
      </c>
      <c r="O88" s="96" t="s">
        <v>467</v>
      </c>
      <c r="P88" s="49" t="s">
        <v>157</v>
      </c>
      <c r="Q88" s="96" t="s">
        <v>104</v>
      </c>
      <c r="R88" s="52">
        <v>22.9</v>
      </c>
      <c r="S88" s="52">
        <f>R88-T88</f>
        <v>20.44642857142857</v>
      </c>
      <c r="T88" s="52">
        <f>R88*U88/(U88+100)</f>
        <v>2.4535714285714283</v>
      </c>
      <c r="U88" s="50">
        <v>12</v>
      </c>
      <c r="V88" s="53">
        <v>0</v>
      </c>
      <c r="W88" s="147">
        <v>1</v>
      </c>
      <c r="X88" s="148" t="s">
        <v>163</v>
      </c>
      <c r="Y88" s="54">
        <f>R88*W88</f>
        <v>22.9</v>
      </c>
      <c r="Z88" s="52">
        <f>S88*W88</f>
        <v>20.44642857142857</v>
      </c>
      <c r="AA88" s="52">
        <f>T88*W88</f>
        <v>2.4535714285714283</v>
      </c>
      <c r="AB88" s="52">
        <f>V88*W88</f>
        <v>0</v>
      </c>
      <c r="AC88" s="53">
        <f>(R88+V88)*W88</f>
        <v>22.9</v>
      </c>
      <c r="AD88" s="138">
        <v>22.9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46132</v>
      </c>
      <c r="H89" s="98">
        <v>0.609212962962963</v>
      </c>
      <c r="I89" s="50">
        <v>161000363</v>
      </c>
      <c r="J89" s="96" t="s">
        <v>157</v>
      </c>
      <c r="K89" s="49" t="s">
        <v>271</v>
      </c>
      <c r="L89" s="39" t="s">
        <v>272</v>
      </c>
      <c r="M89" s="49" t="s">
        <v>214</v>
      </c>
      <c r="N89" s="39" t="s">
        <v>273</v>
      </c>
      <c r="O89" s="96" t="s">
        <v>274</v>
      </c>
      <c r="P89" s="49" t="s">
        <v>157</v>
      </c>
      <c r="Q89" s="96" t="s">
        <v>104</v>
      </c>
      <c r="R89" s="52">
        <v>13.9</v>
      </c>
      <c r="S89" s="52">
        <f>R89-T89</f>
        <v>12.410714285714286</v>
      </c>
      <c r="T89" s="52">
        <f>R89*U89/(U89+100)</f>
        <v>1.4892857142857143</v>
      </c>
      <c r="U89" s="50">
        <v>12</v>
      </c>
      <c r="V89" s="53">
        <v>0</v>
      </c>
      <c r="W89" s="147">
        <v>4</v>
      </c>
      <c r="X89" s="148" t="s">
        <v>163</v>
      </c>
      <c r="Y89" s="54">
        <f>R89*W89</f>
        <v>55.6</v>
      </c>
      <c r="Z89" s="52">
        <f>S89*W89</f>
        <v>49.642857142857146</v>
      </c>
      <c r="AA89" s="52">
        <f>T89*W89</f>
        <v>5.957142857142857</v>
      </c>
      <c r="AB89" s="52">
        <f>V89*W89</f>
        <v>0</v>
      </c>
      <c r="AC89" s="53">
        <f>(R89+V89)*W89</f>
        <v>55.6</v>
      </c>
      <c r="AD89" s="138">
        <v>13.9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46132</v>
      </c>
      <c r="H90" s="98">
        <v>0.6116550925925925</v>
      </c>
      <c r="I90" s="50">
        <v>161000364</v>
      </c>
      <c r="J90" s="96" t="s">
        <v>157</v>
      </c>
      <c r="K90" s="49" t="s">
        <v>468</v>
      </c>
      <c r="L90" s="39" t="s">
        <v>469</v>
      </c>
      <c r="M90" s="49" t="s">
        <v>413</v>
      </c>
      <c r="N90" s="39" t="s">
        <v>414</v>
      </c>
      <c r="O90" s="96" t="s">
        <v>415</v>
      </c>
      <c r="P90" s="49" t="s">
        <v>157</v>
      </c>
      <c r="Q90" s="96" t="s">
        <v>104</v>
      </c>
      <c r="R90" s="52">
        <v>12.4</v>
      </c>
      <c r="S90" s="52">
        <f>R90-T90</f>
        <v>11.071428571428571</v>
      </c>
      <c r="T90" s="52">
        <f>R90*U90/(U90+100)</f>
        <v>1.3285714285714287</v>
      </c>
      <c r="U90" s="50">
        <v>12</v>
      </c>
      <c r="V90" s="53">
        <v>0</v>
      </c>
      <c r="W90" s="147">
        <v>1</v>
      </c>
      <c r="X90" s="148" t="s">
        <v>163</v>
      </c>
      <c r="Y90" s="54">
        <f>R90*W90</f>
        <v>12.4</v>
      </c>
      <c r="Z90" s="52">
        <f>S90*W90</f>
        <v>11.071428571428571</v>
      </c>
      <c r="AA90" s="52">
        <f>T90*W90</f>
        <v>1.3285714285714287</v>
      </c>
      <c r="AB90" s="52">
        <f>V90*W90</f>
        <v>0</v>
      </c>
      <c r="AC90" s="53">
        <f>(R90+V90)*W90</f>
        <v>12.4</v>
      </c>
      <c r="AD90" s="138">
        <v>12.4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46132</v>
      </c>
      <c r="H91" s="98">
        <v>0.6116550925925925</v>
      </c>
      <c r="I91" s="50">
        <v>161000364</v>
      </c>
      <c r="J91" s="96" t="s">
        <v>157</v>
      </c>
      <c r="K91" s="49" t="s">
        <v>470</v>
      </c>
      <c r="L91" s="39" t="s">
        <v>471</v>
      </c>
      <c r="M91" s="49" t="s">
        <v>444</v>
      </c>
      <c r="N91" s="39" t="s">
        <v>445</v>
      </c>
      <c r="O91" s="96" t="s">
        <v>472</v>
      </c>
      <c r="P91" s="49" t="s">
        <v>157</v>
      </c>
      <c r="Q91" s="96" t="s">
        <v>104</v>
      </c>
      <c r="R91" s="52">
        <v>47.9</v>
      </c>
      <c r="S91" s="52">
        <f>R91-T91</f>
        <v>42.76785714285714</v>
      </c>
      <c r="T91" s="52">
        <f>R91*U91/(U91+100)</f>
        <v>5.132142857142857</v>
      </c>
      <c r="U91" s="50">
        <v>12</v>
      </c>
      <c r="V91" s="53">
        <v>0</v>
      </c>
      <c r="W91" s="147">
        <v>1</v>
      </c>
      <c r="X91" s="148" t="s">
        <v>163</v>
      </c>
      <c r="Y91" s="54">
        <f>R91*W91</f>
        <v>47.9</v>
      </c>
      <c r="Z91" s="52">
        <f>S91*W91</f>
        <v>42.76785714285714</v>
      </c>
      <c r="AA91" s="52">
        <f>T91*W91</f>
        <v>5.132142857142857</v>
      </c>
      <c r="AB91" s="52">
        <f>V91*W91</f>
        <v>0</v>
      </c>
      <c r="AC91" s="53">
        <f>(R91+V91)*W91</f>
        <v>47.9</v>
      </c>
      <c r="AD91" s="138">
        <v>47.9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46132</v>
      </c>
      <c r="H92" s="98">
        <v>0.6116550925925925</v>
      </c>
      <c r="I92" s="50">
        <v>161000364</v>
      </c>
      <c r="J92" s="96" t="s">
        <v>157</v>
      </c>
      <c r="K92" s="49" t="s">
        <v>473</v>
      </c>
      <c r="L92" s="39" t="s">
        <v>474</v>
      </c>
      <c r="M92" s="49" t="s">
        <v>475</v>
      </c>
      <c r="N92" s="39" t="s">
        <v>476</v>
      </c>
      <c r="O92" s="96" t="s">
        <v>477</v>
      </c>
      <c r="P92" s="49" t="s">
        <v>157</v>
      </c>
      <c r="Q92" s="96" t="s">
        <v>104</v>
      </c>
      <c r="R92" s="52">
        <v>54.9</v>
      </c>
      <c r="S92" s="52">
        <f>R92-T92</f>
        <v>49.01785714285714</v>
      </c>
      <c r="T92" s="52">
        <f>R92*U92/(U92+100)</f>
        <v>5.882142857142857</v>
      </c>
      <c r="U92" s="50">
        <v>12</v>
      </c>
      <c r="V92" s="53">
        <v>0</v>
      </c>
      <c r="W92" s="147">
        <v>1</v>
      </c>
      <c r="X92" s="148" t="s">
        <v>163</v>
      </c>
      <c r="Y92" s="54">
        <f>R92*W92</f>
        <v>54.9</v>
      </c>
      <c r="Z92" s="52">
        <f>S92*W92</f>
        <v>49.01785714285714</v>
      </c>
      <c r="AA92" s="52">
        <f>T92*W92</f>
        <v>5.882142857142857</v>
      </c>
      <c r="AB92" s="52">
        <f>V92*W92</f>
        <v>0</v>
      </c>
      <c r="AC92" s="53">
        <f>(R92+V92)*W92</f>
        <v>54.9</v>
      </c>
      <c r="AD92" s="138">
        <v>54.9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46132</v>
      </c>
      <c r="H93" s="98">
        <v>0.6116550925925925</v>
      </c>
      <c r="I93" s="50">
        <v>161000364</v>
      </c>
      <c r="J93" s="96" t="s">
        <v>157</v>
      </c>
      <c r="K93" s="49" t="s">
        <v>478</v>
      </c>
      <c r="L93" s="39" t="s">
        <v>479</v>
      </c>
      <c r="M93" s="49" t="s">
        <v>480</v>
      </c>
      <c r="N93" s="39" t="s">
        <v>481</v>
      </c>
      <c r="O93" s="96" t="s">
        <v>482</v>
      </c>
      <c r="P93" s="49" t="s">
        <v>157</v>
      </c>
      <c r="Q93" s="96" t="s">
        <v>104</v>
      </c>
      <c r="R93" s="52">
        <v>29.9</v>
      </c>
      <c r="S93" s="52">
        <f>R93-T93</f>
        <v>26.69642857142857</v>
      </c>
      <c r="T93" s="52">
        <f>R93*U93/(U93+100)</f>
        <v>3.2035714285714283</v>
      </c>
      <c r="U93" s="50">
        <v>12</v>
      </c>
      <c r="V93" s="53">
        <v>0</v>
      </c>
      <c r="W93" s="147">
        <v>1</v>
      </c>
      <c r="X93" s="148" t="s">
        <v>163</v>
      </c>
      <c r="Y93" s="54">
        <f>R93*W93</f>
        <v>29.9</v>
      </c>
      <c r="Z93" s="52">
        <f>S93*W93</f>
        <v>26.69642857142857</v>
      </c>
      <c r="AA93" s="52">
        <f>T93*W93</f>
        <v>3.2035714285714283</v>
      </c>
      <c r="AB93" s="52">
        <f>V93*W93</f>
        <v>0</v>
      </c>
      <c r="AC93" s="53">
        <f>(R93+V93)*W93</f>
        <v>29.9</v>
      </c>
      <c r="AD93" s="138">
        <v>29.9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46132</v>
      </c>
      <c r="H94" s="98">
        <v>0.6116550925925925</v>
      </c>
      <c r="I94" s="50">
        <v>161000364</v>
      </c>
      <c r="J94" s="96" t="s">
        <v>157</v>
      </c>
      <c r="K94" s="49" t="s">
        <v>483</v>
      </c>
      <c r="L94" s="39" t="s">
        <v>484</v>
      </c>
      <c r="M94" s="49" t="s">
        <v>485</v>
      </c>
      <c r="N94" s="39" t="s">
        <v>486</v>
      </c>
      <c r="O94" s="96" t="s">
        <v>487</v>
      </c>
      <c r="P94" s="49" t="s">
        <v>157</v>
      </c>
      <c r="Q94" s="96" t="s">
        <v>104</v>
      </c>
      <c r="R94" s="52">
        <v>37.9</v>
      </c>
      <c r="S94" s="52">
        <f>R94-T94</f>
        <v>33.839285714285715</v>
      </c>
      <c r="T94" s="52">
        <f>R94*U94/(U94+100)</f>
        <v>4.060714285714285</v>
      </c>
      <c r="U94" s="50">
        <v>12</v>
      </c>
      <c r="V94" s="53">
        <v>0</v>
      </c>
      <c r="W94" s="147">
        <v>1</v>
      </c>
      <c r="X94" s="148" t="s">
        <v>163</v>
      </c>
      <c r="Y94" s="54">
        <f>R94*W94</f>
        <v>37.9</v>
      </c>
      <c r="Z94" s="52">
        <f>S94*W94</f>
        <v>33.839285714285715</v>
      </c>
      <c r="AA94" s="52">
        <f>T94*W94</f>
        <v>4.060714285714285</v>
      </c>
      <c r="AB94" s="52">
        <f>V94*W94</f>
        <v>0</v>
      </c>
      <c r="AC94" s="53">
        <f>(R94+V94)*W94</f>
        <v>37.9</v>
      </c>
      <c r="AD94" s="138">
        <v>37.9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46132</v>
      </c>
      <c r="H95" s="98">
        <v>0.6116550925925925</v>
      </c>
      <c r="I95" s="50">
        <v>161000364</v>
      </c>
      <c r="J95" s="96" t="s">
        <v>157</v>
      </c>
      <c r="K95" s="49" t="s">
        <v>488</v>
      </c>
      <c r="L95" s="39" t="s">
        <v>489</v>
      </c>
      <c r="M95" s="49" t="s">
        <v>214</v>
      </c>
      <c r="N95" s="39" t="s">
        <v>490</v>
      </c>
      <c r="O95" s="96" t="s">
        <v>491</v>
      </c>
      <c r="P95" s="49" t="s">
        <v>157</v>
      </c>
      <c r="Q95" s="96" t="s">
        <v>104</v>
      </c>
      <c r="R95" s="52">
        <v>37.9</v>
      </c>
      <c r="S95" s="52">
        <f>R95-T95</f>
        <v>33.839285714285715</v>
      </c>
      <c r="T95" s="52">
        <f>R95*U95/(U95+100)</f>
        <v>4.060714285714285</v>
      </c>
      <c r="U95" s="50">
        <v>12</v>
      </c>
      <c r="V95" s="53">
        <v>0</v>
      </c>
      <c r="W95" s="147">
        <v>1</v>
      </c>
      <c r="X95" s="148" t="s">
        <v>163</v>
      </c>
      <c r="Y95" s="54">
        <f>R95*W95</f>
        <v>37.9</v>
      </c>
      <c r="Z95" s="52">
        <f>S95*W95</f>
        <v>33.839285714285715</v>
      </c>
      <c r="AA95" s="52">
        <f>T95*W95</f>
        <v>4.060714285714285</v>
      </c>
      <c r="AB95" s="52">
        <f>V95*W95</f>
        <v>0</v>
      </c>
      <c r="AC95" s="53">
        <f>(R95+V95)*W95</f>
        <v>37.9</v>
      </c>
      <c r="AD95" s="138">
        <v>37.9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46132</v>
      </c>
      <c r="H96" s="98">
        <v>0.6116550925925925</v>
      </c>
      <c r="I96" s="50">
        <v>161000364</v>
      </c>
      <c r="J96" s="96" t="s">
        <v>157</v>
      </c>
      <c r="K96" s="49" t="s">
        <v>492</v>
      </c>
      <c r="L96" s="39" t="s">
        <v>493</v>
      </c>
      <c r="M96" s="49" t="s">
        <v>224</v>
      </c>
      <c r="N96" s="39" t="s">
        <v>494</v>
      </c>
      <c r="O96" s="96" t="s">
        <v>495</v>
      </c>
      <c r="P96" s="49" t="s">
        <v>157</v>
      </c>
      <c r="Q96" s="96" t="s">
        <v>104</v>
      </c>
      <c r="R96" s="52">
        <v>39.9</v>
      </c>
      <c r="S96" s="52">
        <f>R96-T96</f>
        <v>32.97520661157024</v>
      </c>
      <c r="T96" s="52">
        <f>R96*U96/(U96+100)</f>
        <v>6.924793388429752</v>
      </c>
      <c r="U96" s="50">
        <v>21</v>
      </c>
      <c r="V96" s="53">
        <v>0</v>
      </c>
      <c r="W96" s="147">
        <v>1</v>
      </c>
      <c r="X96" s="148" t="s">
        <v>163</v>
      </c>
      <c r="Y96" s="54">
        <f>R96*W96</f>
        <v>39.9</v>
      </c>
      <c r="Z96" s="52">
        <f>S96*W96</f>
        <v>32.97520661157024</v>
      </c>
      <c r="AA96" s="52">
        <f>T96*W96</f>
        <v>6.924793388429752</v>
      </c>
      <c r="AB96" s="52">
        <f>V96*W96</f>
        <v>0</v>
      </c>
      <c r="AC96" s="53">
        <f>(R96+V96)*W96</f>
        <v>39.9</v>
      </c>
      <c r="AD96" s="138">
        <v>39.9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46132</v>
      </c>
      <c r="H97" s="98">
        <v>0.6124421296296296</v>
      </c>
      <c r="I97" s="50">
        <v>161000365</v>
      </c>
      <c r="J97" s="96" t="s">
        <v>157</v>
      </c>
      <c r="K97" s="49" t="s">
        <v>496</v>
      </c>
      <c r="L97" s="39" t="s">
        <v>497</v>
      </c>
      <c r="M97" s="49" t="s">
        <v>232</v>
      </c>
      <c r="N97" s="39" t="s">
        <v>233</v>
      </c>
      <c r="O97" s="96" t="s">
        <v>498</v>
      </c>
      <c r="P97" s="49" t="s">
        <v>157</v>
      </c>
      <c r="Q97" s="96" t="s">
        <v>104</v>
      </c>
      <c r="R97" s="52">
        <v>19.9</v>
      </c>
      <c r="S97" s="52">
        <f>R97-T97</f>
        <v>16.446280991735534</v>
      </c>
      <c r="T97" s="52">
        <f>R97*U97/(U97+100)</f>
        <v>3.4537190082644624</v>
      </c>
      <c r="U97" s="50">
        <v>21</v>
      </c>
      <c r="V97" s="53">
        <v>0</v>
      </c>
      <c r="W97" s="147">
        <v>1</v>
      </c>
      <c r="X97" s="148" t="s">
        <v>163</v>
      </c>
      <c r="Y97" s="54">
        <f>R97*W97</f>
        <v>19.9</v>
      </c>
      <c r="Z97" s="52">
        <f>S97*W97</f>
        <v>16.446280991735534</v>
      </c>
      <c r="AA97" s="52">
        <f>T97*W97</f>
        <v>3.4537190082644624</v>
      </c>
      <c r="AB97" s="52">
        <f>V97*W97</f>
        <v>0</v>
      </c>
      <c r="AC97" s="53">
        <f>(R97+V97)*W97</f>
        <v>19.9</v>
      </c>
      <c r="AD97" s="138">
        <v>19.9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46132</v>
      </c>
      <c r="H98" s="98">
        <v>0.6124421296296296</v>
      </c>
      <c r="I98" s="50">
        <v>161000365</v>
      </c>
      <c r="J98" s="96" t="s">
        <v>157</v>
      </c>
      <c r="K98" s="49" t="s">
        <v>499</v>
      </c>
      <c r="L98" s="39" t="s">
        <v>500</v>
      </c>
      <c r="M98" s="49" t="s">
        <v>214</v>
      </c>
      <c r="N98" s="39" t="s">
        <v>501</v>
      </c>
      <c r="O98" s="96" t="s">
        <v>502</v>
      </c>
      <c r="P98" s="49" t="s">
        <v>157</v>
      </c>
      <c r="Q98" s="96" t="s">
        <v>104</v>
      </c>
      <c r="R98" s="52">
        <v>29.9</v>
      </c>
      <c r="S98" s="52">
        <f>R98-T98</f>
        <v>26.69642857142857</v>
      </c>
      <c r="T98" s="52">
        <f>R98*U98/(U98+100)</f>
        <v>3.2035714285714283</v>
      </c>
      <c r="U98" s="50">
        <v>12</v>
      </c>
      <c r="V98" s="53">
        <v>0</v>
      </c>
      <c r="W98" s="147">
        <v>1</v>
      </c>
      <c r="X98" s="148" t="s">
        <v>163</v>
      </c>
      <c r="Y98" s="54">
        <f>R98*W98</f>
        <v>29.9</v>
      </c>
      <c r="Z98" s="52">
        <f>S98*W98</f>
        <v>26.69642857142857</v>
      </c>
      <c r="AA98" s="52">
        <f>T98*W98</f>
        <v>3.2035714285714283</v>
      </c>
      <c r="AB98" s="52">
        <f>V98*W98</f>
        <v>0</v>
      </c>
      <c r="AC98" s="53">
        <f>(R98+V98)*W98</f>
        <v>29.9</v>
      </c>
      <c r="AD98" s="138">
        <v>29.9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46132</v>
      </c>
      <c r="H99" s="98">
        <v>0.617199074074074</v>
      </c>
      <c r="I99" s="50">
        <v>161000366</v>
      </c>
      <c r="J99" s="96" t="s">
        <v>157</v>
      </c>
      <c r="K99" s="49" t="s">
        <v>288</v>
      </c>
      <c r="L99" s="39" t="s">
        <v>289</v>
      </c>
      <c r="M99" s="49" t="s">
        <v>290</v>
      </c>
      <c r="N99" s="39" t="s">
        <v>291</v>
      </c>
      <c r="O99" s="96" t="s">
        <v>292</v>
      </c>
      <c r="P99" s="49" t="s">
        <v>157</v>
      </c>
      <c r="Q99" s="96" t="s">
        <v>104</v>
      </c>
      <c r="R99" s="52">
        <v>16.9</v>
      </c>
      <c r="S99" s="52">
        <f>R99-T99</f>
        <v>15.089285714285714</v>
      </c>
      <c r="T99" s="52">
        <f>R99*U99/(U99+100)</f>
        <v>1.8107142857142855</v>
      </c>
      <c r="U99" s="50">
        <v>12</v>
      </c>
      <c r="V99" s="53">
        <v>0</v>
      </c>
      <c r="W99" s="147">
        <v>1</v>
      </c>
      <c r="X99" s="148" t="s">
        <v>163</v>
      </c>
      <c r="Y99" s="54">
        <f>R99*W99</f>
        <v>16.9</v>
      </c>
      <c r="Z99" s="52">
        <f>S99*W99</f>
        <v>15.089285714285714</v>
      </c>
      <c r="AA99" s="52">
        <f>T99*W99</f>
        <v>1.8107142857142855</v>
      </c>
      <c r="AB99" s="52">
        <f>V99*W99</f>
        <v>0</v>
      </c>
      <c r="AC99" s="53">
        <f>(R99+V99)*W99</f>
        <v>16.9</v>
      </c>
      <c r="AD99" s="138">
        <v>16.9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46132</v>
      </c>
      <c r="H100" s="98">
        <v>0.6186111111111111</v>
      </c>
      <c r="I100" s="50">
        <v>161000367</v>
      </c>
      <c r="J100" s="96" t="s">
        <v>157</v>
      </c>
      <c r="K100" s="49" t="s">
        <v>503</v>
      </c>
      <c r="L100" s="39" t="s">
        <v>504</v>
      </c>
      <c r="M100" s="49" t="s">
        <v>429</v>
      </c>
      <c r="N100" s="39" t="s">
        <v>505</v>
      </c>
      <c r="O100" s="96" t="s">
        <v>506</v>
      </c>
      <c r="P100" s="49" t="s">
        <v>157</v>
      </c>
      <c r="Q100" s="96" t="s">
        <v>104</v>
      </c>
      <c r="R100" s="52">
        <v>18.9</v>
      </c>
      <c r="S100" s="52">
        <f>R100-T100</f>
        <v>16.875</v>
      </c>
      <c r="T100" s="52">
        <f>R100*U100/(U100+100)</f>
        <v>2.025</v>
      </c>
      <c r="U100" s="50">
        <v>12</v>
      </c>
      <c r="V100" s="53">
        <v>0</v>
      </c>
      <c r="W100" s="147">
        <v>1</v>
      </c>
      <c r="X100" s="148" t="s">
        <v>163</v>
      </c>
      <c r="Y100" s="54">
        <f>R100*W100</f>
        <v>18.9</v>
      </c>
      <c r="Z100" s="52">
        <f>S100*W100</f>
        <v>16.875</v>
      </c>
      <c r="AA100" s="52">
        <f>T100*W100</f>
        <v>2.025</v>
      </c>
      <c r="AB100" s="52">
        <f>V100*W100</f>
        <v>0</v>
      </c>
      <c r="AC100" s="53">
        <f>(R100+V100)*W100</f>
        <v>18.9</v>
      </c>
      <c r="AD100" s="138">
        <v>18.9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46132</v>
      </c>
      <c r="H101" s="98">
        <v>0.6186111111111111</v>
      </c>
      <c r="I101" s="50">
        <v>161000367</v>
      </c>
      <c r="J101" s="96" t="s">
        <v>157</v>
      </c>
      <c r="K101" s="49" t="s">
        <v>507</v>
      </c>
      <c r="L101" s="39" t="s">
        <v>508</v>
      </c>
      <c r="M101" s="49" t="s">
        <v>509</v>
      </c>
      <c r="N101" s="39" t="s">
        <v>256</v>
      </c>
      <c r="O101" s="96" t="s">
        <v>510</v>
      </c>
      <c r="P101" s="49" t="s">
        <v>235</v>
      </c>
      <c r="Q101" s="96" t="s">
        <v>236</v>
      </c>
      <c r="R101" s="52">
        <v>15.9</v>
      </c>
      <c r="S101" s="52">
        <f>R101-T101</f>
        <v>13.140495867768596</v>
      </c>
      <c r="T101" s="52">
        <f>R101*U101/(U101+100)</f>
        <v>2.759504132231405</v>
      </c>
      <c r="U101" s="50">
        <v>21</v>
      </c>
      <c r="V101" s="53">
        <v>0</v>
      </c>
      <c r="W101" s="147">
        <v>4</v>
      </c>
      <c r="X101" s="148" t="s">
        <v>163</v>
      </c>
      <c r="Y101" s="54">
        <f>R101*W101</f>
        <v>63.6</v>
      </c>
      <c r="Z101" s="52">
        <f>S101*W101</f>
        <v>52.561983471074385</v>
      </c>
      <c r="AA101" s="52">
        <f>T101*W101</f>
        <v>11.03801652892562</v>
      </c>
      <c r="AB101" s="52">
        <f>V101*W101</f>
        <v>0</v>
      </c>
      <c r="AC101" s="53">
        <f>(R101+V101)*W101</f>
        <v>63.6</v>
      </c>
      <c r="AD101" s="138">
        <v>15.9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46132</v>
      </c>
      <c r="H102" s="98">
        <v>0.6186111111111111</v>
      </c>
      <c r="I102" s="50">
        <v>161000367</v>
      </c>
      <c r="J102" s="96" t="s">
        <v>157</v>
      </c>
      <c r="K102" s="49" t="s">
        <v>188</v>
      </c>
      <c r="L102" s="39" t="s">
        <v>189</v>
      </c>
      <c r="M102" s="49" t="s">
        <v>190</v>
      </c>
      <c r="N102" s="39" t="s">
        <v>191</v>
      </c>
      <c r="O102" s="96" t="s">
        <v>192</v>
      </c>
      <c r="P102" s="49" t="s">
        <v>157</v>
      </c>
      <c r="Q102" s="96" t="s">
        <v>104</v>
      </c>
      <c r="R102" s="52">
        <v>49.9</v>
      </c>
      <c r="S102" s="52">
        <f>R102-T102</f>
        <v>44.55357142857143</v>
      </c>
      <c r="T102" s="52">
        <f>R102*U102/(U102+100)</f>
        <v>5.346428571428571</v>
      </c>
      <c r="U102" s="50">
        <v>12</v>
      </c>
      <c r="V102" s="53">
        <v>0</v>
      </c>
      <c r="W102" s="147">
        <v>0.292</v>
      </c>
      <c r="X102" s="148" t="s">
        <v>193</v>
      </c>
      <c r="Y102" s="54">
        <f>R102*W102</f>
        <v>14.570799999999998</v>
      </c>
      <c r="Z102" s="52">
        <f>S102*W102</f>
        <v>13.009642857142858</v>
      </c>
      <c r="AA102" s="52">
        <f>T102*W102</f>
        <v>1.5611571428571425</v>
      </c>
      <c r="AB102" s="52">
        <f>V102*W102</f>
        <v>0</v>
      </c>
      <c r="AC102" s="53">
        <f>(R102+V102)*W102</f>
        <v>14.570799999999998</v>
      </c>
      <c r="AD102" s="138">
        <v>49.9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46132</v>
      </c>
      <c r="H103" s="98">
        <v>0.6186111111111111</v>
      </c>
      <c r="I103" s="50">
        <v>161000367</v>
      </c>
      <c r="J103" s="96" t="s">
        <v>157</v>
      </c>
      <c r="K103" s="49" t="s">
        <v>511</v>
      </c>
      <c r="L103" s="39" t="s">
        <v>512</v>
      </c>
      <c r="M103" s="49" t="s">
        <v>268</v>
      </c>
      <c r="N103" s="39" t="s">
        <v>513</v>
      </c>
      <c r="O103" s="96" t="s">
        <v>514</v>
      </c>
      <c r="P103" s="49" t="s">
        <v>157</v>
      </c>
      <c r="Q103" s="96" t="s">
        <v>104</v>
      </c>
      <c r="R103" s="52">
        <v>7.5</v>
      </c>
      <c r="S103" s="52">
        <f>R103-T103</f>
        <v>6.696428571428571</v>
      </c>
      <c r="T103" s="52">
        <f>R103*U103/(U103+100)</f>
        <v>0.8035714285714286</v>
      </c>
      <c r="U103" s="50">
        <v>12</v>
      </c>
      <c r="V103" s="53">
        <v>0</v>
      </c>
      <c r="W103" s="147">
        <v>6</v>
      </c>
      <c r="X103" s="148" t="s">
        <v>163</v>
      </c>
      <c r="Y103" s="54">
        <f>R103*W103</f>
        <v>45</v>
      </c>
      <c r="Z103" s="52">
        <f>S103*W103</f>
        <v>40.17857142857143</v>
      </c>
      <c r="AA103" s="52">
        <f>T103*W103</f>
        <v>4.821428571428571</v>
      </c>
      <c r="AB103" s="52">
        <f>V103*W103</f>
        <v>0</v>
      </c>
      <c r="AC103" s="53">
        <f>(R103+V103)*W103</f>
        <v>45</v>
      </c>
      <c r="AD103" s="138">
        <v>7.5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46132</v>
      </c>
      <c r="H104" s="98">
        <v>0.6186111111111111</v>
      </c>
      <c r="I104" s="50">
        <v>161000367</v>
      </c>
      <c r="J104" s="96" t="s">
        <v>157</v>
      </c>
      <c r="K104" s="49" t="s">
        <v>515</v>
      </c>
      <c r="L104" s="39" t="s">
        <v>104</v>
      </c>
      <c r="M104" s="49" t="s">
        <v>214</v>
      </c>
      <c r="N104" s="39" t="s">
        <v>296</v>
      </c>
      <c r="O104" s="96" t="s">
        <v>516</v>
      </c>
      <c r="P104" s="49" t="s">
        <v>157</v>
      </c>
      <c r="Q104" s="96" t="s">
        <v>104</v>
      </c>
      <c r="R104" s="52">
        <v>15.9</v>
      </c>
      <c r="S104" s="52">
        <f>R104-T104</f>
        <v>14.196428571428571</v>
      </c>
      <c r="T104" s="52">
        <f>R104*U104/(U104+100)</f>
        <v>1.7035714285714287</v>
      </c>
      <c r="U104" s="50">
        <v>12</v>
      </c>
      <c r="V104" s="53">
        <v>0</v>
      </c>
      <c r="W104" s="147">
        <v>2</v>
      </c>
      <c r="X104" s="148" t="s">
        <v>163</v>
      </c>
      <c r="Y104" s="54">
        <f>R104*W104</f>
        <v>31.8</v>
      </c>
      <c r="Z104" s="52">
        <f>S104*W104</f>
        <v>28.392857142857142</v>
      </c>
      <c r="AA104" s="52">
        <f>T104*W104</f>
        <v>3.4071428571428575</v>
      </c>
      <c r="AB104" s="52">
        <f>V104*W104</f>
        <v>0</v>
      </c>
      <c r="AC104" s="53">
        <f>(R104+V104)*W104</f>
        <v>31.8</v>
      </c>
      <c r="AD104" s="138">
        <v>15.9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46132</v>
      </c>
      <c r="H105" s="98">
        <v>0.6186111111111111</v>
      </c>
      <c r="I105" s="50">
        <v>161000367</v>
      </c>
      <c r="J105" s="96" t="s">
        <v>157</v>
      </c>
      <c r="K105" s="49" t="s">
        <v>303</v>
      </c>
      <c r="L105" s="39" t="s">
        <v>304</v>
      </c>
      <c r="M105" s="49" t="s">
        <v>214</v>
      </c>
      <c r="N105" s="39" t="s">
        <v>296</v>
      </c>
      <c r="O105" s="96" t="s">
        <v>305</v>
      </c>
      <c r="P105" s="49" t="s">
        <v>157</v>
      </c>
      <c r="Q105" s="96" t="s">
        <v>104</v>
      </c>
      <c r="R105" s="52">
        <v>11.9</v>
      </c>
      <c r="S105" s="52">
        <f>R105-T105</f>
        <v>10.625</v>
      </c>
      <c r="T105" s="52">
        <f>R105*U105/(U105+100)</f>
        <v>1.2750000000000001</v>
      </c>
      <c r="U105" s="50">
        <v>12</v>
      </c>
      <c r="V105" s="53">
        <v>0</v>
      </c>
      <c r="W105" s="147">
        <v>1</v>
      </c>
      <c r="X105" s="148" t="s">
        <v>163</v>
      </c>
      <c r="Y105" s="54">
        <f>R105*W105</f>
        <v>11.9</v>
      </c>
      <c r="Z105" s="52">
        <f>S105*W105</f>
        <v>10.625</v>
      </c>
      <c r="AA105" s="52">
        <f>T105*W105</f>
        <v>1.2750000000000001</v>
      </c>
      <c r="AB105" s="52">
        <f>V105*W105</f>
        <v>0</v>
      </c>
      <c r="AC105" s="53">
        <f>(R105+V105)*W105</f>
        <v>11.9</v>
      </c>
      <c r="AD105" s="138">
        <v>11.9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46132</v>
      </c>
      <c r="H106" s="98">
        <v>0.6186111111111111</v>
      </c>
      <c r="I106" s="50">
        <v>161000367</v>
      </c>
      <c r="J106" s="96" t="s">
        <v>157</v>
      </c>
      <c r="K106" s="49" t="s">
        <v>517</v>
      </c>
      <c r="L106" s="39" t="s">
        <v>518</v>
      </c>
      <c r="M106" s="49" t="s">
        <v>214</v>
      </c>
      <c r="N106" s="39" t="s">
        <v>273</v>
      </c>
      <c r="O106" s="96" t="s">
        <v>519</v>
      </c>
      <c r="P106" s="49" t="s">
        <v>157</v>
      </c>
      <c r="Q106" s="96" t="s">
        <v>104</v>
      </c>
      <c r="R106" s="52">
        <v>15.9</v>
      </c>
      <c r="S106" s="52">
        <f>R106-T106</f>
        <v>14.196428571428571</v>
      </c>
      <c r="T106" s="52">
        <f>R106*U106/(U106+100)</f>
        <v>1.7035714285714287</v>
      </c>
      <c r="U106" s="50">
        <v>12</v>
      </c>
      <c r="V106" s="53">
        <v>0</v>
      </c>
      <c r="W106" s="147">
        <v>2</v>
      </c>
      <c r="X106" s="148" t="s">
        <v>163</v>
      </c>
      <c r="Y106" s="54">
        <f>R106*W106</f>
        <v>31.8</v>
      </c>
      <c r="Z106" s="52">
        <f>S106*W106</f>
        <v>28.392857142857142</v>
      </c>
      <c r="AA106" s="52">
        <f>T106*W106</f>
        <v>3.4071428571428575</v>
      </c>
      <c r="AB106" s="52">
        <f>V106*W106</f>
        <v>0</v>
      </c>
      <c r="AC106" s="53">
        <f>(R106+V106)*W106</f>
        <v>31.8</v>
      </c>
      <c r="AD106" s="138">
        <v>15.9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46132</v>
      </c>
      <c r="H107" s="98">
        <v>0.6186111111111111</v>
      </c>
      <c r="I107" s="50">
        <v>161000367</v>
      </c>
      <c r="J107" s="96" t="s">
        <v>157</v>
      </c>
      <c r="K107" s="49" t="s">
        <v>520</v>
      </c>
      <c r="L107" s="39" t="s">
        <v>521</v>
      </c>
      <c r="M107" s="49" t="s">
        <v>522</v>
      </c>
      <c r="N107" s="39" t="s">
        <v>523</v>
      </c>
      <c r="O107" s="96" t="s">
        <v>524</v>
      </c>
      <c r="P107" s="49" t="s">
        <v>157</v>
      </c>
      <c r="Q107" s="96" t="s">
        <v>104</v>
      </c>
      <c r="R107" s="52">
        <v>282.9</v>
      </c>
      <c r="S107" s="52">
        <f>R107-T107</f>
        <v>252.5892857142857</v>
      </c>
      <c r="T107" s="52">
        <f>R107*U107/(U107+100)</f>
        <v>30.310714285714283</v>
      </c>
      <c r="U107" s="50">
        <v>12</v>
      </c>
      <c r="V107" s="53">
        <v>0</v>
      </c>
      <c r="W107" s="147">
        <v>0.154</v>
      </c>
      <c r="X107" s="148" t="s">
        <v>193</v>
      </c>
      <c r="Y107" s="54">
        <f>R107*W107</f>
        <v>43.566599999999994</v>
      </c>
      <c r="Z107" s="52">
        <f>S107*W107</f>
        <v>38.89875</v>
      </c>
      <c r="AA107" s="52">
        <f>T107*W107</f>
        <v>4.66785</v>
      </c>
      <c r="AB107" s="52">
        <f>V107*W107</f>
        <v>0</v>
      </c>
      <c r="AC107" s="53">
        <f>(R107+V107)*W107</f>
        <v>43.566599999999994</v>
      </c>
      <c r="AD107" s="138">
        <v>282.9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46132</v>
      </c>
      <c r="H108" s="98">
        <v>0.6224421296296296</v>
      </c>
      <c r="I108" s="50">
        <v>161000368</v>
      </c>
      <c r="J108" s="96" t="s">
        <v>157</v>
      </c>
      <c r="K108" s="49" t="s">
        <v>525</v>
      </c>
      <c r="L108" s="39" t="s">
        <v>526</v>
      </c>
      <c r="M108" s="49" t="s">
        <v>527</v>
      </c>
      <c r="N108" s="39" t="s">
        <v>528</v>
      </c>
      <c r="O108" s="96" t="s">
        <v>529</v>
      </c>
      <c r="P108" s="49" t="s">
        <v>157</v>
      </c>
      <c r="Q108" s="96" t="s">
        <v>104</v>
      </c>
      <c r="R108" s="52">
        <v>15.9</v>
      </c>
      <c r="S108" s="52">
        <f>R108-T108</f>
        <v>14.196428571428571</v>
      </c>
      <c r="T108" s="52">
        <f>R108*U108/(U108+100)</f>
        <v>1.7035714285714287</v>
      </c>
      <c r="U108" s="50">
        <v>12</v>
      </c>
      <c r="V108" s="53">
        <v>0</v>
      </c>
      <c r="W108" s="147">
        <v>1</v>
      </c>
      <c r="X108" s="148" t="s">
        <v>163</v>
      </c>
      <c r="Y108" s="54">
        <f>R108*W108</f>
        <v>15.9</v>
      </c>
      <c r="Z108" s="52">
        <f>S108*W108</f>
        <v>14.196428571428571</v>
      </c>
      <c r="AA108" s="52">
        <f>T108*W108</f>
        <v>1.7035714285714287</v>
      </c>
      <c r="AB108" s="52">
        <f>V108*W108</f>
        <v>0</v>
      </c>
      <c r="AC108" s="53">
        <f>(R108+V108)*W108</f>
        <v>15.9</v>
      </c>
      <c r="AD108" s="138">
        <v>15.9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46132</v>
      </c>
      <c r="H109" s="98">
        <v>0.6224421296296296</v>
      </c>
      <c r="I109" s="50">
        <v>161000368</v>
      </c>
      <c r="J109" s="96" t="s">
        <v>157</v>
      </c>
      <c r="K109" s="49" t="s">
        <v>530</v>
      </c>
      <c r="L109" s="39" t="s">
        <v>531</v>
      </c>
      <c r="M109" s="49" t="s">
        <v>190</v>
      </c>
      <c r="N109" s="39" t="s">
        <v>532</v>
      </c>
      <c r="O109" s="96" t="s">
        <v>533</v>
      </c>
      <c r="P109" s="49" t="s">
        <v>157</v>
      </c>
      <c r="Q109" s="96" t="s">
        <v>104</v>
      </c>
      <c r="R109" s="52">
        <v>25.9</v>
      </c>
      <c r="S109" s="52">
        <f>R109-T109</f>
        <v>23.125</v>
      </c>
      <c r="T109" s="52">
        <f>R109*U109/(U109+100)</f>
        <v>2.7749999999999995</v>
      </c>
      <c r="U109" s="50">
        <v>12</v>
      </c>
      <c r="V109" s="53">
        <v>0</v>
      </c>
      <c r="W109" s="147">
        <v>0.016</v>
      </c>
      <c r="X109" s="148" t="s">
        <v>193</v>
      </c>
      <c r="Y109" s="54">
        <f>R109*W109</f>
        <v>0.4144</v>
      </c>
      <c r="Z109" s="52">
        <f>S109*W109</f>
        <v>0.37</v>
      </c>
      <c r="AA109" s="52">
        <f>T109*W109</f>
        <v>0.044399999999999995</v>
      </c>
      <c r="AB109" s="52">
        <f>V109*W109</f>
        <v>0</v>
      </c>
      <c r="AC109" s="53">
        <f>(R109+V109)*W109</f>
        <v>0.4144</v>
      </c>
      <c r="AD109" s="138">
        <v>25.9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46132</v>
      </c>
      <c r="H110" s="98">
        <v>0.6275347222222222</v>
      </c>
      <c r="I110" s="50">
        <v>161000369</v>
      </c>
      <c r="J110" s="96" t="s">
        <v>157</v>
      </c>
      <c r="K110" s="49" t="s">
        <v>534</v>
      </c>
      <c r="L110" s="39" t="s">
        <v>535</v>
      </c>
      <c r="M110" s="49" t="s">
        <v>277</v>
      </c>
      <c r="N110" s="39" t="s">
        <v>373</v>
      </c>
      <c r="O110" s="96" t="s">
        <v>536</v>
      </c>
      <c r="P110" s="49" t="s">
        <v>157</v>
      </c>
      <c r="Q110" s="96" t="s">
        <v>104</v>
      </c>
      <c r="R110" s="52">
        <v>62.9</v>
      </c>
      <c r="S110" s="52">
        <f>R110-T110</f>
        <v>56.160714285714285</v>
      </c>
      <c r="T110" s="52">
        <f>R110*U110/(U110+100)</f>
        <v>6.739285714285714</v>
      </c>
      <c r="U110" s="50">
        <v>12</v>
      </c>
      <c r="V110" s="53">
        <v>0</v>
      </c>
      <c r="W110" s="147">
        <v>1</v>
      </c>
      <c r="X110" s="148" t="s">
        <v>163</v>
      </c>
      <c r="Y110" s="54">
        <f>R110*W110</f>
        <v>62.9</v>
      </c>
      <c r="Z110" s="52">
        <f>S110*W110</f>
        <v>56.160714285714285</v>
      </c>
      <c r="AA110" s="52">
        <f>T110*W110</f>
        <v>6.739285714285714</v>
      </c>
      <c r="AB110" s="52">
        <f>V110*W110</f>
        <v>0</v>
      </c>
      <c r="AC110" s="53">
        <f>(R110+V110)*W110</f>
        <v>62.9</v>
      </c>
      <c r="AD110" s="138">
        <v>62.9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46132</v>
      </c>
      <c r="H111" s="98">
        <v>0.6293055555555556</v>
      </c>
      <c r="I111" s="50">
        <v>161000370</v>
      </c>
      <c r="J111" s="96" t="s">
        <v>157</v>
      </c>
      <c r="K111" s="49" t="s">
        <v>537</v>
      </c>
      <c r="L111" s="39" t="s">
        <v>538</v>
      </c>
      <c r="M111" s="49" t="s">
        <v>539</v>
      </c>
      <c r="N111" s="39" t="s">
        <v>348</v>
      </c>
      <c r="O111" s="96" t="s">
        <v>540</v>
      </c>
      <c r="P111" s="49" t="s">
        <v>157</v>
      </c>
      <c r="Q111" s="96" t="s">
        <v>104</v>
      </c>
      <c r="R111" s="52">
        <v>5.4</v>
      </c>
      <c r="S111" s="52">
        <f>R111-T111</f>
        <v>4.821428571428572</v>
      </c>
      <c r="T111" s="52">
        <f>R111*U111/(U111+100)</f>
        <v>0.5785714285714286</v>
      </c>
      <c r="U111" s="50">
        <v>12</v>
      </c>
      <c r="V111" s="53">
        <v>0</v>
      </c>
      <c r="W111" s="147">
        <v>1</v>
      </c>
      <c r="X111" s="148" t="s">
        <v>163</v>
      </c>
      <c r="Y111" s="54">
        <f>R111*W111</f>
        <v>5.4</v>
      </c>
      <c r="Z111" s="52">
        <f>S111*W111</f>
        <v>4.821428571428572</v>
      </c>
      <c r="AA111" s="52">
        <f>T111*W111</f>
        <v>0.5785714285714286</v>
      </c>
      <c r="AB111" s="52">
        <f>V111*W111</f>
        <v>0</v>
      </c>
      <c r="AC111" s="53">
        <f>(R111+V111)*W111</f>
        <v>5.4</v>
      </c>
      <c r="AD111" s="138">
        <v>5.4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46132</v>
      </c>
      <c r="H112" s="98">
        <v>0.6293055555555556</v>
      </c>
      <c r="I112" s="50">
        <v>161000370</v>
      </c>
      <c r="J112" s="96" t="s">
        <v>157</v>
      </c>
      <c r="K112" s="49" t="s">
        <v>541</v>
      </c>
      <c r="L112" s="39" t="s">
        <v>542</v>
      </c>
      <c r="M112" s="49" t="s">
        <v>360</v>
      </c>
      <c r="N112" s="39" t="s">
        <v>543</v>
      </c>
      <c r="O112" s="96" t="s">
        <v>544</v>
      </c>
      <c r="P112" s="49" t="s">
        <v>157</v>
      </c>
      <c r="Q112" s="96" t="s">
        <v>104</v>
      </c>
      <c r="R112" s="52">
        <v>17.9</v>
      </c>
      <c r="S112" s="52">
        <f>R112-T112</f>
        <v>15.982142857142856</v>
      </c>
      <c r="T112" s="52">
        <f>R112*U112/(U112+100)</f>
        <v>1.9178571428571427</v>
      </c>
      <c r="U112" s="50">
        <v>12</v>
      </c>
      <c r="V112" s="53">
        <v>0</v>
      </c>
      <c r="W112" s="147">
        <v>1</v>
      </c>
      <c r="X112" s="148" t="s">
        <v>163</v>
      </c>
      <c r="Y112" s="54">
        <f>R112*W112</f>
        <v>17.9</v>
      </c>
      <c r="Z112" s="52">
        <f>S112*W112</f>
        <v>15.982142857142856</v>
      </c>
      <c r="AA112" s="52">
        <f>T112*W112</f>
        <v>1.9178571428571427</v>
      </c>
      <c r="AB112" s="52">
        <f>V112*W112</f>
        <v>0</v>
      </c>
      <c r="AC112" s="53">
        <f>(R112+V112)*W112</f>
        <v>17.9</v>
      </c>
      <c r="AD112" s="138">
        <v>17.9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46132</v>
      </c>
      <c r="H113" s="98">
        <v>0.6293055555555556</v>
      </c>
      <c r="I113" s="50">
        <v>161000370</v>
      </c>
      <c r="J113" s="96" t="s">
        <v>157</v>
      </c>
      <c r="K113" s="49" t="s">
        <v>545</v>
      </c>
      <c r="L113" s="39" t="s">
        <v>546</v>
      </c>
      <c r="M113" s="49" t="s">
        <v>547</v>
      </c>
      <c r="N113" s="39" t="s">
        <v>548</v>
      </c>
      <c r="O113" s="96" t="s">
        <v>549</v>
      </c>
      <c r="P113" s="49" t="s">
        <v>157</v>
      </c>
      <c r="Q113" s="96" t="s">
        <v>104</v>
      </c>
      <c r="R113" s="52">
        <v>31.9</v>
      </c>
      <c r="S113" s="52">
        <f>R113-T113</f>
        <v>28.482142857142858</v>
      </c>
      <c r="T113" s="52">
        <f>R113*U113/(U113+100)</f>
        <v>3.4178571428571423</v>
      </c>
      <c r="U113" s="50">
        <v>12</v>
      </c>
      <c r="V113" s="53">
        <v>0</v>
      </c>
      <c r="W113" s="147">
        <v>1</v>
      </c>
      <c r="X113" s="148" t="s">
        <v>163</v>
      </c>
      <c r="Y113" s="54">
        <f>R113*W113</f>
        <v>31.9</v>
      </c>
      <c r="Z113" s="52">
        <f>S113*W113</f>
        <v>28.482142857142858</v>
      </c>
      <c r="AA113" s="52">
        <f>T113*W113</f>
        <v>3.4178571428571423</v>
      </c>
      <c r="AB113" s="52">
        <f>V113*W113</f>
        <v>0</v>
      </c>
      <c r="AC113" s="53">
        <f>(R113+V113)*W113</f>
        <v>31.9</v>
      </c>
      <c r="AD113" s="138">
        <v>31.9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46132</v>
      </c>
      <c r="H114" s="98">
        <v>0.6346412037037037</v>
      </c>
      <c r="I114" s="50">
        <v>161000371</v>
      </c>
      <c r="J114" s="96" t="s">
        <v>157</v>
      </c>
      <c r="K114" s="49" t="s">
        <v>550</v>
      </c>
      <c r="L114" s="39" t="s">
        <v>551</v>
      </c>
      <c r="M114" s="49" t="s">
        <v>243</v>
      </c>
      <c r="N114" s="39" t="s">
        <v>244</v>
      </c>
      <c r="O114" s="96" t="s">
        <v>552</v>
      </c>
      <c r="P114" s="49" t="s">
        <v>157</v>
      </c>
      <c r="Q114" s="96" t="s">
        <v>104</v>
      </c>
      <c r="R114" s="52">
        <v>24.9</v>
      </c>
      <c r="S114" s="52">
        <f>R114-T114</f>
        <v>22.232142857142858</v>
      </c>
      <c r="T114" s="52">
        <f>R114*U114/(U114+100)</f>
        <v>2.6678571428571423</v>
      </c>
      <c r="U114" s="50">
        <v>12</v>
      </c>
      <c r="V114" s="53">
        <v>0</v>
      </c>
      <c r="W114" s="147">
        <v>1</v>
      </c>
      <c r="X114" s="148" t="s">
        <v>163</v>
      </c>
      <c r="Y114" s="54">
        <f>R114*W114</f>
        <v>24.9</v>
      </c>
      <c r="Z114" s="52">
        <f>S114*W114</f>
        <v>22.232142857142858</v>
      </c>
      <c r="AA114" s="52">
        <f>T114*W114</f>
        <v>2.6678571428571423</v>
      </c>
      <c r="AB114" s="52">
        <f>V114*W114</f>
        <v>0</v>
      </c>
      <c r="AC114" s="53">
        <f>(R114+V114)*W114</f>
        <v>24.9</v>
      </c>
      <c r="AD114" s="138">
        <v>24.9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46132</v>
      </c>
      <c r="H115" s="98">
        <v>0.6346412037037037</v>
      </c>
      <c r="I115" s="50">
        <v>161000371</v>
      </c>
      <c r="J115" s="96" t="s">
        <v>157</v>
      </c>
      <c r="K115" s="49" t="s">
        <v>553</v>
      </c>
      <c r="L115" s="39" t="s">
        <v>104</v>
      </c>
      <c r="M115" s="49" t="s">
        <v>554</v>
      </c>
      <c r="N115" s="39" t="s">
        <v>296</v>
      </c>
      <c r="O115" s="96" t="s">
        <v>555</v>
      </c>
      <c r="P115" s="49" t="s">
        <v>157</v>
      </c>
      <c r="Q115" s="96" t="s">
        <v>104</v>
      </c>
      <c r="R115" s="52">
        <v>8.9</v>
      </c>
      <c r="S115" s="52">
        <f>R115-T115</f>
        <v>7.946428571428572</v>
      </c>
      <c r="T115" s="52">
        <f>R115*U115/(U115+100)</f>
        <v>0.9535714285714286</v>
      </c>
      <c r="U115" s="50">
        <v>12</v>
      </c>
      <c r="V115" s="53">
        <v>0</v>
      </c>
      <c r="W115" s="147">
        <v>1</v>
      </c>
      <c r="X115" s="148" t="s">
        <v>163</v>
      </c>
      <c r="Y115" s="54">
        <f>R115*W115</f>
        <v>8.9</v>
      </c>
      <c r="Z115" s="52">
        <f>S115*W115</f>
        <v>7.946428571428572</v>
      </c>
      <c r="AA115" s="52">
        <f>T115*W115</f>
        <v>0.9535714285714286</v>
      </c>
      <c r="AB115" s="52">
        <f>V115*W115</f>
        <v>0</v>
      </c>
      <c r="AC115" s="53">
        <f>(R115+V115)*W115</f>
        <v>8.9</v>
      </c>
      <c r="AD115" s="138">
        <v>8.9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46132</v>
      </c>
      <c r="H116" s="98">
        <v>0.6405902777777778</v>
      </c>
      <c r="I116" s="50">
        <v>161000372</v>
      </c>
      <c r="J116" s="96" t="s">
        <v>157</v>
      </c>
      <c r="K116" s="49" t="s">
        <v>556</v>
      </c>
      <c r="L116" s="39" t="s">
        <v>557</v>
      </c>
      <c r="M116" s="49" t="s">
        <v>444</v>
      </c>
      <c r="N116" s="39" t="s">
        <v>558</v>
      </c>
      <c r="O116" s="96" t="s">
        <v>559</v>
      </c>
      <c r="P116" s="49" t="s">
        <v>157</v>
      </c>
      <c r="Q116" s="96" t="s">
        <v>104</v>
      </c>
      <c r="R116" s="52">
        <v>79.9</v>
      </c>
      <c r="S116" s="52">
        <f>R116-T116</f>
        <v>71.33928571428572</v>
      </c>
      <c r="T116" s="52">
        <f>R116*U116/(U116+100)</f>
        <v>8.560714285714287</v>
      </c>
      <c r="U116" s="50">
        <v>12</v>
      </c>
      <c r="V116" s="53">
        <v>0</v>
      </c>
      <c r="W116" s="147">
        <v>1</v>
      </c>
      <c r="X116" s="148" t="s">
        <v>163</v>
      </c>
      <c r="Y116" s="54">
        <f>R116*W116</f>
        <v>79.9</v>
      </c>
      <c r="Z116" s="52">
        <f>S116*W116</f>
        <v>71.33928571428572</v>
      </c>
      <c r="AA116" s="52">
        <f>T116*W116</f>
        <v>8.560714285714287</v>
      </c>
      <c r="AB116" s="52">
        <f>V116*W116</f>
        <v>0</v>
      </c>
      <c r="AC116" s="53">
        <f>(R116+V116)*W116</f>
        <v>79.9</v>
      </c>
      <c r="AD116" s="138">
        <v>79.9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46132</v>
      </c>
      <c r="H117" s="98">
        <v>0.6405902777777778</v>
      </c>
      <c r="I117" s="50">
        <v>161000372</v>
      </c>
      <c r="J117" s="96" t="s">
        <v>157</v>
      </c>
      <c r="K117" s="49" t="s">
        <v>560</v>
      </c>
      <c r="L117" s="39" t="s">
        <v>104</v>
      </c>
      <c r="M117" s="49" t="s">
        <v>554</v>
      </c>
      <c r="N117" s="39" t="s">
        <v>296</v>
      </c>
      <c r="O117" s="96" t="s">
        <v>561</v>
      </c>
      <c r="P117" s="49" t="s">
        <v>157</v>
      </c>
      <c r="Q117" s="96" t="s">
        <v>104</v>
      </c>
      <c r="R117" s="52">
        <v>8.9</v>
      </c>
      <c r="S117" s="52">
        <f>R117-T117</f>
        <v>7.946428571428572</v>
      </c>
      <c r="T117" s="52">
        <f>R117*U117/(U117+100)</f>
        <v>0.9535714285714286</v>
      </c>
      <c r="U117" s="50">
        <v>12</v>
      </c>
      <c r="V117" s="53">
        <v>0</v>
      </c>
      <c r="W117" s="147">
        <v>2</v>
      </c>
      <c r="X117" s="148" t="s">
        <v>163</v>
      </c>
      <c r="Y117" s="54">
        <f>R117*W117</f>
        <v>17.8</v>
      </c>
      <c r="Z117" s="52">
        <f>S117*W117</f>
        <v>15.892857142857144</v>
      </c>
      <c r="AA117" s="52">
        <f>T117*W117</f>
        <v>1.9071428571428573</v>
      </c>
      <c r="AB117" s="52">
        <f>V117*W117</f>
        <v>0</v>
      </c>
      <c r="AC117" s="53">
        <f>(R117+V117)*W117</f>
        <v>17.8</v>
      </c>
      <c r="AD117" s="138">
        <v>8.9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46132</v>
      </c>
      <c r="H118" s="98">
        <v>0.6405902777777778</v>
      </c>
      <c r="I118" s="50">
        <v>161000372</v>
      </c>
      <c r="J118" s="96" t="s">
        <v>157</v>
      </c>
      <c r="K118" s="49" t="s">
        <v>553</v>
      </c>
      <c r="L118" s="39" t="s">
        <v>104</v>
      </c>
      <c r="M118" s="49" t="s">
        <v>554</v>
      </c>
      <c r="N118" s="39" t="s">
        <v>296</v>
      </c>
      <c r="O118" s="96" t="s">
        <v>555</v>
      </c>
      <c r="P118" s="49" t="s">
        <v>157</v>
      </c>
      <c r="Q118" s="96" t="s">
        <v>104</v>
      </c>
      <c r="R118" s="52">
        <v>8.9</v>
      </c>
      <c r="S118" s="52">
        <f>R118-T118</f>
        <v>7.946428571428572</v>
      </c>
      <c r="T118" s="52">
        <f>R118*U118/(U118+100)</f>
        <v>0.9535714285714286</v>
      </c>
      <c r="U118" s="50">
        <v>12</v>
      </c>
      <c r="V118" s="53">
        <v>0</v>
      </c>
      <c r="W118" s="147">
        <v>1</v>
      </c>
      <c r="X118" s="148" t="s">
        <v>163</v>
      </c>
      <c r="Y118" s="54">
        <f>R118*W118</f>
        <v>8.9</v>
      </c>
      <c r="Z118" s="52">
        <f>S118*W118</f>
        <v>7.946428571428572</v>
      </c>
      <c r="AA118" s="52">
        <f>T118*W118</f>
        <v>0.9535714285714286</v>
      </c>
      <c r="AB118" s="52">
        <f>V118*W118</f>
        <v>0</v>
      </c>
      <c r="AC118" s="53">
        <f>(R118+V118)*W118</f>
        <v>8.9</v>
      </c>
      <c r="AD118" s="138">
        <v>8.9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46132</v>
      </c>
      <c r="H119" s="98">
        <v>0.6459953703703704</v>
      </c>
      <c r="I119" s="50">
        <v>161000373</v>
      </c>
      <c r="J119" s="96" t="s">
        <v>157</v>
      </c>
      <c r="K119" s="49" t="s">
        <v>562</v>
      </c>
      <c r="L119" s="39" t="s">
        <v>563</v>
      </c>
      <c r="M119" s="49" t="s">
        <v>326</v>
      </c>
      <c r="N119" s="39" t="s">
        <v>564</v>
      </c>
      <c r="O119" s="96" t="s">
        <v>565</v>
      </c>
      <c r="P119" s="49" t="s">
        <v>157</v>
      </c>
      <c r="Q119" s="96" t="s">
        <v>104</v>
      </c>
      <c r="R119" s="52">
        <v>43.9</v>
      </c>
      <c r="S119" s="52">
        <f>R119-T119</f>
        <v>39.19642857142857</v>
      </c>
      <c r="T119" s="52">
        <f>R119*U119/(U119+100)</f>
        <v>4.703571428571428</v>
      </c>
      <c r="U119" s="50">
        <v>12</v>
      </c>
      <c r="V119" s="53">
        <v>0</v>
      </c>
      <c r="W119" s="147">
        <v>1</v>
      </c>
      <c r="X119" s="148" t="s">
        <v>163</v>
      </c>
      <c r="Y119" s="54">
        <f>R119*W119</f>
        <v>43.9</v>
      </c>
      <c r="Z119" s="52">
        <f>S119*W119</f>
        <v>39.19642857142857</v>
      </c>
      <c r="AA119" s="52">
        <f>T119*W119</f>
        <v>4.703571428571428</v>
      </c>
      <c r="AB119" s="52">
        <f>V119*W119</f>
        <v>0</v>
      </c>
      <c r="AC119" s="53">
        <f>(R119+V119)*W119</f>
        <v>43.9</v>
      </c>
      <c r="AD119" s="138">
        <v>43.9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46132</v>
      </c>
      <c r="H120" s="98">
        <v>0.6459953703703704</v>
      </c>
      <c r="I120" s="50">
        <v>161000373</v>
      </c>
      <c r="J120" s="96" t="s">
        <v>157</v>
      </c>
      <c r="K120" s="49" t="s">
        <v>566</v>
      </c>
      <c r="L120" s="39" t="s">
        <v>567</v>
      </c>
      <c r="M120" s="49" t="s">
        <v>568</v>
      </c>
      <c r="N120" s="39" t="s">
        <v>569</v>
      </c>
      <c r="O120" s="96" t="s">
        <v>570</v>
      </c>
      <c r="P120" s="49" t="s">
        <v>157</v>
      </c>
      <c r="Q120" s="96" t="s">
        <v>104</v>
      </c>
      <c r="R120" s="52">
        <v>21.9</v>
      </c>
      <c r="S120" s="52">
        <f>R120-T120</f>
        <v>19.553571428571427</v>
      </c>
      <c r="T120" s="52">
        <f>R120*U120/(U120+100)</f>
        <v>2.346428571428571</v>
      </c>
      <c r="U120" s="50">
        <v>12</v>
      </c>
      <c r="V120" s="53">
        <v>0</v>
      </c>
      <c r="W120" s="147">
        <v>1</v>
      </c>
      <c r="X120" s="148" t="s">
        <v>163</v>
      </c>
      <c r="Y120" s="54">
        <f>R120*W120</f>
        <v>21.9</v>
      </c>
      <c r="Z120" s="52">
        <f>S120*W120</f>
        <v>19.553571428571427</v>
      </c>
      <c r="AA120" s="52">
        <f>T120*W120</f>
        <v>2.346428571428571</v>
      </c>
      <c r="AB120" s="52">
        <f>V120*W120</f>
        <v>0</v>
      </c>
      <c r="AC120" s="53">
        <f>(R120+V120)*W120</f>
        <v>21.9</v>
      </c>
      <c r="AD120" s="138">
        <v>21.9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46132</v>
      </c>
      <c r="H121" s="98">
        <v>0.6459953703703704</v>
      </c>
      <c r="I121" s="50">
        <v>161000373</v>
      </c>
      <c r="J121" s="96" t="s">
        <v>157</v>
      </c>
      <c r="K121" s="49" t="s">
        <v>571</v>
      </c>
      <c r="L121" s="39" t="s">
        <v>572</v>
      </c>
      <c r="M121" s="49" t="s">
        <v>568</v>
      </c>
      <c r="N121" s="39" t="s">
        <v>569</v>
      </c>
      <c r="O121" s="96" t="s">
        <v>573</v>
      </c>
      <c r="P121" s="49" t="s">
        <v>157</v>
      </c>
      <c r="Q121" s="96" t="s">
        <v>104</v>
      </c>
      <c r="R121" s="52">
        <v>21.9</v>
      </c>
      <c r="S121" s="52">
        <f>R121-T121</f>
        <v>19.553571428571427</v>
      </c>
      <c r="T121" s="52">
        <f>R121*U121/(U121+100)</f>
        <v>2.346428571428571</v>
      </c>
      <c r="U121" s="50">
        <v>12</v>
      </c>
      <c r="V121" s="53">
        <v>0</v>
      </c>
      <c r="W121" s="147">
        <v>1</v>
      </c>
      <c r="X121" s="148" t="s">
        <v>163</v>
      </c>
      <c r="Y121" s="54">
        <f>R121*W121</f>
        <v>21.9</v>
      </c>
      <c r="Z121" s="52">
        <f>S121*W121</f>
        <v>19.553571428571427</v>
      </c>
      <c r="AA121" s="52">
        <f>T121*W121</f>
        <v>2.346428571428571</v>
      </c>
      <c r="AB121" s="52">
        <f>V121*W121</f>
        <v>0</v>
      </c>
      <c r="AC121" s="53">
        <f>(R121+V121)*W121</f>
        <v>21.9</v>
      </c>
      <c r="AD121" s="138">
        <v>21.9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46132</v>
      </c>
      <c r="H122" s="98">
        <v>0.6459953703703704</v>
      </c>
      <c r="I122" s="50">
        <v>161000373</v>
      </c>
      <c r="J122" s="96" t="s">
        <v>157</v>
      </c>
      <c r="K122" s="49" t="s">
        <v>574</v>
      </c>
      <c r="L122" s="39" t="s">
        <v>575</v>
      </c>
      <c r="M122" s="49" t="s">
        <v>568</v>
      </c>
      <c r="N122" s="39" t="s">
        <v>576</v>
      </c>
      <c r="O122" s="96" t="s">
        <v>577</v>
      </c>
      <c r="P122" s="49" t="s">
        <v>157</v>
      </c>
      <c r="Q122" s="96" t="s">
        <v>104</v>
      </c>
      <c r="R122" s="52">
        <v>25.9</v>
      </c>
      <c r="S122" s="52">
        <f>R122-T122</f>
        <v>23.125</v>
      </c>
      <c r="T122" s="52">
        <f>R122*U122/(U122+100)</f>
        <v>2.7749999999999995</v>
      </c>
      <c r="U122" s="50">
        <v>12</v>
      </c>
      <c r="V122" s="53">
        <v>0</v>
      </c>
      <c r="W122" s="147">
        <v>1</v>
      </c>
      <c r="X122" s="148" t="s">
        <v>163</v>
      </c>
      <c r="Y122" s="54">
        <f>R122*W122</f>
        <v>25.9</v>
      </c>
      <c r="Z122" s="52">
        <f>S122*W122</f>
        <v>23.125</v>
      </c>
      <c r="AA122" s="52">
        <f>T122*W122</f>
        <v>2.7749999999999995</v>
      </c>
      <c r="AB122" s="52">
        <f>V122*W122</f>
        <v>0</v>
      </c>
      <c r="AC122" s="53">
        <f>(R122+V122)*W122</f>
        <v>25.9</v>
      </c>
      <c r="AD122" s="138">
        <v>25.9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46132</v>
      </c>
      <c r="H123" s="98">
        <v>0.6459953703703704</v>
      </c>
      <c r="I123" s="50">
        <v>161000373</v>
      </c>
      <c r="J123" s="96" t="s">
        <v>157</v>
      </c>
      <c r="K123" s="49" t="s">
        <v>578</v>
      </c>
      <c r="L123" s="39" t="s">
        <v>579</v>
      </c>
      <c r="M123" s="49" t="s">
        <v>580</v>
      </c>
      <c r="N123" s="39" t="s">
        <v>513</v>
      </c>
      <c r="O123" s="96" t="s">
        <v>581</v>
      </c>
      <c r="P123" s="49" t="s">
        <v>157</v>
      </c>
      <c r="Q123" s="96" t="s">
        <v>104</v>
      </c>
      <c r="R123" s="52">
        <v>13.4</v>
      </c>
      <c r="S123" s="52">
        <f>R123-T123</f>
        <v>11.964285714285715</v>
      </c>
      <c r="T123" s="52">
        <f>R123*U123/(U123+100)</f>
        <v>1.4357142857142857</v>
      </c>
      <c r="U123" s="50">
        <v>12</v>
      </c>
      <c r="V123" s="53">
        <v>0</v>
      </c>
      <c r="W123" s="147">
        <v>2</v>
      </c>
      <c r="X123" s="148" t="s">
        <v>163</v>
      </c>
      <c r="Y123" s="54">
        <f>R123*W123</f>
        <v>26.8</v>
      </c>
      <c r="Z123" s="52">
        <f>S123*W123</f>
        <v>23.92857142857143</v>
      </c>
      <c r="AA123" s="52">
        <f>T123*W123</f>
        <v>2.8714285714285714</v>
      </c>
      <c r="AB123" s="52">
        <f>V123*W123</f>
        <v>0</v>
      </c>
      <c r="AC123" s="53">
        <f>(R123+V123)*W123</f>
        <v>26.8</v>
      </c>
      <c r="AD123" s="138">
        <v>13.4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46132</v>
      </c>
      <c r="H124" s="98">
        <v>0.6459953703703704</v>
      </c>
      <c r="I124" s="50">
        <v>161000373</v>
      </c>
      <c r="J124" s="96" t="s">
        <v>157</v>
      </c>
      <c r="K124" s="49" t="s">
        <v>582</v>
      </c>
      <c r="L124" s="39" t="s">
        <v>583</v>
      </c>
      <c r="M124" s="49" t="s">
        <v>580</v>
      </c>
      <c r="N124" s="39" t="s">
        <v>513</v>
      </c>
      <c r="O124" s="96" t="s">
        <v>584</v>
      </c>
      <c r="P124" s="49" t="s">
        <v>157</v>
      </c>
      <c r="Q124" s="96" t="s">
        <v>104</v>
      </c>
      <c r="R124" s="52">
        <v>13.4</v>
      </c>
      <c r="S124" s="52">
        <f>R124-T124</f>
        <v>11.964285714285715</v>
      </c>
      <c r="T124" s="52">
        <f>R124*U124/(U124+100)</f>
        <v>1.4357142857142857</v>
      </c>
      <c r="U124" s="50">
        <v>12</v>
      </c>
      <c r="V124" s="53">
        <v>0</v>
      </c>
      <c r="W124" s="147">
        <v>2</v>
      </c>
      <c r="X124" s="148" t="s">
        <v>163</v>
      </c>
      <c r="Y124" s="54">
        <f>R124*W124</f>
        <v>26.8</v>
      </c>
      <c r="Z124" s="52">
        <f>S124*W124</f>
        <v>23.92857142857143</v>
      </c>
      <c r="AA124" s="52">
        <f>T124*W124</f>
        <v>2.8714285714285714</v>
      </c>
      <c r="AB124" s="52">
        <f>V124*W124</f>
        <v>0</v>
      </c>
      <c r="AC124" s="53">
        <f>(R124+V124)*W124</f>
        <v>26.8</v>
      </c>
      <c r="AD124" s="138">
        <v>13.4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46132</v>
      </c>
      <c r="H125" s="98">
        <v>0.6519212962962962</v>
      </c>
      <c r="I125" s="50">
        <v>161000374</v>
      </c>
      <c r="J125" s="96" t="s">
        <v>157</v>
      </c>
      <c r="K125" s="49" t="s">
        <v>585</v>
      </c>
      <c r="L125" s="39" t="s">
        <v>586</v>
      </c>
      <c r="M125" s="49" t="s">
        <v>341</v>
      </c>
      <c r="N125" s="39" t="s">
        <v>587</v>
      </c>
      <c r="O125" s="96" t="s">
        <v>588</v>
      </c>
      <c r="P125" s="49" t="s">
        <v>157</v>
      </c>
      <c r="Q125" s="96" t="s">
        <v>104</v>
      </c>
      <c r="R125" s="52">
        <v>34.9</v>
      </c>
      <c r="S125" s="52">
        <f>R125-T125</f>
        <v>28.84297520661157</v>
      </c>
      <c r="T125" s="52">
        <f>R125*U125/(U125+100)</f>
        <v>6.05702479338843</v>
      </c>
      <c r="U125" s="50">
        <v>21</v>
      </c>
      <c r="V125" s="53">
        <v>0</v>
      </c>
      <c r="W125" s="147">
        <v>1</v>
      </c>
      <c r="X125" s="148" t="s">
        <v>163</v>
      </c>
      <c r="Y125" s="54">
        <f>R125*W125</f>
        <v>34.9</v>
      </c>
      <c r="Z125" s="52">
        <f>S125*W125</f>
        <v>28.84297520661157</v>
      </c>
      <c r="AA125" s="52">
        <f>T125*W125</f>
        <v>6.05702479338843</v>
      </c>
      <c r="AB125" s="52">
        <f>V125*W125</f>
        <v>0</v>
      </c>
      <c r="AC125" s="53">
        <f>(R125+V125)*W125</f>
        <v>34.9</v>
      </c>
      <c r="AD125" s="138">
        <v>34.9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46132</v>
      </c>
      <c r="H126" s="98">
        <v>0.6519212962962962</v>
      </c>
      <c r="I126" s="50">
        <v>161000374</v>
      </c>
      <c r="J126" s="96" t="s">
        <v>157</v>
      </c>
      <c r="K126" s="49" t="s">
        <v>589</v>
      </c>
      <c r="L126" s="39" t="s">
        <v>590</v>
      </c>
      <c r="M126" s="49" t="s">
        <v>214</v>
      </c>
      <c r="N126" s="39" t="s">
        <v>548</v>
      </c>
      <c r="O126" s="96" t="s">
        <v>591</v>
      </c>
      <c r="P126" s="49" t="s">
        <v>157</v>
      </c>
      <c r="Q126" s="96" t="s">
        <v>104</v>
      </c>
      <c r="R126" s="52">
        <v>27.9</v>
      </c>
      <c r="S126" s="52">
        <f>R126-T126</f>
        <v>24.910714285714285</v>
      </c>
      <c r="T126" s="52">
        <f>R126*U126/(U126+100)</f>
        <v>2.989285714285714</v>
      </c>
      <c r="U126" s="50">
        <v>12</v>
      </c>
      <c r="V126" s="53">
        <v>0</v>
      </c>
      <c r="W126" s="147">
        <v>1</v>
      </c>
      <c r="X126" s="148" t="s">
        <v>163</v>
      </c>
      <c r="Y126" s="54">
        <f>R126*W126</f>
        <v>27.9</v>
      </c>
      <c r="Z126" s="52">
        <f>S126*W126</f>
        <v>24.910714285714285</v>
      </c>
      <c r="AA126" s="52">
        <f>T126*W126</f>
        <v>2.989285714285714</v>
      </c>
      <c r="AB126" s="52">
        <f>V126*W126</f>
        <v>0</v>
      </c>
      <c r="AC126" s="53">
        <f>(R126+V126)*W126</f>
        <v>27.9</v>
      </c>
      <c r="AD126" s="138">
        <v>27.9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46132</v>
      </c>
      <c r="H127" s="98">
        <v>0.6519212962962962</v>
      </c>
      <c r="I127" s="50">
        <v>161000374</v>
      </c>
      <c r="J127" s="96" t="s">
        <v>157</v>
      </c>
      <c r="K127" s="49" t="s">
        <v>293</v>
      </c>
      <c r="L127" s="39" t="s">
        <v>294</v>
      </c>
      <c r="M127" s="49" t="s">
        <v>295</v>
      </c>
      <c r="N127" s="39" t="s">
        <v>296</v>
      </c>
      <c r="O127" s="96" t="s">
        <v>297</v>
      </c>
      <c r="P127" s="49" t="s">
        <v>157</v>
      </c>
      <c r="Q127" s="96" t="s">
        <v>104</v>
      </c>
      <c r="R127" s="52">
        <v>2.9</v>
      </c>
      <c r="S127" s="52">
        <f>R127-T127</f>
        <v>2.5892857142857144</v>
      </c>
      <c r="T127" s="52">
        <f>R127*U127/(U127+100)</f>
        <v>0.31071428571428567</v>
      </c>
      <c r="U127" s="50">
        <v>12</v>
      </c>
      <c r="V127" s="53">
        <v>0</v>
      </c>
      <c r="W127" s="147">
        <v>10</v>
      </c>
      <c r="X127" s="148" t="s">
        <v>163</v>
      </c>
      <c r="Y127" s="54">
        <f>R127*W127</f>
        <v>29</v>
      </c>
      <c r="Z127" s="52">
        <f>S127*W127</f>
        <v>25.892857142857146</v>
      </c>
      <c r="AA127" s="52">
        <f>T127*W127</f>
        <v>3.1071428571428568</v>
      </c>
      <c r="AB127" s="52">
        <f>V127*W127</f>
        <v>0</v>
      </c>
      <c r="AC127" s="53">
        <f>(R127+V127)*W127</f>
        <v>29</v>
      </c>
      <c r="AD127" s="138">
        <v>2.9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46132</v>
      </c>
      <c r="H128" s="98">
        <v>0.6560185185185186</v>
      </c>
      <c r="I128" s="50">
        <v>161000375</v>
      </c>
      <c r="J128" s="96" t="s">
        <v>157</v>
      </c>
      <c r="K128" s="49" t="s">
        <v>592</v>
      </c>
      <c r="L128" s="39" t="s">
        <v>593</v>
      </c>
      <c r="M128" s="49" t="s">
        <v>539</v>
      </c>
      <c r="N128" s="39" t="s">
        <v>239</v>
      </c>
      <c r="O128" s="96" t="s">
        <v>594</v>
      </c>
      <c r="P128" s="49" t="s">
        <v>157</v>
      </c>
      <c r="Q128" s="96" t="s">
        <v>104</v>
      </c>
      <c r="R128" s="52">
        <v>13.4</v>
      </c>
      <c r="S128" s="52">
        <f>R128-T128</f>
        <v>11.964285714285715</v>
      </c>
      <c r="T128" s="52">
        <f>R128*U128/(U128+100)</f>
        <v>1.4357142857142857</v>
      </c>
      <c r="U128" s="50">
        <v>12</v>
      </c>
      <c r="V128" s="53">
        <v>0</v>
      </c>
      <c r="W128" s="147">
        <v>1</v>
      </c>
      <c r="X128" s="148" t="s">
        <v>163</v>
      </c>
      <c r="Y128" s="54">
        <f>R128*W128</f>
        <v>13.4</v>
      </c>
      <c r="Z128" s="52">
        <f>S128*W128</f>
        <v>11.964285714285715</v>
      </c>
      <c r="AA128" s="52">
        <f>T128*W128</f>
        <v>1.4357142857142857</v>
      </c>
      <c r="AB128" s="52">
        <f>V128*W128</f>
        <v>0</v>
      </c>
      <c r="AC128" s="53">
        <f>(R128+V128)*W128</f>
        <v>13.4</v>
      </c>
      <c r="AD128" s="138">
        <v>13.4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46132</v>
      </c>
      <c r="H129" s="98">
        <v>0.6560185185185186</v>
      </c>
      <c r="I129" s="50">
        <v>161000375</v>
      </c>
      <c r="J129" s="96" t="s">
        <v>157</v>
      </c>
      <c r="K129" s="49" t="s">
        <v>595</v>
      </c>
      <c r="L129" s="39" t="s">
        <v>596</v>
      </c>
      <c r="M129" s="49" t="s">
        <v>429</v>
      </c>
      <c r="N129" s="39" t="s">
        <v>239</v>
      </c>
      <c r="O129" s="96" t="s">
        <v>597</v>
      </c>
      <c r="P129" s="49" t="s">
        <v>157</v>
      </c>
      <c r="Q129" s="96" t="s">
        <v>104</v>
      </c>
      <c r="R129" s="52">
        <v>19.9</v>
      </c>
      <c r="S129" s="52">
        <f>R129-T129</f>
        <v>17.767857142857142</v>
      </c>
      <c r="T129" s="52">
        <f>R129*U129/(U129+100)</f>
        <v>2.132142857142857</v>
      </c>
      <c r="U129" s="50">
        <v>12</v>
      </c>
      <c r="V129" s="53">
        <v>0</v>
      </c>
      <c r="W129" s="147">
        <v>1</v>
      </c>
      <c r="X129" s="148" t="s">
        <v>163</v>
      </c>
      <c r="Y129" s="54">
        <f>R129*W129</f>
        <v>19.9</v>
      </c>
      <c r="Z129" s="52">
        <f>S129*W129</f>
        <v>17.767857142857142</v>
      </c>
      <c r="AA129" s="52">
        <f>T129*W129</f>
        <v>2.132142857142857</v>
      </c>
      <c r="AB129" s="52">
        <f>V129*W129</f>
        <v>0</v>
      </c>
      <c r="AC129" s="53">
        <f>(R129+V129)*W129</f>
        <v>19.9</v>
      </c>
      <c r="AD129" s="138">
        <v>19.9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46132</v>
      </c>
      <c r="H130" s="98">
        <v>0.6560185185185186</v>
      </c>
      <c r="I130" s="50">
        <v>161000375</v>
      </c>
      <c r="J130" s="96" t="s">
        <v>157</v>
      </c>
      <c r="K130" s="49" t="s">
        <v>598</v>
      </c>
      <c r="L130" s="39" t="s">
        <v>599</v>
      </c>
      <c r="M130" s="49" t="s">
        <v>600</v>
      </c>
      <c r="N130" s="39" t="s">
        <v>601</v>
      </c>
      <c r="O130" s="96" t="s">
        <v>602</v>
      </c>
      <c r="P130" s="49" t="s">
        <v>235</v>
      </c>
      <c r="Q130" s="96" t="s">
        <v>236</v>
      </c>
      <c r="R130" s="52">
        <v>29.9</v>
      </c>
      <c r="S130" s="52">
        <f>R130-T130</f>
        <v>26.69642857142857</v>
      </c>
      <c r="T130" s="52">
        <f>R130*U130/(U130+100)</f>
        <v>3.2035714285714283</v>
      </c>
      <c r="U130" s="50">
        <v>12</v>
      </c>
      <c r="V130" s="53">
        <v>0</v>
      </c>
      <c r="W130" s="147">
        <v>1</v>
      </c>
      <c r="X130" s="148" t="s">
        <v>163</v>
      </c>
      <c r="Y130" s="54">
        <f>R130*W130</f>
        <v>29.9</v>
      </c>
      <c r="Z130" s="52">
        <f>S130*W130</f>
        <v>26.69642857142857</v>
      </c>
      <c r="AA130" s="52">
        <f>T130*W130</f>
        <v>3.2035714285714283</v>
      </c>
      <c r="AB130" s="52">
        <f>V130*W130</f>
        <v>0</v>
      </c>
      <c r="AC130" s="53">
        <f>(R130+V130)*W130</f>
        <v>29.9</v>
      </c>
      <c r="AD130" s="138">
        <v>29.9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46132</v>
      </c>
      <c r="H131" s="98">
        <v>0.6560185185185186</v>
      </c>
      <c r="I131" s="50">
        <v>161000375</v>
      </c>
      <c r="J131" s="96" t="s">
        <v>157</v>
      </c>
      <c r="K131" s="49" t="s">
        <v>603</v>
      </c>
      <c r="L131" s="39" t="s">
        <v>604</v>
      </c>
      <c r="M131" s="49" t="s">
        <v>600</v>
      </c>
      <c r="N131" s="39" t="s">
        <v>601</v>
      </c>
      <c r="O131" s="96" t="s">
        <v>605</v>
      </c>
      <c r="P131" s="49" t="s">
        <v>235</v>
      </c>
      <c r="Q131" s="96" t="s">
        <v>236</v>
      </c>
      <c r="R131" s="52">
        <v>29.9</v>
      </c>
      <c r="S131" s="52">
        <f>R131-T131</f>
        <v>26.69642857142857</v>
      </c>
      <c r="T131" s="52">
        <f>R131*U131/(U131+100)</f>
        <v>3.2035714285714283</v>
      </c>
      <c r="U131" s="50">
        <v>12</v>
      </c>
      <c r="V131" s="53">
        <v>0</v>
      </c>
      <c r="W131" s="147">
        <v>1</v>
      </c>
      <c r="X131" s="148" t="s">
        <v>163</v>
      </c>
      <c r="Y131" s="54">
        <f>R131*W131</f>
        <v>29.9</v>
      </c>
      <c r="Z131" s="52">
        <f>S131*W131</f>
        <v>26.69642857142857</v>
      </c>
      <c r="AA131" s="52">
        <f>T131*W131</f>
        <v>3.2035714285714283</v>
      </c>
      <c r="AB131" s="52">
        <f>V131*W131</f>
        <v>0</v>
      </c>
      <c r="AC131" s="53">
        <f>(R131+V131)*W131</f>
        <v>29.9</v>
      </c>
      <c r="AD131" s="138">
        <v>29.9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46132</v>
      </c>
      <c r="H132" s="98">
        <v>0.6560185185185186</v>
      </c>
      <c r="I132" s="50">
        <v>161000375</v>
      </c>
      <c r="J132" s="96" t="s">
        <v>157</v>
      </c>
      <c r="K132" s="49" t="s">
        <v>606</v>
      </c>
      <c r="L132" s="39" t="s">
        <v>607</v>
      </c>
      <c r="M132" s="49" t="s">
        <v>608</v>
      </c>
      <c r="N132" s="39" t="s">
        <v>609</v>
      </c>
      <c r="O132" s="96" t="s">
        <v>610</v>
      </c>
      <c r="P132" s="49" t="s">
        <v>235</v>
      </c>
      <c r="Q132" s="96" t="s">
        <v>236</v>
      </c>
      <c r="R132" s="52">
        <v>16.9</v>
      </c>
      <c r="S132" s="52">
        <f>R132-T132</f>
        <v>15.089285714285714</v>
      </c>
      <c r="T132" s="52">
        <f>R132*U132/(U132+100)</f>
        <v>1.8107142857142855</v>
      </c>
      <c r="U132" s="50">
        <v>12</v>
      </c>
      <c r="V132" s="53">
        <v>0</v>
      </c>
      <c r="W132" s="147">
        <v>1</v>
      </c>
      <c r="X132" s="148" t="s">
        <v>163</v>
      </c>
      <c r="Y132" s="54">
        <f>R132*W132</f>
        <v>16.9</v>
      </c>
      <c r="Z132" s="52">
        <f>S132*W132</f>
        <v>15.089285714285714</v>
      </c>
      <c r="AA132" s="52">
        <f>T132*W132</f>
        <v>1.8107142857142855</v>
      </c>
      <c r="AB132" s="52">
        <f>V132*W132</f>
        <v>0</v>
      </c>
      <c r="AC132" s="53">
        <f>(R132+V132)*W132</f>
        <v>16.9</v>
      </c>
      <c r="AD132" s="138">
        <v>16.9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46132</v>
      </c>
      <c r="H133" s="98">
        <v>0.6560185185185186</v>
      </c>
      <c r="I133" s="50">
        <v>161000375</v>
      </c>
      <c r="J133" s="96" t="s">
        <v>157</v>
      </c>
      <c r="K133" s="49" t="s">
        <v>611</v>
      </c>
      <c r="L133" s="39" t="s">
        <v>612</v>
      </c>
      <c r="M133" s="49" t="s">
        <v>608</v>
      </c>
      <c r="N133" s="39" t="s">
        <v>609</v>
      </c>
      <c r="O133" s="96" t="s">
        <v>613</v>
      </c>
      <c r="P133" s="49" t="s">
        <v>235</v>
      </c>
      <c r="Q133" s="96" t="s">
        <v>236</v>
      </c>
      <c r="R133" s="52">
        <v>16.9</v>
      </c>
      <c r="S133" s="52">
        <f>R133-T133</f>
        <v>15.089285714285714</v>
      </c>
      <c r="T133" s="52">
        <f>R133*U133/(U133+100)</f>
        <v>1.8107142857142855</v>
      </c>
      <c r="U133" s="50">
        <v>12</v>
      </c>
      <c r="V133" s="53">
        <v>0</v>
      </c>
      <c r="W133" s="147">
        <v>1</v>
      </c>
      <c r="X133" s="148" t="s">
        <v>163</v>
      </c>
      <c r="Y133" s="54">
        <f>R133*W133</f>
        <v>16.9</v>
      </c>
      <c r="Z133" s="52">
        <f>S133*W133</f>
        <v>15.089285714285714</v>
      </c>
      <c r="AA133" s="52">
        <f>T133*W133</f>
        <v>1.8107142857142855</v>
      </c>
      <c r="AB133" s="52">
        <f>V133*W133</f>
        <v>0</v>
      </c>
      <c r="AC133" s="53">
        <f>(R133+V133)*W133</f>
        <v>16.9</v>
      </c>
      <c r="AD133" s="138">
        <v>16.9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46132</v>
      </c>
      <c r="H134" s="98">
        <v>0.6560185185185186</v>
      </c>
      <c r="I134" s="50">
        <v>161000375</v>
      </c>
      <c r="J134" s="96" t="s">
        <v>157</v>
      </c>
      <c r="K134" s="49" t="s">
        <v>614</v>
      </c>
      <c r="L134" s="39" t="s">
        <v>615</v>
      </c>
      <c r="M134" s="49" t="s">
        <v>616</v>
      </c>
      <c r="N134" s="39" t="s">
        <v>291</v>
      </c>
      <c r="O134" s="96" t="s">
        <v>617</v>
      </c>
      <c r="P134" s="49" t="s">
        <v>157</v>
      </c>
      <c r="Q134" s="96" t="s">
        <v>104</v>
      </c>
      <c r="R134" s="52">
        <v>32.9</v>
      </c>
      <c r="S134" s="52">
        <f>R134-T134</f>
        <v>29.375</v>
      </c>
      <c r="T134" s="52">
        <f>R134*U134/(U134+100)</f>
        <v>3.5249999999999995</v>
      </c>
      <c r="U134" s="50">
        <v>12</v>
      </c>
      <c r="V134" s="53">
        <v>0</v>
      </c>
      <c r="W134" s="147">
        <v>1</v>
      </c>
      <c r="X134" s="148" t="s">
        <v>163</v>
      </c>
      <c r="Y134" s="54">
        <f>R134*W134</f>
        <v>32.9</v>
      </c>
      <c r="Z134" s="52">
        <f>S134*W134</f>
        <v>29.375</v>
      </c>
      <c r="AA134" s="52">
        <f>T134*W134</f>
        <v>3.5249999999999995</v>
      </c>
      <c r="AB134" s="52">
        <f>V134*W134</f>
        <v>0</v>
      </c>
      <c r="AC134" s="53">
        <f>(R134+V134)*W134</f>
        <v>32.9</v>
      </c>
      <c r="AD134" s="138">
        <v>32.9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46132</v>
      </c>
      <c r="H135" s="98">
        <v>0.6560185185185186</v>
      </c>
      <c r="I135" s="50">
        <v>161000375</v>
      </c>
      <c r="J135" s="96" t="s">
        <v>157</v>
      </c>
      <c r="K135" s="49" t="s">
        <v>618</v>
      </c>
      <c r="L135" s="39" t="s">
        <v>619</v>
      </c>
      <c r="M135" s="49" t="s">
        <v>620</v>
      </c>
      <c r="N135" s="39" t="s">
        <v>365</v>
      </c>
      <c r="O135" s="96" t="s">
        <v>621</v>
      </c>
      <c r="P135" s="49" t="s">
        <v>157</v>
      </c>
      <c r="Q135" s="96" t="s">
        <v>104</v>
      </c>
      <c r="R135" s="52">
        <v>19.9</v>
      </c>
      <c r="S135" s="52">
        <f>R135-T135</f>
        <v>17.767857142857142</v>
      </c>
      <c r="T135" s="52">
        <f>R135*U135/(U135+100)</f>
        <v>2.132142857142857</v>
      </c>
      <c r="U135" s="50">
        <v>12</v>
      </c>
      <c r="V135" s="53">
        <v>0</v>
      </c>
      <c r="W135" s="147">
        <v>1</v>
      </c>
      <c r="X135" s="148" t="s">
        <v>163</v>
      </c>
      <c r="Y135" s="54">
        <f>R135*W135</f>
        <v>19.9</v>
      </c>
      <c r="Z135" s="52">
        <f>S135*W135</f>
        <v>17.767857142857142</v>
      </c>
      <c r="AA135" s="52">
        <f>T135*W135</f>
        <v>2.132142857142857</v>
      </c>
      <c r="AB135" s="52">
        <f>V135*W135</f>
        <v>0</v>
      </c>
      <c r="AC135" s="53">
        <f>(R135+V135)*W135</f>
        <v>19.9</v>
      </c>
      <c r="AD135" s="138">
        <v>19.9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46132</v>
      </c>
      <c r="H136" s="98">
        <v>0.6560185185185186</v>
      </c>
      <c r="I136" s="50">
        <v>161000375</v>
      </c>
      <c r="J136" s="96" t="s">
        <v>157</v>
      </c>
      <c r="K136" s="49" t="s">
        <v>230</v>
      </c>
      <c r="L136" s="39" t="s">
        <v>231</v>
      </c>
      <c r="M136" s="49" t="s">
        <v>232</v>
      </c>
      <c r="N136" s="39" t="s">
        <v>233</v>
      </c>
      <c r="O136" s="96" t="s">
        <v>234</v>
      </c>
      <c r="P136" s="49" t="s">
        <v>235</v>
      </c>
      <c r="Q136" s="96" t="s">
        <v>236</v>
      </c>
      <c r="R136" s="52">
        <v>24.9</v>
      </c>
      <c r="S136" s="52">
        <f>R136-T136</f>
        <v>20.578512396694215</v>
      </c>
      <c r="T136" s="52">
        <f>R136*U136/(U136+100)</f>
        <v>4.321487603305785</v>
      </c>
      <c r="U136" s="50">
        <v>21</v>
      </c>
      <c r="V136" s="53">
        <v>0</v>
      </c>
      <c r="W136" s="147">
        <v>1</v>
      </c>
      <c r="X136" s="148" t="s">
        <v>163</v>
      </c>
      <c r="Y136" s="54">
        <f>R136*W136</f>
        <v>24.9</v>
      </c>
      <c r="Z136" s="52">
        <f>S136*W136</f>
        <v>20.578512396694215</v>
      </c>
      <c r="AA136" s="52">
        <f>T136*W136</f>
        <v>4.321487603305785</v>
      </c>
      <c r="AB136" s="52">
        <f>V136*W136</f>
        <v>0</v>
      </c>
      <c r="AC136" s="53">
        <f>(R136+V136)*W136</f>
        <v>24.9</v>
      </c>
      <c r="AD136" s="138">
        <v>24.9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46132</v>
      </c>
      <c r="H137" s="98">
        <v>0.6560185185185186</v>
      </c>
      <c r="I137" s="50">
        <v>161000375</v>
      </c>
      <c r="J137" s="96" t="s">
        <v>157</v>
      </c>
      <c r="K137" s="49" t="s">
        <v>622</v>
      </c>
      <c r="L137" s="39" t="s">
        <v>623</v>
      </c>
      <c r="M137" s="49" t="s">
        <v>190</v>
      </c>
      <c r="N137" s="39" t="s">
        <v>191</v>
      </c>
      <c r="O137" s="96" t="s">
        <v>624</v>
      </c>
      <c r="P137" s="49" t="s">
        <v>157</v>
      </c>
      <c r="Q137" s="96" t="s">
        <v>104</v>
      </c>
      <c r="R137" s="52">
        <v>17.9</v>
      </c>
      <c r="S137" s="52">
        <f>R137-T137</f>
        <v>15.982142857142856</v>
      </c>
      <c r="T137" s="52">
        <f>R137*U137/(U137+100)</f>
        <v>1.9178571428571427</v>
      </c>
      <c r="U137" s="50">
        <v>12</v>
      </c>
      <c r="V137" s="53">
        <v>0</v>
      </c>
      <c r="W137" s="147">
        <v>0.238</v>
      </c>
      <c r="X137" s="148" t="s">
        <v>193</v>
      </c>
      <c r="Y137" s="54">
        <f>R137*W137</f>
        <v>4.260199999999999</v>
      </c>
      <c r="Z137" s="52">
        <f>S137*W137</f>
        <v>3.8037499999999995</v>
      </c>
      <c r="AA137" s="52">
        <f>T137*W137</f>
        <v>0.45644999999999997</v>
      </c>
      <c r="AB137" s="52">
        <f>V137*W137</f>
        <v>0</v>
      </c>
      <c r="AC137" s="53">
        <f>(R137+V137)*W137</f>
        <v>4.260199999999999</v>
      </c>
      <c r="AD137" s="138">
        <v>17.9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46132</v>
      </c>
      <c r="H138" s="98">
        <v>0.6560185185185186</v>
      </c>
      <c r="I138" s="50">
        <v>161000375</v>
      </c>
      <c r="J138" s="96" t="s">
        <v>157</v>
      </c>
      <c r="K138" s="49" t="s">
        <v>625</v>
      </c>
      <c r="L138" s="39" t="s">
        <v>626</v>
      </c>
      <c r="M138" s="49" t="s">
        <v>190</v>
      </c>
      <c r="N138" s="39" t="s">
        <v>191</v>
      </c>
      <c r="O138" s="96" t="s">
        <v>627</v>
      </c>
      <c r="P138" s="49" t="s">
        <v>157</v>
      </c>
      <c r="Q138" s="96" t="s">
        <v>104</v>
      </c>
      <c r="R138" s="52">
        <v>134.9</v>
      </c>
      <c r="S138" s="52">
        <f>R138-T138</f>
        <v>120.44642857142857</v>
      </c>
      <c r="T138" s="52">
        <f>R138*U138/(U138+100)</f>
        <v>14.453571428571431</v>
      </c>
      <c r="U138" s="50">
        <v>12</v>
      </c>
      <c r="V138" s="53">
        <v>0</v>
      </c>
      <c r="W138" s="147">
        <v>0.074</v>
      </c>
      <c r="X138" s="148" t="s">
        <v>193</v>
      </c>
      <c r="Y138" s="54">
        <f>R138*W138</f>
        <v>9.9826</v>
      </c>
      <c r="Z138" s="52">
        <f>S138*W138</f>
        <v>8.913035714285714</v>
      </c>
      <c r="AA138" s="52">
        <f>T138*W138</f>
        <v>1.0695642857142857</v>
      </c>
      <c r="AB138" s="52">
        <f>V138*W138</f>
        <v>0</v>
      </c>
      <c r="AC138" s="53">
        <f>(R138+V138)*W138</f>
        <v>9.9826</v>
      </c>
      <c r="AD138" s="138">
        <v>134.9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46132</v>
      </c>
      <c r="H139" s="98">
        <v>0.6560185185185186</v>
      </c>
      <c r="I139" s="50">
        <v>161000375</v>
      </c>
      <c r="J139" s="96" t="s">
        <v>157</v>
      </c>
      <c r="K139" s="49" t="s">
        <v>416</v>
      </c>
      <c r="L139" s="39" t="s">
        <v>417</v>
      </c>
      <c r="M139" s="49" t="s">
        <v>214</v>
      </c>
      <c r="N139" s="39" t="s">
        <v>418</v>
      </c>
      <c r="O139" s="96" t="s">
        <v>419</v>
      </c>
      <c r="P139" s="49" t="s">
        <v>157</v>
      </c>
      <c r="Q139" s="96" t="s">
        <v>104</v>
      </c>
      <c r="R139" s="52">
        <v>19.9</v>
      </c>
      <c r="S139" s="52">
        <f>R139-T139</f>
        <v>17.767857142857142</v>
      </c>
      <c r="T139" s="52">
        <f>R139*U139/(U139+100)</f>
        <v>2.132142857142857</v>
      </c>
      <c r="U139" s="50">
        <v>12</v>
      </c>
      <c r="V139" s="53">
        <v>0</v>
      </c>
      <c r="W139" s="147">
        <v>2</v>
      </c>
      <c r="X139" s="148" t="s">
        <v>163</v>
      </c>
      <c r="Y139" s="54">
        <f>R139*W139</f>
        <v>39.8</v>
      </c>
      <c r="Z139" s="52">
        <f>S139*W139</f>
        <v>35.535714285714285</v>
      </c>
      <c r="AA139" s="52">
        <f>T139*W139</f>
        <v>4.264285714285714</v>
      </c>
      <c r="AB139" s="52">
        <f>V139*W139</f>
        <v>0</v>
      </c>
      <c r="AC139" s="53">
        <f>(R139+V139)*W139</f>
        <v>39.8</v>
      </c>
      <c r="AD139" s="138">
        <v>19.9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46132</v>
      </c>
      <c r="H140" s="98">
        <v>0.6560185185185186</v>
      </c>
      <c r="I140" s="50">
        <v>161000375</v>
      </c>
      <c r="J140" s="96" t="s">
        <v>157</v>
      </c>
      <c r="K140" s="49" t="s">
        <v>628</v>
      </c>
      <c r="L140" s="39" t="s">
        <v>629</v>
      </c>
      <c r="M140" s="49" t="s">
        <v>214</v>
      </c>
      <c r="N140" s="39" t="s">
        <v>296</v>
      </c>
      <c r="O140" s="96" t="s">
        <v>630</v>
      </c>
      <c r="P140" s="49" t="s">
        <v>157</v>
      </c>
      <c r="Q140" s="96" t="s">
        <v>104</v>
      </c>
      <c r="R140" s="52">
        <v>9.9</v>
      </c>
      <c r="S140" s="52">
        <f>R140-T140</f>
        <v>8.839285714285715</v>
      </c>
      <c r="T140" s="52">
        <f>R140*U140/(U140+100)</f>
        <v>1.0607142857142857</v>
      </c>
      <c r="U140" s="50">
        <v>12</v>
      </c>
      <c r="V140" s="53">
        <v>0</v>
      </c>
      <c r="W140" s="147">
        <v>1</v>
      </c>
      <c r="X140" s="148" t="s">
        <v>163</v>
      </c>
      <c r="Y140" s="54">
        <f>R140*W140</f>
        <v>9.9</v>
      </c>
      <c r="Z140" s="52">
        <f>S140*W140</f>
        <v>8.839285714285715</v>
      </c>
      <c r="AA140" s="52">
        <f>T140*W140</f>
        <v>1.0607142857142857</v>
      </c>
      <c r="AB140" s="52">
        <f>V140*W140</f>
        <v>0</v>
      </c>
      <c r="AC140" s="53">
        <f>(R140+V140)*W140</f>
        <v>9.9</v>
      </c>
      <c r="AD140" s="138">
        <v>9.9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46132</v>
      </c>
      <c r="H141" s="98">
        <v>0.6560185185185186</v>
      </c>
      <c r="I141" s="50">
        <v>161000375</v>
      </c>
      <c r="J141" s="96" t="s">
        <v>157</v>
      </c>
      <c r="K141" s="49" t="s">
        <v>293</v>
      </c>
      <c r="L141" s="39" t="s">
        <v>294</v>
      </c>
      <c r="M141" s="49" t="s">
        <v>295</v>
      </c>
      <c r="N141" s="39" t="s">
        <v>296</v>
      </c>
      <c r="O141" s="96" t="s">
        <v>297</v>
      </c>
      <c r="P141" s="49" t="s">
        <v>157</v>
      </c>
      <c r="Q141" s="96" t="s">
        <v>104</v>
      </c>
      <c r="R141" s="52">
        <v>2.9</v>
      </c>
      <c r="S141" s="52">
        <f>R141-T141</f>
        <v>2.5892857142857144</v>
      </c>
      <c r="T141" s="52">
        <f>R141*U141/(U141+100)</f>
        <v>0.31071428571428567</v>
      </c>
      <c r="U141" s="50">
        <v>12</v>
      </c>
      <c r="V141" s="53">
        <v>0</v>
      </c>
      <c r="W141" s="147">
        <v>1</v>
      </c>
      <c r="X141" s="148" t="s">
        <v>163</v>
      </c>
      <c r="Y141" s="54">
        <f>R141*W141</f>
        <v>2.9</v>
      </c>
      <c r="Z141" s="52">
        <f>S141*W141</f>
        <v>2.5892857142857144</v>
      </c>
      <c r="AA141" s="52">
        <f>T141*W141</f>
        <v>0.31071428571428567</v>
      </c>
      <c r="AB141" s="52">
        <f>V141*W141</f>
        <v>0</v>
      </c>
      <c r="AC141" s="53">
        <f>(R141+V141)*W141</f>
        <v>2.9</v>
      </c>
      <c r="AD141" s="138">
        <v>2.9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46132</v>
      </c>
      <c r="H142" s="98">
        <v>0.6582060185185186</v>
      </c>
      <c r="I142" s="50">
        <v>161000376</v>
      </c>
      <c r="J142" s="96" t="s">
        <v>157</v>
      </c>
      <c r="K142" s="49" t="s">
        <v>530</v>
      </c>
      <c r="L142" s="39" t="s">
        <v>531</v>
      </c>
      <c r="M142" s="49" t="s">
        <v>190</v>
      </c>
      <c r="N142" s="39" t="s">
        <v>532</v>
      </c>
      <c r="O142" s="96" t="s">
        <v>533</v>
      </c>
      <c r="P142" s="49" t="s">
        <v>157</v>
      </c>
      <c r="Q142" s="96" t="s">
        <v>104</v>
      </c>
      <c r="R142" s="52">
        <v>25.9</v>
      </c>
      <c r="S142" s="52">
        <f>R142-T142</f>
        <v>23.125</v>
      </c>
      <c r="T142" s="52">
        <f>R142*U142/(U142+100)</f>
        <v>2.7749999999999995</v>
      </c>
      <c r="U142" s="50">
        <v>12</v>
      </c>
      <c r="V142" s="53">
        <v>0</v>
      </c>
      <c r="W142" s="147">
        <v>1.838</v>
      </c>
      <c r="X142" s="148" t="s">
        <v>193</v>
      </c>
      <c r="Y142" s="54">
        <f>R142*W142</f>
        <v>47.6042</v>
      </c>
      <c r="Z142" s="52">
        <f>S142*W142</f>
        <v>42.503750000000004</v>
      </c>
      <c r="AA142" s="52">
        <f>T142*W142</f>
        <v>5.1004499999999995</v>
      </c>
      <c r="AB142" s="52">
        <f>V142*W142</f>
        <v>0</v>
      </c>
      <c r="AC142" s="53">
        <f>(R142+V142)*W142</f>
        <v>47.6042</v>
      </c>
      <c r="AD142" s="138">
        <v>25.9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46132</v>
      </c>
      <c r="H143" s="98">
        <v>0.6671064814814814</v>
      </c>
      <c r="I143" s="50">
        <v>161000377</v>
      </c>
      <c r="J143" s="96" t="s">
        <v>157</v>
      </c>
      <c r="K143" s="49" t="s">
        <v>631</v>
      </c>
      <c r="L143" s="39" t="s">
        <v>632</v>
      </c>
      <c r="M143" s="49" t="s">
        <v>190</v>
      </c>
      <c r="N143" s="39" t="s">
        <v>191</v>
      </c>
      <c r="O143" s="96" t="s">
        <v>633</v>
      </c>
      <c r="P143" s="49" t="s">
        <v>157</v>
      </c>
      <c r="Q143" s="96" t="s">
        <v>104</v>
      </c>
      <c r="R143" s="52">
        <v>56.9</v>
      </c>
      <c r="S143" s="52">
        <f>R143-T143</f>
        <v>50.80357142857143</v>
      </c>
      <c r="T143" s="52">
        <f>R143*U143/(U143+100)</f>
        <v>6.096428571428571</v>
      </c>
      <c r="U143" s="50">
        <v>12</v>
      </c>
      <c r="V143" s="53">
        <v>0</v>
      </c>
      <c r="W143" s="147">
        <v>0.324</v>
      </c>
      <c r="X143" s="148" t="s">
        <v>193</v>
      </c>
      <c r="Y143" s="54">
        <f>R143*W143</f>
        <v>18.4356</v>
      </c>
      <c r="Z143" s="52">
        <f>S143*W143</f>
        <v>16.460357142857145</v>
      </c>
      <c r="AA143" s="52">
        <f>T143*W143</f>
        <v>1.9752428571428569</v>
      </c>
      <c r="AB143" s="52">
        <f>V143*W143</f>
        <v>0</v>
      </c>
      <c r="AC143" s="53">
        <f>(R143+V143)*W143</f>
        <v>18.4356</v>
      </c>
      <c r="AD143" s="138">
        <v>56.9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46132</v>
      </c>
      <c r="H144" s="98">
        <v>0.6888541666666667</v>
      </c>
      <c r="I144" s="50">
        <v>161000378</v>
      </c>
      <c r="J144" s="96" t="s">
        <v>157</v>
      </c>
      <c r="K144" s="49" t="s">
        <v>634</v>
      </c>
      <c r="L144" s="39" t="s">
        <v>635</v>
      </c>
      <c r="M144" s="49" t="s">
        <v>636</v>
      </c>
      <c r="N144" s="39" t="s">
        <v>244</v>
      </c>
      <c r="O144" s="96" t="s">
        <v>637</v>
      </c>
      <c r="P144" s="49" t="s">
        <v>157</v>
      </c>
      <c r="Q144" s="96" t="s">
        <v>104</v>
      </c>
      <c r="R144" s="52">
        <v>14.4</v>
      </c>
      <c r="S144" s="52">
        <f>R144-T144</f>
        <v>12.857142857142858</v>
      </c>
      <c r="T144" s="52">
        <f>R144*U144/(U144+100)</f>
        <v>1.542857142857143</v>
      </c>
      <c r="U144" s="50">
        <v>12</v>
      </c>
      <c r="V144" s="53">
        <v>0</v>
      </c>
      <c r="W144" s="147">
        <v>1</v>
      </c>
      <c r="X144" s="148" t="s">
        <v>163</v>
      </c>
      <c r="Y144" s="54">
        <f>R144*W144</f>
        <v>14.4</v>
      </c>
      <c r="Z144" s="52">
        <f>S144*W144</f>
        <v>12.857142857142858</v>
      </c>
      <c r="AA144" s="52">
        <f>T144*W144</f>
        <v>1.542857142857143</v>
      </c>
      <c r="AB144" s="52">
        <f>V144*W144</f>
        <v>0</v>
      </c>
      <c r="AC144" s="53">
        <f>(R144+V144)*W144</f>
        <v>14.4</v>
      </c>
      <c r="AD144" s="138">
        <v>14.4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46132</v>
      </c>
      <c r="H145" s="98">
        <v>0.6888541666666667</v>
      </c>
      <c r="I145" s="50">
        <v>161000378</v>
      </c>
      <c r="J145" s="96" t="s">
        <v>157</v>
      </c>
      <c r="K145" s="49" t="s">
        <v>638</v>
      </c>
      <c r="L145" s="39" t="s">
        <v>639</v>
      </c>
      <c r="M145" s="49" t="s">
        <v>640</v>
      </c>
      <c r="N145" s="39" t="s">
        <v>641</v>
      </c>
      <c r="O145" s="96" t="s">
        <v>642</v>
      </c>
      <c r="P145" s="49" t="s">
        <v>157</v>
      </c>
      <c r="Q145" s="96" t="s">
        <v>104</v>
      </c>
      <c r="R145" s="52">
        <v>13.9</v>
      </c>
      <c r="S145" s="52">
        <f>R145-T145</f>
        <v>12.410714285714286</v>
      </c>
      <c r="T145" s="52">
        <f>R145*U145/(U145+100)</f>
        <v>1.4892857142857143</v>
      </c>
      <c r="U145" s="50">
        <v>12</v>
      </c>
      <c r="V145" s="53">
        <v>0</v>
      </c>
      <c r="W145" s="147">
        <v>1</v>
      </c>
      <c r="X145" s="148" t="s">
        <v>163</v>
      </c>
      <c r="Y145" s="54">
        <f>R145*W145</f>
        <v>13.9</v>
      </c>
      <c r="Z145" s="52">
        <f>S145*W145</f>
        <v>12.410714285714286</v>
      </c>
      <c r="AA145" s="52">
        <f>T145*W145</f>
        <v>1.4892857142857143</v>
      </c>
      <c r="AB145" s="52">
        <f>V145*W145</f>
        <v>0</v>
      </c>
      <c r="AC145" s="53">
        <f>(R145+V145)*W145</f>
        <v>13.9</v>
      </c>
      <c r="AD145" s="138">
        <v>13.9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46132</v>
      </c>
      <c r="H146" s="98">
        <v>0.6888541666666667</v>
      </c>
      <c r="I146" s="50">
        <v>161000378</v>
      </c>
      <c r="J146" s="96" t="s">
        <v>157</v>
      </c>
      <c r="K146" s="49" t="s">
        <v>643</v>
      </c>
      <c r="L146" s="39" t="s">
        <v>644</v>
      </c>
      <c r="M146" s="49" t="s">
        <v>645</v>
      </c>
      <c r="N146" s="39" t="s">
        <v>319</v>
      </c>
      <c r="O146" s="96" t="s">
        <v>646</v>
      </c>
      <c r="P146" s="49" t="s">
        <v>157</v>
      </c>
      <c r="Q146" s="96" t="s">
        <v>104</v>
      </c>
      <c r="R146" s="52">
        <v>23.9</v>
      </c>
      <c r="S146" s="52">
        <f>R146-T146</f>
        <v>21.33928571428571</v>
      </c>
      <c r="T146" s="52">
        <f>R146*U146/(U146+100)</f>
        <v>2.5607142857142855</v>
      </c>
      <c r="U146" s="50">
        <v>12</v>
      </c>
      <c r="V146" s="53">
        <v>0</v>
      </c>
      <c r="W146" s="147">
        <v>1</v>
      </c>
      <c r="X146" s="148" t="s">
        <v>163</v>
      </c>
      <c r="Y146" s="54">
        <f>R146*W146</f>
        <v>23.9</v>
      </c>
      <c r="Z146" s="52">
        <f>S146*W146</f>
        <v>21.33928571428571</v>
      </c>
      <c r="AA146" s="52">
        <f>T146*W146</f>
        <v>2.5607142857142855</v>
      </c>
      <c r="AB146" s="52">
        <f>V146*W146</f>
        <v>0</v>
      </c>
      <c r="AC146" s="53">
        <f>(R146+V146)*W146</f>
        <v>23.9</v>
      </c>
      <c r="AD146" s="138">
        <v>23.9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46132</v>
      </c>
      <c r="H147" s="98">
        <v>0.6888541666666667</v>
      </c>
      <c r="I147" s="50">
        <v>161000378</v>
      </c>
      <c r="J147" s="96" t="s">
        <v>157</v>
      </c>
      <c r="K147" s="49" t="s">
        <v>647</v>
      </c>
      <c r="L147" s="39" t="s">
        <v>648</v>
      </c>
      <c r="M147" s="49" t="s">
        <v>649</v>
      </c>
      <c r="N147" s="39" t="s">
        <v>440</v>
      </c>
      <c r="O147" s="96" t="s">
        <v>650</v>
      </c>
      <c r="P147" s="49" t="s">
        <v>157</v>
      </c>
      <c r="Q147" s="96" t="s">
        <v>104</v>
      </c>
      <c r="R147" s="52">
        <v>257.9</v>
      </c>
      <c r="S147" s="52">
        <f>R147-T147</f>
        <v>230.2678571428571</v>
      </c>
      <c r="T147" s="52">
        <f>R147*U147/(U147+100)</f>
        <v>27.632142857142856</v>
      </c>
      <c r="U147" s="50">
        <v>12</v>
      </c>
      <c r="V147" s="53">
        <v>0</v>
      </c>
      <c r="W147" s="147">
        <v>0.152</v>
      </c>
      <c r="X147" s="148" t="s">
        <v>193</v>
      </c>
      <c r="Y147" s="54">
        <f>R147*W147</f>
        <v>39.200799999999994</v>
      </c>
      <c r="Z147" s="52">
        <f>S147*W147</f>
        <v>35.00071428571428</v>
      </c>
      <c r="AA147" s="52">
        <f>T147*W147</f>
        <v>4.200085714285714</v>
      </c>
      <c r="AB147" s="52">
        <f>V147*W147</f>
        <v>0</v>
      </c>
      <c r="AC147" s="53">
        <f>(R147+V147)*W147</f>
        <v>39.200799999999994</v>
      </c>
      <c r="AD147" s="138">
        <v>257.9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46132</v>
      </c>
      <c r="H148" s="98">
        <v>0.6888541666666667</v>
      </c>
      <c r="I148" s="50">
        <v>161000378</v>
      </c>
      <c r="J148" s="96" t="s">
        <v>157</v>
      </c>
      <c r="K148" s="49" t="s">
        <v>651</v>
      </c>
      <c r="L148" s="39" t="s">
        <v>652</v>
      </c>
      <c r="M148" s="49" t="s">
        <v>185</v>
      </c>
      <c r="N148" s="39" t="s">
        <v>653</v>
      </c>
      <c r="O148" s="96" t="s">
        <v>654</v>
      </c>
      <c r="P148" s="49" t="s">
        <v>157</v>
      </c>
      <c r="Q148" s="96" t="s">
        <v>104</v>
      </c>
      <c r="R148" s="52">
        <v>69.9</v>
      </c>
      <c r="S148" s="52">
        <f>R148-T148</f>
        <v>57.76859504132232</v>
      </c>
      <c r="T148" s="52">
        <f>R148*U148/(U148+100)</f>
        <v>12.131404958677686</v>
      </c>
      <c r="U148" s="50">
        <v>21</v>
      </c>
      <c r="V148" s="53">
        <v>0</v>
      </c>
      <c r="W148" s="147">
        <v>1</v>
      </c>
      <c r="X148" s="148" t="s">
        <v>163</v>
      </c>
      <c r="Y148" s="54">
        <f>R148*W148</f>
        <v>69.9</v>
      </c>
      <c r="Z148" s="52">
        <f>S148*W148</f>
        <v>57.76859504132232</v>
      </c>
      <c r="AA148" s="52">
        <f>T148*W148</f>
        <v>12.131404958677686</v>
      </c>
      <c r="AB148" s="52">
        <f>V148*W148</f>
        <v>0</v>
      </c>
      <c r="AC148" s="53">
        <f>(R148+V148)*W148</f>
        <v>69.9</v>
      </c>
      <c r="AD148" s="138">
        <v>69.9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46132</v>
      </c>
      <c r="H149" s="98">
        <v>0.6888541666666667</v>
      </c>
      <c r="I149" s="50">
        <v>161000378</v>
      </c>
      <c r="J149" s="96" t="s">
        <v>157</v>
      </c>
      <c r="K149" s="49" t="s">
        <v>655</v>
      </c>
      <c r="L149" s="39" t="s">
        <v>656</v>
      </c>
      <c r="M149" s="49" t="s">
        <v>190</v>
      </c>
      <c r="N149" s="39" t="s">
        <v>532</v>
      </c>
      <c r="O149" s="96" t="s">
        <v>657</v>
      </c>
      <c r="P149" s="49" t="s">
        <v>157</v>
      </c>
      <c r="Q149" s="96" t="s">
        <v>104</v>
      </c>
      <c r="R149" s="52">
        <v>35.9</v>
      </c>
      <c r="S149" s="52">
        <f>R149-T149</f>
        <v>32.05357142857143</v>
      </c>
      <c r="T149" s="52">
        <f>R149*U149/(U149+100)</f>
        <v>3.846428571428571</v>
      </c>
      <c r="U149" s="50">
        <v>12</v>
      </c>
      <c r="V149" s="53">
        <v>0</v>
      </c>
      <c r="W149" s="147">
        <v>0.634</v>
      </c>
      <c r="X149" s="148" t="s">
        <v>193</v>
      </c>
      <c r="Y149" s="54">
        <f>R149*W149</f>
        <v>22.7606</v>
      </c>
      <c r="Z149" s="52">
        <f>S149*W149</f>
        <v>20.321964285714287</v>
      </c>
      <c r="AA149" s="52">
        <f>T149*W149</f>
        <v>2.4386357142857142</v>
      </c>
      <c r="AB149" s="52">
        <f>V149*W149</f>
        <v>0</v>
      </c>
      <c r="AC149" s="53">
        <f>(R149+V149)*W149</f>
        <v>22.7606</v>
      </c>
      <c r="AD149" s="138">
        <v>35.9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46132</v>
      </c>
      <c r="H150" s="98">
        <v>0.6888541666666667</v>
      </c>
      <c r="I150" s="50">
        <v>161000378</v>
      </c>
      <c r="J150" s="96" t="s">
        <v>157</v>
      </c>
      <c r="K150" s="49" t="s">
        <v>658</v>
      </c>
      <c r="L150" s="39" t="s">
        <v>104</v>
      </c>
      <c r="M150" s="49" t="s">
        <v>190</v>
      </c>
      <c r="N150" s="39" t="s">
        <v>462</v>
      </c>
      <c r="O150" s="96" t="s">
        <v>659</v>
      </c>
      <c r="P150" s="49" t="s">
        <v>157</v>
      </c>
      <c r="Q150" s="96" t="s">
        <v>104</v>
      </c>
      <c r="R150" s="52">
        <v>13.9</v>
      </c>
      <c r="S150" s="52">
        <f>R150-T150</f>
        <v>12.410714285714286</v>
      </c>
      <c r="T150" s="52">
        <f>R150*U150/(U150+100)</f>
        <v>1.4892857142857143</v>
      </c>
      <c r="U150" s="50">
        <v>12</v>
      </c>
      <c r="V150" s="53">
        <v>0</v>
      </c>
      <c r="W150" s="147">
        <v>1</v>
      </c>
      <c r="X150" s="148" t="s">
        <v>163</v>
      </c>
      <c r="Y150" s="54">
        <f>R150*W150</f>
        <v>13.9</v>
      </c>
      <c r="Z150" s="52">
        <f>S150*W150</f>
        <v>12.410714285714286</v>
      </c>
      <c r="AA150" s="52">
        <f>T150*W150</f>
        <v>1.4892857142857143</v>
      </c>
      <c r="AB150" s="52">
        <f>V150*W150</f>
        <v>0</v>
      </c>
      <c r="AC150" s="53">
        <f>(R150+V150)*W150</f>
        <v>13.9</v>
      </c>
      <c r="AD150" s="138">
        <v>13.9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46132</v>
      </c>
      <c r="H151" s="98">
        <v>0.6937037037037037</v>
      </c>
      <c r="I151" s="50">
        <v>161000379</v>
      </c>
      <c r="J151" s="96" t="s">
        <v>157</v>
      </c>
      <c r="K151" s="49" t="s">
        <v>660</v>
      </c>
      <c r="L151" s="39" t="s">
        <v>661</v>
      </c>
      <c r="M151" s="49" t="s">
        <v>196</v>
      </c>
      <c r="N151" s="39" t="s">
        <v>197</v>
      </c>
      <c r="O151" s="96" t="s">
        <v>662</v>
      </c>
      <c r="P151" s="49" t="s">
        <v>157</v>
      </c>
      <c r="Q151" s="96" t="s">
        <v>104</v>
      </c>
      <c r="R151" s="52">
        <v>6.9</v>
      </c>
      <c r="S151" s="52">
        <f>R151-T151</f>
        <v>6.160714285714286</v>
      </c>
      <c r="T151" s="52">
        <f>R151*U151/(U151+100)</f>
        <v>0.7392857142857144</v>
      </c>
      <c r="U151" s="50">
        <v>12</v>
      </c>
      <c r="V151" s="53">
        <v>0</v>
      </c>
      <c r="W151" s="147">
        <v>2</v>
      </c>
      <c r="X151" s="148" t="s">
        <v>163</v>
      </c>
      <c r="Y151" s="54">
        <f>R151*W151</f>
        <v>13.8</v>
      </c>
      <c r="Z151" s="52">
        <f>S151*W151</f>
        <v>12.321428571428571</v>
      </c>
      <c r="AA151" s="52">
        <f>T151*W151</f>
        <v>1.4785714285714289</v>
      </c>
      <c r="AB151" s="52">
        <f>V151*W151</f>
        <v>0</v>
      </c>
      <c r="AC151" s="53">
        <f>(R151+V151)*W151</f>
        <v>13.8</v>
      </c>
      <c r="AD151" s="138">
        <v>6.9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46132</v>
      </c>
      <c r="H152" s="98">
        <v>0.6937037037037037</v>
      </c>
      <c r="I152" s="50">
        <v>161000379</v>
      </c>
      <c r="J152" s="96" t="s">
        <v>157</v>
      </c>
      <c r="K152" s="49" t="s">
        <v>663</v>
      </c>
      <c r="L152" s="39" t="s">
        <v>664</v>
      </c>
      <c r="M152" s="49" t="s">
        <v>196</v>
      </c>
      <c r="N152" s="39" t="s">
        <v>197</v>
      </c>
      <c r="O152" s="96" t="s">
        <v>665</v>
      </c>
      <c r="P152" s="49" t="s">
        <v>157</v>
      </c>
      <c r="Q152" s="96" t="s">
        <v>104</v>
      </c>
      <c r="R152" s="52">
        <v>6.9</v>
      </c>
      <c r="S152" s="52">
        <f>R152-T152</f>
        <v>6.160714285714286</v>
      </c>
      <c r="T152" s="52">
        <f>R152*U152/(U152+100)</f>
        <v>0.7392857142857144</v>
      </c>
      <c r="U152" s="50">
        <v>12</v>
      </c>
      <c r="V152" s="53">
        <v>0</v>
      </c>
      <c r="W152" s="147">
        <v>2</v>
      </c>
      <c r="X152" s="148" t="s">
        <v>163</v>
      </c>
      <c r="Y152" s="54">
        <f>R152*W152</f>
        <v>13.8</v>
      </c>
      <c r="Z152" s="52">
        <f>S152*W152</f>
        <v>12.321428571428571</v>
      </c>
      <c r="AA152" s="52">
        <f>T152*W152</f>
        <v>1.4785714285714289</v>
      </c>
      <c r="AB152" s="52">
        <f>V152*W152</f>
        <v>0</v>
      </c>
      <c r="AC152" s="53">
        <f>(R152+V152)*W152</f>
        <v>13.8</v>
      </c>
      <c r="AD152" s="138">
        <v>6.9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46132</v>
      </c>
      <c r="H153" s="98">
        <v>0.6937037037037037</v>
      </c>
      <c r="I153" s="50">
        <v>161000379</v>
      </c>
      <c r="J153" s="96" t="s">
        <v>157</v>
      </c>
      <c r="K153" s="49" t="s">
        <v>666</v>
      </c>
      <c r="L153" s="39" t="s">
        <v>667</v>
      </c>
      <c r="M153" s="49" t="s">
        <v>243</v>
      </c>
      <c r="N153" s="39" t="s">
        <v>244</v>
      </c>
      <c r="O153" s="96" t="s">
        <v>668</v>
      </c>
      <c r="P153" s="49" t="s">
        <v>235</v>
      </c>
      <c r="Q153" s="96" t="s">
        <v>236</v>
      </c>
      <c r="R153" s="52">
        <v>29.9</v>
      </c>
      <c r="S153" s="52">
        <f>R153-T153</f>
        <v>26.69642857142857</v>
      </c>
      <c r="T153" s="52">
        <f>R153*U153/(U153+100)</f>
        <v>3.2035714285714283</v>
      </c>
      <c r="U153" s="50">
        <v>12</v>
      </c>
      <c r="V153" s="53">
        <v>0</v>
      </c>
      <c r="W153" s="147">
        <v>1</v>
      </c>
      <c r="X153" s="148" t="s">
        <v>163</v>
      </c>
      <c r="Y153" s="54">
        <f>R153*W153</f>
        <v>29.9</v>
      </c>
      <c r="Z153" s="52">
        <f>S153*W153</f>
        <v>26.69642857142857</v>
      </c>
      <c r="AA153" s="52">
        <f>T153*W153</f>
        <v>3.2035714285714283</v>
      </c>
      <c r="AB153" s="52">
        <f>V153*W153</f>
        <v>0</v>
      </c>
      <c r="AC153" s="53">
        <f>(R153+V153)*W153</f>
        <v>29.9</v>
      </c>
      <c r="AD153" s="138">
        <v>29.9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46132</v>
      </c>
      <c r="H154" s="98">
        <v>0.6937037037037037</v>
      </c>
      <c r="I154" s="50">
        <v>161000379</v>
      </c>
      <c r="J154" s="96" t="s">
        <v>157</v>
      </c>
      <c r="K154" s="49" t="s">
        <v>669</v>
      </c>
      <c r="L154" s="39" t="s">
        <v>670</v>
      </c>
      <c r="M154" s="49" t="s">
        <v>671</v>
      </c>
      <c r="N154" s="39" t="s">
        <v>404</v>
      </c>
      <c r="O154" s="96" t="s">
        <v>672</v>
      </c>
      <c r="P154" s="49" t="s">
        <v>157</v>
      </c>
      <c r="Q154" s="96" t="s">
        <v>104</v>
      </c>
      <c r="R154" s="52">
        <v>7.4</v>
      </c>
      <c r="S154" s="52">
        <f>R154-T154</f>
        <v>6.607142857142858</v>
      </c>
      <c r="T154" s="52">
        <f>R154*U154/(U154+100)</f>
        <v>0.7928571428571429</v>
      </c>
      <c r="U154" s="50">
        <v>12</v>
      </c>
      <c r="V154" s="53">
        <v>0</v>
      </c>
      <c r="W154" s="147">
        <v>2</v>
      </c>
      <c r="X154" s="148" t="s">
        <v>163</v>
      </c>
      <c r="Y154" s="54">
        <f>R154*W154</f>
        <v>14.8</v>
      </c>
      <c r="Z154" s="52">
        <f>S154*W154</f>
        <v>13.214285714285715</v>
      </c>
      <c r="AA154" s="52">
        <f>T154*W154</f>
        <v>1.5857142857142859</v>
      </c>
      <c r="AB154" s="52">
        <f>V154*W154</f>
        <v>0</v>
      </c>
      <c r="AC154" s="53">
        <f>(R154+V154)*W154</f>
        <v>14.8</v>
      </c>
      <c r="AD154" s="138">
        <v>7.4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46132</v>
      </c>
      <c r="H155" s="98">
        <v>0.6937037037037037</v>
      </c>
      <c r="I155" s="50">
        <v>161000379</v>
      </c>
      <c r="J155" s="96" t="s">
        <v>157</v>
      </c>
      <c r="K155" s="49" t="s">
        <v>673</v>
      </c>
      <c r="L155" s="39" t="s">
        <v>674</v>
      </c>
      <c r="M155" s="49" t="s">
        <v>384</v>
      </c>
      <c r="N155" s="39" t="s">
        <v>414</v>
      </c>
      <c r="O155" s="96" t="s">
        <v>675</v>
      </c>
      <c r="P155" s="49" t="s">
        <v>157</v>
      </c>
      <c r="Q155" s="96" t="s">
        <v>104</v>
      </c>
      <c r="R155" s="52">
        <v>8.9</v>
      </c>
      <c r="S155" s="52">
        <f>R155-T155</f>
        <v>7.946428571428572</v>
      </c>
      <c r="T155" s="52">
        <f>R155*U155/(U155+100)</f>
        <v>0.9535714285714286</v>
      </c>
      <c r="U155" s="50">
        <v>12</v>
      </c>
      <c r="V155" s="53">
        <v>0</v>
      </c>
      <c r="W155" s="147">
        <v>2</v>
      </c>
      <c r="X155" s="148" t="s">
        <v>163</v>
      </c>
      <c r="Y155" s="54">
        <f>R155*W155</f>
        <v>17.8</v>
      </c>
      <c r="Z155" s="52">
        <f>S155*W155</f>
        <v>15.892857142857144</v>
      </c>
      <c r="AA155" s="52">
        <f>T155*W155</f>
        <v>1.9071428571428573</v>
      </c>
      <c r="AB155" s="52">
        <f>V155*W155</f>
        <v>0</v>
      </c>
      <c r="AC155" s="53">
        <f>(R155+V155)*W155</f>
        <v>17.8</v>
      </c>
      <c r="AD155" s="138">
        <v>8.9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46132</v>
      </c>
      <c r="H156" s="98">
        <v>0.6937037037037037</v>
      </c>
      <c r="I156" s="50">
        <v>161000379</v>
      </c>
      <c r="J156" s="96" t="s">
        <v>157</v>
      </c>
      <c r="K156" s="49" t="s">
        <v>250</v>
      </c>
      <c r="L156" s="39" t="s">
        <v>251</v>
      </c>
      <c r="M156" s="49" t="s">
        <v>209</v>
      </c>
      <c r="N156" s="39" t="s">
        <v>228</v>
      </c>
      <c r="O156" s="96" t="s">
        <v>252</v>
      </c>
      <c r="P156" s="49" t="s">
        <v>157</v>
      </c>
      <c r="Q156" s="96" t="s">
        <v>104</v>
      </c>
      <c r="R156" s="52">
        <v>27.9</v>
      </c>
      <c r="S156" s="52">
        <f>R156-T156</f>
        <v>24.910714285714285</v>
      </c>
      <c r="T156" s="52">
        <f>R156*U156/(U156+100)</f>
        <v>2.989285714285714</v>
      </c>
      <c r="U156" s="50">
        <v>12</v>
      </c>
      <c r="V156" s="53">
        <v>0</v>
      </c>
      <c r="W156" s="147">
        <v>2</v>
      </c>
      <c r="X156" s="148" t="s">
        <v>163</v>
      </c>
      <c r="Y156" s="54">
        <f>R156*W156</f>
        <v>55.8</v>
      </c>
      <c r="Z156" s="52">
        <f>S156*W156</f>
        <v>49.82142857142857</v>
      </c>
      <c r="AA156" s="52">
        <f>T156*W156</f>
        <v>5.978571428571428</v>
      </c>
      <c r="AB156" s="52">
        <f>V156*W156</f>
        <v>0</v>
      </c>
      <c r="AC156" s="53">
        <f>(R156+V156)*W156</f>
        <v>55.8</v>
      </c>
      <c r="AD156" s="138">
        <v>27.9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46132</v>
      </c>
      <c r="H157" s="98">
        <v>0.6937037037037037</v>
      </c>
      <c r="I157" s="50">
        <v>161000379</v>
      </c>
      <c r="J157" s="96" t="s">
        <v>157</v>
      </c>
      <c r="K157" s="49" t="s">
        <v>676</v>
      </c>
      <c r="L157" s="39" t="s">
        <v>677</v>
      </c>
      <c r="M157" s="49" t="s">
        <v>678</v>
      </c>
      <c r="N157" s="39" t="s">
        <v>319</v>
      </c>
      <c r="O157" s="96" t="s">
        <v>679</v>
      </c>
      <c r="P157" s="49" t="s">
        <v>157</v>
      </c>
      <c r="Q157" s="96" t="s">
        <v>104</v>
      </c>
      <c r="R157" s="52">
        <v>27.9</v>
      </c>
      <c r="S157" s="52">
        <f>R157-T157</f>
        <v>24.910714285714285</v>
      </c>
      <c r="T157" s="52">
        <f>R157*U157/(U157+100)</f>
        <v>2.989285714285714</v>
      </c>
      <c r="U157" s="50">
        <v>12</v>
      </c>
      <c r="V157" s="53">
        <v>0</v>
      </c>
      <c r="W157" s="147">
        <v>1</v>
      </c>
      <c r="X157" s="148" t="s">
        <v>163</v>
      </c>
      <c r="Y157" s="54">
        <f>R157*W157</f>
        <v>27.9</v>
      </c>
      <c r="Z157" s="52">
        <f>S157*W157</f>
        <v>24.910714285714285</v>
      </c>
      <c r="AA157" s="52">
        <f>T157*W157</f>
        <v>2.989285714285714</v>
      </c>
      <c r="AB157" s="52">
        <f>V157*W157</f>
        <v>0</v>
      </c>
      <c r="AC157" s="53">
        <f>(R157+V157)*W157</f>
        <v>27.9</v>
      </c>
      <c r="AD157" s="138">
        <v>27.9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46132</v>
      </c>
      <c r="H158" s="98">
        <v>0.6937037037037037</v>
      </c>
      <c r="I158" s="50">
        <v>161000379</v>
      </c>
      <c r="J158" s="96" t="s">
        <v>157</v>
      </c>
      <c r="K158" s="49" t="s">
        <v>680</v>
      </c>
      <c r="L158" s="39" t="s">
        <v>681</v>
      </c>
      <c r="M158" s="49" t="s">
        <v>190</v>
      </c>
      <c r="N158" s="39" t="s">
        <v>532</v>
      </c>
      <c r="O158" s="96" t="s">
        <v>682</v>
      </c>
      <c r="P158" s="49" t="s">
        <v>157</v>
      </c>
      <c r="Q158" s="96" t="s">
        <v>104</v>
      </c>
      <c r="R158" s="52">
        <v>24.9</v>
      </c>
      <c r="S158" s="52">
        <f>R158-T158</f>
        <v>22.232142857142858</v>
      </c>
      <c r="T158" s="52">
        <f>R158*U158/(U158+100)</f>
        <v>2.6678571428571423</v>
      </c>
      <c r="U158" s="50">
        <v>12</v>
      </c>
      <c r="V158" s="53">
        <v>0</v>
      </c>
      <c r="W158" s="147">
        <v>0.372</v>
      </c>
      <c r="X158" s="148" t="s">
        <v>193</v>
      </c>
      <c r="Y158" s="54">
        <f>R158*W158</f>
        <v>9.262799999999999</v>
      </c>
      <c r="Z158" s="52">
        <f>S158*W158</f>
        <v>8.270357142857144</v>
      </c>
      <c r="AA158" s="52">
        <f>T158*W158</f>
        <v>0.992442857142857</v>
      </c>
      <c r="AB158" s="52">
        <f>V158*W158</f>
        <v>0</v>
      </c>
      <c r="AC158" s="53">
        <f>(R158+V158)*W158</f>
        <v>9.262799999999999</v>
      </c>
      <c r="AD158" s="138">
        <v>24.9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46132</v>
      </c>
      <c r="H159" s="98">
        <v>0.6937037037037037</v>
      </c>
      <c r="I159" s="50">
        <v>161000379</v>
      </c>
      <c r="J159" s="96" t="s">
        <v>157</v>
      </c>
      <c r="K159" s="49" t="s">
        <v>683</v>
      </c>
      <c r="L159" s="39" t="s">
        <v>684</v>
      </c>
      <c r="M159" s="49" t="s">
        <v>190</v>
      </c>
      <c r="N159" s="39" t="s">
        <v>191</v>
      </c>
      <c r="O159" s="96" t="s">
        <v>685</v>
      </c>
      <c r="P159" s="49" t="s">
        <v>157</v>
      </c>
      <c r="Q159" s="96" t="s">
        <v>104</v>
      </c>
      <c r="R159" s="52">
        <v>105.9</v>
      </c>
      <c r="S159" s="52">
        <f>R159-T159</f>
        <v>94.55357142857143</v>
      </c>
      <c r="T159" s="52">
        <f>R159*U159/(U159+100)</f>
        <v>11.346428571428573</v>
      </c>
      <c r="U159" s="50">
        <v>12</v>
      </c>
      <c r="V159" s="53">
        <v>0</v>
      </c>
      <c r="W159" s="147">
        <v>0.572</v>
      </c>
      <c r="X159" s="148" t="s">
        <v>193</v>
      </c>
      <c r="Y159" s="54">
        <f>R159*W159</f>
        <v>60.574799999999996</v>
      </c>
      <c r="Z159" s="52">
        <f>S159*W159</f>
        <v>54.08464285714285</v>
      </c>
      <c r="AA159" s="52">
        <f>T159*W159</f>
        <v>6.490157142857143</v>
      </c>
      <c r="AB159" s="52">
        <f>V159*W159</f>
        <v>0</v>
      </c>
      <c r="AC159" s="53">
        <f>(R159+V159)*W159</f>
        <v>60.574799999999996</v>
      </c>
      <c r="AD159" s="138">
        <v>105.9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46132</v>
      </c>
      <c r="H160" s="98">
        <v>0.6937037037037037</v>
      </c>
      <c r="I160" s="50">
        <v>161000379</v>
      </c>
      <c r="J160" s="96" t="s">
        <v>157</v>
      </c>
      <c r="K160" s="49" t="s">
        <v>686</v>
      </c>
      <c r="L160" s="39" t="s">
        <v>687</v>
      </c>
      <c r="M160" s="49" t="s">
        <v>369</v>
      </c>
      <c r="N160" s="39" t="s">
        <v>688</v>
      </c>
      <c r="O160" s="96" t="s">
        <v>689</v>
      </c>
      <c r="P160" s="49" t="s">
        <v>157</v>
      </c>
      <c r="Q160" s="96" t="s">
        <v>104</v>
      </c>
      <c r="R160" s="52">
        <v>227.9</v>
      </c>
      <c r="S160" s="52">
        <f>R160-T160</f>
        <v>203.48214285714286</v>
      </c>
      <c r="T160" s="52">
        <f>R160*U160/(U160+100)</f>
        <v>24.417857142857144</v>
      </c>
      <c r="U160" s="50">
        <v>12</v>
      </c>
      <c r="V160" s="53">
        <v>0</v>
      </c>
      <c r="W160" s="147">
        <v>0.178</v>
      </c>
      <c r="X160" s="148" t="s">
        <v>193</v>
      </c>
      <c r="Y160" s="54">
        <f>R160*W160</f>
        <v>40.5662</v>
      </c>
      <c r="Z160" s="52">
        <f>S160*W160</f>
        <v>36.21982142857143</v>
      </c>
      <c r="AA160" s="52">
        <f>T160*W160</f>
        <v>4.346378571428572</v>
      </c>
      <c r="AB160" s="52">
        <f>V160*W160</f>
        <v>0</v>
      </c>
      <c r="AC160" s="53">
        <f>(R160+V160)*W160</f>
        <v>40.5662</v>
      </c>
      <c r="AD160" s="138">
        <v>227.9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46132</v>
      </c>
      <c r="H161" s="98">
        <v>0.6937037037037037</v>
      </c>
      <c r="I161" s="50">
        <v>161000379</v>
      </c>
      <c r="J161" s="96" t="s">
        <v>157</v>
      </c>
      <c r="K161" s="49" t="s">
        <v>690</v>
      </c>
      <c r="L161" s="39" t="s">
        <v>104</v>
      </c>
      <c r="M161" s="49" t="s">
        <v>554</v>
      </c>
      <c r="N161" s="39" t="s">
        <v>513</v>
      </c>
      <c r="O161" s="96" t="s">
        <v>691</v>
      </c>
      <c r="P161" s="49" t="s">
        <v>157</v>
      </c>
      <c r="Q161" s="96" t="s">
        <v>104</v>
      </c>
      <c r="R161" s="52">
        <v>39.9</v>
      </c>
      <c r="S161" s="52">
        <f>R161-T161</f>
        <v>35.625</v>
      </c>
      <c r="T161" s="52">
        <f>R161*U161/(U161+100)</f>
        <v>4.2749999999999995</v>
      </c>
      <c r="U161" s="50">
        <v>12</v>
      </c>
      <c r="V161" s="53">
        <v>0</v>
      </c>
      <c r="W161" s="147">
        <v>1</v>
      </c>
      <c r="X161" s="148" t="s">
        <v>163</v>
      </c>
      <c r="Y161" s="54">
        <f>R161*W161</f>
        <v>39.9</v>
      </c>
      <c r="Z161" s="52">
        <f>S161*W161</f>
        <v>35.625</v>
      </c>
      <c r="AA161" s="52">
        <f>T161*W161</f>
        <v>4.2749999999999995</v>
      </c>
      <c r="AB161" s="52">
        <f>V161*W161</f>
        <v>0</v>
      </c>
      <c r="AC161" s="53">
        <f>(R161+V161)*W161</f>
        <v>39.9</v>
      </c>
      <c r="AD161" s="138">
        <v>39.9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46132</v>
      </c>
      <c r="H162" s="98">
        <v>0.6977777777777778</v>
      </c>
      <c r="I162" s="50">
        <v>161000380</v>
      </c>
      <c r="J162" s="96" t="s">
        <v>157</v>
      </c>
      <c r="K162" s="49" t="s">
        <v>692</v>
      </c>
      <c r="L162" s="39" t="s">
        <v>693</v>
      </c>
      <c r="M162" s="49" t="s">
        <v>429</v>
      </c>
      <c r="N162" s="39" t="s">
        <v>348</v>
      </c>
      <c r="O162" s="96" t="s">
        <v>694</v>
      </c>
      <c r="P162" s="49" t="s">
        <v>235</v>
      </c>
      <c r="Q162" s="96" t="s">
        <v>236</v>
      </c>
      <c r="R162" s="52">
        <v>16.9</v>
      </c>
      <c r="S162" s="52">
        <f>R162-T162</f>
        <v>15.089285714285714</v>
      </c>
      <c r="T162" s="52">
        <f>R162*U162/(U162+100)</f>
        <v>1.8107142857142855</v>
      </c>
      <c r="U162" s="50">
        <v>12</v>
      </c>
      <c r="V162" s="53">
        <v>0</v>
      </c>
      <c r="W162" s="147">
        <v>1</v>
      </c>
      <c r="X162" s="148" t="s">
        <v>163</v>
      </c>
      <c r="Y162" s="54">
        <f>R162*W162</f>
        <v>16.9</v>
      </c>
      <c r="Z162" s="52">
        <f>S162*W162</f>
        <v>15.089285714285714</v>
      </c>
      <c r="AA162" s="52">
        <f>T162*W162</f>
        <v>1.8107142857142855</v>
      </c>
      <c r="AB162" s="52">
        <f>V162*W162</f>
        <v>0</v>
      </c>
      <c r="AC162" s="53">
        <f>(R162+V162)*W162</f>
        <v>16.9</v>
      </c>
      <c r="AD162" s="138">
        <v>16.9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105</v>
      </c>
      <c r="F163" s="96" t="s">
        <v>100</v>
      </c>
      <c r="G163" s="97">
        <v>46132</v>
      </c>
      <c r="H163" s="98">
        <v>0.6985416666666666</v>
      </c>
      <c r="I163" s="50">
        <v>161000381</v>
      </c>
      <c r="J163" s="96" t="s">
        <v>157</v>
      </c>
      <c r="K163" s="49" t="s">
        <v>695</v>
      </c>
      <c r="L163" s="39" t="s">
        <v>696</v>
      </c>
      <c r="M163" s="49" t="s">
        <v>166</v>
      </c>
      <c r="N163" s="39" t="s">
        <v>233</v>
      </c>
      <c r="O163" s="96" t="s">
        <v>697</v>
      </c>
      <c r="P163" s="49" t="s">
        <v>157</v>
      </c>
      <c r="Q163" s="96" t="s">
        <v>104</v>
      </c>
      <c r="R163" s="52">
        <v>22.9</v>
      </c>
      <c r="S163" s="52">
        <f>R163-T163</f>
        <v>18.925619834710744</v>
      </c>
      <c r="T163" s="52">
        <f>R163*U163/(U163+100)</f>
        <v>3.974380165289256</v>
      </c>
      <c r="U163" s="50">
        <v>21</v>
      </c>
      <c r="V163" s="53">
        <v>0</v>
      </c>
      <c r="W163" s="147">
        <v>1</v>
      </c>
      <c r="X163" s="148" t="s">
        <v>163</v>
      </c>
      <c r="Y163" s="54">
        <f>R163*W163</f>
        <v>22.9</v>
      </c>
      <c r="Z163" s="52">
        <f>S163*W163</f>
        <v>18.925619834710744</v>
      </c>
      <c r="AA163" s="52">
        <f>T163*W163</f>
        <v>3.974380165289256</v>
      </c>
      <c r="AB163" s="52">
        <f>V163*W163</f>
        <v>0</v>
      </c>
      <c r="AC163" s="53">
        <f>(R163+V163)*W163</f>
        <v>22.9</v>
      </c>
      <c r="AD163" s="138">
        <v>22.9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105</v>
      </c>
      <c r="F164" s="96" t="s">
        <v>100</v>
      </c>
      <c r="G164" s="97">
        <v>46132</v>
      </c>
      <c r="H164" s="98">
        <v>0.7023958333333333</v>
      </c>
      <c r="I164" s="50">
        <v>161000382</v>
      </c>
      <c r="J164" s="96" t="s">
        <v>157</v>
      </c>
      <c r="K164" s="49" t="s">
        <v>698</v>
      </c>
      <c r="L164" s="39" t="s">
        <v>699</v>
      </c>
      <c r="M164" s="49" t="s">
        <v>399</v>
      </c>
      <c r="N164" s="39" t="s">
        <v>167</v>
      </c>
      <c r="O164" s="96" t="s">
        <v>700</v>
      </c>
      <c r="P164" s="49" t="s">
        <v>157</v>
      </c>
      <c r="Q164" s="96" t="s">
        <v>104</v>
      </c>
      <c r="R164" s="52">
        <v>22.9</v>
      </c>
      <c r="S164" s="52">
        <f>R164-T164</f>
        <v>18.925619834710744</v>
      </c>
      <c r="T164" s="52">
        <f>R164*U164/(U164+100)</f>
        <v>3.974380165289256</v>
      </c>
      <c r="U164" s="50">
        <v>21</v>
      </c>
      <c r="V164" s="53">
        <v>0</v>
      </c>
      <c r="W164" s="147">
        <v>1</v>
      </c>
      <c r="X164" s="148" t="s">
        <v>163</v>
      </c>
      <c r="Y164" s="54">
        <f>R164*W164</f>
        <v>22.9</v>
      </c>
      <c r="Z164" s="52">
        <f>S164*W164</f>
        <v>18.925619834710744</v>
      </c>
      <c r="AA164" s="52">
        <f>T164*W164</f>
        <v>3.974380165289256</v>
      </c>
      <c r="AB164" s="52">
        <f>V164*W164</f>
        <v>0</v>
      </c>
      <c r="AC164" s="53">
        <f>(R164+V164)*W164</f>
        <v>22.9</v>
      </c>
      <c r="AD164" s="138">
        <v>22.9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105</v>
      </c>
      <c r="F165" s="96" t="s">
        <v>100</v>
      </c>
      <c r="G165" s="97">
        <v>46132</v>
      </c>
      <c r="H165" s="98">
        <v>0.7055092592592592</v>
      </c>
      <c r="I165" s="50">
        <v>161000383</v>
      </c>
      <c r="J165" s="96" t="s">
        <v>157</v>
      </c>
      <c r="K165" s="49" t="s">
        <v>701</v>
      </c>
      <c r="L165" s="39" t="s">
        <v>702</v>
      </c>
      <c r="M165" s="49" t="s">
        <v>185</v>
      </c>
      <c r="N165" s="39" t="s">
        <v>404</v>
      </c>
      <c r="O165" s="96" t="s">
        <v>703</v>
      </c>
      <c r="P165" s="49" t="s">
        <v>157</v>
      </c>
      <c r="Q165" s="96" t="s">
        <v>104</v>
      </c>
      <c r="R165" s="52">
        <v>13.9</v>
      </c>
      <c r="S165" s="52">
        <f>R165-T165</f>
        <v>12.410714285714286</v>
      </c>
      <c r="T165" s="52">
        <f>R165*U165/(U165+100)</f>
        <v>1.4892857142857143</v>
      </c>
      <c r="U165" s="50">
        <v>12</v>
      </c>
      <c r="V165" s="53">
        <v>0</v>
      </c>
      <c r="W165" s="147">
        <v>1</v>
      </c>
      <c r="X165" s="148" t="s">
        <v>163</v>
      </c>
      <c r="Y165" s="54">
        <f>R165*W165</f>
        <v>13.9</v>
      </c>
      <c r="Z165" s="52">
        <f>S165*W165</f>
        <v>12.410714285714286</v>
      </c>
      <c r="AA165" s="52">
        <f>T165*W165</f>
        <v>1.4892857142857143</v>
      </c>
      <c r="AB165" s="52">
        <f>V165*W165</f>
        <v>0</v>
      </c>
      <c r="AC165" s="53">
        <f>(R165+V165)*W165</f>
        <v>13.9</v>
      </c>
      <c r="AD165" s="138">
        <v>13.9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105</v>
      </c>
      <c r="F166" s="96" t="s">
        <v>100</v>
      </c>
      <c r="G166" s="97">
        <v>46132</v>
      </c>
      <c r="H166" s="98">
        <v>0.7055092592592592</v>
      </c>
      <c r="I166" s="50">
        <v>161000383</v>
      </c>
      <c r="J166" s="96" t="s">
        <v>157</v>
      </c>
      <c r="K166" s="49" t="s">
        <v>704</v>
      </c>
      <c r="L166" s="39" t="s">
        <v>705</v>
      </c>
      <c r="M166" s="49" t="s">
        <v>185</v>
      </c>
      <c r="N166" s="39" t="s">
        <v>264</v>
      </c>
      <c r="O166" s="96" t="s">
        <v>706</v>
      </c>
      <c r="P166" s="49" t="s">
        <v>157</v>
      </c>
      <c r="Q166" s="96" t="s">
        <v>104</v>
      </c>
      <c r="R166" s="52">
        <v>37.9</v>
      </c>
      <c r="S166" s="52">
        <f>R166-T166</f>
        <v>33.839285714285715</v>
      </c>
      <c r="T166" s="52">
        <f>R166*U166/(U166+100)</f>
        <v>4.060714285714285</v>
      </c>
      <c r="U166" s="50">
        <v>12</v>
      </c>
      <c r="V166" s="53">
        <v>0</v>
      </c>
      <c r="W166" s="147">
        <v>1</v>
      </c>
      <c r="X166" s="148" t="s">
        <v>163</v>
      </c>
      <c r="Y166" s="54">
        <f>R166*W166</f>
        <v>37.9</v>
      </c>
      <c r="Z166" s="52">
        <f>S166*W166</f>
        <v>33.839285714285715</v>
      </c>
      <c r="AA166" s="52">
        <f>T166*W166</f>
        <v>4.060714285714285</v>
      </c>
      <c r="AB166" s="52">
        <f>V166*W166</f>
        <v>0</v>
      </c>
      <c r="AC166" s="53">
        <f>(R166+V166)*W166</f>
        <v>37.9</v>
      </c>
      <c r="AD166" s="138">
        <v>37.9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105</v>
      </c>
      <c r="F167" s="96" t="s">
        <v>100</v>
      </c>
      <c r="G167" s="97">
        <v>46132</v>
      </c>
      <c r="H167" s="98">
        <v>0.7055092592592592</v>
      </c>
      <c r="I167" s="50">
        <v>161000383</v>
      </c>
      <c r="J167" s="96" t="s">
        <v>157</v>
      </c>
      <c r="K167" s="49" t="s">
        <v>707</v>
      </c>
      <c r="L167" s="39" t="s">
        <v>708</v>
      </c>
      <c r="M167" s="49" t="s">
        <v>709</v>
      </c>
      <c r="N167" s="39" t="s">
        <v>319</v>
      </c>
      <c r="O167" s="96" t="s">
        <v>710</v>
      </c>
      <c r="P167" s="49" t="s">
        <v>235</v>
      </c>
      <c r="Q167" s="96" t="s">
        <v>236</v>
      </c>
      <c r="R167" s="52">
        <v>19.9</v>
      </c>
      <c r="S167" s="52">
        <f>R167-T167</f>
        <v>17.767857142857142</v>
      </c>
      <c r="T167" s="52">
        <f>R167*U167/(U167+100)</f>
        <v>2.132142857142857</v>
      </c>
      <c r="U167" s="50">
        <v>12</v>
      </c>
      <c r="V167" s="53">
        <v>0</v>
      </c>
      <c r="W167" s="147">
        <v>1</v>
      </c>
      <c r="X167" s="148" t="s">
        <v>163</v>
      </c>
      <c r="Y167" s="54">
        <f>R167*W167</f>
        <v>19.9</v>
      </c>
      <c r="Z167" s="52">
        <f>S167*W167</f>
        <v>17.767857142857142</v>
      </c>
      <c r="AA167" s="52">
        <f>T167*W167</f>
        <v>2.132142857142857</v>
      </c>
      <c r="AB167" s="52">
        <f>V167*W167</f>
        <v>0</v>
      </c>
      <c r="AC167" s="53">
        <f>(R167+V167)*W167</f>
        <v>19.9</v>
      </c>
      <c r="AD167" s="138">
        <v>19.9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105</v>
      </c>
      <c r="F168" s="96" t="s">
        <v>100</v>
      </c>
      <c r="G168" s="97">
        <v>46132</v>
      </c>
      <c r="H168" s="98">
        <v>0.7055092592592592</v>
      </c>
      <c r="I168" s="50">
        <v>161000383</v>
      </c>
      <c r="J168" s="96" t="s">
        <v>157</v>
      </c>
      <c r="K168" s="49" t="s">
        <v>711</v>
      </c>
      <c r="L168" s="39" t="s">
        <v>712</v>
      </c>
      <c r="M168" s="49" t="s">
        <v>190</v>
      </c>
      <c r="N168" s="39" t="s">
        <v>532</v>
      </c>
      <c r="O168" s="96" t="s">
        <v>713</v>
      </c>
      <c r="P168" s="49" t="s">
        <v>235</v>
      </c>
      <c r="Q168" s="96" t="s">
        <v>236</v>
      </c>
      <c r="R168" s="52">
        <v>27.9</v>
      </c>
      <c r="S168" s="52">
        <f>R168-T168</f>
        <v>24.910714285714285</v>
      </c>
      <c r="T168" s="52">
        <f>R168*U168/(U168+100)</f>
        <v>2.989285714285714</v>
      </c>
      <c r="U168" s="50">
        <v>12</v>
      </c>
      <c r="V168" s="53">
        <v>0</v>
      </c>
      <c r="W168" s="147">
        <v>0.312</v>
      </c>
      <c r="X168" s="148" t="s">
        <v>193</v>
      </c>
      <c r="Y168" s="54">
        <f>R168*W168</f>
        <v>8.704799999999999</v>
      </c>
      <c r="Z168" s="52">
        <f>S168*W168</f>
        <v>7.772142857142857</v>
      </c>
      <c r="AA168" s="52">
        <f>T168*W168</f>
        <v>0.9326571428571427</v>
      </c>
      <c r="AB168" s="52">
        <f>V168*W168</f>
        <v>0</v>
      </c>
      <c r="AC168" s="53">
        <f>(R168+V168)*W168</f>
        <v>8.704799999999999</v>
      </c>
      <c r="AD168" s="138">
        <v>27.9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105</v>
      </c>
      <c r="F169" s="96" t="s">
        <v>100</v>
      </c>
      <c r="G169" s="97">
        <v>46132</v>
      </c>
      <c r="H169" s="98">
        <v>0.7055092592592592</v>
      </c>
      <c r="I169" s="50">
        <v>161000383</v>
      </c>
      <c r="J169" s="96" t="s">
        <v>157</v>
      </c>
      <c r="K169" s="49" t="s">
        <v>534</v>
      </c>
      <c r="L169" s="39" t="s">
        <v>535</v>
      </c>
      <c r="M169" s="49" t="s">
        <v>277</v>
      </c>
      <c r="N169" s="39" t="s">
        <v>373</v>
      </c>
      <c r="O169" s="96" t="s">
        <v>536</v>
      </c>
      <c r="P169" s="49" t="s">
        <v>157</v>
      </c>
      <c r="Q169" s="96" t="s">
        <v>104</v>
      </c>
      <c r="R169" s="52">
        <v>62.9</v>
      </c>
      <c r="S169" s="52">
        <f>R169-T169</f>
        <v>56.160714285714285</v>
      </c>
      <c r="T169" s="52">
        <f>R169*U169/(U169+100)</f>
        <v>6.739285714285714</v>
      </c>
      <c r="U169" s="50">
        <v>12</v>
      </c>
      <c r="V169" s="53">
        <v>0</v>
      </c>
      <c r="W169" s="147">
        <v>1</v>
      </c>
      <c r="X169" s="148" t="s">
        <v>163</v>
      </c>
      <c r="Y169" s="54">
        <f>R169*W169</f>
        <v>62.9</v>
      </c>
      <c r="Z169" s="52">
        <f>S169*W169</f>
        <v>56.160714285714285</v>
      </c>
      <c r="AA169" s="52">
        <f>T169*W169</f>
        <v>6.739285714285714</v>
      </c>
      <c r="AB169" s="52">
        <f>V169*W169</f>
        <v>0</v>
      </c>
      <c r="AC169" s="53">
        <f>(R169+V169)*W169</f>
        <v>62.9</v>
      </c>
      <c r="AD169" s="138">
        <v>62.9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105</v>
      </c>
      <c r="F170" s="96" t="s">
        <v>100</v>
      </c>
      <c r="G170" s="97">
        <v>46132</v>
      </c>
      <c r="H170" s="98">
        <v>0.7071180555555555</v>
      </c>
      <c r="I170" s="50">
        <v>161000384</v>
      </c>
      <c r="J170" s="96" t="s">
        <v>157</v>
      </c>
      <c r="K170" s="49" t="s">
        <v>714</v>
      </c>
      <c r="L170" s="39" t="s">
        <v>715</v>
      </c>
      <c r="M170" s="49" t="s">
        <v>326</v>
      </c>
      <c r="N170" s="39" t="s">
        <v>327</v>
      </c>
      <c r="O170" s="96" t="s">
        <v>716</v>
      </c>
      <c r="P170" s="49" t="s">
        <v>157</v>
      </c>
      <c r="Q170" s="96" t="s">
        <v>104</v>
      </c>
      <c r="R170" s="52">
        <v>12.9</v>
      </c>
      <c r="S170" s="52">
        <f>R170-T170</f>
        <v>11.517857142857142</v>
      </c>
      <c r="T170" s="52">
        <f>R170*U170/(U170+100)</f>
        <v>1.3821428571428573</v>
      </c>
      <c r="U170" s="50">
        <v>12</v>
      </c>
      <c r="V170" s="53">
        <v>0</v>
      </c>
      <c r="W170" s="147">
        <v>1</v>
      </c>
      <c r="X170" s="148" t="s">
        <v>163</v>
      </c>
      <c r="Y170" s="54">
        <f>R170*W170</f>
        <v>12.9</v>
      </c>
      <c r="Z170" s="52">
        <f>S170*W170</f>
        <v>11.517857142857142</v>
      </c>
      <c r="AA170" s="52">
        <f>T170*W170</f>
        <v>1.3821428571428573</v>
      </c>
      <c r="AB170" s="52">
        <f>V170*W170</f>
        <v>0</v>
      </c>
      <c r="AC170" s="53">
        <f>(R170+V170)*W170</f>
        <v>12.9</v>
      </c>
      <c r="AD170" s="138">
        <v>12.9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105</v>
      </c>
      <c r="F171" s="96" t="s">
        <v>100</v>
      </c>
      <c r="G171" s="97">
        <v>46132</v>
      </c>
      <c r="H171" s="98">
        <v>0.7071180555555555</v>
      </c>
      <c r="I171" s="50">
        <v>161000384</v>
      </c>
      <c r="J171" s="96" t="s">
        <v>157</v>
      </c>
      <c r="K171" s="49" t="s">
        <v>717</v>
      </c>
      <c r="L171" s="39" t="s">
        <v>718</v>
      </c>
      <c r="M171" s="49" t="s">
        <v>480</v>
      </c>
      <c r="N171" s="39" t="s">
        <v>476</v>
      </c>
      <c r="O171" s="96" t="s">
        <v>719</v>
      </c>
      <c r="P171" s="49" t="s">
        <v>235</v>
      </c>
      <c r="Q171" s="96" t="s">
        <v>236</v>
      </c>
      <c r="R171" s="52">
        <v>19.9</v>
      </c>
      <c r="S171" s="52">
        <f>R171-T171</f>
        <v>17.767857142857142</v>
      </c>
      <c r="T171" s="52">
        <f>R171*U171/(U171+100)</f>
        <v>2.132142857142857</v>
      </c>
      <c r="U171" s="50">
        <v>12</v>
      </c>
      <c r="V171" s="53">
        <v>0</v>
      </c>
      <c r="W171" s="147">
        <v>1</v>
      </c>
      <c r="X171" s="148" t="s">
        <v>163</v>
      </c>
      <c r="Y171" s="54">
        <f>R171*W171</f>
        <v>19.9</v>
      </c>
      <c r="Z171" s="52">
        <f>S171*W171</f>
        <v>17.767857142857142</v>
      </c>
      <c r="AA171" s="52">
        <f>T171*W171</f>
        <v>2.132142857142857</v>
      </c>
      <c r="AB171" s="52">
        <f>V171*W171</f>
        <v>0</v>
      </c>
      <c r="AC171" s="53">
        <f>(R171+V171)*W171</f>
        <v>19.9</v>
      </c>
      <c r="AD171" s="138">
        <v>19.9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105</v>
      </c>
      <c r="F172" s="96" t="s">
        <v>100</v>
      </c>
      <c r="G172" s="97">
        <v>46132</v>
      </c>
      <c r="H172" s="98">
        <v>0.7071180555555555</v>
      </c>
      <c r="I172" s="50">
        <v>161000384</v>
      </c>
      <c r="J172" s="96" t="s">
        <v>157</v>
      </c>
      <c r="K172" s="49" t="s">
        <v>720</v>
      </c>
      <c r="L172" s="39" t="s">
        <v>721</v>
      </c>
      <c r="M172" s="49" t="s">
        <v>722</v>
      </c>
      <c r="N172" s="39" t="s">
        <v>476</v>
      </c>
      <c r="O172" s="96" t="s">
        <v>723</v>
      </c>
      <c r="P172" s="49" t="s">
        <v>157</v>
      </c>
      <c r="Q172" s="96" t="s">
        <v>104</v>
      </c>
      <c r="R172" s="52">
        <v>11.9</v>
      </c>
      <c r="S172" s="52">
        <f>R172-T172</f>
        <v>10.625</v>
      </c>
      <c r="T172" s="52">
        <f>R172*U172/(U172+100)</f>
        <v>1.2750000000000001</v>
      </c>
      <c r="U172" s="50">
        <v>12</v>
      </c>
      <c r="V172" s="53">
        <v>0</v>
      </c>
      <c r="W172" s="147">
        <v>1</v>
      </c>
      <c r="X172" s="148" t="s">
        <v>163</v>
      </c>
      <c r="Y172" s="54">
        <f>R172*W172</f>
        <v>11.9</v>
      </c>
      <c r="Z172" s="52">
        <f>S172*W172</f>
        <v>10.625</v>
      </c>
      <c r="AA172" s="52">
        <f>T172*W172</f>
        <v>1.2750000000000001</v>
      </c>
      <c r="AB172" s="52">
        <f>V172*W172</f>
        <v>0</v>
      </c>
      <c r="AC172" s="53">
        <f>(R172+V172)*W172</f>
        <v>11.9</v>
      </c>
      <c r="AD172" s="138">
        <v>11.9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105</v>
      </c>
      <c r="F173" s="96" t="s">
        <v>100</v>
      </c>
      <c r="G173" s="97">
        <v>46132</v>
      </c>
      <c r="H173" s="98">
        <v>0.7164351851851852</v>
      </c>
      <c r="I173" s="50">
        <v>161000385</v>
      </c>
      <c r="J173" s="96" t="s">
        <v>157</v>
      </c>
      <c r="K173" s="49" t="s">
        <v>724</v>
      </c>
      <c r="L173" s="39" t="s">
        <v>725</v>
      </c>
      <c r="M173" s="49" t="s">
        <v>214</v>
      </c>
      <c r="N173" s="39" t="s">
        <v>726</v>
      </c>
      <c r="O173" s="96" t="s">
        <v>727</v>
      </c>
      <c r="P173" s="49" t="s">
        <v>157</v>
      </c>
      <c r="Q173" s="96" t="s">
        <v>104</v>
      </c>
      <c r="R173" s="52">
        <v>45.9</v>
      </c>
      <c r="S173" s="52">
        <f>R173-T173</f>
        <v>40.982142857142854</v>
      </c>
      <c r="T173" s="52">
        <f>R173*U173/(U173+100)</f>
        <v>4.917857142857143</v>
      </c>
      <c r="U173" s="50">
        <v>12</v>
      </c>
      <c r="V173" s="53">
        <v>0</v>
      </c>
      <c r="W173" s="147">
        <v>1</v>
      </c>
      <c r="X173" s="148" t="s">
        <v>163</v>
      </c>
      <c r="Y173" s="54">
        <f>R173*W173</f>
        <v>45.9</v>
      </c>
      <c r="Z173" s="52">
        <f>S173*W173</f>
        <v>40.982142857142854</v>
      </c>
      <c r="AA173" s="52">
        <f>T173*W173</f>
        <v>4.917857142857143</v>
      </c>
      <c r="AB173" s="52">
        <f>V173*W173</f>
        <v>0</v>
      </c>
      <c r="AC173" s="53">
        <f>(R173+V173)*W173</f>
        <v>45.9</v>
      </c>
      <c r="AD173" s="138">
        <v>45.9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105</v>
      </c>
      <c r="F174" s="96" t="s">
        <v>100</v>
      </c>
      <c r="G174" s="97">
        <v>46132</v>
      </c>
      <c r="H174" s="98">
        <v>0.7164351851851852</v>
      </c>
      <c r="I174" s="50">
        <v>161000385</v>
      </c>
      <c r="J174" s="96" t="s">
        <v>157</v>
      </c>
      <c r="K174" s="49" t="s">
        <v>728</v>
      </c>
      <c r="L174" s="39" t="s">
        <v>729</v>
      </c>
      <c r="M174" s="49" t="s">
        <v>730</v>
      </c>
      <c r="N174" s="39" t="s">
        <v>731</v>
      </c>
      <c r="O174" s="96" t="s">
        <v>732</v>
      </c>
      <c r="P174" s="49" t="s">
        <v>235</v>
      </c>
      <c r="Q174" s="96" t="s">
        <v>236</v>
      </c>
      <c r="R174" s="52">
        <v>49.9</v>
      </c>
      <c r="S174" s="52">
        <f>R174-T174</f>
        <v>41.239669421487605</v>
      </c>
      <c r="T174" s="52">
        <f>R174*U174/(U174+100)</f>
        <v>8.660330578512395</v>
      </c>
      <c r="U174" s="50">
        <v>21</v>
      </c>
      <c r="V174" s="53">
        <v>0</v>
      </c>
      <c r="W174" s="147">
        <v>1</v>
      </c>
      <c r="X174" s="148" t="s">
        <v>163</v>
      </c>
      <c r="Y174" s="54">
        <f>R174*W174</f>
        <v>49.9</v>
      </c>
      <c r="Z174" s="52">
        <f>S174*W174</f>
        <v>41.239669421487605</v>
      </c>
      <c r="AA174" s="52">
        <f>T174*W174</f>
        <v>8.660330578512395</v>
      </c>
      <c r="AB174" s="52">
        <f>V174*W174</f>
        <v>0</v>
      </c>
      <c r="AC174" s="53">
        <f>(R174+V174)*W174</f>
        <v>49.9</v>
      </c>
      <c r="AD174" s="138">
        <v>49.9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105</v>
      </c>
      <c r="F175" s="96" t="s">
        <v>100</v>
      </c>
      <c r="G175" s="97">
        <v>46132</v>
      </c>
      <c r="H175" s="98">
        <v>0.7223495370370371</v>
      </c>
      <c r="I175" s="50">
        <v>161000386</v>
      </c>
      <c r="J175" s="96" t="s">
        <v>157</v>
      </c>
      <c r="K175" s="49" t="s">
        <v>355</v>
      </c>
      <c r="L175" s="39" t="s">
        <v>356</v>
      </c>
      <c r="M175" s="49" t="s">
        <v>171</v>
      </c>
      <c r="N175" s="39" t="s">
        <v>264</v>
      </c>
      <c r="O175" s="96" t="s">
        <v>357</v>
      </c>
      <c r="P175" s="49" t="s">
        <v>157</v>
      </c>
      <c r="Q175" s="96" t="s">
        <v>104</v>
      </c>
      <c r="R175" s="52">
        <v>4.5</v>
      </c>
      <c r="S175" s="52">
        <f>R175-T175</f>
        <v>4.017857142857143</v>
      </c>
      <c r="T175" s="52">
        <f>R175*U175/(U175+100)</f>
        <v>0.48214285714285715</v>
      </c>
      <c r="U175" s="50">
        <v>12</v>
      </c>
      <c r="V175" s="53">
        <v>0</v>
      </c>
      <c r="W175" s="147">
        <v>1</v>
      </c>
      <c r="X175" s="148" t="s">
        <v>163</v>
      </c>
      <c r="Y175" s="54">
        <f>R175*W175</f>
        <v>4.5</v>
      </c>
      <c r="Z175" s="52">
        <f>S175*W175</f>
        <v>4.017857142857143</v>
      </c>
      <c r="AA175" s="52">
        <f>T175*W175</f>
        <v>0.48214285714285715</v>
      </c>
      <c r="AB175" s="52">
        <f>V175*W175</f>
        <v>0</v>
      </c>
      <c r="AC175" s="53">
        <f>(R175+V175)*W175</f>
        <v>4.5</v>
      </c>
      <c r="AD175" s="138">
        <v>4.5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105</v>
      </c>
      <c r="F176" s="96" t="s">
        <v>100</v>
      </c>
      <c r="G176" s="97">
        <v>46132</v>
      </c>
      <c r="H176" s="98">
        <v>0.7223495370370371</v>
      </c>
      <c r="I176" s="50">
        <v>161000386</v>
      </c>
      <c r="J176" s="96" t="s">
        <v>157</v>
      </c>
      <c r="K176" s="49" t="s">
        <v>733</v>
      </c>
      <c r="L176" s="39" t="s">
        <v>734</v>
      </c>
      <c r="M176" s="49" t="s">
        <v>243</v>
      </c>
      <c r="N176" s="39" t="s">
        <v>244</v>
      </c>
      <c r="O176" s="96" t="s">
        <v>735</v>
      </c>
      <c r="P176" s="49" t="s">
        <v>157</v>
      </c>
      <c r="Q176" s="96" t="s">
        <v>104</v>
      </c>
      <c r="R176" s="52">
        <v>44.9</v>
      </c>
      <c r="S176" s="52">
        <f>R176-T176</f>
        <v>40.089285714285715</v>
      </c>
      <c r="T176" s="52">
        <f>R176*U176/(U176+100)</f>
        <v>4.810714285714285</v>
      </c>
      <c r="U176" s="50">
        <v>12</v>
      </c>
      <c r="V176" s="53">
        <v>0</v>
      </c>
      <c r="W176" s="147">
        <v>1</v>
      </c>
      <c r="X176" s="148" t="s">
        <v>163</v>
      </c>
      <c r="Y176" s="54">
        <f>R176*W176</f>
        <v>44.9</v>
      </c>
      <c r="Z176" s="52">
        <f>S176*W176</f>
        <v>40.089285714285715</v>
      </c>
      <c r="AA176" s="52">
        <f>T176*W176</f>
        <v>4.810714285714285</v>
      </c>
      <c r="AB176" s="52">
        <f>V176*W176</f>
        <v>0</v>
      </c>
      <c r="AC176" s="53">
        <f>(R176+V176)*W176</f>
        <v>44.9</v>
      </c>
      <c r="AD176" s="138">
        <v>44.9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105</v>
      </c>
      <c r="F177" s="96" t="s">
        <v>100</v>
      </c>
      <c r="G177" s="97">
        <v>46132</v>
      </c>
      <c r="H177" s="98">
        <v>0.7223495370370371</v>
      </c>
      <c r="I177" s="50">
        <v>161000386</v>
      </c>
      <c r="J177" s="96" t="s">
        <v>157</v>
      </c>
      <c r="K177" s="49" t="s">
        <v>736</v>
      </c>
      <c r="L177" s="39" t="s">
        <v>737</v>
      </c>
      <c r="M177" s="49" t="s">
        <v>219</v>
      </c>
      <c r="N177" s="39" t="s">
        <v>167</v>
      </c>
      <c r="O177" s="96" t="s">
        <v>738</v>
      </c>
      <c r="P177" s="49" t="s">
        <v>157</v>
      </c>
      <c r="Q177" s="96" t="s">
        <v>104</v>
      </c>
      <c r="R177" s="52">
        <v>32.9</v>
      </c>
      <c r="S177" s="52">
        <f>R177-T177</f>
        <v>27.1900826446281</v>
      </c>
      <c r="T177" s="52">
        <f>R177*U177/(U177+100)</f>
        <v>5.709917355371901</v>
      </c>
      <c r="U177" s="50">
        <v>21</v>
      </c>
      <c r="V177" s="53">
        <v>0</v>
      </c>
      <c r="W177" s="147">
        <v>1</v>
      </c>
      <c r="X177" s="148" t="s">
        <v>163</v>
      </c>
      <c r="Y177" s="54">
        <f>R177*W177</f>
        <v>32.9</v>
      </c>
      <c r="Z177" s="52">
        <f>S177*W177</f>
        <v>27.1900826446281</v>
      </c>
      <c r="AA177" s="52">
        <f>T177*W177</f>
        <v>5.709917355371901</v>
      </c>
      <c r="AB177" s="52">
        <f>V177*W177</f>
        <v>0</v>
      </c>
      <c r="AC177" s="53">
        <f>(R177+V177)*W177</f>
        <v>32.9</v>
      </c>
      <c r="AD177" s="138">
        <v>32.9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105</v>
      </c>
      <c r="F178" s="96" t="s">
        <v>100</v>
      </c>
      <c r="G178" s="97">
        <v>46132</v>
      </c>
      <c r="H178" s="98">
        <v>0.7242361111111111</v>
      </c>
      <c r="I178" s="50">
        <v>161000387</v>
      </c>
      <c r="J178" s="96" t="s">
        <v>157</v>
      </c>
      <c r="K178" s="49" t="s">
        <v>560</v>
      </c>
      <c r="L178" s="39" t="s">
        <v>104</v>
      </c>
      <c r="M178" s="49" t="s">
        <v>554</v>
      </c>
      <c r="N178" s="39" t="s">
        <v>296</v>
      </c>
      <c r="O178" s="96" t="s">
        <v>561</v>
      </c>
      <c r="P178" s="49" t="s">
        <v>157</v>
      </c>
      <c r="Q178" s="96" t="s">
        <v>104</v>
      </c>
      <c r="R178" s="52">
        <v>8.9</v>
      </c>
      <c r="S178" s="52">
        <f>R178-T178</f>
        <v>7.946428571428572</v>
      </c>
      <c r="T178" s="52">
        <f>R178*U178/(U178+100)</f>
        <v>0.9535714285714286</v>
      </c>
      <c r="U178" s="50">
        <v>12</v>
      </c>
      <c r="V178" s="53">
        <v>0</v>
      </c>
      <c r="W178" s="147">
        <v>1</v>
      </c>
      <c r="X178" s="148" t="s">
        <v>163</v>
      </c>
      <c r="Y178" s="54">
        <f>R178*W178</f>
        <v>8.9</v>
      </c>
      <c r="Z178" s="52">
        <f>S178*W178</f>
        <v>7.946428571428572</v>
      </c>
      <c r="AA178" s="52">
        <f>T178*W178</f>
        <v>0.9535714285714286</v>
      </c>
      <c r="AB178" s="52">
        <f>V178*W178</f>
        <v>0</v>
      </c>
      <c r="AC178" s="53">
        <f>(R178+V178)*W178</f>
        <v>8.9</v>
      </c>
      <c r="AD178" s="138">
        <v>8.9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105</v>
      </c>
      <c r="F179" s="96" t="s">
        <v>100</v>
      </c>
      <c r="G179" s="97">
        <v>46132</v>
      </c>
      <c r="H179" s="98">
        <v>0.7314467592592593</v>
      </c>
      <c r="I179" s="50">
        <v>161000388</v>
      </c>
      <c r="J179" s="96" t="s">
        <v>157</v>
      </c>
      <c r="K179" s="49" t="s">
        <v>739</v>
      </c>
      <c r="L179" s="39" t="s">
        <v>740</v>
      </c>
      <c r="M179" s="49" t="s">
        <v>214</v>
      </c>
      <c r="N179" s="39" t="s">
        <v>418</v>
      </c>
      <c r="O179" s="96" t="s">
        <v>741</v>
      </c>
      <c r="P179" s="49" t="s">
        <v>157</v>
      </c>
      <c r="Q179" s="96" t="s">
        <v>104</v>
      </c>
      <c r="R179" s="52">
        <v>21.9</v>
      </c>
      <c r="S179" s="52">
        <f>R179-T179</f>
        <v>19.553571428571427</v>
      </c>
      <c r="T179" s="52">
        <f>R179*U179/(U179+100)</f>
        <v>2.346428571428571</v>
      </c>
      <c r="U179" s="50">
        <v>12</v>
      </c>
      <c r="V179" s="53">
        <v>0</v>
      </c>
      <c r="W179" s="147">
        <v>1</v>
      </c>
      <c r="X179" s="148" t="s">
        <v>163</v>
      </c>
      <c r="Y179" s="54">
        <f>R179*W179</f>
        <v>21.9</v>
      </c>
      <c r="Z179" s="52">
        <f>S179*W179</f>
        <v>19.553571428571427</v>
      </c>
      <c r="AA179" s="52">
        <f>T179*W179</f>
        <v>2.346428571428571</v>
      </c>
      <c r="AB179" s="52">
        <f>V179*W179</f>
        <v>0</v>
      </c>
      <c r="AC179" s="53">
        <f>(R179+V179)*W179</f>
        <v>21.9</v>
      </c>
      <c r="AD179" s="138">
        <v>21.9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105</v>
      </c>
      <c r="F180" s="96" t="s">
        <v>100</v>
      </c>
      <c r="G180" s="97">
        <v>46132</v>
      </c>
      <c r="H180" s="98">
        <v>0.7449652777777778</v>
      </c>
      <c r="I180" s="50">
        <v>161000389</v>
      </c>
      <c r="J180" s="96" t="s">
        <v>157</v>
      </c>
      <c r="K180" s="49" t="s">
        <v>742</v>
      </c>
      <c r="L180" s="39" t="s">
        <v>743</v>
      </c>
      <c r="M180" s="49" t="s">
        <v>243</v>
      </c>
      <c r="N180" s="39" t="s">
        <v>244</v>
      </c>
      <c r="O180" s="96" t="s">
        <v>744</v>
      </c>
      <c r="P180" s="49" t="s">
        <v>235</v>
      </c>
      <c r="Q180" s="96" t="s">
        <v>236</v>
      </c>
      <c r="R180" s="52">
        <v>29.9</v>
      </c>
      <c r="S180" s="52">
        <f>R180-T180</f>
        <v>26.69642857142857</v>
      </c>
      <c r="T180" s="52">
        <f>R180*U180/(U180+100)</f>
        <v>3.2035714285714283</v>
      </c>
      <c r="U180" s="50">
        <v>12</v>
      </c>
      <c r="V180" s="53">
        <v>0</v>
      </c>
      <c r="W180" s="147">
        <v>1</v>
      </c>
      <c r="X180" s="148" t="s">
        <v>163</v>
      </c>
      <c r="Y180" s="54">
        <f>R180*W180</f>
        <v>29.9</v>
      </c>
      <c r="Z180" s="52">
        <f>S180*W180</f>
        <v>26.69642857142857</v>
      </c>
      <c r="AA180" s="52">
        <f>T180*W180</f>
        <v>3.2035714285714283</v>
      </c>
      <c r="AB180" s="52">
        <f>V180*W180</f>
        <v>0</v>
      </c>
      <c r="AC180" s="53">
        <f>(R180+V180)*W180</f>
        <v>29.9</v>
      </c>
      <c r="AD180" s="138">
        <v>29.9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105</v>
      </c>
      <c r="F181" s="96" t="s">
        <v>100</v>
      </c>
      <c r="G181" s="97">
        <v>46132</v>
      </c>
      <c r="H181" s="98">
        <v>0.7468287037037037</v>
      </c>
      <c r="I181" s="50">
        <v>161000390</v>
      </c>
      <c r="J181" s="96" t="s">
        <v>157</v>
      </c>
      <c r="K181" s="49" t="s">
        <v>745</v>
      </c>
      <c r="L181" s="39" t="s">
        <v>746</v>
      </c>
      <c r="M181" s="49" t="s">
        <v>196</v>
      </c>
      <c r="N181" s="39" t="s">
        <v>747</v>
      </c>
      <c r="O181" s="96" t="s">
        <v>748</v>
      </c>
      <c r="P181" s="49" t="s">
        <v>157</v>
      </c>
      <c r="Q181" s="96" t="s">
        <v>104</v>
      </c>
      <c r="R181" s="52">
        <v>19.9</v>
      </c>
      <c r="S181" s="52">
        <f>R181-T181</f>
        <v>17.767857142857142</v>
      </c>
      <c r="T181" s="52">
        <f>R181*U181/(U181+100)</f>
        <v>2.132142857142857</v>
      </c>
      <c r="U181" s="50">
        <v>12</v>
      </c>
      <c r="V181" s="53">
        <v>0</v>
      </c>
      <c r="W181" s="147">
        <v>1</v>
      </c>
      <c r="X181" s="148" t="s">
        <v>163</v>
      </c>
      <c r="Y181" s="54">
        <f>R181*W181</f>
        <v>19.9</v>
      </c>
      <c r="Z181" s="52">
        <f>S181*W181</f>
        <v>17.767857142857142</v>
      </c>
      <c r="AA181" s="52">
        <f>T181*W181</f>
        <v>2.132142857142857</v>
      </c>
      <c r="AB181" s="52">
        <f>V181*W181</f>
        <v>0</v>
      </c>
      <c r="AC181" s="53">
        <f>(R181+V181)*W181</f>
        <v>19.9</v>
      </c>
      <c r="AD181" s="138">
        <v>19.9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105</v>
      </c>
      <c r="F182" s="96" t="s">
        <v>100</v>
      </c>
      <c r="G182" s="97">
        <v>46132</v>
      </c>
      <c r="H182" s="98">
        <v>0.7468287037037037</v>
      </c>
      <c r="I182" s="50">
        <v>161000390</v>
      </c>
      <c r="J182" s="96" t="s">
        <v>157</v>
      </c>
      <c r="K182" s="49" t="s">
        <v>749</v>
      </c>
      <c r="L182" s="39" t="s">
        <v>750</v>
      </c>
      <c r="M182" s="49" t="s">
        <v>277</v>
      </c>
      <c r="N182" s="39" t="s">
        <v>751</v>
      </c>
      <c r="O182" s="96" t="s">
        <v>752</v>
      </c>
      <c r="P182" s="49" t="s">
        <v>235</v>
      </c>
      <c r="Q182" s="96" t="s">
        <v>753</v>
      </c>
      <c r="R182" s="52">
        <v>34.9</v>
      </c>
      <c r="S182" s="52">
        <f>R182-T182</f>
        <v>31.160714285714285</v>
      </c>
      <c r="T182" s="52">
        <f>R182*U182/(U182+100)</f>
        <v>3.739285714285714</v>
      </c>
      <c r="U182" s="50">
        <v>12</v>
      </c>
      <c r="V182" s="53">
        <v>0</v>
      </c>
      <c r="W182" s="147">
        <v>1</v>
      </c>
      <c r="X182" s="148" t="s">
        <v>163</v>
      </c>
      <c r="Y182" s="54">
        <f>R182*W182</f>
        <v>34.9</v>
      </c>
      <c r="Z182" s="52">
        <f>S182*W182</f>
        <v>31.160714285714285</v>
      </c>
      <c r="AA182" s="52">
        <f>T182*W182</f>
        <v>3.739285714285714</v>
      </c>
      <c r="AB182" s="52">
        <f>V182*W182</f>
        <v>0</v>
      </c>
      <c r="AC182" s="53">
        <f>(R182+V182)*W182</f>
        <v>34.9</v>
      </c>
      <c r="AD182" s="138">
        <v>34.9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105</v>
      </c>
      <c r="F183" s="96" t="s">
        <v>100</v>
      </c>
      <c r="G183" s="97">
        <v>46132</v>
      </c>
      <c r="H183" s="98">
        <v>0.7468287037037037</v>
      </c>
      <c r="I183" s="50">
        <v>161000390</v>
      </c>
      <c r="J183" s="96" t="s">
        <v>157</v>
      </c>
      <c r="K183" s="49" t="s">
        <v>754</v>
      </c>
      <c r="L183" s="39" t="s">
        <v>755</v>
      </c>
      <c r="M183" s="49" t="s">
        <v>214</v>
      </c>
      <c r="N183" s="39" t="s">
        <v>756</v>
      </c>
      <c r="O183" s="96" t="s">
        <v>757</v>
      </c>
      <c r="P183" s="49" t="s">
        <v>157</v>
      </c>
      <c r="Q183" s="96" t="s">
        <v>104</v>
      </c>
      <c r="R183" s="52">
        <v>19.9</v>
      </c>
      <c r="S183" s="52">
        <f>R183-T183</f>
        <v>17.767857142857142</v>
      </c>
      <c r="T183" s="52">
        <f>R183*U183/(U183+100)</f>
        <v>2.132142857142857</v>
      </c>
      <c r="U183" s="50">
        <v>12</v>
      </c>
      <c r="V183" s="53">
        <v>0</v>
      </c>
      <c r="W183" s="147">
        <v>2</v>
      </c>
      <c r="X183" s="148" t="s">
        <v>163</v>
      </c>
      <c r="Y183" s="54">
        <f>R183*W183</f>
        <v>39.8</v>
      </c>
      <c r="Z183" s="52">
        <f>S183*W183</f>
        <v>35.535714285714285</v>
      </c>
      <c r="AA183" s="52">
        <f>T183*W183</f>
        <v>4.264285714285714</v>
      </c>
      <c r="AB183" s="52">
        <f>V183*W183</f>
        <v>0</v>
      </c>
      <c r="AC183" s="53">
        <f>(R183+V183)*W183</f>
        <v>39.8</v>
      </c>
      <c r="AD183" s="138">
        <v>19.9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105</v>
      </c>
      <c r="F184" s="96" t="s">
        <v>100</v>
      </c>
      <c r="G184" s="97">
        <v>46132</v>
      </c>
      <c r="H184" s="98">
        <v>0.7533217592592593</v>
      </c>
      <c r="I184" s="50">
        <v>161000391</v>
      </c>
      <c r="J184" s="96" t="s">
        <v>157</v>
      </c>
      <c r="K184" s="49" t="s">
        <v>758</v>
      </c>
      <c r="L184" s="39" t="s">
        <v>759</v>
      </c>
      <c r="M184" s="49" t="s">
        <v>201</v>
      </c>
      <c r="N184" s="39" t="s">
        <v>202</v>
      </c>
      <c r="O184" s="96" t="s">
        <v>760</v>
      </c>
      <c r="P184" s="49" t="s">
        <v>235</v>
      </c>
      <c r="Q184" s="96" t="s">
        <v>236</v>
      </c>
      <c r="R184" s="52">
        <v>19.9</v>
      </c>
      <c r="S184" s="52">
        <f>R184-T184</f>
        <v>17.767857142857142</v>
      </c>
      <c r="T184" s="52">
        <f>R184*U184/(U184+100)</f>
        <v>2.132142857142857</v>
      </c>
      <c r="U184" s="50">
        <v>12</v>
      </c>
      <c r="V184" s="53">
        <v>0</v>
      </c>
      <c r="W184" s="147">
        <v>1</v>
      </c>
      <c r="X184" s="148" t="s">
        <v>163</v>
      </c>
      <c r="Y184" s="54">
        <f>R184*W184</f>
        <v>19.9</v>
      </c>
      <c r="Z184" s="52">
        <f>S184*W184</f>
        <v>17.767857142857142</v>
      </c>
      <c r="AA184" s="52">
        <f>T184*W184</f>
        <v>2.132142857142857</v>
      </c>
      <c r="AB184" s="52">
        <f>V184*W184</f>
        <v>0</v>
      </c>
      <c r="AC184" s="53">
        <f>(R184+V184)*W184</f>
        <v>19.9</v>
      </c>
      <c r="AD184" s="138">
        <v>19.9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105</v>
      </c>
      <c r="F185" s="96" t="s">
        <v>100</v>
      </c>
      <c r="G185" s="97">
        <v>46132</v>
      </c>
      <c r="H185" s="98">
        <v>0.7533217592592593</v>
      </c>
      <c r="I185" s="50">
        <v>161000391</v>
      </c>
      <c r="J185" s="96" t="s">
        <v>157</v>
      </c>
      <c r="K185" s="49" t="s">
        <v>447</v>
      </c>
      <c r="L185" s="39" t="s">
        <v>448</v>
      </c>
      <c r="M185" s="49" t="s">
        <v>201</v>
      </c>
      <c r="N185" s="39" t="s">
        <v>202</v>
      </c>
      <c r="O185" s="96" t="s">
        <v>449</v>
      </c>
      <c r="P185" s="49" t="s">
        <v>235</v>
      </c>
      <c r="Q185" s="96" t="s">
        <v>236</v>
      </c>
      <c r="R185" s="52">
        <v>19.9</v>
      </c>
      <c r="S185" s="52">
        <f>R185-T185</f>
        <v>17.767857142857142</v>
      </c>
      <c r="T185" s="52">
        <f>R185*U185/(U185+100)</f>
        <v>2.132142857142857</v>
      </c>
      <c r="U185" s="50">
        <v>12</v>
      </c>
      <c r="V185" s="53">
        <v>0</v>
      </c>
      <c r="W185" s="147">
        <v>1</v>
      </c>
      <c r="X185" s="148" t="s">
        <v>163</v>
      </c>
      <c r="Y185" s="54">
        <f>R185*W185</f>
        <v>19.9</v>
      </c>
      <c r="Z185" s="52">
        <f>S185*W185</f>
        <v>17.767857142857142</v>
      </c>
      <c r="AA185" s="52">
        <f>T185*W185</f>
        <v>2.132142857142857</v>
      </c>
      <c r="AB185" s="52">
        <f>V185*W185</f>
        <v>0</v>
      </c>
      <c r="AC185" s="53">
        <f>(R185+V185)*W185</f>
        <v>19.9</v>
      </c>
      <c r="AD185" s="138">
        <v>19.9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105</v>
      </c>
      <c r="F186" s="96" t="s">
        <v>100</v>
      </c>
      <c r="G186" s="97">
        <v>46132</v>
      </c>
      <c r="H186" s="98">
        <v>0.7533217592592593</v>
      </c>
      <c r="I186" s="50">
        <v>161000391</v>
      </c>
      <c r="J186" s="96" t="s">
        <v>157</v>
      </c>
      <c r="K186" s="49" t="s">
        <v>761</v>
      </c>
      <c r="L186" s="39" t="s">
        <v>762</v>
      </c>
      <c r="M186" s="49" t="s">
        <v>219</v>
      </c>
      <c r="N186" s="39" t="s">
        <v>167</v>
      </c>
      <c r="O186" s="96" t="s">
        <v>763</v>
      </c>
      <c r="P186" s="49" t="s">
        <v>157</v>
      </c>
      <c r="Q186" s="96" t="s">
        <v>104</v>
      </c>
      <c r="R186" s="52">
        <v>39.9</v>
      </c>
      <c r="S186" s="52">
        <f>R186-T186</f>
        <v>32.97520661157024</v>
      </c>
      <c r="T186" s="52">
        <f>R186*U186/(U186+100)</f>
        <v>6.924793388429752</v>
      </c>
      <c r="U186" s="50">
        <v>21</v>
      </c>
      <c r="V186" s="53">
        <v>0</v>
      </c>
      <c r="W186" s="147">
        <v>1</v>
      </c>
      <c r="X186" s="148" t="s">
        <v>163</v>
      </c>
      <c r="Y186" s="54">
        <f>R186*W186</f>
        <v>39.9</v>
      </c>
      <c r="Z186" s="52">
        <f>S186*W186</f>
        <v>32.97520661157024</v>
      </c>
      <c r="AA186" s="52">
        <f>T186*W186</f>
        <v>6.924793388429752</v>
      </c>
      <c r="AB186" s="52">
        <f>V186*W186</f>
        <v>0</v>
      </c>
      <c r="AC186" s="53">
        <f>(R186+V186)*W186</f>
        <v>39.9</v>
      </c>
      <c r="AD186" s="138">
        <v>39.9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105</v>
      </c>
      <c r="F187" s="96" t="s">
        <v>100</v>
      </c>
      <c r="G187" s="97">
        <v>46132</v>
      </c>
      <c r="H187" s="98">
        <v>0.7533217592592593</v>
      </c>
      <c r="I187" s="50">
        <v>161000391</v>
      </c>
      <c r="J187" s="96" t="s">
        <v>157</v>
      </c>
      <c r="K187" s="49" t="s">
        <v>764</v>
      </c>
      <c r="L187" s="39" t="s">
        <v>765</v>
      </c>
      <c r="M187" s="49" t="s">
        <v>219</v>
      </c>
      <c r="N187" s="39" t="s">
        <v>388</v>
      </c>
      <c r="O187" s="96" t="s">
        <v>766</v>
      </c>
      <c r="P187" s="49" t="s">
        <v>157</v>
      </c>
      <c r="Q187" s="96" t="s">
        <v>104</v>
      </c>
      <c r="R187" s="52">
        <v>35.9</v>
      </c>
      <c r="S187" s="52">
        <f>R187-T187</f>
        <v>29.669421487603305</v>
      </c>
      <c r="T187" s="52">
        <f>R187*U187/(U187+100)</f>
        <v>6.230578512396694</v>
      </c>
      <c r="U187" s="50">
        <v>21</v>
      </c>
      <c r="V187" s="53">
        <v>0</v>
      </c>
      <c r="W187" s="147">
        <v>1</v>
      </c>
      <c r="X187" s="148" t="s">
        <v>163</v>
      </c>
      <c r="Y187" s="54">
        <f>R187*W187</f>
        <v>35.9</v>
      </c>
      <c r="Z187" s="52">
        <f>S187*W187</f>
        <v>29.669421487603305</v>
      </c>
      <c r="AA187" s="52">
        <f>T187*W187</f>
        <v>6.230578512396694</v>
      </c>
      <c r="AB187" s="52">
        <f>V187*W187</f>
        <v>0</v>
      </c>
      <c r="AC187" s="53">
        <f>(R187+V187)*W187</f>
        <v>35.9</v>
      </c>
      <c r="AD187" s="138">
        <v>35.9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105</v>
      </c>
      <c r="F188" s="96" t="s">
        <v>100</v>
      </c>
      <c r="G188" s="97">
        <v>46132</v>
      </c>
      <c r="H188" s="98">
        <v>0.7533217592592593</v>
      </c>
      <c r="I188" s="50">
        <v>161000391</v>
      </c>
      <c r="J188" s="96" t="s">
        <v>157</v>
      </c>
      <c r="K188" s="49" t="s">
        <v>767</v>
      </c>
      <c r="L188" s="39" t="s">
        <v>768</v>
      </c>
      <c r="M188" s="49" t="s">
        <v>395</v>
      </c>
      <c r="N188" s="39" t="s">
        <v>167</v>
      </c>
      <c r="O188" s="96" t="s">
        <v>769</v>
      </c>
      <c r="P188" s="49" t="s">
        <v>157</v>
      </c>
      <c r="Q188" s="96" t="s">
        <v>104</v>
      </c>
      <c r="R188" s="52">
        <v>41.9</v>
      </c>
      <c r="S188" s="52">
        <f>R188-T188</f>
        <v>34.62809917355372</v>
      </c>
      <c r="T188" s="52">
        <f>R188*U188/(U188+100)</f>
        <v>7.271900826446281</v>
      </c>
      <c r="U188" s="50">
        <v>21</v>
      </c>
      <c r="V188" s="53">
        <v>0</v>
      </c>
      <c r="W188" s="147">
        <v>1</v>
      </c>
      <c r="X188" s="148" t="s">
        <v>163</v>
      </c>
      <c r="Y188" s="54">
        <f>R188*W188</f>
        <v>41.9</v>
      </c>
      <c r="Z188" s="52">
        <f>S188*W188</f>
        <v>34.62809917355372</v>
      </c>
      <c r="AA188" s="52">
        <f>T188*W188</f>
        <v>7.271900826446281</v>
      </c>
      <c r="AB188" s="52">
        <f>V188*W188</f>
        <v>0</v>
      </c>
      <c r="AC188" s="53">
        <f>(R188+V188)*W188</f>
        <v>41.9</v>
      </c>
      <c r="AD188" s="138">
        <v>41.9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105</v>
      </c>
      <c r="F189" s="96" t="s">
        <v>100</v>
      </c>
      <c r="G189" s="97">
        <v>46132</v>
      </c>
      <c r="H189" s="98">
        <v>0.7533217592592593</v>
      </c>
      <c r="I189" s="50">
        <v>161000391</v>
      </c>
      <c r="J189" s="96" t="s">
        <v>157</v>
      </c>
      <c r="K189" s="49" t="s">
        <v>183</v>
      </c>
      <c r="L189" s="39" t="s">
        <v>184</v>
      </c>
      <c r="M189" s="49" t="s">
        <v>185</v>
      </c>
      <c r="N189" s="39" t="s">
        <v>186</v>
      </c>
      <c r="O189" s="96" t="s">
        <v>187</v>
      </c>
      <c r="P189" s="49" t="s">
        <v>157</v>
      </c>
      <c r="Q189" s="96" t="s">
        <v>104</v>
      </c>
      <c r="R189" s="52">
        <v>1.9</v>
      </c>
      <c r="S189" s="52">
        <f>R189-T189</f>
        <v>1.5702479338842974</v>
      </c>
      <c r="T189" s="52">
        <f>R189*U189/(U189+100)</f>
        <v>0.32975206611570246</v>
      </c>
      <c r="U189" s="50">
        <v>21</v>
      </c>
      <c r="V189" s="53">
        <v>0</v>
      </c>
      <c r="W189" s="147">
        <v>1</v>
      </c>
      <c r="X189" s="148" t="s">
        <v>163</v>
      </c>
      <c r="Y189" s="54">
        <f>R189*W189</f>
        <v>1.9</v>
      </c>
      <c r="Z189" s="52">
        <f>S189*W189</f>
        <v>1.5702479338842974</v>
      </c>
      <c r="AA189" s="52">
        <f>T189*W189</f>
        <v>0.32975206611570246</v>
      </c>
      <c r="AB189" s="52">
        <f>V189*W189</f>
        <v>0</v>
      </c>
      <c r="AC189" s="53">
        <f>(R189+V189)*W189</f>
        <v>1.9</v>
      </c>
      <c r="AD189" s="138">
        <v>1.9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105</v>
      </c>
      <c r="F190" s="96" t="s">
        <v>100</v>
      </c>
      <c r="G190" s="97">
        <v>46132</v>
      </c>
      <c r="H190" s="98">
        <v>0.7638425925925926</v>
      </c>
      <c r="I190" s="50">
        <v>161000392</v>
      </c>
      <c r="J190" s="96" t="s">
        <v>157</v>
      </c>
      <c r="K190" s="49" t="s">
        <v>507</v>
      </c>
      <c r="L190" s="39" t="s">
        <v>508</v>
      </c>
      <c r="M190" s="49" t="s">
        <v>509</v>
      </c>
      <c r="N190" s="39" t="s">
        <v>256</v>
      </c>
      <c r="O190" s="96" t="s">
        <v>510</v>
      </c>
      <c r="P190" s="49" t="s">
        <v>235</v>
      </c>
      <c r="Q190" s="96" t="s">
        <v>236</v>
      </c>
      <c r="R190" s="52">
        <v>15.9</v>
      </c>
      <c r="S190" s="52">
        <f>R190-T190</f>
        <v>13.140495867768596</v>
      </c>
      <c r="T190" s="52">
        <f>R190*U190/(U190+100)</f>
        <v>2.759504132231405</v>
      </c>
      <c r="U190" s="50">
        <v>21</v>
      </c>
      <c r="V190" s="53">
        <v>0</v>
      </c>
      <c r="W190" s="147">
        <v>2</v>
      </c>
      <c r="X190" s="148" t="s">
        <v>163</v>
      </c>
      <c r="Y190" s="54">
        <f>R190*W190</f>
        <v>31.8</v>
      </c>
      <c r="Z190" s="52">
        <f>S190*W190</f>
        <v>26.280991735537192</v>
      </c>
      <c r="AA190" s="52">
        <f>T190*W190</f>
        <v>5.51900826446281</v>
      </c>
      <c r="AB190" s="52">
        <f>V190*W190</f>
        <v>0</v>
      </c>
      <c r="AC190" s="53">
        <f>(R190+V190)*W190</f>
        <v>31.8</v>
      </c>
      <c r="AD190" s="138">
        <v>15.9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105</v>
      </c>
      <c r="F191" s="96" t="s">
        <v>100</v>
      </c>
      <c r="G191" s="97">
        <v>46132</v>
      </c>
      <c r="H191" s="98">
        <v>0.764988425925926</v>
      </c>
      <c r="I191" s="50">
        <v>161000393</v>
      </c>
      <c r="J191" s="96" t="s">
        <v>157</v>
      </c>
      <c r="K191" s="49" t="s">
        <v>770</v>
      </c>
      <c r="L191" s="39" t="s">
        <v>771</v>
      </c>
      <c r="M191" s="49" t="s">
        <v>232</v>
      </c>
      <c r="N191" s="39" t="s">
        <v>233</v>
      </c>
      <c r="O191" s="96" t="s">
        <v>772</v>
      </c>
      <c r="P191" s="49" t="s">
        <v>235</v>
      </c>
      <c r="Q191" s="96" t="s">
        <v>236</v>
      </c>
      <c r="R191" s="52">
        <v>24.9</v>
      </c>
      <c r="S191" s="52">
        <f>R191-T191</f>
        <v>20.578512396694215</v>
      </c>
      <c r="T191" s="52">
        <f>R191*U191/(U191+100)</f>
        <v>4.321487603305785</v>
      </c>
      <c r="U191" s="50">
        <v>21</v>
      </c>
      <c r="V191" s="53">
        <v>0</v>
      </c>
      <c r="W191" s="147">
        <v>1</v>
      </c>
      <c r="X191" s="148" t="s">
        <v>163</v>
      </c>
      <c r="Y191" s="54">
        <f>R191*W191</f>
        <v>24.9</v>
      </c>
      <c r="Z191" s="52">
        <f>S191*W191</f>
        <v>20.578512396694215</v>
      </c>
      <c r="AA191" s="52">
        <f>T191*W191</f>
        <v>4.321487603305785</v>
      </c>
      <c r="AB191" s="52">
        <f>V191*W191</f>
        <v>0</v>
      </c>
      <c r="AC191" s="53">
        <f>(R191+V191)*W191</f>
        <v>24.9</v>
      </c>
      <c r="AD191" s="138">
        <v>24.9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105</v>
      </c>
      <c r="F192" s="96" t="s">
        <v>100</v>
      </c>
      <c r="G192" s="97">
        <v>46132</v>
      </c>
      <c r="H192" s="98">
        <v>0.764988425925926</v>
      </c>
      <c r="I192" s="50">
        <v>161000393</v>
      </c>
      <c r="J192" s="96" t="s">
        <v>157</v>
      </c>
      <c r="K192" s="49" t="s">
        <v>230</v>
      </c>
      <c r="L192" s="39" t="s">
        <v>231</v>
      </c>
      <c r="M192" s="49" t="s">
        <v>232</v>
      </c>
      <c r="N192" s="39" t="s">
        <v>233</v>
      </c>
      <c r="O192" s="96" t="s">
        <v>234</v>
      </c>
      <c r="P192" s="49" t="s">
        <v>235</v>
      </c>
      <c r="Q192" s="96" t="s">
        <v>236</v>
      </c>
      <c r="R192" s="52">
        <v>24.9</v>
      </c>
      <c r="S192" s="52">
        <f>R192-T192</f>
        <v>20.578512396694215</v>
      </c>
      <c r="T192" s="52">
        <f>R192*U192/(U192+100)</f>
        <v>4.321487603305785</v>
      </c>
      <c r="U192" s="50">
        <v>21</v>
      </c>
      <c r="V192" s="53">
        <v>0</v>
      </c>
      <c r="W192" s="147">
        <v>1</v>
      </c>
      <c r="X192" s="148" t="s">
        <v>163</v>
      </c>
      <c r="Y192" s="54">
        <f>R192*W192</f>
        <v>24.9</v>
      </c>
      <c r="Z192" s="52">
        <f>S192*W192</f>
        <v>20.578512396694215</v>
      </c>
      <c r="AA192" s="52">
        <f>T192*W192</f>
        <v>4.321487603305785</v>
      </c>
      <c r="AB192" s="52">
        <f>V192*W192</f>
        <v>0</v>
      </c>
      <c r="AC192" s="53">
        <f>(R192+V192)*W192</f>
        <v>24.9</v>
      </c>
      <c r="AD192" s="138">
        <v>24.9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105</v>
      </c>
      <c r="F193" s="96" t="s">
        <v>100</v>
      </c>
      <c r="G193" s="97">
        <v>46132</v>
      </c>
      <c r="H193" s="98">
        <v>0.7669675925925926</v>
      </c>
      <c r="I193" s="50">
        <v>161000394</v>
      </c>
      <c r="J193" s="96" t="s">
        <v>157</v>
      </c>
      <c r="K193" s="49" t="s">
        <v>773</v>
      </c>
      <c r="L193" s="39" t="s">
        <v>774</v>
      </c>
      <c r="M193" s="49" t="s">
        <v>196</v>
      </c>
      <c r="N193" s="39" t="s">
        <v>404</v>
      </c>
      <c r="O193" s="96" t="s">
        <v>775</v>
      </c>
      <c r="P193" s="49" t="s">
        <v>157</v>
      </c>
      <c r="Q193" s="96" t="s">
        <v>104</v>
      </c>
      <c r="R193" s="52">
        <v>29.9</v>
      </c>
      <c r="S193" s="52">
        <f>R193-T193</f>
        <v>26.69642857142857</v>
      </c>
      <c r="T193" s="52">
        <f>R193*U193/(U193+100)</f>
        <v>3.2035714285714283</v>
      </c>
      <c r="U193" s="50">
        <v>12</v>
      </c>
      <c r="V193" s="53">
        <v>0</v>
      </c>
      <c r="W193" s="147">
        <v>1</v>
      </c>
      <c r="X193" s="148" t="s">
        <v>163</v>
      </c>
      <c r="Y193" s="54">
        <f>R193*W193</f>
        <v>29.9</v>
      </c>
      <c r="Z193" s="52">
        <f>S193*W193</f>
        <v>26.69642857142857</v>
      </c>
      <c r="AA193" s="52">
        <f>T193*W193</f>
        <v>3.2035714285714283</v>
      </c>
      <c r="AB193" s="52">
        <f>V193*W193</f>
        <v>0</v>
      </c>
      <c r="AC193" s="53">
        <f>(R193+V193)*W193</f>
        <v>29.9</v>
      </c>
      <c r="AD193" s="138">
        <v>29.9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105</v>
      </c>
      <c r="F194" s="96" t="s">
        <v>100</v>
      </c>
      <c r="G194" s="97">
        <v>46132</v>
      </c>
      <c r="H194" s="98">
        <v>0.7669675925925926</v>
      </c>
      <c r="I194" s="50">
        <v>161000394</v>
      </c>
      <c r="J194" s="96" t="s">
        <v>157</v>
      </c>
      <c r="K194" s="49" t="s">
        <v>776</v>
      </c>
      <c r="L194" s="39" t="s">
        <v>777</v>
      </c>
      <c r="M194" s="49" t="s">
        <v>300</v>
      </c>
      <c r="N194" s="39" t="s">
        <v>778</v>
      </c>
      <c r="O194" s="96" t="s">
        <v>779</v>
      </c>
      <c r="P194" s="49" t="s">
        <v>157</v>
      </c>
      <c r="Q194" s="96" t="s">
        <v>104</v>
      </c>
      <c r="R194" s="52">
        <v>22.9</v>
      </c>
      <c r="S194" s="52">
        <f>R194-T194</f>
        <v>20.44642857142857</v>
      </c>
      <c r="T194" s="52">
        <f>R194*U194/(U194+100)</f>
        <v>2.4535714285714283</v>
      </c>
      <c r="U194" s="50">
        <v>12</v>
      </c>
      <c r="V194" s="53">
        <v>0</v>
      </c>
      <c r="W194" s="147">
        <v>1</v>
      </c>
      <c r="X194" s="148" t="s">
        <v>163</v>
      </c>
      <c r="Y194" s="54">
        <f>R194*W194</f>
        <v>22.9</v>
      </c>
      <c r="Z194" s="52">
        <f>S194*W194</f>
        <v>20.44642857142857</v>
      </c>
      <c r="AA194" s="52">
        <f>T194*W194</f>
        <v>2.4535714285714283</v>
      </c>
      <c r="AB194" s="52">
        <f>V194*W194</f>
        <v>0</v>
      </c>
      <c r="AC194" s="53">
        <f>(R194+V194)*W194</f>
        <v>22.9</v>
      </c>
      <c r="AD194" s="138">
        <v>22.9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105</v>
      </c>
      <c r="F195" s="96" t="s">
        <v>100</v>
      </c>
      <c r="G195" s="97">
        <v>46132</v>
      </c>
      <c r="H195" s="98">
        <v>0.7669675925925926</v>
      </c>
      <c r="I195" s="50">
        <v>161000394</v>
      </c>
      <c r="J195" s="96" t="s">
        <v>157</v>
      </c>
      <c r="K195" s="49" t="s">
        <v>780</v>
      </c>
      <c r="L195" s="39" t="s">
        <v>781</v>
      </c>
      <c r="M195" s="49" t="s">
        <v>300</v>
      </c>
      <c r="N195" s="39" t="s">
        <v>778</v>
      </c>
      <c r="O195" s="96" t="s">
        <v>782</v>
      </c>
      <c r="P195" s="49" t="s">
        <v>157</v>
      </c>
      <c r="Q195" s="96" t="s">
        <v>104</v>
      </c>
      <c r="R195" s="52">
        <v>19.9</v>
      </c>
      <c r="S195" s="52">
        <f>R195-T195</f>
        <v>17.767857142857142</v>
      </c>
      <c r="T195" s="52">
        <f>R195*U195/(U195+100)</f>
        <v>2.132142857142857</v>
      </c>
      <c r="U195" s="50">
        <v>12</v>
      </c>
      <c r="V195" s="53">
        <v>0</v>
      </c>
      <c r="W195" s="147">
        <v>1</v>
      </c>
      <c r="X195" s="148" t="s">
        <v>163</v>
      </c>
      <c r="Y195" s="54">
        <f>R195*W195</f>
        <v>19.9</v>
      </c>
      <c r="Z195" s="52">
        <f>S195*W195</f>
        <v>17.767857142857142</v>
      </c>
      <c r="AA195" s="52">
        <f>T195*W195</f>
        <v>2.132142857142857</v>
      </c>
      <c r="AB195" s="52">
        <f>V195*W195</f>
        <v>0</v>
      </c>
      <c r="AC195" s="53">
        <f>(R195+V195)*W195</f>
        <v>19.9</v>
      </c>
      <c r="AD195" s="138">
        <v>19.9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105</v>
      </c>
      <c r="F196" s="96" t="s">
        <v>100</v>
      </c>
      <c r="G196" s="97">
        <v>46132</v>
      </c>
      <c r="H196" s="98">
        <v>0.7669675925925926</v>
      </c>
      <c r="I196" s="50">
        <v>161000394</v>
      </c>
      <c r="J196" s="96" t="s">
        <v>157</v>
      </c>
      <c r="K196" s="49" t="s">
        <v>783</v>
      </c>
      <c r="L196" s="39" t="s">
        <v>784</v>
      </c>
      <c r="M196" s="49" t="s">
        <v>277</v>
      </c>
      <c r="N196" s="39" t="s">
        <v>751</v>
      </c>
      <c r="O196" s="96" t="s">
        <v>785</v>
      </c>
      <c r="P196" s="49" t="s">
        <v>157</v>
      </c>
      <c r="Q196" s="96" t="s">
        <v>104</v>
      </c>
      <c r="R196" s="52">
        <v>54.9</v>
      </c>
      <c r="S196" s="52">
        <f>R196-T196</f>
        <v>49.01785714285714</v>
      </c>
      <c r="T196" s="52">
        <f>R196*U196/(U196+100)</f>
        <v>5.882142857142857</v>
      </c>
      <c r="U196" s="50">
        <v>12</v>
      </c>
      <c r="V196" s="53">
        <v>0</v>
      </c>
      <c r="W196" s="147">
        <v>1</v>
      </c>
      <c r="X196" s="148" t="s">
        <v>163</v>
      </c>
      <c r="Y196" s="54">
        <f>R196*W196</f>
        <v>54.9</v>
      </c>
      <c r="Z196" s="52">
        <f>S196*W196</f>
        <v>49.01785714285714</v>
      </c>
      <c r="AA196" s="52">
        <f>T196*W196</f>
        <v>5.882142857142857</v>
      </c>
      <c r="AB196" s="52">
        <f>V196*W196</f>
        <v>0</v>
      </c>
      <c r="AC196" s="53">
        <f>(R196+V196)*W196</f>
        <v>54.9</v>
      </c>
      <c r="AD196" s="138">
        <v>54.9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105</v>
      </c>
      <c r="F197" s="96" t="s">
        <v>100</v>
      </c>
      <c r="G197" s="97">
        <v>46132</v>
      </c>
      <c r="H197" s="98">
        <v>0.768449074074074</v>
      </c>
      <c r="I197" s="50">
        <v>161000395</v>
      </c>
      <c r="J197" s="96" t="s">
        <v>157</v>
      </c>
      <c r="K197" s="49" t="s">
        <v>786</v>
      </c>
      <c r="L197" s="39" t="s">
        <v>787</v>
      </c>
      <c r="M197" s="49" t="s">
        <v>788</v>
      </c>
      <c r="N197" s="39" t="s">
        <v>244</v>
      </c>
      <c r="O197" s="96" t="s">
        <v>789</v>
      </c>
      <c r="P197" s="49" t="s">
        <v>157</v>
      </c>
      <c r="Q197" s="96" t="s">
        <v>104</v>
      </c>
      <c r="R197" s="52">
        <v>14.9</v>
      </c>
      <c r="S197" s="52">
        <f>R197-T197</f>
        <v>13.303571428571429</v>
      </c>
      <c r="T197" s="52">
        <f>R197*U197/(U197+100)</f>
        <v>1.5964285714285715</v>
      </c>
      <c r="U197" s="50">
        <v>12</v>
      </c>
      <c r="V197" s="53">
        <v>0</v>
      </c>
      <c r="W197" s="147">
        <v>1</v>
      </c>
      <c r="X197" s="148" t="s">
        <v>163</v>
      </c>
      <c r="Y197" s="54">
        <f>R197*W197</f>
        <v>14.9</v>
      </c>
      <c r="Z197" s="52">
        <f>S197*W197</f>
        <v>13.303571428571429</v>
      </c>
      <c r="AA197" s="52">
        <f>T197*W197</f>
        <v>1.5964285714285715</v>
      </c>
      <c r="AB197" s="52">
        <f>V197*W197</f>
        <v>0</v>
      </c>
      <c r="AC197" s="53">
        <f>(R197+V197)*W197</f>
        <v>14.9</v>
      </c>
      <c r="AD197" s="138">
        <v>14.9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105</v>
      </c>
      <c r="F198" s="96" t="s">
        <v>100</v>
      </c>
      <c r="G198" s="97">
        <v>46132</v>
      </c>
      <c r="H198" s="98">
        <v>0.768449074074074</v>
      </c>
      <c r="I198" s="50">
        <v>161000395</v>
      </c>
      <c r="J198" s="96" t="s">
        <v>157</v>
      </c>
      <c r="K198" s="49" t="s">
        <v>790</v>
      </c>
      <c r="L198" s="39" t="s">
        <v>791</v>
      </c>
      <c r="M198" s="49" t="s">
        <v>792</v>
      </c>
      <c r="N198" s="39" t="s">
        <v>793</v>
      </c>
      <c r="O198" s="96" t="s">
        <v>794</v>
      </c>
      <c r="P198" s="49" t="s">
        <v>157</v>
      </c>
      <c r="Q198" s="96" t="s">
        <v>104</v>
      </c>
      <c r="R198" s="52">
        <v>17.9</v>
      </c>
      <c r="S198" s="52">
        <f>R198-T198</f>
        <v>15.982142857142856</v>
      </c>
      <c r="T198" s="52">
        <f>R198*U198/(U198+100)</f>
        <v>1.9178571428571427</v>
      </c>
      <c r="U198" s="50">
        <v>12</v>
      </c>
      <c r="V198" s="53">
        <v>0</v>
      </c>
      <c r="W198" s="147">
        <v>1</v>
      </c>
      <c r="X198" s="148" t="s">
        <v>163</v>
      </c>
      <c r="Y198" s="54">
        <f>R198*W198</f>
        <v>17.9</v>
      </c>
      <c r="Z198" s="52">
        <f>S198*W198</f>
        <v>15.982142857142856</v>
      </c>
      <c r="AA198" s="52">
        <f>T198*W198</f>
        <v>1.9178571428571427</v>
      </c>
      <c r="AB198" s="52">
        <f>V198*W198</f>
        <v>0</v>
      </c>
      <c r="AC198" s="53">
        <f>(R198+V198)*W198</f>
        <v>17.9</v>
      </c>
      <c r="AD198" s="138">
        <v>17.9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105</v>
      </c>
      <c r="F199" s="96" t="s">
        <v>100</v>
      </c>
      <c r="G199" s="97">
        <v>46132</v>
      </c>
      <c r="H199" s="98">
        <v>0.7743402777777778</v>
      </c>
      <c r="I199" s="50">
        <v>161000396</v>
      </c>
      <c r="J199" s="96" t="s">
        <v>157</v>
      </c>
      <c r="K199" s="49" t="s">
        <v>795</v>
      </c>
      <c r="L199" s="39" t="s">
        <v>796</v>
      </c>
      <c r="M199" s="49" t="s">
        <v>425</v>
      </c>
      <c r="N199" s="39" t="s">
        <v>197</v>
      </c>
      <c r="O199" s="96" t="s">
        <v>797</v>
      </c>
      <c r="P199" s="49" t="s">
        <v>235</v>
      </c>
      <c r="Q199" s="96" t="s">
        <v>236</v>
      </c>
      <c r="R199" s="52">
        <v>5.9</v>
      </c>
      <c r="S199" s="52">
        <f>R199-T199</f>
        <v>5.267857142857143</v>
      </c>
      <c r="T199" s="52">
        <f>R199*U199/(U199+100)</f>
        <v>0.6321428571428572</v>
      </c>
      <c r="U199" s="50">
        <v>12</v>
      </c>
      <c r="V199" s="53">
        <v>0</v>
      </c>
      <c r="W199" s="147">
        <v>1</v>
      </c>
      <c r="X199" s="148" t="s">
        <v>163</v>
      </c>
      <c r="Y199" s="54">
        <f>R199*W199</f>
        <v>5.9</v>
      </c>
      <c r="Z199" s="52">
        <f>S199*W199</f>
        <v>5.267857142857143</v>
      </c>
      <c r="AA199" s="52">
        <f>T199*W199</f>
        <v>0.6321428571428572</v>
      </c>
      <c r="AB199" s="52">
        <f>V199*W199</f>
        <v>0</v>
      </c>
      <c r="AC199" s="53">
        <f>(R199+V199)*W199</f>
        <v>5.9</v>
      </c>
      <c r="AD199" s="138">
        <v>5.9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105</v>
      </c>
      <c r="F200" s="96" t="s">
        <v>100</v>
      </c>
      <c r="G200" s="97">
        <v>46132</v>
      </c>
      <c r="H200" s="98">
        <v>0.7743402777777778</v>
      </c>
      <c r="I200" s="50">
        <v>161000396</v>
      </c>
      <c r="J200" s="96" t="s">
        <v>157</v>
      </c>
      <c r="K200" s="49" t="s">
        <v>798</v>
      </c>
      <c r="L200" s="39" t="s">
        <v>799</v>
      </c>
      <c r="M200" s="49" t="s">
        <v>425</v>
      </c>
      <c r="N200" s="39" t="s">
        <v>197</v>
      </c>
      <c r="O200" s="96" t="s">
        <v>797</v>
      </c>
      <c r="P200" s="49" t="s">
        <v>235</v>
      </c>
      <c r="Q200" s="96" t="s">
        <v>236</v>
      </c>
      <c r="R200" s="52">
        <v>5.9</v>
      </c>
      <c r="S200" s="52">
        <f>R200-T200</f>
        <v>5.267857142857143</v>
      </c>
      <c r="T200" s="52">
        <f>R200*U200/(U200+100)</f>
        <v>0.6321428571428572</v>
      </c>
      <c r="U200" s="50">
        <v>12</v>
      </c>
      <c r="V200" s="53">
        <v>0</v>
      </c>
      <c r="W200" s="147">
        <v>1</v>
      </c>
      <c r="X200" s="148" t="s">
        <v>163</v>
      </c>
      <c r="Y200" s="54">
        <f>R200*W200</f>
        <v>5.9</v>
      </c>
      <c r="Z200" s="52">
        <f>S200*W200</f>
        <v>5.267857142857143</v>
      </c>
      <c r="AA200" s="52">
        <f>T200*W200</f>
        <v>0.6321428571428572</v>
      </c>
      <c r="AB200" s="52">
        <f>V200*W200</f>
        <v>0</v>
      </c>
      <c r="AC200" s="53">
        <f>(R200+V200)*W200</f>
        <v>5.9</v>
      </c>
      <c r="AD200" s="138">
        <v>5.9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105</v>
      </c>
      <c r="F201" s="96" t="s">
        <v>100</v>
      </c>
      <c r="G201" s="97">
        <v>46132</v>
      </c>
      <c r="H201" s="98">
        <v>0.7743402777777778</v>
      </c>
      <c r="I201" s="50">
        <v>161000396</v>
      </c>
      <c r="J201" s="96" t="s">
        <v>157</v>
      </c>
      <c r="K201" s="49" t="s">
        <v>800</v>
      </c>
      <c r="L201" s="39" t="s">
        <v>801</v>
      </c>
      <c r="M201" s="49" t="s">
        <v>185</v>
      </c>
      <c r="N201" s="39" t="s">
        <v>244</v>
      </c>
      <c r="O201" s="96" t="s">
        <v>802</v>
      </c>
      <c r="P201" s="49" t="s">
        <v>157</v>
      </c>
      <c r="Q201" s="96" t="s">
        <v>104</v>
      </c>
      <c r="R201" s="52">
        <v>13.4</v>
      </c>
      <c r="S201" s="52">
        <f>R201-T201</f>
        <v>11.964285714285715</v>
      </c>
      <c r="T201" s="52">
        <f>R201*U201/(U201+100)</f>
        <v>1.4357142857142857</v>
      </c>
      <c r="U201" s="50">
        <v>12</v>
      </c>
      <c r="V201" s="53">
        <v>0</v>
      </c>
      <c r="W201" s="147">
        <v>1</v>
      </c>
      <c r="X201" s="148" t="s">
        <v>163</v>
      </c>
      <c r="Y201" s="54">
        <f>R201*W201</f>
        <v>13.4</v>
      </c>
      <c r="Z201" s="52">
        <f>S201*W201</f>
        <v>11.964285714285715</v>
      </c>
      <c r="AA201" s="52">
        <f>T201*W201</f>
        <v>1.4357142857142857</v>
      </c>
      <c r="AB201" s="52">
        <f>V201*W201</f>
        <v>0</v>
      </c>
      <c r="AC201" s="53">
        <f>(R201+V201)*W201</f>
        <v>13.4</v>
      </c>
      <c r="AD201" s="138">
        <v>13.4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105</v>
      </c>
      <c r="F202" s="96" t="s">
        <v>100</v>
      </c>
      <c r="G202" s="97">
        <v>46132</v>
      </c>
      <c r="H202" s="98">
        <v>0.7755902777777778</v>
      </c>
      <c r="I202" s="50">
        <v>161000397</v>
      </c>
      <c r="J202" s="96" t="s">
        <v>157</v>
      </c>
      <c r="K202" s="49" t="s">
        <v>803</v>
      </c>
      <c r="L202" s="39" t="s">
        <v>804</v>
      </c>
      <c r="M202" s="49" t="s">
        <v>429</v>
      </c>
      <c r="N202" s="39" t="s">
        <v>348</v>
      </c>
      <c r="O202" s="96" t="s">
        <v>805</v>
      </c>
      <c r="P202" s="49" t="s">
        <v>235</v>
      </c>
      <c r="Q202" s="96" t="s">
        <v>236</v>
      </c>
      <c r="R202" s="52">
        <v>16.9</v>
      </c>
      <c r="S202" s="52">
        <f>R202-T202</f>
        <v>15.089285714285714</v>
      </c>
      <c r="T202" s="52">
        <f>R202*U202/(U202+100)</f>
        <v>1.8107142857142855</v>
      </c>
      <c r="U202" s="50">
        <v>12</v>
      </c>
      <c r="V202" s="53">
        <v>0</v>
      </c>
      <c r="W202" s="147">
        <v>1</v>
      </c>
      <c r="X202" s="148" t="s">
        <v>163</v>
      </c>
      <c r="Y202" s="54">
        <f>R202*W202</f>
        <v>16.9</v>
      </c>
      <c r="Z202" s="52">
        <f>S202*W202</f>
        <v>15.089285714285714</v>
      </c>
      <c r="AA202" s="52">
        <f>T202*W202</f>
        <v>1.8107142857142855</v>
      </c>
      <c r="AB202" s="52">
        <f>V202*W202</f>
        <v>0</v>
      </c>
      <c r="AC202" s="53">
        <f>(R202+V202)*W202</f>
        <v>16.9</v>
      </c>
      <c r="AD202" s="138">
        <v>16.9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105</v>
      </c>
      <c r="F203" s="96" t="s">
        <v>100</v>
      </c>
      <c r="G203" s="97">
        <v>46132</v>
      </c>
      <c r="H203" s="98">
        <v>0.7755902777777778</v>
      </c>
      <c r="I203" s="50">
        <v>161000397</v>
      </c>
      <c r="J203" s="96" t="s">
        <v>157</v>
      </c>
      <c r="K203" s="49" t="s">
        <v>806</v>
      </c>
      <c r="L203" s="39" t="s">
        <v>807</v>
      </c>
      <c r="M203" s="49" t="s">
        <v>808</v>
      </c>
      <c r="N203" s="39" t="s">
        <v>348</v>
      </c>
      <c r="O203" s="96" t="s">
        <v>809</v>
      </c>
      <c r="P203" s="49" t="s">
        <v>157</v>
      </c>
      <c r="Q203" s="96" t="s">
        <v>104</v>
      </c>
      <c r="R203" s="52">
        <v>17.9</v>
      </c>
      <c r="S203" s="52">
        <f>R203-T203</f>
        <v>15.982142857142856</v>
      </c>
      <c r="T203" s="52">
        <f>R203*U203/(U203+100)</f>
        <v>1.9178571428571427</v>
      </c>
      <c r="U203" s="50">
        <v>12</v>
      </c>
      <c r="V203" s="53">
        <v>0</v>
      </c>
      <c r="W203" s="147">
        <v>1</v>
      </c>
      <c r="X203" s="148" t="s">
        <v>163</v>
      </c>
      <c r="Y203" s="54">
        <f>R203*W203</f>
        <v>17.9</v>
      </c>
      <c r="Z203" s="52">
        <f>S203*W203</f>
        <v>15.982142857142856</v>
      </c>
      <c r="AA203" s="52">
        <f>T203*W203</f>
        <v>1.9178571428571427</v>
      </c>
      <c r="AB203" s="52">
        <f>V203*W203</f>
        <v>0</v>
      </c>
      <c r="AC203" s="53">
        <f>(R203+V203)*W203</f>
        <v>17.9</v>
      </c>
      <c r="AD203" s="138">
        <v>17.9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105</v>
      </c>
      <c r="F204" s="96" t="s">
        <v>100</v>
      </c>
      <c r="G204" s="97">
        <v>46132</v>
      </c>
      <c r="H204" s="98">
        <v>0.7755902777777778</v>
      </c>
      <c r="I204" s="50">
        <v>161000397</v>
      </c>
      <c r="J204" s="96" t="s">
        <v>157</v>
      </c>
      <c r="K204" s="49" t="s">
        <v>810</v>
      </c>
      <c r="L204" s="39" t="s">
        <v>811</v>
      </c>
      <c r="M204" s="49" t="s">
        <v>812</v>
      </c>
      <c r="N204" s="39" t="s">
        <v>813</v>
      </c>
      <c r="O204" s="96" t="s">
        <v>814</v>
      </c>
      <c r="P204" s="49" t="s">
        <v>157</v>
      </c>
      <c r="Q204" s="96" t="s">
        <v>104</v>
      </c>
      <c r="R204" s="52">
        <v>42.9</v>
      </c>
      <c r="S204" s="52">
        <f>R204-T204</f>
        <v>38.30357142857143</v>
      </c>
      <c r="T204" s="52">
        <f>R204*U204/(U204+100)</f>
        <v>4.596428571428571</v>
      </c>
      <c r="U204" s="50">
        <v>12</v>
      </c>
      <c r="V204" s="53">
        <v>0</v>
      </c>
      <c r="W204" s="147">
        <v>1</v>
      </c>
      <c r="X204" s="148" t="s">
        <v>163</v>
      </c>
      <c r="Y204" s="54">
        <f>R204*W204</f>
        <v>42.9</v>
      </c>
      <c r="Z204" s="52">
        <f>S204*W204</f>
        <v>38.30357142857143</v>
      </c>
      <c r="AA204" s="52">
        <f>T204*W204</f>
        <v>4.596428571428571</v>
      </c>
      <c r="AB204" s="52">
        <f>V204*W204</f>
        <v>0</v>
      </c>
      <c r="AC204" s="53">
        <f>(R204+V204)*W204</f>
        <v>42.9</v>
      </c>
      <c r="AD204" s="138">
        <v>42.9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105</v>
      </c>
      <c r="F205" s="96" t="s">
        <v>100</v>
      </c>
      <c r="G205" s="97">
        <v>46132</v>
      </c>
      <c r="H205" s="98">
        <v>0.7755902777777778</v>
      </c>
      <c r="I205" s="50">
        <v>161000397</v>
      </c>
      <c r="J205" s="96" t="s">
        <v>157</v>
      </c>
      <c r="K205" s="49" t="s">
        <v>464</v>
      </c>
      <c r="L205" s="39" t="s">
        <v>465</v>
      </c>
      <c r="M205" s="49" t="s">
        <v>466</v>
      </c>
      <c r="N205" s="39" t="s">
        <v>210</v>
      </c>
      <c r="O205" s="96" t="s">
        <v>467</v>
      </c>
      <c r="P205" s="49" t="s">
        <v>157</v>
      </c>
      <c r="Q205" s="96" t="s">
        <v>104</v>
      </c>
      <c r="R205" s="52">
        <v>22.9</v>
      </c>
      <c r="S205" s="52">
        <f>R205-T205</f>
        <v>20.44642857142857</v>
      </c>
      <c r="T205" s="52">
        <f>R205*U205/(U205+100)</f>
        <v>2.4535714285714283</v>
      </c>
      <c r="U205" s="50">
        <v>12</v>
      </c>
      <c r="V205" s="53">
        <v>0</v>
      </c>
      <c r="W205" s="147">
        <v>1</v>
      </c>
      <c r="X205" s="148" t="s">
        <v>163</v>
      </c>
      <c r="Y205" s="54">
        <f>R205*W205</f>
        <v>22.9</v>
      </c>
      <c r="Z205" s="52">
        <f>S205*W205</f>
        <v>20.44642857142857</v>
      </c>
      <c r="AA205" s="52">
        <f>T205*W205</f>
        <v>2.4535714285714283</v>
      </c>
      <c r="AB205" s="52">
        <f>V205*W205</f>
        <v>0</v>
      </c>
      <c r="AC205" s="53">
        <f>(R205+V205)*W205</f>
        <v>22.9</v>
      </c>
      <c r="AD205" s="138">
        <v>22.9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105</v>
      </c>
      <c r="F206" s="96" t="s">
        <v>100</v>
      </c>
      <c r="G206" s="97">
        <v>46132</v>
      </c>
      <c r="H206" s="98">
        <v>0.7783912037037037</v>
      </c>
      <c r="I206" s="50">
        <v>161000398</v>
      </c>
      <c r="J206" s="96" t="s">
        <v>157</v>
      </c>
      <c r="K206" s="49" t="s">
        <v>798</v>
      </c>
      <c r="L206" s="39" t="s">
        <v>799</v>
      </c>
      <c r="M206" s="49" t="s">
        <v>425</v>
      </c>
      <c r="N206" s="39" t="s">
        <v>197</v>
      </c>
      <c r="O206" s="96" t="s">
        <v>797</v>
      </c>
      <c r="P206" s="49" t="s">
        <v>235</v>
      </c>
      <c r="Q206" s="96" t="s">
        <v>236</v>
      </c>
      <c r="R206" s="52">
        <v>5.9</v>
      </c>
      <c r="S206" s="52">
        <f>R206-T206</f>
        <v>5.267857142857143</v>
      </c>
      <c r="T206" s="52">
        <f>R206*U206/(U206+100)</f>
        <v>0.6321428571428572</v>
      </c>
      <c r="U206" s="50">
        <v>12</v>
      </c>
      <c r="V206" s="53">
        <v>0</v>
      </c>
      <c r="W206" s="147">
        <v>1</v>
      </c>
      <c r="X206" s="148" t="s">
        <v>163</v>
      </c>
      <c r="Y206" s="54">
        <f>R206*W206</f>
        <v>5.9</v>
      </c>
      <c r="Z206" s="52">
        <f>S206*W206</f>
        <v>5.267857142857143</v>
      </c>
      <c r="AA206" s="52">
        <f>T206*W206</f>
        <v>0.6321428571428572</v>
      </c>
      <c r="AB206" s="52">
        <f>V206*W206</f>
        <v>0</v>
      </c>
      <c r="AC206" s="53">
        <f>(R206+V206)*W206</f>
        <v>5.9</v>
      </c>
      <c r="AD206" s="138">
        <v>5.9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105</v>
      </c>
      <c r="F207" s="96" t="s">
        <v>100</v>
      </c>
      <c r="G207" s="97">
        <v>46132</v>
      </c>
      <c r="H207" s="98">
        <v>0.7783912037037037</v>
      </c>
      <c r="I207" s="50">
        <v>161000398</v>
      </c>
      <c r="J207" s="96" t="s">
        <v>157</v>
      </c>
      <c r="K207" s="49" t="s">
        <v>798</v>
      </c>
      <c r="L207" s="39" t="s">
        <v>799</v>
      </c>
      <c r="M207" s="49" t="s">
        <v>425</v>
      </c>
      <c r="N207" s="39" t="s">
        <v>197</v>
      </c>
      <c r="O207" s="96" t="s">
        <v>797</v>
      </c>
      <c r="P207" s="49" t="s">
        <v>235</v>
      </c>
      <c r="Q207" s="96" t="s">
        <v>236</v>
      </c>
      <c r="R207" s="52">
        <v>5.9</v>
      </c>
      <c r="S207" s="52">
        <f>R207-T207</f>
        <v>5.267857142857143</v>
      </c>
      <c r="T207" s="52">
        <f>R207*U207/(U207+100)</f>
        <v>0.6321428571428572</v>
      </c>
      <c r="U207" s="50">
        <v>12</v>
      </c>
      <c r="V207" s="53">
        <v>0</v>
      </c>
      <c r="W207" s="147">
        <v>1</v>
      </c>
      <c r="X207" s="148" t="s">
        <v>163</v>
      </c>
      <c r="Y207" s="54">
        <f>R207*W207</f>
        <v>5.9</v>
      </c>
      <c r="Z207" s="52">
        <f>S207*W207</f>
        <v>5.267857142857143</v>
      </c>
      <c r="AA207" s="52">
        <f>T207*W207</f>
        <v>0.6321428571428572</v>
      </c>
      <c r="AB207" s="52">
        <f>V207*W207</f>
        <v>0</v>
      </c>
      <c r="AC207" s="53">
        <f>(R207+V207)*W207</f>
        <v>5.9</v>
      </c>
      <c r="AD207" s="138">
        <v>5.9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105</v>
      </c>
      <c r="F208" s="96" t="s">
        <v>100</v>
      </c>
      <c r="G208" s="97">
        <v>46132</v>
      </c>
      <c r="H208" s="98">
        <v>0.7783912037037037</v>
      </c>
      <c r="I208" s="50">
        <v>161000398</v>
      </c>
      <c r="J208" s="96" t="s">
        <v>157</v>
      </c>
      <c r="K208" s="49" t="s">
        <v>815</v>
      </c>
      <c r="L208" s="39" t="s">
        <v>816</v>
      </c>
      <c r="M208" s="49" t="s">
        <v>243</v>
      </c>
      <c r="N208" s="39" t="s">
        <v>244</v>
      </c>
      <c r="O208" s="96" t="s">
        <v>817</v>
      </c>
      <c r="P208" s="49" t="s">
        <v>235</v>
      </c>
      <c r="Q208" s="96" t="s">
        <v>236</v>
      </c>
      <c r="R208" s="52">
        <v>29.9</v>
      </c>
      <c r="S208" s="52">
        <f>R208-T208</f>
        <v>26.69642857142857</v>
      </c>
      <c r="T208" s="52">
        <f>R208*U208/(U208+100)</f>
        <v>3.2035714285714283</v>
      </c>
      <c r="U208" s="50">
        <v>12</v>
      </c>
      <c r="V208" s="53">
        <v>0</v>
      </c>
      <c r="W208" s="147">
        <v>1</v>
      </c>
      <c r="X208" s="148" t="s">
        <v>163</v>
      </c>
      <c r="Y208" s="54">
        <f>R208*W208</f>
        <v>29.9</v>
      </c>
      <c r="Z208" s="52">
        <f>S208*W208</f>
        <v>26.69642857142857</v>
      </c>
      <c r="AA208" s="52">
        <f>T208*W208</f>
        <v>3.2035714285714283</v>
      </c>
      <c r="AB208" s="52">
        <f>V208*W208</f>
        <v>0</v>
      </c>
      <c r="AC208" s="53">
        <f>(R208+V208)*W208</f>
        <v>29.9</v>
      </c>
      <c r="AD208" s="138">
        <v>29.9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105</v>
      </c>
      <c r="F209" s="96" t="s">
        <v>100</v>
      </c>
      <c r="G209" s="97">
        <v>46132</v>
      </c>
      <c r="H209" s="98">
        <v>0.7783912037037037</v>
      </c>
      <c r="I209" s="50">
        <v>161000398</v>
      </c>
      <c r="J209" s="96" t="s">
        <v>157</v>
      </c>
      <c r="K209" s="49" t="s">
        <v>818</v>
      </c>
      <c r="L209" s="39" t="s">
        <v>819</v>
      </c>
      <c r="M209" s="49" t="s">
        <v>547</v>
      </c>
      <c r="N209" s="39" t="s">
        <v>548</v>
      </c>
      <c r="O209" s="96" t="s">
        <v>820</v>
      </c>
      <c r="P209" s="49" t="s">
        <v>157</v>
      </c>
      <c r="Q209" s="96" t="s">
        <v>104</v>
      </c>
      <c r="R209" s="52">
        <v>24.9</v>
      </c>
      <c r="S209" s="52">
        <f>R209-T209</f>
        <v>22.232142857142858</v>
      </c>
      <c r="T209" s="52">
        <f>R209*U209/(U209+100)</f>
        <v>2.6678571428571423</v>
      </c>
      <c r="U209" s="50">
        <v>12</v>
      </c>
      <c r="V209" s="53">
        <v>0</v>
      </c>
      <c r="W209" s="147">
        <v>2</v>
      </c>
      <c r="X209" s="148" t="s">
        <v>163</v>
      </c>
      <c r="Y209" s="54">
        <f>R209*W209</f>
        <v>49.8</v>
      </c>
      <c r="Z209" s="52">
        <f>S209*W209</f>
        <v>44.464285714285715</v>
      </c>
      <c r="AA209" s="52">
        <f>T209*W209</f>
        <v>5.3357142857142845</v>
      </c>
      <c r="AB209" s="52">
        <f>V209*W209</f>
        <v>0</v>
      </c>
      <c r="AC209" s="53">
        <f>(R209+V209)*W209</f>
        <v>49.8</v>
      </c>
      <c r="AD209" s="138">
        <v>24.9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105</v>
      </c>
      <c r="F210" s="96" t="s">
        <v>100</v>
      </c>
      <c r="G210" s="97">
        <v>46132</v>
      </c>
      <c r="H210" s="98">
        <v>0.8179976851851852</v>
      </c>
      <c r="I210" s="50">
        <v>161000399</v>
      </c>
      <c r="J210" s="96" t="s">
        <v>157</v>
      </c>
      <c r="K210" s="49" t="s">
        <v>821</v>
      </c>
      <c r="L210" s="39" t="s">
        <v>822</v>
      </c>
      <c r="M210" s="49" t="s">
        <v>823</v>
      </c>
      <c r="N210" s="39" t="s">
        <v>202</v>
      </c>
      <c r="O210" s="96" t="s">
        <v>824</v>
      </c>
      <c r="P210" s="49" t="s">
        <v>157</v>
      </c>
      <c r="Q210" s="96" t="s">
        <v>104</v>
      </c>
      <c r="R210" s="52">
        <v>15.9</v>
      </c>
      <c r="S210" s="52">
        <f>R210-T210</f>
        <v>14.196428571428571</v>
      </c>
      <c r="T210" s="52">
        <f>R210*U210/(U210+100)</f>
        <v>1.7035714285714287</v>
      </c>
      <c r="U210" s="50">
        <v>12</v>
      </c>
      <c r="V210" s="53">
        <v>0</v>
      </c>
      <c r="W210" s="147">
        <v>2</v>
      </c>
      <c r="X210" s="148" t="s">
        <v>163</v>
      </c>
      <c r="Y210" s="54">
        <f>R210*W210</f>
        <v>31.8</v>
      </c>
      <c r="Z210" s="52">
        <f>S210*W210</f>
        <v>28.392857142857142</v>
      </c>
      <c r="AA210" s="52">
        <f>T210*W210</f>
        <v>3.4071428571428575</v>
      </c>
      <c r="AB210" s="52">
        <f>V210*W210</f>
        <v>0</v>
      </c>
      <c r="AC210" s="53">
        <f>(R210+V210)*W210</f>
        <v>31.8</v>
      </c>
      <c r="AD210" s="138">
        <v>15.9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105</v>
      </c>
      <c r="F211" s="96" t="s">
        <v>100</v>
      </c>
      <c r="G211" s="97">
        <v>46132</v>
      </c>
      <c r="H211" s="98">
        <v>0.8179976851851852</v>
      </c>
      <c r="I211" s="50">
        <v>161000399</v>
      </c>
      <c r="J211" s="96" t="s">
        <v>157</v>
      </c>
      <c r="K211" s="49" t="s">
        <v>825</v>
      </c>
      <c r="L211" s="39" t="s">
        <v>826</v>
      </c>
      <c r="M211" s="49" t="s">
        <v>480</v>
      </c>
      <c r="N211" s="39" t="s">
        <v>481</v>
      </c>
      <c r="O211" s="96" t="s">
        <v>827</v>
      </c>
      <c r="P211" s="49" t="s">
        <v>157</v>
      </c>
      <c r="Q211" s="96" t="s">
        <v>104</v>
      </c>
      <c r="R211" s="52">
        <v>29.9</v>
      </c>
      <c r="S211" s="52">
        <f>R211-T211</f>
        <v>26.69642857142857</v>
      </c>
      <c r="T211" s="52">
        <f>R211*U211/(U211+100)</f>
        <v>3.2035714285714283</v>
      </c>
      <c r="U211" s="50">
        <v>12</v>
      </c>
      <c r="V211" s="53">
        <v>0</v>
      </c>
      <c r="W211" s="147">
        <v>1</v>
      </c>
      <c r="X211" s="148" t="s">
        <v>163</v>
      </c>
      <c r="Y211" s="54">
        <f>R211*W211</f>
        <v>29.9</v>
      </c>
      <c r="Z211" s="52">
        <f>S211*W211</f>
        <v>26.69642857142857</v>
      </c>
      <c r="AA211" s="52">
        <f>T211*W211</f>
        <v>3.2035714285714283</v>
      </c>
      <c r="AB211" s="52">
        <f>V211*W211</f>
        <v>0</v>
      </c>
      <c r="AC211" s="53">
        <f>(R211+V211)*W211</f>
        <v>29.9</v>
      </c>
      <c r="AD211" s="138">
        <v>29.9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46132</v>
      </c>
      <c r="H212" s="98">
        <v>0.37474537037037037</v>
      </c>
      <c r="I212" s="50">
        <v>163000332</v>
      </c>
      <c r="J212" s="96" t="s">
        <v>157</v>
      </c>
      <c r="K212" s="49" t="s">
        <v>828</v>
      </c>
      <c r="L212" s="39" t="s">
        <v>829</v>
      </c>
      <c r="M212" s="49" t="s">
        <v>830</v>
      </c>
      <c r="N212" s="39" t="s">
        <v>505</v>
      </c>
      <c r="O212" s="96" t="s">
        <v>831</v>
      </c>
      <c r="P212" s="49" t="s">
        <v>157</v>
      </c>
      <c r="Q212" s="96" t="s">
        <v>104</v>
      </c>
      <c r="R212" s="52">
        <v>9.9</v>
      </c>
      <c r="S212" s="52">
        <f>R212-T212</f>
        <v>8.839285714285715</v>
      </c>
      <c r="T212" s="52">
        <f>R212*U212/(U212+100)</f>
        <v>1.0607142857142857</v>
      </c>
      <c r="U212" s="50">
        <v>12</v>
      </c>
      <c r="V212" s="53">
        <v>0</v>
      </c>
      <c r="W212" s="147">
        <v>5</v>
      </c>
      <c r="X212" s="148" t="s">
        <v>163</v>
      </c>
      <c r="Y212" s="54">
        <f>R212*W212</f>
        <v>49.5</v>
      </c>
      <c r="Z212" s="52">
        <f>S212*W212</f>
        <v>44.19642857142858</v>
      </c>
      <c r="AA212" s="52">
        <f>T212*W212</f>
        <v>5.303571428571429</v>
      </c>
      <c r="AB212" s="52">
        <f>V212*W212</f>
        <v>0</v>
      </c>
      <c r="AC212" s="53">
        <f>(R212+V212)*W212</f>
        <v>49.5</v>
      </c>
      <c r="AD212" s="138">
        <v>9.9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46132</v>
      </c>
      <c r="H213" s="98">
        <v>0.37474537037037037</v>
      </c>
      <c r="I213" s="50">
        <v>163000332</v>
      </c>
      <c r="J213" s="96" t="s">
        <v>157</v>
      </c>
      <c r="K213" s="49" t="s">
        <v>832</v>
      </c>
      <c r="L213" s="39" t="s">
        <v>833</v>
      </c>
      <c r="M213" s="49" t="s">
        <v>425</v>
      </c>
      <c r="N213" s="39" t="s">
        <v>239</v>
      </c>
      <c r="O213" s="96" t="s">
        <v>834</v>
      </c>
      <c r="P213" s="49" t="s">
        <v>157</v>
      </c>
      <c r="Q213" s="96" t="s">
        <v>104</v>
      </c>
      <c r="R213" s="52">
        <v>17.9</v>
      </c>
      <c r="S213" s="52">
        <f>R213-T213</f>
        <v>15.982142857142856</v>
      </c>
      <c r="T213" s="52">
        <f>R213*U213/(U213+100)</f>
        <v>1.9178571428571427</v>
      </c>
      <c r="U213" s="50">
        <v>12</v>
      </c>
      <c r="V213" s="53">
        <v>0</v>
      </c>
      <c r="W213" s="147">
        <v>1</v>
      </c>
      <c r="X213" s="148" t="s">
        <v>163</v>
      </c>
      <c r="Y213" s="54">
        <f>R213*W213</f>
        <v>17.9</v>
      </c>
      <c r="Z213" s="52">
        <f>S213*W213</f>
        <v>15.982142857142856</v>
      </c>
      <c r="AA213" s="52">
        <f>T213*W213</f>
        <v>1.9178571428571427</v>
      </c>
      <c r="AB213" s="52">
        <f>V213*W213</f>
        <v>0</v>
      </c>
      <c r="AC213" s="53">
        <f>(R213+V213)*W213</f>
        <v>17.9</v>
      </c>
      <c r="AD213" s="138">
        <v>17.9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46132</v>
      </c>
      <c r="H214" s="98">
        <v>0.37474537037037037</v>
      </c>
      <c r="I214" s="50">
        <v>163000332</v>
      </c>
      <c r="J214" s="96" t="s">
        <v>157</v>
      </c>
      <c r="K214" s="49" t="s">
        <v>835</v>
      </c>
      <c r="L214" s="39" t="s">
        <v>836</v>
      </c>
      <c r="M214" s="49" t="s">
        <v>837</v>
      </c>
      <c r="N214" s="39" t="s">
        <v>838</v>
      </c>
      <c r="O214" s="96" t="s">
        <v>839</v>
      </c>
      <c r="P214" s="49" t="s">
        <v>157</v>
      </c>
      <c r="Q214" s="96" t="s">
        <v>104</v>
      </c>
      <c r="R214" s="52">
        <v>99.9</v>
      </c>
      <c r="S214" s="52">
        <f>R214-T214</f>
        <v>89.19642857142857</v>
      </c>
      <c r="T214" s="52">
        <f>R214*U214/(U214+100)</f>
        <v>10.703571428571431</v>
      </c>
      <c r="U214" s="50">
        <v>12</v>
      </c>
      <c r="V214" s="53">
        <v>0</v>
      </c>
      <c r="W214" s="147">
        <v>1</v>
      </c>
      <c r="X214" s="148" t="s">
        <v>163</v>
      </c>
      <c r="Y214" s="54">
        <f>R214*W214</f>
        <v>99.9</v>
      </c>
      <c r="Z214" s="52">
        <f>S214*W214</f>
        <v>89.19642857142857</v>
      </c>
      <c r="AA214" s="52">
        <f>T214*W214</f>
        <v>10.703571428571431</v>
      </c>
      <c r="AB214" s="52">
        <f>V214*W214</f>
        <v>0</v>
      </c>
      <c r="AC214" s="53">
        <f>(R214+V214)*W214</f>
        <v>99.9</v>
      </c>
      <c r="AD214" s="138">
        <v>99.9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46132</v>
      </c>
      <c r="H215" s="98">
        <v>0.37474537037037037</v>
      </c>
      <c r="I215" s="50">
        <v>163000332</v>
      </c>
      <c r="J215" s="96" t="s">
        <v>157</v>
      </c>
      <c r="K215" s="49" t="s">
        <v>840</v>
      </c>
      <c r="L215" s="39" t="s">
        <v>841</v>
      </c>
      <c r="M215" s="49" t="s">
        <v>842</v>
      </c>
      <c r="N215" s="39" t="s">
        <v>843</v>
      </c>
      <c r="O215" s="96" t="s">
        <v>844</v>
      </c>
      <c r="P215" s="49" t="s">
        <v>157</v>
      </c>
      <c r="Q215" s="96" t="s">
        <v>104</v>
      </c>
      <c r="R215" s="52">
        <v>37.9</v>
      </c>
      <c r="S215" s="52">
        <f>R215-T215</f>
        <v>33.839285714285715</v>
      </c>
      <c r="T215" s="52">
        <f>R215*U215/(U215+100)</f>
        <v>4.060714285714285</v>
      </c>
      <c r="U215" s="50">
        <v>12</v>
      </c>
      <c r="V215" s="53">
        <v>0</v>
      </c>
      <c r="W215" s="147">
        <v>1</v>
      </c>
      <c r="X215" s="148" t="s">
        <v>163</v>
      </c>
      <c r="Y215" s="54">
        <f>R215*W215</f>
        <v>37.9</v>
      </c>
      <c r="Z215" s="52">
        <f>S215*W215</f>
        <v>33.839285714285715</v>
      </c>
      <c r="AA215" s="52">
        <f>T215*W215</f>
        <v>4.060714285714285</v>
      </c>
      <c r="AB215" s="52">
        <f>V215*W215</f>
        <v>0</v>
      </c>
      <c r="AC215" s="53">
        <f>(R215+V215)*W215</f>
        <v>37.9</v>
      </c>
      <c r="AD215" s="138">
        <v>37.9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46132</v>
      </c>
      <c r="H216" s="98">
        <v>0.37474537037037037</v>
      </c>
      <c r="I216" s="50">
        <v>163000332</v>
      </c>
      <c r="J216" s="96" t="s">
        <v>157</v>
      </c>
      <c r="K216" s="49" t="s">
        <v>507</v>
      </c>
      <c r="L216" s="39" t="s">
        <v>508</v>
      </c>
      <c r="M216" s="49" t="s">
        <v>509</v>
      </c>
      <c r="N216" s="39" t="s">
        <v>256</v>
      </c>
      <c r="O216" s="96" t="s">
        <v>510</v>
      </c>
      <c r="P216" s="49" t="s">
        <v>235</v>
      </c>
      <c r="Q216" s="96" t="s">
        <v>236</v>
      </c>
      <c r="R216" s="52">
        <v>15.9</v>
      </c>
      <c r="S216" s="52">
        <f>R216-T216</f>
        <v>13.140495867768596</v>
      </c>
      <c r="T216" s="52">
        <f>R216*U216/(U216+100)</f>
        <v>2.759504132231405</v>
      </c>
      <c r="U216" s="50">
        <v>21</v>
      </c>
      <c r="V216" s="53">
        <v>0</v>
      </c>
      <c r="W216" s="147">
        <v>6</v>
      </c>
      <c r="X216" s="148" t="s">
        <v>163</v>
      </c>
      <c r="Y216" s="54">
        <f>R216*W216</f>
        <v>95.4</v>
      </c>
      <c r="Z216" s="52">
        <f>S216*W216</f>
        <v>78.84297520661158</v>
      </c>
      <c r="AA216" s="52">
        <f>T216*W216</f>
        <v>16.55702479338843</v>
      </c>
      <c r="AB216" s="52">
        <f>V216*W216</f>
        <v>0</v>
      </c>
      <c r="AC216" s="53">
        <f>(R216+V216)*W216</f>
        <v>95.4</v>
      </c>
      <c r="AD216" s="138">
        <v>15.9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46132</v>
      </c>
      <c r="H217" s="98">
        <v>0.37474537037037037</v>
      </c>
      <c r="I217" s="50">
        <v>163000332</v>
      </c>
      <c r="J217" s="96" t="s">
        <v>157</v>
      </c>
      <c r="K217" s="49" t="s">
        <v>680</v>
      </c>
      <c r="L217" s="39" t="s">
        <v>681</v>
      </c>
      <c r="M217" s="49" t="s">
        <v>190</v>
      </c>
      <c r="N217" s="39" t="s">
        <v>532</v>
      </c>
      <c r="O217" s="96" t="s">
        <v>682</v>
      </c>
      <c r="P217" s="49" t="s">
        <v>157</v>
      </c>
      <c r="Q217" s="96" t="s">
        <v>104</v>
      </c>
      <c r="R217" s="52">
        <v>24.9</v>
      </c>
      <c r="S217" s="52">
        <f>R217-T217</f>
        <v>22.232142857142858</v>
      </c>
      <c r="T217" s="52">
        <f>R217*U217/(U217+100)</f>
        <v>2.6678571428571423</v>
      </c>
      <c r="U217" s="50">
        <v>12</v>
      </c>
      <c r="V217" s="53">
        <v>0</v>
      </c>
      <c r="W217" s="147">
        <v>0.566</v>
      </c>
      <c r="X217" s="148" t="s">
        <v>193</v>
      </c>
      <c r="Y217" s="54">
        <f>R217*W217</f>
        <v>14.093399999999997</v>
      </c>
      <c r="Z217" s="52">
        <f>S217*W217</f>
        <v>12.583392857142856</v>
      </c>
      <c r="AA217" s="52">
        <f>T217*W217</f>
        <v>1.5100071428571424</v>
      </c>
      <c r="AB217" s="52">
        <f>V217*W217</f>
        <v>0</v>
      </c>
      <c r="AC217" s="53">
        <f>(R217+V217)*W217</f>
        <v>14.093399999999997</v>
      </c>
      <c r="AD217" s="138">
        <v>24.9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46132</v>
      </c>
      <c r="H218" s="98">
        <v>0.37474537037037037</v>
      </c>
      <c r="I218" s="50">
        <v>163000332</v>
      </c>
      <c r="J218" s="96" t="s">
        <v>157</v>
      </c>
      <c r="K218" s="49" t="s">
        <v>266</v>
      </c>
      <c r="L218" s="39" t="s">
        <v>267</v>
      </c>
      <c r="M218" s="49" t="s">
        <v>268</v>
      </c>
      <c r="N218" s="39" t="s">
        <v>269</v>
      </c>
      <c r="O218" s="96" t="s">
        <v>270</v>
      </c>
      <c r="P218" s="49" t="s">
        <v>235</v>
      </c>
      <c r="Q218" s="96" t="s">
        <v>236</v>
      </c>
      <c r="R218" s="52">
        <v>11.9</v>
      </c>
      <c r="S218" s="52">
        <f>R218-T218</f>
        <v>10.625</v>
      </c>
      <c r="T218" s="52">
        <f>R218*U218/(U218+100)</f>
        <v>1.2750000000000001</v>
      </c>
      <c r="U218" s="50">
        <v>12</v>
      </c>
      <c r="V218" s="53">
        <v>0</v>
      </c>
      <c r="W218" s="147">
        <v>2</v>
      </c>
      <c r="X218" s="148" t="s">
        <v>163</v>
      </c>
      <c r="Y218" s="54">
        <f>R218*W218</f>
        <v>23.8</v>
      </c>
      <c r="Z218" s="52">
        <f>S218*W218</f>
        <v>21.25</v>
      </c>
      <c r="AA218" s="52">
        <f>T218*W218</f>
        <v>2.5500000000000003</v>
      </c>
      <c r="AB218" s="52">
        <f>V218*W218</f>
        <v>0</v>
      </c>
      <c r="AC218" s="53">
        <f>(R218+V218)*W218</f>
        <v>23.8</v>
      </c>
      <c r="AD218" s="138">
        <v>11.9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46132</v>
      </c>
      <c r="H219" s="98">
        <v>0.37474537037037037</v>
      </c>
      <c r="I219" s="50">
        <v>163000332</v>
      </c>
      <c r="J219" s="96" t="s">
        <v>157</v>
      </c>
      <c r="K219" s="49" t="s">
        <v>303</v>
      </c>
      <c r="L219" s="39" t="s">
        <v>304</v>
      </c>
      <c r="M219" s="49" t="s">
        <v>214</v>
      </c>
      <c r="N219" s="39" t="s">
        <v>296</v>
      </c>
      <c r="O219" s="96" t="s">
        <v>305</v>
      </c>
      <c r="P219" s="49" t="s">
        <v>157</v>
      </c>
      <c r="Q219" s="96" t="s">
        <v>104</v>
      </c>
      <c r="R219" s="52">
        <v>11.9</v>
      </c>
      <c r="S219" s="52">
        <f>R219-T219</f>
        <v>10.625</v>
      </c>
      <c r="T219" s="52">
        <f>R219*U219/(U219+100)</f>
        <v>1.2750000000000001</v>
      </c>
      <c r="U219" s="50">
        <v>12</v>
      </c>
      <c r="V219" s="53">
        <v>0</v>
      </c>
      <c r="W219" s="147">
        <v>3</v>
      </c>
      <c r="X219" s="148" t="s">
        <v>163</v>
      </c>
      <c r="Y219" s="54">
        <f>R219*W219</f>
        <v>35.7</v>
      </c>
      <c r="Z219" s="52">
        <f>S219*W219</f>
        <v>31.875</v>
      </c>
      <c r="AA219" s="52">
        <f>T219*W219</f>
        <v>3.825</v>
      </c>
      <c r="AB219" s="52">
        <f>V219*W219</f>
        <v>0</v>
      </c>
      <c r="AC219" s="53">
        <f>(R219+V219)*W219</f>
        <v>35.7</v>
      </c>
      <c r="AD219" s="138">
        <v>11.9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46132</v>
      </c>
      <c r="H220" s="98">
        <v>0.37474537037037037</v>
      </c>
      <c r="I220" s="50">
        <v>163000332</v>
      </c>
      <c r="J220" s="96" t="s">
        <v>157</v>
      </c>
      <c r="K220" s="49" t="s">
        <v>845</v>
      </c>
      <c r="L220" s="39" t="s">
        <v>846</v>
      </c>
      <c r="M220" s="49" t="s">
        <v>522</v>
      </c>
      <c r="N220" s="39" t="s">
        <v>688</v>
      </c>
      <c r="O220" s="96" t="s">
        <v>847</v>
      </c>
      <c r="P220" s="49" t="s">
        <v>157</v>
      </c>
      <c r="Q220" s="96" t="s">
        <v>104</v>
      </c>
      <c r="R220" s="52">
        <v>219.9</v>
      </c>
      <c r="S220" s="52">
        <f>R220-T220</f>
        <v>196.33928571428572</v>
      </c>
      <c r="T220" s="52">
        <f>R220*U220/(U220+100)</f>
        <v>23.560714285714287</v>
      </c>
      <c r="U220" s="50">
        <v>12</v>
      </c>
      <c r="V220" s="53">
        <v>0</v>
      </c>
      <c r="W220" s="147">
        <v>0.23</v>
      </c>
      <c r="X220" s="148" t="s">
        <v>193</v>
      </c>
      <c r="Y220" s="54">
        <f>R220*W220</f>
        <v>50.577000000000005</v>
      </c>
      <c r="Z220" s="52">
        <f>S220*W220</f>
        <v>45.15803571428572</v>
      </c>
      <c r="AA220" s="52">
        <f>T220*W220</f>
        <v>5.418964285714286</v>
      </c>
      <c r="AB220" s="52">
        <f>V220*W220</f>
        <v>0</v>
      </c>
      <c r="AC220" s="53">
        <f>(R220+V220)*W220</f>
        <v>50.577000000000005</v>
      </c>
      <c r="AD220" s="138">
        <v>219.9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46132</v>
      </c>
      <c r="H221" s="98">
        <v>0.37474537037037037</v>
      </c>
      <c r="I221" s="50">
        <v>163000332</v>
      </c>
      <c r="J221" s="96" t="s">
        <v>157</v>
      </c>
      <c r="K221" s="49" t="s">
        <v>848</v>
      </c>
      <c r="L221" s="39" t="s">
        <v>849</v>
      </c>
      <c r="M221" s="49" t="s">
        <v>522</v>
      </c>
      <c r="N221" s="39" t="s">
        <v>688</v>
      </c>
      <c r="O221" s="96" t="s">
        <v>850</v>
      </c>
      <c r="P221" s="49" t="s">
        <v>157</v>
      </c>
      <c r="Q221" s="96" t="s">
        <v>104</v>
      </c>
      <c r="R221" s="52">
        <v>158.9</v>
      </c>
      <c r="S221" s="52">
        <f>R221-T221</f>
        <v>141.875</v>
      </c>
      <c r="T221" s="52">
        <f>R221*U221/(U221+100)</f>
        <v>17.025000000000002</v>
      </c>
      <c r="U221" s="50">
        <v>12</v>
      </c>
      <c r="V221" s="53">
        <v>0</v>
      </c>
      <c r="W221" s="147">
        <v>0.332</v>
      </c>
      <c r="X221" s="148" t="s">
        <v>193</v>
      </c>
      <c r="Y221" s="54">
        <f>R221*W221</f>
        <v>52.7548</v>
      </c>
      <c r="Z221" s="52">
        <f>S221*W221</f>
        <v>47.1025</v>
      </c>
      <c r="AA221" s="52">
        <f>T221*W221</f>
        <v>5.652300000000001</v>
      </c>
      <c r="AB221" s="52">
        <f>V221*W221</f>
        <v>0</v>
      </c>
      <c r="AC221" s="53">
        <f>(R221+V221)*W221</f>
        <v>52.7548</v>
      </c>
      <c r="AD221" s="138">
        <v>158.9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46132</v>
      </c>
      <c r="H222" s="98">
        <v>0.37474537037037037</v>
      </c>
      <c r="I222" s="50">
        <v>163000332</v>
      </c>
      <c r="J222" s="96" t="s">
        <v>157</v>
      </c>
      <c r="K222" s="49" t="s">
        <v>851</v>
      </c>
      <c r="L222" s="39" t="s">
        <v>852</v>
      </c>
      <c r="M222" s="49" t="s">
        <v>277</v>
      </c>
      <c r="N222" s="39" t="s">
        <v>490</v>
      </c>
      <c r="O222" s="96" t="s">
        <v>853</v>
      </c>
      <c r="P222" s="49" t="s">
        <v>157</v>
      </c>
      <c r="Q222" s="96" t="s">
        <v>104</v>
      </c>
      <c r="R222" s="52">
        <v>39.9</v>
      </c>
      <c r="S222" s="52">
        <f>R222-T222</f>
        <v>35.625</v>
      </c>
      <c r="T222" s="52">
        <f>R222*U222/(U222+100)</f>
        <v>4.2749999999999995</v>
      </c>
      <c r="U222" s="50">
        <v>12</v>
      </c>
      <c r="V222" s="53">
        <v>0</v>
      </c>
      <c r="W222" s="147">
        <v>1</v>
      </c>
      <c r="X222" s="148" t="s">
        <v>163</v>
      </c>
      <c r="Y222" s="54">
        <f>R222*W222</f>
        <v>39.9</v>
      </c>
      <c r="Z222" s="52">
        <f>S222*W222</f>
        <v>35.625</v>
      </c>
      <c r="AA222" s="52">
        <f>T222*W222</f>
        <v>4.2749999999999995</v>
      </c>
      <c r="AB222" s="52">
        <f>V222*W222</f>
        <v>0</v>
      </c>
      <c r="AC222" s="53">
        <f>(R222+V222)*W222</f>
        <v>39.9</v>
      </c>
      <c r="AD222" s="138">
        <v>39.9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46132</v>
      </c>
      <c r="H223" s="98">
        <v>0.37474537037037037</v>
      </c>
      <c r="I223" s="50">
        <v>163000332</v>
      </c>
      <c r="J223" s="96" t="s">
        <v>157</v>
      </c>
      <c r="K223" s="49" t="s">
        <v>553</v>
      </c>
      <c r="L223" s="39" t="s">
        <v>104</v>
      </c>
      <c r="M223" s="49" t="s">
        <v>554</v>
      </c>
      <c r="N223" s="39" t="s">
        <v>296</v>
      </c>
      <c r="O223" s="96" t="s">
        <v>555</v>
      </c>
      <c r="P223" s="49" t="s">
        <v>157</v>
      </c>
      <c r="Q223" s="96" t="s">
        <v>104</v>
      </c>
      <c r="R223" s="52">
        <v>8.9</v>
      </c>
      <c r="S223" s="52">
        <f>R223-T223</f>
        <v>7.946428571428572</v>
      </c>
      <c r="T223" s="52">
        <f>R223*U223/(U223+100)</f>
        <v>0.9535714285714286</v>
      </c>
      <c r="U223" s="50">
        <v>12</v>
      </c>
      <c r="V223" s="53">
        <v>0</v>
      </c>
      <c r="W223" s="147">
        <v>4</v>
      </c>
      <c r="X223" s="148" t="s">
        <v>163</v>
      </c>
      <c r="Y223" s="54">
        <f>R223*W223</f>
        <v>35.6</v>
      </c>
      <c r="Z223" s="52">
        <f>S223*W223</f>
        <v>31.78571428571429</v>
      </c>
      <c r="AA223" s="52">
        <f>T223*W223</f>
        <v>3.8142857142857145</v>
      </c>
      <c r="AB223" s="52">
        <f>V223*W223</f>
        <v>0</v>
      </c>
      <c r="AC223" s="53">
        <f>(R223+V223)*W223</f>
        <v>35.6</v>
      </c>
      <c r="AD223" s="138">
        <v>8.9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46132</v>
      </c>
      <c r="H224" s="98">
        <v>0.3798148148148148</v>
      </c>
      <c r="I224" s="50">
        <v>163000333</v>
      </c>
      <c r="J224" s="96" t="s">
        <v>157</v>
      </c>
      <c r="K224" s="49" t="s">
        <v>530</v>
      </c>
      <c r="L224" s="39" t="s">
        <v>531</v>
      </c>
      <c r="M224" s="49" t="s">
        <v>190</v>
      </c>
      <c r="N224" s="39" t="s">
        <v>532</v>
      </c>
      <c r="O224" s="96" t="s">
        <v>533</v>
      </c>
      <c r="P224" s="49" t="s">
        <v>157</v>
      </c>
      <c r="Q224" s="96" t="s">
        <v>104</v>
      </c>
      <c r="R224" s="52">
        <v>25.9</v>
      </c>
      <c r="S224" s="52">
        <f>R224-T224</f>
        <v>23.125</v>
      </c>
      <c r="T224" s="52">
        <f>R224*U224/(U224+100)</f>
        <v>2.7749999999999995</v>
      </c>
      <c r="U224" s="50">
        <v>12</v>
      </c>
      <c r="V224" s="53">
        <v>0</v>
      </c>
      <c r="W224" s="147">
        <v>1.436</v>
      </c>
      <c r="X224" s="148" t="s">
        <v>193</v>
      </c>
      <c r="Y224" s="54">
        <f>R224*W224</f>
        <v>37.1924</v>
      </c>
      <c r="Z224" s="52">
        <f>S224*W224</f>
        <v>33.207499999999996</v>
      </c>
      <c r="AA224" s="52">
        <f>T224*W224</f>
        <v>3.984899999999999</v>
      </c>
      <c r="AB224" s="52">
        <f>V224*W224</f>
        <v>0</v>
      </c>
      <c r="AC224" s="53">
        <f>(R224+V224)*W224</f>
        <v>37.1924</v>
      </c>
      <c r="AD224" s="138">
        <v>25.9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46132</v>
      </c>
      <c r="H225" s="98">
        <v>0.5657291666666666</v>
      </c>
      <c r="I225" s="50">
        <v>163000334</v>
      </c>
      <c r="J225" s="96" t="s">
        <v>157</v>
      </c>
      <c r="K225" s="49" t="s">
        <v>411</v>
      </c>
      <c r="L225" s="39" t="s">
        <v>412</v>
      </c>
      <c r="M225" s="49" t="s">
        <v>413</v>
      </c>
      <c r="N225" s="39" t="s">
        <v>414</v>
      </c>
      <c r="O225" s="96" t="s">
        <v>415</v>
      </c>
      <c r="P225" s="49" t="s">
        <v>157</v>
      </c>
      <c r="Q225" s="96" t="s">
        <v>104</v>
      </c>
      <c r="R225" s="52">
        <v>12.4</v>
      </c>
      <c r="S225" s="52">
        <f>R225-T225</f>
        <v>11.071428571428571</v>
      </c>
      <c r="T225" s="52">
        <f>R225*U225/(U225+100)</f>
        <v>1.3285714285714287</v>
      </c>
      <c r="U225" s="50">
        <v>12</v>
      </c>
      <c r="V225" s="53">
        <v>0</v>
      </c>
      <c r="W225" s="147">
        <v>1</v>
      </c>
      <c r="X225" s="148" t="s">
        <v>163</v>
      </c>
      <c r="Y225" s="54">
        <f>R225*W225</f>
        <v>12.4</v>
      </c>
      <c r="Z225" s="52">
        <f>S225*W225</f>
        <v>11.071428571428571</v>
      </c>
      <c r="AA225" s="52">
        <f>T225*W225</f>
        <v>1.3285714285714287</v>
      </c>
      <c r="AB225" s="52">
        <f>V225*W225</f>
        <v>0</v>
      </c>
      <c r="AC225" s="53">
        <f>(R225+V225)*W225</f>
        <v>12.4</v>
      </c>
      <c r="AD225" s="138">
        <v>12.4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46132</v>
      </c>
      <c r="H226" s="98">
        <v>0.5915972222222222</v>
      </c>
      <c r="I226" s="50">
        <v>163000335</v>
      </c>
      <c r="J226" s="96" t="s">
        <v>157</v>
      </c>
      <c r="K226" s="49" t="s">
        <v>854</v>
      </c>
      <c r="L226" s="39" t="s">
        <v>855</v>
      </c>
      <c r="M226" s="49" t="s">
        <v>792</v>
      </c>
      <c r="N226" s="39" t="s">
        <v>239</v>
      </c>
      <c r="O226" s="96" t="s">
        <v>856</v>
      </c>
      <c r="P226" s="49" t="s">
        <v>157</v>
      </c>
      <c r="Q226" s="96" t="s">
        <v>104</v>
      </c>
      <c r="R226" s="52">
        <v>22.9</v>
      </c>
      <c r="S226" s="52">
        <f>R226-T226</f>
        <v>20.44642857142857</v>
      </c>
      <c r="T226" s="52">
        <f>R226*U226/(U226+100)</f>
        <v>2.4535714285714283</v>
      </c>
      <c r="U226" s="50">
        <v>12</v>
      </c>
      <c r="V226" s="53">
        <v>0</v>
      </c>
      <c r="W226" s="147">
        <v>1</v>
      </c>
      <c r="X226" s="148" t="s">
        <v>163</v>
      </c>
      <c r="Y226" s="54">
        <f>R226*W226</f>
        <v>22.9</v>
      </c>
      <c r="Z226" s="52">
        <f>S226*W226</f>
        <v>20.44642857142857</v>
      </c>
      <c r="AA226" s="52">
        <f>T226*W226</f>
        <v>2.4535714285714283</v>
      </c>
      <c r="AB226" s="52">
        <f>V226*W226</f>
        <v>0</v>
      </c>
      <c r="AC226" s="53">
        <f>(R226+V226)*W226</f>
        <v>22.9</v>
      </c>
      <c r="AD226" s="138">
        <v>22.9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46132</v>
      </c>
      <c r="H227" s="98">
        <v>0.5957638888888889</v>
      </c>
      <c r="I227" s="50">
        <v>163000336</v>
      </c>
      <c r="J227" s="96" t="s">
        <v>157</v>
      </c>
      <c r="K227" s="49" t="s">
        <v>857</v>
      </c>
      <c r="L227" s="39" t="s">
        <v>858</v>
      </c>
      <c r="M227" s="49" t="s">
        <v>185</v>
      </c>
      <c r="N227" s="39" t="s">
        <v>528</v>
      </c>
      <c r="O227" s="96" t="s">
        <v>859</v>
      </c>
      <c r="P227" s="49" t="s">
        <v>157</v>
      </c>
      <c r="Q227" s="96" t="s">
        <v>104</v>
      </c>
      <c r="R227" s="52">
        <v>24.9</v>
      </c>
      <c r="S227" s="52">
        <f>R227-T227</f>
        <v>22.232142857142858</v>
      </c>
      <c r="T227" s="52">
        <f>R227*U227/(U227+100)</f>
        <v>2.6678571428571423</v>
      </c>
      <c r="U227" s="50">
        <v>12</v>
      </c>
      <c r="V227" s="53">
        <v>0</v>
      </c>
      <c r="W227" s="147">
        <v>1</v>
      </c>
      <c r="X227" s="148" t="s">
        <v>163</v>
      </c>
      <c r="Y227" s="54">
        <f>R227*W227</f>
        <v>24.9</v>
      </c>
      <c r="Z227" s="52">
        <f>S227*W227</f>
        <v>22.232142857142858</v>
      </c>
      <c r="AA227" s="52">
        <f>T227*W227</f>
        <v>2.6678571428571423</v>
      </c>
      <c r="AB227" s="52">
        <f>V227*W227</f>
        <v>0</v>
      </c>
      <c r="AC227" s="53">
        <f>(R227+V227)*W227</f>
        <v>24.9</v>
      </c>
      <c r="AD227" s="138">
        <v>24.9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46132</v>
      </c>
      <c r="H228" s="98">
        <v>0.5979513888888889</v>
      </c>
      <c r="I228" s="50">
        <v>163000337</v>
      </c>
      <c r="J228" s="96" t="s">
        <v>157</v>
      </c>
      <c r="K228" s="49" t="s">
        <v>860</v>
      </c>
      <c r="L228" s="39" t="s">
        <v>861</v>
      </c>
      <c r="M228" s="49" t="s">
        <v>862</v>
      </c>
      <c r="N228" s="39" t="s">
        <v>863</v>
      </c>
      <c r="O228" s="96" t="s">
        <v>864</v>
      </c>
      <c r="P228" s="49" t="s">
        <v>157</v>
      </c>
      <c r="Q228" s="96" t="s">
        <v>104</v>
      </c>
      <c r="R228" s="52">
        <v>162</v>
      </c>
      <c r="S228" s="52">
        <f>R228-T228</f>
        <v>133.88429752066116</v>
      </c>
      <c r="T228" s="52">
        <f>R228*U228/(U228+100)</f>
        <v>28.115702479338843</v>
      </c>
      <c r="U228" s="50">
        <v>21</v>
      </c>
      <c r="V228" s="53">
        <v>0</v>
      </c>
      <c r="W228" s="147">
        <v>1</v>
      </c>
      <c r="X228" s="148" t="s">
        <v>163</v>
      </c>
      <c r="Y228" s="54">
        <f>R228*W228</f>
        <v>162</v>
      </c>
      <c r="Z228" s="52">
        <f>S228*W228</f>
        <v>133.88429752066116</v>
      </c>
      <c r="AA228" s="52">
        <f>T228*W228</f>
        <v>28.115702479338843</v>
      </c>
      <c r="AB228" s="52">
        <f>V228*W228</f>
        <v>0</v>
      </c>
      <c r="AC228" s="53">
        <f>(R228+V228)*W228</f>
        <v>162</v>
      </c>
      <c r="AD228" s="138">
        <v>162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46132</v>
      </c>
      <c r="H229" s="98">
        <v>0.6057870370370371</v>
      </c>
      <c r="I229" s="50">
        <v>163000338</v>
      </c>
      <c r="J229" s="96" t="s">
        <v>157</v>
      </c>
      <c r="K229" s="49" t="s">
        <v>350</v>
      </c>
      <c r="L229" s="39" t="s">
        <v>351</v>
      </c>
      <c r="M229" s="49" t="s">
        <v>352</v>
      </c>
      <c r="N229" s="39" t="s">
        <v>353</v>
      </c>
      <c r="O229" s="96" t="s">
        <v>354</v>
      </c>
      <c r="P229" s="49" t="s">
        <v>157</v>
      </c>
      <c r="Q229" s="96" t="s">
        <v>104</v>
      </c>
      <c r="R229" s="52">
        <v>27.9</v>
      </c>
      <c r="S229" s="52">
        <f>R229-T229</f>
        <v>23.05785123966942</v>
      </c>
      <c r="T229" s="52">
        <f>R229*U229/(U229+100)</f>
        <v>4.842148760330578</v>
      </c>
      <c r="U229" s="50">
        <v>21</v>
      </c>
      <c r="V229" s="53">
        <v>0</v>
      </c>
      <c r="W229" s="147">
        <v>1</v>
      </c>
      <c r="X229" s="148" t="s">
        <v>163</v>
      </c>
      <c r="Y229" s="54">
        <f>R229*W229</f>
        <v>27.9</v>
      </c>
      <c r="Z229" s="52">
        <f>S229*W229</f>
        <v>23.05785123966942</v>
      </c>
      <c r="AA229" s="52">
        <f>T229*W229</f>
        <v>4.842148760330578</v>
      </c>
      <c r="AB229" s="52">
        <f>V229*W229</f>
        <v>0</v>
      </c>
      <c r="AC229" s="53">
        <f>(R229+V229)*W229</f>
        <v>27.9</v>
      </c>
      <c r="AD229" s="138">
        <v>27.9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46132</v>
      </c>
      <c r="H230" s="98">
        <v>0.60625</v>
      </c>
      <c r="I230" s="50">
        <v>163000339</v>
      </c>
      <c r="J230" s="96" t="s">
        <v>157</v>
      </c>
      <c r="K230" s="49" t="s">
        <v>865</v>
      </c>
      <c r="L230" s="39" t="s">
        <v>866</v>
      </c>
      <c r="M230" s="49" t="s">
        <v>425</v>
      </c>
      <c r="N230" s="39" t="s">
        <v>197</v>
      </c>
      <c r="O230" s="96" t="s">
        <v>867</v>
      </c>
      <c r="P230" s="49" t="s">
        <v>157</v>
      </c>
      <c r="Q230" s="96" t="s">
        <v>104</v>
      </c>
      <c r="R230" s="52">
        <v>17.9</v>
      </c>
      <c r="S230" s="52">
        <f>R230-T230</f>
        <v>15.982142857142856</v>
      </c>
      <c r="T230" s="52">
        <f>R230*U230/(U230+100)</f>
        <v>1.9178571428571427</v>
      </c>
      <c r="U230" s="50">
        <v>12</v>
      </c>
      <c r="V230" s="53">
        <v>0</v>
      </c>
      <c r="W230" s="147">
        <v>1</v>
      </c>
      <c r="X230" s="148" t="s">
        <v>163</v>
      </c>
      <c r="Y230" s="54">
        <f>R230*W230</f>
        <v>17.9</v>
      </c>
      <c r="Z230" s="52">
        <f>S230*W230</f>
        <v>15.982142857142856</v>
      </c>
      <c r="AA230" s="52">
        <f>T230*W230</f>
        <v>1.9178571428571427</v>
      </c>
      <c r="AB230" s="52">
        <f>V230*W230</f>
        <v>0</v>
      </c>
      <c r="AC230" s="53">
        <f>(R230+V230)*W230</f>
        <v>17.9</v>
      </c>
      <c r="AD230" s="138">
        <v>17.9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46132</v>
      </c>
      <c r="H231" s="98">
        <v>0.60625</v>
      </c>
      <c r="I231" s="50">
        <v>163000339</v>
      </c>
      <c r="J231" s="96" t="s">
        <v>157</v>
      </c>
      <c r="K231" s="49" t="s">
        <v>868</v>
      </c>
      <c r="L231" s="39" t="s">
        <v>869</v>
      </c>
      <c r="M231" s="49" t="s">
        <v>360</v>
      </c>
      <c r="N231" s="39" t="s">
        <v>220</v>
      </c>
      <c r="O231" s="96" t="s">
        <v>870</v>
      </c>
      <c r="P231" s="49" t="s">
        <v>157</v>
      </c>
      <c r="Q231" s="96" t="s">
        <v>104</v>
      </c>
      <c r="R231" s="52">
        <v>11.4</v>
      </c>
      <c r="S231" s="52">
        <f>R231-T231</f>
        <v>9.421487603305785</v>
      </c>
      <c r="T231" s="52">
        <f>R231*U231/(U231+100)</f>
        <v>1.9785123966942149</v>
      </c>
      <c r="U231" s="50">
        <v>21</v>
      </c>
      <c r="V231" s="53">
        <v>0</v>
      </c>
      <c r="W231" s="147">
        <v>1</v>
      </c>
      <c r="X231" s="148" t="s">
        <v>163</v>
      </c>
      <c r="Y231" s="54">
        <f>R231*W231</f>
        <v>11.4</v>
      </c>
      <c r="Z231" s="52">
        <f>S231*W231</f>
        <v>9.421487603305785</v>
      </c>
      <c r="AA231" s="52">
        <f>T231*W231</f>
        <v>1.9785123966942149</v>
      </c>
      <c r="AB231" s="52">
        <f>V231*W231</f>
        <v>0</v>
      </c>
      <c r="AC231" s="53">
        <f>(R231+V231)*W231</f>
        <v>11.4</v>
      </c>
      <c r="AD231" s="138">
        <v>11.4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46132</v>
      </c>
      <c r="H232" s="98">
        <v>0.6091319444444444</v>
      </c>
      <c r="I232" s="50">
        <v>163000340</v>
      </c>
      <c r="J232" s="96" t="s">
        <v>157</v>
      </c>
      <c r="K232" s="49" t="s">
        <v>871</v>
      </c>
      <c r="L232" s="39" t="s">
        <v>872</v>
      </c>
      <c r="M232" s="49" t="s">
        <v>873</v>
      </c>
      <c r="N232" s="39" t="s">
        <v>874</v>
      </c>
      <c r="O232" s="96" t="s">
        <v>875</v>
      </c>
      <c r="P232" s="49" t="s">
        <v>157</v>
      </c>
      <c r="Q232" s="96" t="s">
        <v>104</v>
      </c>
      <c r="R232" s="52">
        <v>34.9</v>
      </c>
      <c r="S232" s="52">
        <f>R232-T232</f>
        <v>31.160714285714285</v>
      </c>
      <c r="T232" s="52">
        <f>R232*U232/(U232+100)</f>
        <v>3.739285714285714</v>
      </c>
      <c r="U232" s="50">
        <v>12</v>
      </c>
      <c r="V232" s="53">
        <v>0</v>
      </c>
      <c r="W232" s="147">
        <v>1</v>
      </c>
      <c r="X232" s="148" t="s">
        <v>163</v>
      </c>
      <c r="Y232" s="54">
        <f>R232*W232</f>
        <v>34.9</v>
      </c>
      <c r="Z232" s="52">
        <f>S232*W232</f>
        <v>31.160714285714285</v>
      </c>
      <c r="AA232" s="52">
        <f>T232*W232</f>
        <v>3.739285714285714</v>
      </c>
      <c r="AB232" s="52">
        <f>V232*W232</f>
        <v>0</v>
      </c>
      <c r="AC232" s="53">
        <f>(R232+V232)*W232</f>
        <v>34.9</v>
      </c>
      <c r="AD232" s="138">
        <v>34.9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46132</v>
      </c>
      <c r="H233" s="98">
        <v>0.6095486111111111</v>
      </c>
      <c r="I233" s="50">
        <v>163000341</v>
      </c>
      <c r="J233" s="96" t="s">
        <v>157</v>
      </c>
      <c r="K233" s="49" t="s">
        <v>876</v>
      </c>
      <c r="L233" s="39" t="s">
        <v>877</v>
      </c>
      <c r="M233" s="49" t="s">
        <v>413</v>
      </c>
      <c r="N233" s="39" t="s">
        <v>601</v>
      </c>
      <c r="O233" s="96" t="s">
        <v>878</v>
      </c>
      <c r="P233" s="49" t="s">
        <v>157</v>
      </c>
      <c r="Q233" s="96" t="s">
        <v>104</v>
      </c>
      <c r="R233" s="52">
        <v>47.9</v>
      </c>
      <c r="S233" s="52">
        <f>R233-T233</f>
        <v>42.76785714285714</v>
      </c>
      <c r="T233" s="52">
        <f>R233*U233/(U233+100)</f>
        <v>5.132142857142857</v>
      </c>
      <c r="U233" s="50">
        <v>12</v>
      </c>
      <c r="V233" s="53">
        <v>0</v>
      </c>
      <c r="W233" s="147">
        <v>2</v>
      </c>
      <c r="X233" s="148" t="s">
        <v>163</v>
      </c>
      <c r="Y233" s="54">
        <f>R233*W233</f>
        <v>95.8</v>
      </c>
      <c r="Z233" s="52">
        <f>S233*W233</f>
        <v>85.53571428571428</v>
      </c>
      <c r="AA233" s="52">
        <f>T233*W233</f>
        <v>10.264285714285714</v>
      </c>
      <c r="AB233" s="52">
        <f>V233*W233</f>
        <v>0</v>
      </c>
      <c r="AC233" s="53">
        <f>(R233+V233)*W233</f>
        <v>95.8</v>
      </c>
      <c r="AD233" s="138">
        <v>47.9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46132</v>
      </c>
      <c r="H234" s="98">
        <v>0.6116666666666667</v>
      </c>
      <c r="I234" s="50">
        <v>163000342</v>
      </c>
      <c r="J234" s="96" t="s">
        <v>157</v>
      </c>
      <c r="K234" s="49" t="s">
        <v>879</v>
      </c>
      <c r="L234" s="39" t="s">
        <v>880</v>
      </c>
      <c r="M234" s="49" t="s">
        <v>881</v>
      </c>
      <c r="N234" s="39" t="s">
        <v>882</v>
      </c>
      <c r="O234" s="96" t="s">
        <v>883</v>
      </c>
      <c r="P234" s="49" t="s">
        <v>157</v>
      </c>
      <c r="Q234" s="96" t="s">
        <v>104</v>
      </c>
      <c r="R234" s="52">
        <v>37.9</v>
      </c>
      <c r="S234" s="52">
        <f>R234-T234</f>
        <v>33.839285714285715</v>
      </c>
      <c r="T234" s="52">
        <f>R234*U234/(U234+100)</f>
        <v>4.060714285714285</v>
      </c>
      <c r="U234" s="50">
        <v>12</v>
      </c>
      <c r="V234" s="53">
        <v>0</v>
      </c>
      <c r="W234" s="147">
        <v>1</v>
      </c>
      <c r="X234" s="148" t="s">
        <v>163</v>
      </c>
      <c r="Y234" s="54">
        <f>R234*W234</f>
        <v>37.9</v>
      </c>
      <c r="Z234" s="52">
        <f>S234*W234</f>
        <v>33.839285714285715</v>
      </c>
      <c r="AA234" s="52">
        <f>T234*W234</f>
        <v>4.060714285714285</v>
      </c>
      <c r="AB234" s="52">
        <f>V234*W234</f>
        <v>0</v>
      </c>
      <c r="AC234" s="53">
        <f>(R234+V234)*W234</f>
        <v>37.9</v>
      </c>
      <c r="AD234" s="138">
        <v>37.9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46132</v>
      </c>
      <c r="H235" s="98">
        <v>0.6116666666666667</v>
      </c>
      <c r="I235" s="50">
        <v>163000342</v>
      </c>
      <c r="J235" s="96" t="s">
        <v>157</v>
      </c>
      <c r="K235" s="49" t="s">
        <v>884</v>
      </c>
      <c r="L235" s="39" t="s">
        <v>885</v>
      </c>
      <c r="M235" s="49" t="s">
        <v>886</v>
      </c>
      <c r="N235" s="39" t="s">
        <v>309</v>
      </c>
      <c r="O235" s="96" t="s">
        <v>887</v>
      </c>
      <c r="P235" s="49" t="s">
        <v>157</v>
      </c>
      <c r="Q235" s="96" t="s">
        <v>104</v>
      </c>
      <c r="R235" s="52">
        <v>16.9</v>
      </c>
      <c r="S235" s="52">
        <f>R235-T235</f>
        <v>15.089285714285714</v>
      </c>
      <c r="T235" s="52">
        <f>R235*U235/(U235+100)</f>
        <v>1.8107142857142855</v>
      </c>
      <c r="U235" s="50">
        <v>12</v>
      </c>
      <c r="V235" s="53">
        <v>0</v>
      </c>
      <c r="W235" s="147">
        <v>1</v>
      </c>
      <c r="X235" s="148" t="s">
        <v>163</v>
      </c>
      <c r="Y235" s="54">
        <f>R235*W235</f>
        <v>16.9</v>
      </c>
      <c r="Z235" s="52">
        <f>S235*W235</f>
        <v>15.089285714285714</v>
      </c>
      <c r="AA235" s="52">
        <f>T235*W235</f>
        <v>1.8107142857142855</v>
      </c>
      <c r="AB235" s="52">
        <f>V235*W235</f>
        <v>0</v>
      </c>
      <c r="AC235" s="53">
        <f>(R235+V235)*W235</f>
        <v>16.9</v>
      </c>
      <c r="AD235" s="138">
        <v>16.9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46132</v>
      </c>
      <c r="H236" s="98">
        <v>0.6232638888888888</v>
      </c>
      <c r="I236" s="50">
        <v>163000343</v>
      </c>
      <c r="J236" s="96" t="s">
        <v>157</v>
      </c>
      <c r="K236" s="49" t="s">
        <v>888</v>
      </c>
      <c r="L236" s="39" t="s">
        <v>889</v>
      </c>
      <c r="M236" s="49" t="s">
        <v>185</v>
      </c>
      <c r="N236" s="39" t="s">
        <v>513</v>
      </c>
      <c r="O236" s="96" t="s">
        <v>890</v>
      </c>
      <c r="P236" s="49" t="s">
        <v>157</v>
      </c>
      <c r="Q236" s="96" t="s">
        <v>104</v>
      </c>
      <c r="R236" s="52">
        <v>14.4</v>
      </c>
      <c r="S236" s="52">
        <f>R236-T236</f>
        <v>12.857142857142858</v>
      </c>
      <c r="T236" s="52">
        <f>R236*U236/(U236+100)</f>
        <v>1.542857142857143</v>
      </c>
      <c r="U236" s="50">
        <v>12</v>
      </c>
      <c r="V236" s="53">
        <v>0</v>
      </c>
      <c r="W236" s="147">
        <v>1</v>
      </c>
      <c r="X236" s="148" t="s">
        <v>163</v>
      </c>
      <c r="Y236" s="54">
        <f>R236*W236</f>
        <v>14.4</v>
      </c>
      <c r="Z236" s="52">
        <f>S236*W236</f>
        <v>12.857142857142858</v>
      </c>
      <c r="AA236" s="52">
        <f>T236*W236</f>
        <v>1.542857142857143</v>
      </c>
      <c r="AB236" s="52">
        <f>V236*W236</f>
        <v>0</v>
      </c>
      <c r="AC236" s="53">
        <f>(R236+V236)*W236</f>
        <v>14.4</v>
      </c>
      <c r="AD236" s="138">
        <v>14.4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46132</v>
      </c>
      <c r="H237" s="98">
        <v>0.6232638888888888</v>
      </c>
      <c r="I237" s="50">
        <v>163000343</v>
      </c>
      <c r="J237" s="96" t="s">
        <v>157</v>
      </c>
      <c r="K237" s="49" t="s">
        <v>891</v>
      </c>
      <c r="L237" s="39" t="s">
        <v>892</v>
      </c>
      <c r="M237" s="49" t="s">
        <v>893</v>
      </c>
      <c r="N237" s="39" t="s">
        <v>291</v>
      </c>
      <c r="O237" s="96" t="s">
        <v>894</v>
      </c>
      <c r="P237" s="49" t="s">
        <v>157</v>
      </c>
      <c r="Q237" s="96" t="s">
        <v>104</v>
      </c>
      <c r="R237" s="52">
        <v>21.9</v>
      </c>
      <c r="S237" s="52">
        <f>R237-T237</f>
        <v>19.553571428571427</v>
      </c>
      <c r="T237" s="52">
        <f>R237*U237/(U237+100)</f>
        <v>2.346428571428571</v>
      </c>
      <c r="U237" s="50">
        <v>12</v>
      </c>
      <c r="V237" s="53">
        <v>0</v>
      </c>
      <c r="W237" s="147">
        <v>1</v>
      </c>
      <c r="X237" s="148" t="s">
        <v>163</v>
      </c>
      <c r="Y237" s="54">
        <f>R237*W237</f>
        <v>21.9</v>
      </c>
      <c r="Z237" s="52">
        <f>S237*W237</f>
        <v>19.553571428571427</v>
      </c>
      <c r="AA237" s="52">
        <f>T237*W237</f>
        <v>2.346428571428571</v>
      </c>
      <c r="AB237" s="52">
        <f>V237*W237</f>
        <v>0</v>
      </c>
      <c r="AC237" s="53">
        <f>(R237+V237)*W237</f>
        <v>21.9</v>
      </c>
      <c r="AD237" s="138">
        <v>21.9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46132</v>
      </c>
      <c r="H238" s="98">
        <v>0.6232638888888888</v>
      </c>
      <c r="I238" s="50">
        <v>163000343</v>
      </c>
      <c r="J238" s="96" t="s">
        <v>157</v>
      </c>
      <c r="K238" s="49" t="s">
        <v>895</v>
      </c>
      <c r="L238" s="39" t="s">
        <v>896</v>
      </c>
      <c r="M238" s="49" t="s">
        <v>282</v>
      </c>
      <c r="N238" s="39" t="s">
        <v>210</v>
      </c>
      <c r="O238" s="96" t="s">
        <v>897</v>
      </c>
      <c r="P238" s="49" t="s">
        <v>157</v>
      </c>
      <c r="Q238" s="96" t="s">
        <v>104</v>
      </c>
      <c r="R238" s="52">
        <v>22.9</v>
      </c>
      <c r="S238" s="52">
        <f>R238-T238</f>
        <v>20.44642857142857</v>
      </c>
      <c r="T238" s="52">
        <f>R238*U238/(U238+100)</f>
        <v>2.4535714285714283</v>
      </c>
      <c r="U238" s="50">
        <v>12</v>
      </c>
      <c r="V238" s="53">
        <v>0</v>
      </c>
      <c r="W238" s="147">
        <v>1</v>
      </c>
      <c r="X238" s="148" t="s">
        <v>163</v>
      </c>
      <c r="Y238" s="54">
        <f>R238*W238</f>
        <v>22.9</v>
      </c>
      <c r="Z238" s="52">
        <f>S238*W238</f>
        <v>20.44642857142857</v>
      </c>
      <c r="AA238" s="52">
        <f>T238*W238</f>
        <v>2.4535714285714283</v>
      </c>
      <c r="AB238" s="52">
        <f>V238*W238</f>
        <v>0</v>
      </c>
      <c r="AC238" s="53">
        <f>(R238+V238)*W238</f>
        <v>22.9</v>
      </c>
      <c r="AD238" s="138">
        <v>22.9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46132</v>
      </c>
      <c r="H239" s="98">
        <v>0.6232638888888888</v>
      </c>
      <c r="I239" s="50">
        <v>163000343</v>
      </c>
      <c r="J239" s="96" t="s">
        <v>157</v>
      </c>
      <c r="K239" s="49" t="s">
        <v>898</v>
      </c>
      <c r="L239" s="39" t="s">
        <v>899</v>
      </c>
      <c r="M239" s="49" t="s">
        <v>201</v>
      </c>
      <c r="N239" s="39" t="s">
        <v>202</v>
      </c>
      <c r="O239" s="96" t="s">
        <v>900</v>
      </c>
      <c r="P239" s="49" t="s">
        <v>235</v>
      </c>
      <c r="Q239" s="96" t="s">
        <v>236</v>
      </c>
      <c r="R239" s="52">
        <v>19.9</v>
      </c>
      <c r="S239" s="52">
        <f>R239-T239</f>
        <v>17.767857142857142</v>
      </c>
      <c r="T239" s="52">
        <f>R239*U239/(U239+100)</f>
        <v>2.132142857142857</v>
      </c>
      <c r="U239" s="50">
        <v>12</v>
      </c>
      <c r="V239" s="53">
        <v>0</v>
      </c>
      <c r="W239" s="147">
        <v>1</v>
      </c>
      <c r="X239" s="148" t="s">
        <v>163</v>
      </c>
      <c r="Y239" s="54">
        <f>R239*W239</f>
        <v>19.9</v>
      </c>
      <c r="Z239" s="52">
        <f>S239*W239</f>
        <v>17.767857142857142</v>
      </c>
      <c r="AA239" s="52">
        <f>T239*W239</f>
        <v>2.132142857142857</v>
      </c>
      <c r="AB239" s="52">
        <f>V239*W239</f>
        <v>0</v>
      </c>
      <c r="AC239" s="53">
        <f>(R239+V239)*W239</f>
        <v>19.9</v>
      </c>
      <c r="AD239" s="138">
        <v>19.9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46132</v>
      </c>
      <c r="H240" s="98">
        <v>0.6232638888888888</v>
      </c>
      <c r="I240" s="50">
        <v>163000343</v>
      </c>
      <c r="J240" s="96" t="s">
        <v>157</v>
      </c>
      <c r="K240" s="49" t="s">
        <v>901</v>
      </c>
      <c r="L240" s="39" t="s">
        <v>902</v>
      </c>
      <c r="M240" s="49" t="s">
        <v>201</v>
      </c>
      <c r="N240" s="39" t="s">
        <v>609</v>
      </c>
      <c r="O240" s="96" t="s">
        <v>903</v>
      </c>
      <c r="P240" s="49" t="s">
        <v>157</v>
      </c>
      <c r="Q240" s="96" t="s">
        <v>104</v>
      </c>
      <c r="R240" s="52">
        <v>13.9</v>
      </c>
      <c r="S240" s="52">
        <f>R240-T240</f>
        <v>12.410714285714286</v>
      </c>
      <c r="T240" s="52">
        <f>R240*U240/(U240+100)</f>
        <v>1.4892857142857143</v>
      </c>
      <c r="U240" s="50">
        <v>12</v>
      </c>
      <c r="V240" s="53">
        <v>0</v>
      </c>
      <c r="W240" s="147">
        <v>1</v>
      </c>
      <c r="X240" s="148" t="s">
        <v>163</v>
      </c>
      <c r="Y240" s="54">
        <f>R240*W240</f>
        <v>13.9</v>
      </c>
      <c r="Z240" s="52">
        <f>S240*W240</f>
        <v>12.410714285714286</v>
      </c>
      <c r="AA240" s="52">
        <f>T240*W240</f>
        <v>1.4892857142857143</v>
      </c>
      <c r="AB240" s="52">
        <f>V240*W240</f>
        <v>0</v>
      </c>
      <c r="AC240" s="53">
        <f>(R240+V240)*W240</f>
        <v>13.9</v>
      </c>
      <c r="AD240" s="138">
        <v>13.9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46132</v>
      </c>
      <c r="H241" s="98">
        <v>0.6279398148148149</v>
      </c>
      <c r="I241" s="50">
        <v>163000344</v>
      </c>
      <c r="J241" s="96" t="s">
        <v>157</v>
      </c>
      <c r="K241" s="49" t="s">
        <v>507</v>
      </c>
      <c r="L241" s="39" t="s">
        <v>508</v>
      </c>
      <c r="M241" s="49" t="s">
        <v>509</v>
      </c>
      <c r="N241" s="39" t="s">
        <v>256</v>
      </c>
      <c r="O241" s="96" t="s">
        <v>510</v>
      </c>
      <c r="P241" s="49" t="s">
        <v>235</v>
      </c>
      <c r="Q241" s="96" t="s">
        <v>236</v>
      </c>
      <c r="R241" s="52">
        <v>15.9</v>
      </c>
      <c r="S241" s="52">
        <f>R241-T241</f>
        <v>13.140495867768596</v>
      </c>
      <c r="T241" s="52">
        <f>R241*U241/(U241+100)</f>
        <v>2.759504132231405</v>
      </c>
      <c r="U241" s="50">
        <v>21</v>
      </c>
      <c r="V241" s="53">
        <v>0</v>
      </c>
      <c r="W241" s="147">
        <v>2</v>
      </c>
      <c r="X241" s="148" t="s">
        <v>163</v>
      </c>
      <c r="Y241" s="54">
        <f>R241*W241</f>
        <v>31.8</v>
      </c>
      <c r="Z241" s="52">
        <f>S241*W241</f>
        <v>26.280991735537192</v>
      </c>
      <c r="AA241" s="52">
        <f>T241*W241</f>
        <v>5.51900826446281</v>
      </c>
      <c r="AB241" s="52">
        <f>V241*W241</f>
        <v>0</v>
      </c>
      <c r="AC241" s="53">
        <f>(R241+V241)*W241</f>
        <v>31.8</v>
      </c>
      <c r="AD241" s="138">
        <v>15.9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46132</v>
      </c>
      <c r="H242" s="98">
        <v>0.6457638888888889</v>
      </c>
      <c r="I242" s="50">
        <v>163000345</v>
      </c>
      <c r="J242" s="96" t="s">
        <v>157</v>
      </c>
      <c r="K242" s="49" t="s">
        <v>904</v>
      </c>
      <c r="L242" s="39" t="s">
        <v>905</v>
      </c>
      <c r="M242" s="49" t="s">
        <v>527</v>
      </c>
      <c r="N242" s="39" t="s">
        <v>906</v>
      </c>
      <c r="O242" s="96" t="s">
        <v>529</v>
      </c>
      <c r="P242" s="49" t="s">
        <v>157</v>
      </c>
      <c r="Q242" s="96" t="s">
        <v>104</v>
      </c>
      <c r="R242" s="52">
        <v>17.9</v>
      </c>
      <c r="S242" s="52">
        <f>R242-T242</f>
        <v>15.982142857142856</v>
      </c>
      <c r="T242" s="52">
        <f>R242*U242/(U242+100)</f>
        <v>1.9178571428571427</v>
      </c>
      <c r="U242" s="50">
        <v>12</v>
      </c>
      <c r="V242" s="53">
        <v>0</v>
      </c>
      <c r="W242" s="147">
        <v>1</v>
      </c>
      <c r="X242" s="148" t="s">
        <v>163</v>
      </c>
      <c r="Y242" s="54">
        <f>R242*W242</f>
        <v>17.9</v>
      </c>
      <c r="Z242" s="52">
        <f>S242*W242</f>
        <v>15.982142857142856</v>
      </c>
      <c r="AA242" s="52">
        <f>T242*W242</f>
        <v>1.9178571428571427</v>
      </c>
      <c r="AB242" s="52">
        <f>V242*W242</f>
        <v>0</v>
      </c>
      <c r="AC242" s="53">
        <f>(R242+V242)*W242</f>
        <v>17.9</v>
      </c>
      <c r="AD242" s="138">
        <v>17.9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46132</v>
      </c>
      <c r="H243" s="98">
        <v>0.6457638888888889</v>
      </c>
      <c r="I243" s="50">
        <v>163000345</v>
      </c>
      <c r="J243" s="96" t="s">
        <v>157</v>
      </c>
      <c r="K243" s="49" t="s">
        <v>907</v>
      </c>
      <c r="L243" s="39" t="s">
        <v>908</v>
      </c>
      <c r="M243" s="49" t="s">
        <v>341</v>
      </c>
      <c r="N243" s="39" t="s">
        <v>587</v>
      </c>
      <c r="O243" s="96" t="s">
        <v>909</v>
      </c>
      <c r="P243" s="49" t="s">
        <v>157</v>
      </c>
      <c r="Q243" s="96" t="s">
        <v>104</v>
      </c>
      <c r="R243" s="52">
        <v>27.9</v>
      </c>
      <c r="S243" s="52">
        <f>R243-T243</f>
        <v>23.05785123966942</v>
      </c>
      <c r="T243" s="52">
        <f>R243*U243/(U243+100)</f>
        <v>4.842148760330578</v>
      </c>
      <c r="U243" s="50">
        <v>21</v>
      </c>
      <c r="V243" s="53">
        <v>0</v>
      </c>
      <c r="W243" s="147">
        <v>1</v>
      </c>
      <c r="X243" s="148" t="s">
        <v>163</v>
      </c>
      <c r="Y243" s="54">
        <f>R243*W243</f>
        <v>27.9</v>
      </c>
      <c r="Z243" s="52">
        <f>S243*W243</f>
        <v>23.05785123966942</v>
      </c>
      <c r="AA243" s="52">
        <f>T243*W243</f>
        <v>4.842148760330578</v>
      </c>
      <c r="AB243" s="52">
        <f>V243*W243</f>
        <v>0</v>
      </c>
      <c r="AC243" s="53">
        <f>(R243+V243)*W243</f>
        <v>27.9</v>
      </c>
      <c r="AD243" s="138">
        <v>27.9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46132</v>
      </c>
      <c r="H244" s="98">
        <v>0.6510069444444444</v>
      </c>
      <c r="I244" s="50">
        <v>163000346</v>
      </c>
      <c r="J244" s="96" t="s">
        <v>157</v>
      </c>
      <c r="K244" s="49" t="s">
        <v>910</v>
      </c>
      <c r="L244" s="39" t="s">
        <v>911</v>
      </c>
      <c r="M244" s="49" t="s">
        <v>277</v>
      </c>
      <c r="N244" s="39" t="s">
        <v>408</v>
      </c>
      <c r="O244" s="96" t="s">
        <v>912</v>
      </c>
      <c r="P244" s="49" t="s">
        <v>157</v>
      </c>
      <c r="Q244" s="96" t="s">
        <v>104</v>
      </c>
      <c r="R244" s="52">
        <v>221.9</v>
      </c>
      <c r="S244" s="52">
        <f>R244-T244</f>
        <v>198.125</v>
      </c>
      <c r="T244" s="52">
        <f>R244*U244/(U244+100)</f>
        <v>23.775000000000002</v>
      </c>
      <c r="U244" s="50">
        <v>12</v>
      </c>
      <c r="V244" s="53">
        <v>0</v>
      </c>
      <c r="W244" s="147">
        <v>0.112</v>
      </c>
      <c r="X244" s="148" t="s">
        <v>410</v>
      </c>
      <c r="Y244" s="54">
        <f>R244*W244</f>
        <v>24.852800000000002</v>
      </c>
      <c r="Z244" s="52">
        <f>S244*W244</f>
        <v>22.19</v>
      </c>
      <c r="AA244" s="52">
        <f>T244*W244</f>
        <v>2.6628000000000003</v>
      </c>
      <c r="AB244" s="52">
        <f>V244*W244</f>
        <v>0</v>
      </c>
      <c r="AC244" s="53">
        <f>(R244+V244)*W244</f>
        <v>24.852800000000002</v>
      </c>
      <c r="AD244" s="138">
        <v>221.9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46132</v>
      </c>
      <c r="H245" s="98">
        <v>0.6510069444444444</v>
      </c>
      <c r="I245" s="50">
        <v>163000346</v>
      </c>
      <c r="J245" s="96" t="s">
        <v>157</v>
      </c>
      <c r="K245" s="49" t="s">
        <v>913</v>
      </c>
      <c r="L245" s="39" t="s">
        <v>914</v>
      </c>
      <c r="M245" s="49" t="s">
        <v>277</v>
      </c>
      <c r="N245" s="39" t="s">
        <v>408</v>
      </c>
      <c r="O245" s="96" t="s">
        <v>915</v>
      </c>
      <c r="P245" s="49" t="s">
        <v>157</v>
      </c>
      <c r="Q245" s="96" t="s">
        <v>104</v>
      </c>
      <c r="R245" s="52">
        <v>257.9</v>
      </c>
      <c r="S245" s="52">
        <f>R245-T245</f>
        <v>230.2678571428571</v>
      </c>
      <c r="T245" s="52">
        <f>R245*U245/(U245+100)</f>
        <v>27.632142857142856</v>
      </c>
      <c r="U245" s="50">
        <v>12</v>
      </c>
      <c r="V245" s="53">
        <v>0</v>
      </c>
      <c r="W245" s="147">
        <v>0.104</v>
      </c>
      <c r="X245" s="148" t="s">
        <v>410</v>
      </c>
      <c r="Y245" s="54">
        <f>R245*W245</f>
        <v>26.821599999999997</v>
      </c>
      <c r="Z245" s="52">
        <f>S245*W245</f>
        <v>23.94785714285714</v>
      </c>
      <c r="AA245" s="52">
        <f>T245*W245</f>
        <v>2.8737428571428567</v>
      </c>
      <c r="AB245" s="52">
        <f>V245*W245</f>
        <v>0</v>
      </c>
      <c r="AC245" s="53">
        <f>(R245+V245)*W245</f>
        <v>26.821599999999997</v>
      </c>
      <c r="AD245" s="138">
        <v>257.9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46132</v>
      </c>
      <c r="H246" s="98">
        <v>0.6526157407407407</v>
      </c>
      <c r="I246" s="50">
        <v>163000347</v>
      </c>
      <c r="J246" s="96" t="s">
        <v>157</v>
      </c>
      <c r="K246" s="49" t="s">
        <v>336</v>
      </c>
      <c r="L246" s="39" t="s">
        <v>337</v>
      </c>
      <c r="M246" s="49" t="s">
        <v>190</v>
      </c>
      <c r="N246" s="39" t="s">
        <v>191</v>
      </c>
      <c r="O246" s="96" t="s">
        <v>338</v>
      </c>
      <c r="P246" s="49" t="s">
        <v>157</v>
      </c>
      <c r="Q246" s="96" t="s">
        <v>104</v>
      </c>
      <c r="R246" s="52">
        <v>11.9</v>
      </c>
      <c r="S246" s="52">
        <f>R246-T246</f>
        <v>10.625</v>
      </c>
      <c r="T246" s="52">
        <f>R246*U246/(U246+100)</f>
        <v>1.2750000000000001</v>
      </c>
      <c r="U246" s="50">
        <v>12</v>
      </c>
      <c r="V246" s="53">
        <v>0</v>
      </c>
      <c r="W246" s="147">
        <v>0.682</v>
      </c>
      <c r="X246" s="148" t="s">
        <v>193</v>
      </c>
      <c r="Y246" s="54">
        <f>R246*W246</f>
        <v>8.1158</v>
      </c>
      <c r="Z246" s="52">
        <f>S246*W246</f>
        <v>7.246250000000001</v>
      </c>
      <c r="AA246" s="52">
        <f>T246*W246</f>
        <v>0.8695500000000002</v>
      </c>
      <c r="AB246" s="52">
        <f>V246*W246</f>
        <v>0</v>
      </c>
      <c r="AC246" s="53">
        <f>(R246+V246)*W246</f>
        <v>8.1158</v>
      </c>
      <c r="AD246" s="138">
        <v>11.9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46132</v>
      </c>
      <c r="H247" s="98">
        <v>0.6554166666666666</v>
      </c>
      <c r="I247" s="50">
        <v>163000348</v>
      </c>
      <c r="J247" s="96" t="s">
        <v>157</v>
      </c>
      <c r="K247" s="49" t="s">
        <v>916</v>
      </c>
      <c r="L247" s="39" t="s">
        <v>917</v>
      </c>
      <c r="M247" s="49" t="s">
        <v>214</v>
      </c>
      <c r="N247" s="39" t="s">
        <v>548</v>
      </c>
      <c r="O247" s="96" t="s">
        <v>918</v>
      </c>
      <c r="P247" s="49" t="s">
        <v>157</v>
      </c>
      <c r="Q247" s="96" t="s">
        <v>104</v>
      </c>
      <c r="R247" s="52">
        <v>27.9</v>
      </c>
      <c r="S247" s="52">
        <f>R247-T247</f>
        <v>24.910714285714285</v>
      </c>
      <c r="T247" s="52">
        <f>R247*U247/(U247+100)</f>
        <v>2.989285714285714</v>
      </c>
      <c r="U247" s="50">
        <v>12</v>
      </c>
      <c r="V247" s="53">
        <v>0</v>
      </c>
      <c r="W247" s="147">
        <v>3</v>
      </c>
      <c r="X247" s="148" t="s">
        <v>163</v>
      </c>
      <c r="Y247" s="54">
        <f>R247*W247</f>
        <v>83.69999999999999</v>
      </c>
      <c r="Z247" s="52">
        <f>S247*W247</f>
        <v>74.73214285714286</v>
      </c>
      <c r="AA247" s="52">
        <f>T247*W247</f>
        <v>8.967857142857142</v>
      </c>
      <c r="AB247" s="52">
        <f>V247*W247</f>
        <v>0</v>
      </c>
      <c r="AC247" s="53">
        <f>(R247+V247)*W247</f>
        <v>83.69999999999999</v>
      </c>
      <c r="AD247" s="138">
        <v>27.9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46132</v>
      </c>
      <c r="H248" s="98">
        <v>0.6554166666666666</v>
      </c>
      <c r="I248" s="50">
        <v>163000348</v>
      </c>
      <c r="J248" s="96" t="s">
        <v>157</v>
      </c>
      <c r="K248" s="49" t="s">
        <v>507</v>
      </c>
      <c r="L248" s="39" t="s">
        <v>508</v>
      </c>
      <c r="M248" s="49" t="s">
        <v>509</v>
      </c>
      <c r="N248" s="39" t="s">
        <v>256</v>
      </c>
      <c r="O248" s="96" t="s">
        <v>510</v>
      </c>
      <c r="P248" s="49" t="s">
        <v>235</v>
      </c>
      <c r="Q248" s="96" t="s">
        <v>236</v>
      </c>
      <c r="R248" s="52">
        <v>15.9</v>
      </c>
      <c r="S248" s="52">
        <f>R248-T248</f>
        <v>13.140495867768596</v>
      </c>
      <c r="T248" s="52">
        <f>R248*U248/(U248+100)</f>
        <v>2.759504132231405</v>
      </c>
      <c r="U248" s="50">
        <v>21</v>
      </c>
      <c r="V248" s="53">
        <v>0</v>
      </c>
      <c r="W248" s="147">
        <v>1</v>
      </c>
      <c r="X248" s="148" t="s">
        <v>163</v>
      </c>
      <c r="Y248" s="54">
        <f>R248*W248</f>
        <v>15.9</v>
      </c>
      <c r="Z248" s="52">
        <f>S248*W248</f>
        <v>13.140495867768596</v>
      </c>
      <c r="AA248" s="52">
        <f>T248*W248</f>
        <v>2.759504132231405</v>
      </c>
      <c r="AB248" s="52">
        <f>V248*W248</f>
        <v>0</v>
      </c>
      <c r="AC248" s="53">
        <f>(R248+V248)*W248</f>
        <v>15.9</v>
      </c>
      <c r="AD248" s="138">
        <v>15.9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46132</v>
      </c>
      <c r="H249" s="98">
        <v>0.65875</v>
      </c>
      <c r="I249" s="50">
        <v>163000349</v>
      </c>
      <c r="J249" s="96" t="s">
        <v>157</v>
      </c>
      <c r="K249" s="49" t="s">
        <v>321</v>
      </c>
      <c r="L249" s="39" t="s">
        <v>322</v>
      </c>
      <c r="M249" s="49" t="s">
        <v>232</v>
      </c>
      <c r="N249" s="39" t="s">
        <v>233</v>
      </c>
      <c r="O249" s="96" t="s">
        <v>323</v>
      </c>
      <c r="P249" s="49" t="s">
        <v>157</v>
      </c>
      <c r="Q249" s="96" t="s">
        <v>104</v>
      </c>
      <c r="R249" s="52">
        <v>24.9</v>
      </c>
      <c r="S249" s="52">
        <f>R249-T249</f>
        <v>20.578512396694215</v>
      </c>
      <c r="T249" s="52">
        <f>R249*U249/(U249+100)</f>
        <v>4.321487603305785</v>
      </c>
      <c r="U249" s="50">
        <v>21</v>
      </c>
      <c r="V249" s="53">
        <v>0</v>
      </c>
      <c r="W249" s="147">
        <v>1</v>
      </c>
      <c r="X249" s="148" t="s">
        <v>163</v>
      </c>
      <c r="Y249" s="54">
        <f>R249*W249</f>
        <v>24.9</v>
      </c>
      <c r="Z249" s="52">
        <f>S249*W249</f>
        <v>20.578512396694215</v>
      </c>
      <c r="AA249" s="52">
        <f>T249*W249</f>
        <v>4.321487603305785</v>
      </c>
      <c r="AB249" s="52">
        <f>V249*W249</f>
        <v>0</v>
      </c>
      <c r="AC249" s="53">
        <f>(R249+V249)*W249</f>
        <v>24.9</v>
      </c>
      <c r="AD249" s="138">
        <v>24.9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46132</v>
      </c>
      <c r="H250" s="98">
        <v>0.6804976851851852</v>
      </c>
      <c r="I250" s="50">
        <v>163000350</v>
      </c>
      <c r="J250" s="96" t="s">
        <v>157</v>
      </c>
      <c r="K250" s="49" t="s">
        <v>919</v>
      </c>
      <c r="L250" s="39" t="s">
        <v>920</v>
      </c>
      <c r="M250" s="49" t="s">
        <v>600</v>
      </c>
      <c r="N250" s="39" t="s">
        <v>601</v>
      </c>
      <c r="O250" s="96" t="s">
        <v>921</v>
      </c>
      <c r="P250" s="49" t="s">
        <v>235</v>
      </c>
      <c r="Q250" s="96" t="s">
        <v>236</v>
      </c>
      <c r="R250" s="52">
        <v>29.9</v>
      </c>
      <c r="S250" s="52">
        <f>R250-T250</f>
        <v>26.69642857142857</v>
      </c>
      <c r="T250" s="52">
        <f>R250*U250/(U250+100)</f>
        <v>3.2035714285714283</v>
      </c>
      <c r="U250" s="50">
        <v>12</v>
      </c>
      <c r="V250" s="53">
        <v>0</v>
      </c>
      <c r="W250" s="147">
        <v>1</v>
      </c>
      <c r="X250" s="148" t="s">
        <v>163</v>
      </c>
      <c r="Y250" s="54">
        <f>R250*W250</f>
        <v>29.9</v>
      </c>
      <c r="Z250" s="52">
        <f>S250*W250</f>
        <v>26.69642857142857</v>
      </c>
      <c r="AA250" s="52">
        <f>T250*W250</f>
        <v>3.2035714285714283</v>
      </c>
      <c r="AB250" s="52">
        <f>V250*W250</f>
        <v>0</v>
      </c>
      <c r="AC250" s="53">
        <f>(R250+V250)*W250</f>
        <v>29.9</v>
      </c>
      <c r="AD250" s="138">
        <v>29.9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46132</v>
      </c>
      <c r="H251" s="98">
        <v>0.6804976851851852</v>
      </c>
      <c r="I251" s="50">
        <v>163000350</v>
      </c>
      <c r="J251" s="96" t="s">
        <v>157</v>
      </c>
      <c r="K251" s="49" t="s">
        <v>922</v>
      </c>
      <c r="L251" s="39" t="s">
        <v>923</v>
      </c>
      <c r="M251" s="49" t="s">
        <v>300</v>
      </c>
      <c r="N251" s="39" t="s">
        <v>924</v>
      </c>
      <c r="O251" s="96" t="s">
        <v>925</v>
      </c>
      <c r="P251" s="49" t="s">
        <v>157</v>
      </c>
      <c r="Q251" s="96" t="s">
        <v>104</v>
      </c>
      <c r="R251" s="52">
        <v>57.9</v>
      </c>
      <c r="S251" s="52">
        <f>R251-T251</f>
        <v>51.69642857142857</v>
      </c>
      <c r="T251" s="52">
        <f>R251*U251/(U251+100)</f>
        <v>6.203571428571428</v>
      </c>
      <c r="U251" s="50">
        <v>12</v>
      </c>
      <c r="V251" s="53">
        <v>0</v>
      </c>
      <c r="W251" s="147">
        <v>1</v>
      </c>
      <c r="X251" s="148" t="s">
        <v>163</v>
      </c>
      <c r="Y251" s="54">
        <f>R251*W251</f>
        <v>57.9</v>
      </c>
      <c r="Z251" s="52">
        <f>S251*W251</f>
        <v>51.69642857142857</v>
      </c>
      <c r="AA251" s="52">
        <f>T251*W251</f>
        <v>6.203571428571428</v>
      </c>
      <c r="AB251" s="52">
        <f>V251*W251</f>
        <v>0</v>
      </c>
      <c r="AC251" s="53">
        <f>(R251+V251)*W251</f>
        <v>57.9</v>
      </c>
      <c r="AD251" s="138">
        <v>57.9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46132</v>
      </c>
      <c r="H252" s="98">
        <v>0.6804976851851852</v>
      </c>
      <c r="I252" s="50">
        <v>163000350</v>
      </c>
      <c r="J252" s="96" t="s">
        <v>157</v>
      </c>
      <c r="K252" s="49" t="s">
        <v>926</v>
      </c>
      <c r="L252" s="39" t="s">
        <v>927</v>
      </c>
      <c r="M252" s="49" t="s">
        <v>255</v>
      </c>
      <c r="N252" s="39" t="s">
        <v>256</v>
      </c>
      <c r="O252" s="96" t="s">
        <v>928</v>
      </c>
      <c r="P252" s="49" t="s">
        <v>157</v>
      </c>
      <c r="Q252" s="96" t="s">
        <v>104</v>
      </c>
      <c r="R252" s="52">
        <v>23.9</v>
      </c>
      <c r="S252" s="52">
        <f>R252-T252</f>
        <v>19.752066115702476</v>
      </c>
      <c r="T252" s="52">
        <f>R252*U252/(U252+100)</f>
        <v>4.147933884297521</v>
      </c>
      <c r="U252" s="50">
        <v>21</v>
      </c>
      <c r="V252" s="53">
        <v>0</v>
      </c>
      <c r="W252" s="147">
        <v>1</v>
      </c>
      <c r="X252" s="148" t="s">
        <v>163</v>
      </c>
      <c r="Y252" s="54">
        <f>R252*W252</f>
        <v>23.9</v>
      </c>
      <c r="Z252" s="52">
        <f>S252*W252</f>
        <v>19.752066115702476</v>
      </c>
      <c r="AA252" s="52">
        <f>T252*W252</f>
        <v>4.147933884297521</v>
      </c>
      <c r="AB252" s="52">
        <f>V252*W252</f>
        <v>0</v>
      </c>
      <c r="AC252" s="53">
        <f>(R252+V252)*W252</f>
        <v>23.9</v>
      </c>
      <c r="AD252" s="138">
        <v>23.9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46132</v>
      </c>
      <c r="H253" s="98">
        <v>0.6804976851851852</v>
      </c>
      <c r="I253" s="50">
        <v>163000350</v>
      </c>
      <c r="J253" s="96" t="s">
        <v>157</v>
      </c>
      <c r="K253" s="49" t="s">
        <v>416</v>
      </c>
      <c r="L253" s="39" t="s">
        <v>417</v>
      </c>
      <c r="M253" s="49" t="s">
        <v>214</v>
      </c>
      <c r="N253" s="39" t="s">
        <v>418</v>
      </c>
      <c r="O253" s="96" t="s">
        <v>419</v>
      </c>
      <c r="P253" s="49" t="s">
        <v>157</v>
      </c>
      <c r="Q253" s="96" t="s">
        <v>104</v>
      </c>
      <c r="R253" s="52">
        <v>19.9</v>
      </c>
      <c r="S253" s="52">
        <f>R253-T253</f>
        <v>17.767857142857142</v>
      </c>
      <c r="T253" s="52">
        <f>R253*U253/(U253+100)</f>
        <v>2.132142857142857</v>
      </c>
      <c r="U253" s="50">
        <v>12</v>
      </c>
      <c r="V253" s="53">
        <v>0</v>
      </c>
      <c r="W253" s="147">
        <v>3</v>
      </c>
      <c r="X253" s="148" t="s">
        <v>163</v>
      </c>
      <c r="Y253" s="54">
        <f>R253*W253</f>
        <v>59.699999999999996</v>
      </c>
      <c r="Z253" s="52">
        <f>S253*W253</f>
        <v>53.30357142857143</v>
      </c>
      <c r="AA253" s="52">
        <f>T253*W253</f>
        <v>6.396428571428571</v>
      </c>
      <c r="AB253" s="52">
        <f>V253*W253</f>
        <v>0</v>
      </c>
      <c r="AC253" s="53">
        <f>(R253+V253)*W253</f>
        <v>59.699999999999996</v>
      </c>
      <c r="AD253" s="138">
        <v>19.9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46132</v>
      </c>
      <c r="H254" s="98">
        <v>0.6951736111111111</v>
      </c>
      <c r="I254" s="50">
        <v>163000351</v>
      </c>
      <c r="J254" s="96" t="s">
        <v>157</v>
      </c>
      <c r="K254" s="49" t="s">
        <v>929</v>
      </c>
      <c r="L254" s="39" t="s">
        <v>930</v>
      </c>
      <c r="M254" s="49" t="s">
        <v>893</v>
      </c>
      <c r="N254" s="39" t="s">
        <v>319</v>
      </c>
      <c r="O254" s="96" t="s">
        <v>931</v>
      </c>
      <c r="P254" s="49" t="s">
        <v>157</v>
      </c>
      <c r="Q254" s="96" t="s">
        <v>104</v>
      </c>
      <c r="R254" s="52">
        <v>39.9</v>
      </c>
      <c r="S254" s="52">
        <f>R254-T254</f>
        <v>35.625</v>
      </c>
      <c r="T254" s="52">
        <f>R254*U254/(U254+100)</f>
        <v>4.2749999999999995</v>
      </c>
      <c r="U254" s="50">
        <v>12</v>
      </c>
      <c r="V254" s="53">
        <v>0</v>
      </c>
      <c r="W254" s="147">
        <v>1</v>
      </c>
      <c r="X254" s="148" t="s">
        <v>163</v>
      </c>
      <c r="Y254" s="54">
        <f>R254*W254</f>
        <v>39.9</v>
      </c>
      <c r="Z254" s="52">
        <f>S254*W254</f>
        <v>35.625</v>
      </c>
      <c r="AA254" s="52">
        <f>T254*W254</f>
        <v>4.2749999999999995</v>
      </c>
      <c r="AB254" s="52">
        <f>V254*W254</f>
        <v>0</v>
      </c>
      <c r="AC254" s="53">
        <f>(R254+V254)*W254</f>
        <v>39.9</v>
      </c>
      <c r="AD254" s="138">
        <v>39.9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46132</v>
      </c>
      <c r="H255" s="98">
        <v>0.6951736111111111</v>
      </c>
      <c r="I255" s="50">
        <v>163000351</v>
      </c>
      <c r="J255" s="96" t="s">
        <v>157</v>
      </c>
      <c r="K255" s="49" t="s">
        <v>932</v>
      </c>
      <c r="L255" s="39" t="s">
        <v>933</v>
      </c>
      <c r="M255" s="49" t="s">
        <v>823</v>
      </c>
      <c r="N255" s="39" t="s">
        <v>609</v>
      </c>
      <c r="O255" s="96" t="s">
        <v>934</v>
      </c>
      <c r="P255" s="49" t="s">
        <v>157</v>
      </c>
      <c r="Q255" s="96" t="s">
        <v>104</v>
      </c>
      <c r="R255" s="52">
        <v>16.9</v>
      </c>
      <c r="S255" s="52">
        <f>R255-T255</f>
        <v>15.089285714285714</v>
      </c>
      <c r="T255" s="52">
        <f>R255*U255/(U255+100)</f>
        <v>1.8107142857142855</v>
      </c>
      <c r="U255" s="50">
        <v>12</v>
      </c>
      <c r="V255" s="53">
        <v>0</v>
      </c>
      <c r="W255" s="147">
        <v>4</v>
      </c>
      <c r="X255" s="148" t="s">
        <v>163</v>
      </c>
      <c r="Y255" s="54">
        <f>R255*W255</f>
        <v>67.6</v>
      </c>
      <c r="Z255" s="52">
        <f>S255*W255</f>
        <v>60.357142857142854</v>
      </c>
      <c r="AA255" s="52">
        <f>T255*W255</f>
        <v>7.242857142857142</v>
      </c>
      <c r="AB255" s="52">
        <f>V255*W255</f>
        <v>0</v>
      </c>
      <c r="AC255" s="53">
        <f>(R255+V255)*W255</f>
        <v>67.6</v>
      </c>
      <c r="AD255" s="138">
        <v>16.9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46132</v>
      </c>
      <c r="H256" s="98">
        <v>0.6951736111111111</v>
      </c>
      <c r="I256" s="50">
        <v>163000351</v>
      </c>
      <c r="J256" s="96" t="s">
        <v>157</v>
      </c>
      <c r="K256" s="49" t="s">
        <v>614</v>
      </c>
      <c r="L256" s="39" t="s">
        <v>615</v>
      </c>
      <c r="M256" s="49" t="s">
        <v>616</v>
      </c>
      <c r="N256" s="39" t="s">
        <v>291</v>
      </c>
      <c r="O256" s="96" t="s">
        <v>617</v>
      </c>
      <c r="P256" s="49" t="s">
        <v>157</v>
      </c>
      <c r="Q256" s="96" t="s">
        <v>104</v>
      </c>
      <c r="R256" s="52">
        <v>32.9</v>
      </c>
      <c r="S256" s="52">
        <f>R256-T256</f>
        <v>29.375</v>
      </c>
      <c r="T256" s="52">
        <f>R256*U256/(U256+100)</f>
        <v>3.5249999999999995</v>
      </c>
      <c r="U256" s="50">
        <v>12</v>
      </c>
      <c r="V256" s="53">
        <v>0</v>
      </c>
      <c r="W256" s="147">
        <v>1</v>
      </c>
      <c r="X256" s="148" t="s">
        <v>163</v>
      </c>
      <c r="Y256" s="54">
        <f>R256*W256</f>
        <v>32.9</v>
      </c>
      <c r="Z256" s="52">
        <f>S256*W256</f>
        <v>29.375</v>
      </c>
      <c r="AA256" s="52">
        <f>T256*W256</f>
        <v>3.5249999999999995</v>
      </c>
      <c r="AB256" s="52">
        <f>V256*W256</f>
        <v>0</v>
      </c>
      <c r="AC256" s="53">
        <f>(R256+V256)*W256</f>
        <v>32.9</v>
      </c>
      <c r="AD256" s="138">
        <v>32.9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46132</v>
      </c>
      <c r="H257" s="98">
        <v>0.6951736111111111</v>
      </c>
      <c r="I257" s="50">
        <v>163000351</v>
      </c>
      <c r="J257" s="96" t="s">
        <v>157</v>
      </c>
      <c r="K257" s="49" t="s">
        <v>935</v>
      </c>
      <c r="L257" s="39" t="s">
        <v>936</v>
      </c>
      <c r="M257" s="49" t="s">
        <v>649</v>
      </c>
      <c r="N257" s="39" t="s">
        <v>838</v>
      </c>
      <c r="O257" s="96" t="s">
        <v>937</v>
      </c>
      <c r="P257" s="49" t="s">
        <v>157</v>
      </c>
      <c r="Q257" s="96" t="s">
        <v>104</v>
      </c>
      <c r="R257" s="52">
        <v>31.9</v>
      </c>
      <c r="S257" s="52">
        <f>R257-T257</f>
        <v>28.482142857142858</v>
      </c>
      <c r="T257" s="52">
        <f>R257*U257/(U257+100)</f>
        <v>3.4178571428571423</v>
      </c>
      <c r="U257" s="50">
        <v>12</v>
      </c>
      <c r="V257" s="53">
        <v>0</v>
      </c>
      <c r="W257" s="147">
        <v>1</v>
      </c>
      <c r="X257" s="148" t="s">
        <v>163</v>
      </c>
      <c r="Y257" s="54">
        <f>R257*W257</f>
        <v>31.9</v>
      </c>
      <c r="Z257" s="52">
        <f>S257*W257</f>
        <v>28.482142857142858</v>
      </c>
      <c r="AA257" s="52">
        <f>T257*W257</f>
        <v>3.4178571428571423</v>
      </c>
      <c r="AB257" s="52">
        <f>V257*W257</f>
        <v>0</v>
      </c>
      <c r="AC257" s="53">
        <f>(R257+V257)*W257</f>
        <v>31.9</v>
      </c>
      <c r="AD257" s="138">
        <v>31.9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46132</v>
      </c>
      <c r="H258" s="98">
        <v>0.6951736111111111</v>
      </c>
      <c r="I258" s="50">
        <v>163000351</v>
      </c>
      <c r="J258" s="96" t="s">
        <v>157</v>
      </c>
      <c r="K258" s="49" t="s">
        <v>938</v>
      </c>
      <c r="L258" s="39" t="s">
        <v>939</v>
      </c>
      <c r="M258" s="49" t="s">
        <v>214</v>
      </c>
      <c r="N258" s="39" t="s">
        <v>940</v>
      </c>
      <c r="O258" s="96" t="s">
        <v>941</v>
      </c>
      <c r="P258" s="49" t="s">
        <v>157</v>
      </c>
      <c r="Q258" s="96" t="s">
        <v>104</v>
      </c>
      <c r="R258" s="52">
        <v>33.9</v>
      </c>
      <c r="S258" s="52">
        <f>R258-T258</f>
        <v>30.267857142857142</v>
      </c>
      <c r="T258" s="52">
        <f>R258*U258/(U258+100)</f>
        <v>3.6321428571428567</v>
      </c>
      <c r="U258" s="50">
        <v>12</v>
      </c>
      <c r="V258" s="53">
        <v>0</v>
      </c>
      <c r="W258" s="147">
        <v>1</v>
      </c>
      <c r="X258" s="148" t="s">
        <v>163</v>
      </c>
      <c r="Y258" s="54">
        <f>R258*W258</f>
        <v>33.9</v>
      </c>
      <c r="Z258" s="52">
        <f>S258*W258</f>
        <v>30.267857142857142</v>
      </c>
      <c r="AA258" s="52">
        <f>T258*W258</f>
        <v>3.6321428571428567</v>
      </c>
      <c r="AB258" s="52">
        <f>V258*W258</f>
        <v>0</v>
      </c>
      <c r="AC258" s="53">
        <f>(R258+V258)*W258</f>
        <v>33.9</v>
      </c>
      <c r="AD258" s="138">
        <v>33.9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46132</v>
      </c>
      <c r="H259" s="98">
        <v>0.6951736111111111</v>
      </c>
      <c r="I259" s="50">
        <v>163000351</v>
      </c>
      <c r="J259" s="96" t="s">
        <v>157</v>
      </c>
      <c r="K259" s="49" t="s">
        <v>183</v>
      </c>
      <c r="L259" s="39" t="s">
        <v>184</v>
      </c>
      <c r="M259" s="49" t="s">
        <v>185</v>
      </c>
      <c r="N259" s="39" t="s">
        <v>186</v>
      </c>
      <c r="O259" s="96" t="s">
        <v>187</v>
      </c>
      <c r="P259" s="49" t="s">
        <v>157</v>
      </c>
      <c r="Q259" s="96" t="s">
        <v>104</v>
      </c>
      <c r="R259" s="52">
        <v>1.9</v>
      </c>
      <c r="S259" s="52">
        <f>R259-T259</f>
        <v>1.5702479338842974</v>
      </c>
      <c r="T259" s="52">
        <f>R259*U259/(U259+100)</f>
        <v>0.32975206611570246</v>
      </c>
      <c r="U259" s="50">
        <v>21</v>
      </c>
      <c r="V259" s="53">
        <v>0</v>
      </c>
      <c r="W259" s="147">
        <v>1</v>
      </c>
      <c r="X259" s="148" t="s">
        <v>163</v>
      </c>
      <c r="Y259" s="54">
        <f>R259*W259</f>
        <v>1.9</v>
      </c>
      <c r="Z259" s="52">
        <f>S259*W259</f>
        <v>1.5702479338842974</v>
      </c>
      <c r="AA259" s="52">
        <f>T259*W259</f>
        <v>0.32975206611570246</v>
      </c>
      <c r="AB259" s="52">
        <f>V259*W259</f>
        <v>0</v>
      </c>
      <c r="AC259" s="53">
        <f>(R259+V259)*W259</f>
        <v>1.9</v>
      </c>
      <c r="AD259" s="138">
        <v>1.9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46132</v>
      </c>
      <c r="H260" s="98">
        <v>0.6951736111111111</v>
      </c>
      <c r="I260" s="50">
        <v>163000351</v>
      </c>
      <c r="J260" s="96" t="s">
        <v>157</v>
      </c>
      <c r="K260" s="49" t="s">
        <v>303</v>
      </c>
      <c r="L260" s="39" t="s">
        <v>304</v>
      </c>
      <c r="M260" s="49" t="s">
        <v>214</v>
      </c>
      <c r="N260" s="39" t="s">
        <v>296</v>
      </c>
      <c r="O260" s="96" t="s">
        <v>305</v>
      </c>
      <c r="P260" s="49" t="s">
        <v>157</v>
      </c>
      <c r="Q260" s="96" t="s">
        <v>104</v>
      </c>
      <c r="R260" s="52">
        <v>11.9</v>
      </c>
      <c r="S260" s="52">
        <f>R260-T260</f>
        <v>10.625</v>
      </c>
      <c r="T260" s="52">
        <f>R260*U260/(U260+100)</f>
        <v>1.2750000000000001</v>
      </c>
      <c r="U260" s="50">
        <v>12</v>
      </c>
      <c r="V260" s="53">
        <v>0</v>
      </c>
      <c r="W260" s="147">
        <v>2</v>
      </c>
      <c r="X260" s="148" t="s">
        <v>163</v>
      </c>
      <c r="Y260" s="54">
        <f>R260*W260</f>
        <v>23.8</v>
      </c>
      <c r="Z260" s="52">
        <f>S260*W260</f>
        <v>21.25</v>
      </c>
      <c r="AA260" s="52">
        <f>T260*W260</f>
        <v>2.5500000000000003</v>
      </c>
      <c r="AB260" s="52">
        <f>V260*W260</f>
        <v>0</v>
      </c>
      <c r="AC260" s="53">
        <f>(R260+V260)*W260</f>
        <v>23.8</v>
      </c>
      <c r="AD260" s="138">
        <v>11.9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46132</v>
      </c>
      <c r="H261" s="98">
        <v>0.6951736111111111</v>
      </c>
      <c r="I261" s="50">
        <v>163000351</v>
      </c>
      <c r="J261" s="96" t="s">
        <v>157</v>
      </c>
      <c r="K261" s="49" t="s">
        <v>942</v>
      </c>
      <c r="L261" s="39"/>
      <c r="M261" s="49" t="s">
        <v>295</v>
      </c>
      <c r="N261" s="39" t="s">
        <v>433</v>
      </c>
      <c r="O261" s="96" t="s">
        <v>943</v>
      </c>
      <c r="P261" s="49" t="s">
        <v>235</v>
      </c>
      <c r="Q261" s="96" t="s">
        <v>944</v>
      </c>
      <c r="R261" s="52">
        <v>9.9</v>
      </c>
      <c r="S261" s="52">
        <f>R261-T261</f>
        <v>8.839285714285715</v>
      </c>
      <c r="T261" s="52">
        <f>R261*U261/(U261+100)</f>
        <v>1.0607142857142857</v>
      </c>
      <c r="U261" s="50">
        <v>12</v>
      </c>
      <c r="V261" s="53">
        <v>0</v>
      </c>
      <c r="W261" s="147">
        <v>1</v>
      </c>
      <c r="X261" s="148" t="s">
        <v>945</v>
      </c>
      <c r="Y261" s="54">
        <f>R261*W261</f>
        <v>9.9</v>
      </c>
      <c r="Z261" s="52">
        <f>S261*W261</f>
        <v>8.839285714285715</v>
      </c>
      <c r="AA261" s="52">
        <f>T261*W261</f>
        <v>1.0607142857142857</v>
      </c>
      <c r="AB261" s="52">
        <f>V261*W261</f>
        <v>0</v>
      </c>
      <c r="AC261" s="53">
        <f>(R261+V261)*W261</f>
        <v>9.9</v>
      </c>
      <c r="AD261" s="138">
        <v>9.9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46132</v>
      </c>
      <c r="H262" s="98">
        <v>0.6993287037037037</v>
      </c>
      <c r="I262" s="50">
        <v>163000352</v>
      </c>
      <c r="J262" s="96" t="s">
        <v>157</v>
      </c>
      <c r="K262" s="49" t="s">
        <v>946</v>
      </c>
      <c r="L262" s="39" t="s">
        <v>947</v>
      </c>
      <c r="M262" s="49" t="s">
        <v>318</v>
      </c>
      <c r="N262" s="39" t="s">
        <v>319</v>
      </c>
      <c r="O262" s="96" t="s">
        <v>948</v>
      </c>
      <c r="P262" s="49" t="s">
        <v>235</v>
      </c>
      <c r="Q262" s="96" t="s">
        <v>236</v>
      </c>
      <c r="R262" s="52">
        <v>16.9</v>
      </c>
      <c r="S262" s="52">
        <f>R262-T262</f>
        <v>15.089285714285714</v>
      </c>
      <c r="T262" s="52">
        <f>R262*U262/(U262+100)</f>
        <v>1.8107142857142855</v>
      </c>
      <c r="U262" s="50">
        <v>12</v>
      </c>
      <c r="V262" s="53">
        <v>0</v>
      </c>
      <c r="W262" s="147">
        <v>2</v>
      </c>
      <c r="X262" s="148" t="s">
        <v>163</v>
      </c>
      <c r="Y262" s="54">
        <f>R262*W262</f>
        <v>33.8</v>
      </c>
      <c r="Z262" s="52">
        <f>S262*W262</f>
        <v>30.178571428571427</v>
      </c>
      <c r="AA262" s="52">
        <f>T262*W262</f>
        <v>3.621428571428571</v>
      </c>
      <c r="AB262" s="52">
        <f>V262*W262</f>
        <v>0</v>
      </c>
      <c r="AC262" s="53">
        <f>(R262+V262)*W262</f>
        <v>33.8</v>
      </c>
      <c r="AD262" s="138">
        <v>16.9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46132</v>
      </c>
      <c r="H263" s="98">
        <v>0.6993287037037037</v>
      </c>
      <c r="I263" s="50">
        <v>163000352</v>
      </c>
      <c r="J263" s="96" t="s">
        <v>157</v>
      </c>
      <c r="K263" s="49" t="s">
        <v>949</v>
      </c>
      <c r="L263" s="39" t="s">
        <v>950</v>
      </c>
      <c r="M263" s="49" t="s">
        <v>185</v>
      </c>
      <c r="N263" s="39" t="s">
        <v>874</v>
      </c>
      <c r="O263" s="96" t="s">
        <v>951</v>
      </c>
      <c r="P263" s="49" t="s">
        <v>157</v>
      </c>
      <c r="Q263" s="96" t="s">
        <v>104</v>
      </c>
      <c r="R263" s="52">
        <v>24.9</v>
      </c>
      <c r="S263" s="52">
        <f>R263-T263</f>
        <v>22.232142857142858</v>
      </c>
      <c r="T263" s="52">
        <f>R263*U263/(U263+100)</f>
        <v>2.6678571428571423</v>
      </c>
      <c r="U263" s="50">
        <v>12</v>
      </c>
      <c r="V263" s="53">
        <v>0</v>
      </c>
      <c r="W263" s="147">
        <v>1</v>
      </c>
      <c r="X263" s="148" t="s">
        <v>163</v>
      </c>
      <c r="Y263" s="54">
        <f>R263*W263</f>
        <v>24.9</v>
      </c>
      <c r="Z263" s="52">
        <f>S263*W263</f>
        <v>22.232142857142858</v>
      </c>
      <c r="AA263" s="52">
        <f>T263*W263</f>
        <v>2.6678571428571423</v>
      </c>
      <c r="AB263" s="52">
        <f>V263*W263</f>
        <v>0</v>
      </c>
      <c r="AC263" s="53">
        <f>(R263+V263)*W263</f>
        <v>24.9</v>
      </c>
      <c r="AD263" s="138">
        <v>24.9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46132</v>
      </c>
      <c r="H264" s="98">
        <v>0.6993287037037037</v>
      </c>
      <c r="I264" s="50">
        <v>163000352</v>
      </c>
      <c r="J264" s="96" t="s">
        <v>157</v>
      </c>
      <c r="K264" s="49" t="s">
        <v>952</v>
      </c>
      <c r="L264" s="39" t="s">
        <v>953</v>
      </c>
      <c r="M264" s="49" t="s">
        <v>954</v>
      </c>
      <c r="N264" s="39" t="s">
        <v>233</v>
      </c>
      <c r="O264" s="96" t="s">
        <v>955</v>
      </c>
      <c r="P264" s="49" t="s">
        <v>157</v>
      </c>
      <c r="Q264" s="96" t="s">
        <v>104</v>
      </c>
      <c r="R264" s="52">
        <v>19.9</v>
      </c>
      <c r="S264" s="52">
        <f>R264-T264</f>
        <v>16.446280991735534</v>
      </c>
      <c r="T264" s="52">
        <f>R264*U264/(U264+100)</f>
        <v>3.4537190082644624</v>
      </c>
      <c r="U264" s="50">
        <v>21</v>
      </c>
      <c r="V264" s="53">
        <v>0</v>
      </c>
      <c r="W264" s="147">
        <v>1</v>
      </c>
      <c r="X264" s="148" t="s">
        <v>163</v>
      </c>
      <c r="Y264" s="54">
        <f>R264*W264</f>
        <v>19.9</v>
      </c>
      <c r="Z264" s="52">
        <f>S264*W264</f>
        <v>16.446280991735534</v>
      </c>
      <c r="AA264" s="52">
        <f>T264*W264</f>
        <v>3.4537190082644624</v>
      </c>
      <c r="AB264" s="52">
        <f>V264*W264</f>
        <v>0</v>
      </c>
      <c r="AC264" s="53">
        <f>(R264+V264)*W264</f>
        <v>19.9</v>
      </c>
      <c r="AD264" s="138">
        <v>19.9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46132</v>
      </c>
      <c r="H265" s="98">
        <v>0.6993287037037037</v>
      </c>
      <c r="I265" s="50">
        <v>163000352</v>
      </c>
      <c r="J265" s="96" t="s">
        <v>157</v>
      </c>
      <c r="K265" s="49" t="s">
        <v>956</v>
      </c>
      <c r="L265" s="39" t="s">
        <v>957</v>
      </c>
      <c r="M265" s="49" t="s">
        <v>255</v>
      </c>
      <c r="N265" s="39" t="s">
        <v>256</v>
      </c>
      <c r="O265" s="96" t="s">
        <v>958</v>
      </c>
      <c r="P265" s="49" t="s">
        <v>157</v>
      </c>
      <c r="Q265" s="96" t="s">
        <v>104</v>
      </c>
      <c r="R265" s="52">
        <v>23.9</v>
      </c>
      <c r="S265" s="52">
        <f>R265-T265</f>
        <v>19.752066115702476</v>
      </c>
      <c r="T265" s="52">
        <f>R265*U265/(U265+100)</f>
        <v>4.147933884297521</v>
      </c>
      <c r="U265" s="50">
        <v>21</v>
      </c>
      <c r="V265" s="53">
        <v>0</v>
      </c>
      <c r="W265" s="147">
        <v>2</v>
      </c>
      <c r="X265" s="148" t="s">
        <v>163</v>
      </c>
      <c r="Y265" s="54">
        <f>R265*W265</f>
        <v>47.8</v>
      </c>
      <c r="Z265" s="52">
        <f>S265*W265</f>
        <v>39.50413223140495</v>
      </c>
      <c r="AA265" s="52">
        <f>T265*W265</f>
        <v>8.295867768595041</v>
      </c>
      <c r="AB265" s="52">
        <f>V265*W265</f>
        <v>0</v>
      </c>
      <c r="AC265" s="53">
        <f>(R265+V265)*W265</f>
        <v>47.8</v>
      </c>
      <c r="AD265" s="138">
        <v>23.9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46132</v>
      </c>
      <c r="H266" s="98">
        <v>0.6993287037037037</v>
      </c>
      <c r="I266" s="50">
        <v>163000352</v>
      </c>
      <c r="J266" s="96" t="s">
        <v>157</v>
      </c>
      <c r="K266" s="49" t="s">
        <v>655</v>
      </c>
      <c r="L266" s="39" t="s">
        <v>656</v>
      </c>
      <c r="M266" s="49" t="s">
        <v>190</v>
      </c>
      <c r="N266" s="39" t="s">
        <v>532</v>
      </c>
      <c r="O266" s="96" t="s">
        <v>657</v>
      </c>
      <c r="P266" s="49" t="s">
        <v>157</v>
      </c>
      <c r="Q266" s="96" t="s">
        <v>104</v>
      </c>
      <c r="R266" s="52">
        <v>35.9</v>
      </c>
      <c r="S266" s="52">
        <f>R266-T266</f>
        <v>32.05357142857143</v>
      </c>
      <c r="T266" s="52">
        <f>R266*U266/(U266+100)</f>
        <v>3.846428571428571</v>
      </c>
      <c r="U266" s="50">
        <v>12</v>
      </c>
      <c r="V266" s="53">
        <v>0</v>
      </c>
      <c r="W266" s="147">
        <v>0.286</v>
      </c>
      <c r="X266" s="148" t="s">
        <v>193</v>
      </c>
      <c r="Y266" s="54">
        <f>R266*W266</f>
        <v>10.267399999999999</v>
      </c>
      <c r="Z266" s="52">
        <f>S266*W266</f>
        <v>9.167321428571428</v>
      </c>
      <c r="AA266" s="52">
        <f>T266*W266</f>
        <v>1.1000785714285712</v>
      </c>
      <c r="AB266" s="52">
        <f>V266*W266</f>
        <v>0</v>
      </c>
      <c r="AC266" s="53">
        <f>(R266+V266)*W266</f>
        <v>10.267399999999999</v>
      </c>
      <c r="AD266" s="138">
        <v>35.9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101</v>
      </c>
      <c r="F267" s="96" t="s">
        <v>100</v>
      </c>
      <c r="G267" s="97">
        <v>46132</v>
      </c>
      <c r="H267" s="98">
        <v>0.6993287037037037</v>
      </c>
      <c r="I267" s="50">
        <v>163000352</v>
      </c>
      <c r="J267" s="96" t="s">
        <v>157</v>
      </c>
      <c r="K267" s="49" t="s">
        <v>658</v>
      </c>
      <c r="L267" s="39" t="s">
        <v>104</v>
      </c>
      <c r="M267" s="49" t="s">
        <v>190</v>
      </c>
      <c r="N267" s="39" t="s">
        <v>462</v>
      </c>
      <c r="O267" s="96" t="s">
        <v>659</v>
      </c>
      <c r="P267" s="49" t="s">
        <v>157</v>
      </c>
      <c r="Q267" s="96" t="s">
        <v>104</v>
      </c>
      <c r="R267" s="52">
        <v>13.9</v>
      </c>
      <c r="S267" s="52">
        <f>R267-T267</f>
        <v>12.410714285714286</v>
      </c>
      <c r="T267" s="52">
        <f>R267*U267/(U267+100)</f>
        <v>1.4892857142857143</v>
      </c>
      <c r="U267" s="50">
        <v>12</v>
      </c>
      <c r="V267" s="53">
        <v>0</v>
      </c>
      <c r="W267" s="147">
        <v>1</v>
      </c>
      <c r="X267" s="148" t="s">
        <v>163</v>
      </c>
      <c r="Y267" s="54">
        <f>R267*W267</f>
        <v>13.9</v>
      </c>
      <c r="Z267" s="52">
        <f>S267*W267</f>
        <v>12.410714285714286</v>
      </c>
      <c r="AA267" s="52">
        <f>T267*W267</f>
        <v>1.4892857142857143</v>
      </c>
      <c r="AB267" s="52">
        <f>V267*W267</f>
        <v>0</v>
      </c>
      <c r="AC267" s="53">
        <f>(R267+V267)*W267</f>
        <v>13.9</v>
      </c>
      <c r="AD267" s="138">
        <v>13.9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101</v>
      </c>
      <c r="F268" s="96" t="s">
        <v>100</v>
      </c>
      <c r="G268" s="97">
        <v>46132</v>
      </c>
      <c r="H268" s="98">
        <v>0.6993287037037037</v>
      </c>
      <c r="I268" s="50">
        <v>163000352</v>
      </c>
      <c r="J268" s="96" t="s">
        <v>157</v>
      </c>
      <c r="K268" s="49" t="s">
        <v>959</v>
      </c>
      <c r="L268" s="39"/>
      <c r="M268" s="49" t="s">
        <v>554</v>
      </c>
      <c r="N268" s="39" t="s">
        <v>433</v>
      </c>
      <c r="O268" s="96" t="s">
        <v>960</v>
      </c>
      <c r="P268" s="49" t="s">
        <v>157</v>
      </c>
      <c r="Q268" s="96" t="s">
        <v>104</v>
      </c>
      <c r="R268" s="52">
        <v>34.9</v>
      </c>
      <c r="S268" s="52">
        <f>R268-T268</f>
        <v>31.160714285714285</v>
      </c>
      <c r="T268" s="52">
        <f>R268*U268/(U268+100)</f>
        <v>3.739285714285714</v>
      </c>
      <c r="U268" s="50">
        <v>12</v>
      </c>
      <c r="V268" s="53">
        <v>0</v>
      </c>
      <c r="W268" s="147">
        <v>1</v>
      </c>
      <c r="X268" s="148" t="s">
        <v>945</v>
      </c>
      <c r="Y268" s="54">
        <f>R268*W268</f>
        <v>34.9</v>
      </c>
      <c r="Z268" s="52">
        <f>S268*W268</f>
        <v>31.160714285714285</v>
      </c>
      <c r="AA268" s="52">
        <f>T268*W268</f>
        <v>3.739285714285714</v>
      </c>
      <c r="AB268" s="52">
        <f>V268*W268</f>
        <v>0</v>
      </c>
      <c r="AC268" s="53">
        <f>(R268+V268)*W268</f>
        <v>34.9</v>
      </c>
      <c r="AD268" s="138">
        <v>34.9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101</v>
      </c>
      <c r="F269" s="96" t="s">
        <v>100</v>
      </c>
      <c r="G269" s="97">
        <v>46132</v>
      </c>
      <c r="H269" s="98">
        <v>0.7075347222222222</v>
      </c>
      <c r="I269" s="50">
        <v>163000353</v>
      </c>
      <c r="J269" s="96" t="s">
        <v>157</v>
      </c>
      <c r="K269" s="49" t="s">
        <v>961</v>
      </c>
      <c r="L269" s="39" t="s">
        <v>962</v>
      </c>
      <c r="M269" s="49" t="s">
        <v>678</v>
      </c>
      <c r="N269" s="39" t="s">
        <v>874</v>
      </c>
      <c r="O269" s="96" t="s">
        <v>963</v>
      </c>
      <c r="P269" s="49" t="s">
        <v>157</v>
      </c>
      <c r="Q269" s="96" t="s">
        <v>104</v>
      </c>
      <c r="R269" s="52">
        <v>49.9</v>
      </c>
      <c r="S269" s="52">
        <f>R269-T269</f>
        <v>44.55357142857143</v>
      </c>
      <c r="T269" s="52">
        <f>R269*U269/(U269+100)</f>
        <v>5.346428571428571</v>
      </c>
      <c r="U269" s="50">
        <v>12</v>
      </c>
      <c r="V269" s="53">
        <v>0</v>
      </c>
      <c r="W269" s="147">
        <v>1</v>
      </c>
      <c r="X269" s="148" t="s">
        <v>163</v>
      </c>
      <c r="Y269" s="54">
        <f>R269*W269</f>
        <v>49.9</v>
      </c>
      <c r="Z269" s="52">
        <f>S269*W269</f>
        <v>44.55357142857143</v>
      </c>
      <c r="AA269" s="52">
        <f>T269*W269</f>
        <v>5.346428571428571</v>
      </c>
      <c r="AB269" s="52">
        <f>V269*W269</f>
        <v>0</v>
      </c>
      <c r="AC269" s="53">
        <f>(R269+V269)*W269</f>
        <v>49.9</v>
      </c>
      <c r="AD269" s="138">
        <v>49.9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101</v>
      </c>
      <c r="F270" s="96" t="s">
        <v>100</v>
      </c>
      <c r="G270" s="97">
        <v>46132</v>
      </c>
      <c r="H270" s="98">
        <v>0.7075347222222222</v>
      </c>
      <c r="I270" s="50">
        <v>163000353</v>
      </c>
      <c r="J270" s="96" t="s">
        <v>157</v>
      </c>
      <c r="K270" s="49" t="s">
        <v>622</v>
      </c>
      <c r="L270" s="39" t="s">
        <v>623</v>
      </c>
      <c r="M270" s="49" t="s">
        <v>190</v>
      </c>
      <c r="N270" s="39" t="s">
        <v>191</v>
      </c>
      <c r="O270" s="96" t="s">
        <v>624</v>
      </c>
      <c r="P270" s="49" t="s">
        <v>157</v>
      </c>
      <c r="Q270" s="96" t="s">
        <v>104</v>
      </c>
      <c r="R270" s="52">
        <v>17.9</v>
      </c>
      <c r="S270" s="52">
        <f>R270-T270</f>
        <v>15.982142857142856</v>
      </c>
      <c r="T270" s="52">
        <f>R270*U270/(U270+100)</f>
        <v>1.9178571428571427</v>
      </c>
      <c r="U270" s="50">
        <v>12</v>
      </c>
      <c r="V270" s="53">
        <v>0</v>
      </c>
      <c r="W270" s="147">
        <v>0.172</v>
      </c>
      <c r="X270" s="148" t="s">
        <v>193</v>
      </c>
      <c r="Y270" s="54">
        <f>R270*W270</f>
        <v>3.0787999999999993</v>
      </c>
      <c r="Z270" s="52">
        <f>S270*W270</f>
        <v>2.748928571428571</v>
      </c>
      <c r="AA270" s="52">
        <f>T270*W270</f>
        <v>0.32987142857142854</v>
      </c>
      <c r="AB270" s="52">
        <f>V270*W270</f>
        <v>0</v>
      </c>
      <c r="AC270" s="53">
        <f>(R270+V270)*W270</f>
        <v>3.0787999999999993</v>
      </c>
      <c r="AD270" s="138">
        <v>17.9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101</v>
      </c>
      <c r="F271" s="96" t="s">
        <v>100</v>
      </c>
      <c r="G271" s="97">
        <v>46132</v>
      </c>
      <c r="H271" s="98">
        <v>0.7075347222222222</v>
      </c>
      <c r="I271" s="50">
        <v>163000353</v>
      </c>
      <c r="J271" s="96" t="s">
        <v>157</v>
      </c>
      <c r="K271" s="49" t="s">
        <v>188</v>
      </c>
      <c r="L271" s="39" t="s">
        <v>189</v>
      </c>
      <c r="M271" s="49" t="s">
        <v>190</v>
      </c>
      <c r="N271" s="39" t="s">
        <v>191</v>
      </c>
      <c r="O271" s="96" t="s">
        <v>192</v>
      </c>
      <c r="P271" s="49" t="s">
        <v>157</v>
      </c>
      <c r="Q271" s="96" t="s">
        <v>104</v>
      </c>
      <c r="R271" s="52">
        <v>49.9</v>
      </c>
      <c r="S271" s="52">
        <f>R271-T271</f>
        <v>44.55357142857143</v>
      </c>
      <c r="T271" s="52">
        <f>R271*U271/(U271+100)</f>
        <v>5.346428571428571</v>
      </c>
      <c r="U271" s="50">
        <v>12</v>
      </c>
      <c r="V271" s="53">
        <v>0</v>
      </c>
      <c r="W271" s="147">
        <v>0.298</v>
      </c>
      <c r="X271" s="148" t="s">
        <v>193</v>
      </c>
      <c r="Y271" s="54">
        <f>R271*W271</f>
        <v>14.870199999999999</v>
      </c>
      <c r="Z271" s="52">
        <f>S271*W271</f>
        <v>13.276964285714286</v>
      </c>
      <c r="AA271" s="52">
        <f>T271*W271</f>
        <v>1.593235714285714</v>
      </c>
      <c r="AB271" s="52">
        <f>V271*W271</f>
        <v>0</v>
      </c>
      <c r="AC271" s="53">
        <f>(R271+V271)*W271</f>
        <v>14.870199999999999</v>
      </c>
      <c r="AD271" s="138">
        <v>49.9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101</v>
      </c>
      <c r="F272" s="96" t="s">
        <v>100</v>
      </c>
      <c r="G272" s="97">
        <v>46132</v>
      </c>
      <c r="H272" s="98">
        <v>0.7075347222222222</v>
      </c>
      <c r="I272" s="50">
        <v>163000353</v>
      </c>
      <c r="J272" s="96" t="s">
        <v>157</v>
      </c>
      <c r="K272" s="49" t="s">
        <v>553</v>
      </c>
      <c r="L272" s="39" t="s">
        <v>104</v>
      </c>
      <c r="M272" s="49" t="s">
        <v>554</v>
      </c>
      <c r="N272" s="39" t="s">
        <v>296</v>
      </c>
      <c r="O272" s="96" t="s">
        <v>555</v>
      </c>
      <c r="P272" s="49" t="s">
        <v>157</v>
      </c>
      <c r="Q272" s="96" t="s">
        <v>104</v>
      </c>
      <c r="R272" s="52">
        <v>8.9</v>
      </c>
      <c r="S272" s="52">
        <f>R272-T272</f>
        <v>7.946428571428572</v>
      </c>
      <c r="T272" s="52">
        <f>R272*U272/(U272+100)</f>
        <v>0.9535714285714286</v>
      </c>
      <c r="U272" s="50">
        <v>12</v>
      </c>
      <c r="V272" s="53">
        <v>0</v>
      </c>
      <c r="W272" s="147">
        <v>2</v>
      </c>
      <c r="X272" s="148" t="s">
        <v>163</v>
      </c>
      <c r="Y272" s="54">
        <f>R272*W272</f>
        <v>17.8</v>
      </c>
      <c r="Z272" s="52">
        <f>S272*W272</f>
        <v>15.892857142857144</v>
      </c>
      <c r="AA272" s="52">
        <f>T272*W272</f>
        <v>1.9071428571428573</v>
      </c>
      <c r="AB272" s="52">
        <f>V272*W272</f>
        <v>0</v>
      </c>
      <c r="AC272" s="53">
        <f>(R272+V272)*W272</f>
        <v>17.8</v>
      </c>
      <c r="AD272" s="138">
        <v>8.9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101</v>
      </c>
      <c r="F273" s="96" t="s">
        <v>100</v>
      </c>
      <c r="G273" s="97">
        <v>46132</v>
      </c>
      <c r="H273" s="98">
        <v>0.7226851851851852</v>
      </c>
      <c r="I273" s="50">
        <v>163000354</v>
      </c>
      <c r="J273" s="96" t="s">
        <v>157</v>
      </c>
      <c r="K273" s="49" t="s">
        <v>964</v>
      </c>
      <c r="L273" s="39" t="s">
        <v>965</v>
      </c>
      <c r="M273" s="49" t="s">
        <v>160</v>
      </c>
      <c r="N273" s="39" t="s">
        <v>161</v>
      </c>
      <c r="O273" s="96" t="s">
        <v>966</v>
      </c>
      <c r="P273" s="49" t="s">
        <v>157</v>
      </c>
      <c r="Q273" s="96" t="s">
        <v>104</v>
      </c>
      <c r="R273" s="52">
        <v>59.9</v>
      </c>
      <c r="S273" s="52">
        <f>R273-T273</f>
        <v>53.482142857142854</v>
      </c>
      <c r="T273" s="52">
        <f>R273*U273/(U273+100)</f>
        <v>6.417857142857143</v>
      </c>
      <c r="U273" s="50">
        <v>12</v>
      </c>
      <c r="V273" s="53">
        <v>0</v>
      </c>
      <c r="W273" s="147">
        <v>1</v>
      </c>
      <c r="X273" s="148" t="s">
        <v>163</v>
      </c>
      <c r="Y273" s="54">
        <f>R273*W273</f>
        <v>59.9</v>
      </c>
      <c r="Z273" s="52">
        <f>S273*W273</f>
        <v>53.482142857142854</v>
      </c>
      <c r="AA273" s="52">
        <f>T273*W273</f>
        <v>6.417857142857143</v>
      </c>
      <c r="AB273" s="52">
        <f>V273*W273</f>
        <v>0</v>
      </c>
      <c r="AC273" s="53">
        <f>(R273+V273)*W273</f>
        <v>59.9</v>
      </c>
      <c r="AD273" s="138">
        <v>59.9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101</v>
      </c>
      <c r="F274" s="96" t="s">
        <v>100</v>
      </c>
      <c r="G274" s="97">
        <v>46132</v>
      </c>
      <c r="H274" s="98">
        <v>0.7656481481481482</v>
      </c>
      <c r="I274" s="50">
        <v>163000355</v>
      </c>
      <c r="J274" s="96" t="s">
        <v>157</v>
      </c>
      <c r="K274" s="49" t="s">
        <v>967</v>
      </c>
      <c r="L274" s="39" t="s">
        <v>968</v>
      </c>
      <c r="M274" s="49" t="s">
        <v>444</v>
      </c>
      <c r="N274" s="39" t="s">
        <v>445</v>
      </c>
      <c r="O274" s="96" t="s">
        <v>969</v>
      </c>
      <c r="P274" s="49" t="s">
        <v>157</v>
      </c>
      <c r="Q274" s="96" t="s">
        <v>104</v>
      </c>
      <c r="R274" s="52">
        <v>16.9</v>
      </c>
      <c r="S274" s="52">
        <f>R274-T274</f>
        <v>15.089285714285714</v>
      </c>
      <c r="T274" s="52">
        <f>R274*U274/(U274+100)</f>
        <v>1.8107142857142855</v>
      </c>
      <c r="U274" s="50">
        <v>12</v>
      </c>
      <c r="V274" s="53">
        <v>0</v>
      </c>
      <c r="W274" s="147">
        <v>1</v>
      </c>
      <c r="X274" s="148" t="s">
        <v>163</v>
      </c>
      <c r="Y274" s="54">
        <f>R274*W274</f>
        <v>16.9</v>
      </c>
      <c r="Z274" s="52">
        <f>S274*W274</f>
        <v>15.089285714285714</v>
      </c>
      <c r="AA274" s="52">
        <f>T274*W274</f>
        <v>1.8107142857142855</v>
      </c>
      <c r="AB274" s="52">
        <f>V274*W274</f>
        <v>0</v>
      </c>
      <c r="AC274" s="53">
        <f>(R274+V274)*W274</f>
        <v>16.9</v>
      </c>
      <c r="AD274" s="138">
        <v>16.9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101</v>
      </c>
      <c r="F275" s="96" t="s">
        <v>100</v>
      </c>
      <c r="G275" s="97">
        <v>46132</v>
      </c>
      <c r="H275" s="98">
        <v>0.7656481481481482</v>
      </c>
      <c r="I275" s="50">
        <v>163000355</v>
      </c>
      <c r="J275" s="96" t="s">
        <v>157</v>
      </c>
      <c r="K275" s="49" t="s">
        <v>970</v>
      </c>
      <c r="L275" s="39" t="s">
        <v>971</v>
      </c>
      <c r="M275" s="49" t="s">
        <v>972</v>
      </c>
      <c r="N275" s="39" t="s">
        <v>256</v>
      </c>
      <c r="O275" s="96" t="s">
        <v>973</v>
      </c>
      <c r="P275" s="49" t="s">
        <v>157</v>
      </c>
      <c r="Q275" s="96" t="s">
        <v>104</v>
      </c>
      <c r="R275" s="52">
        <v>44.9</v>
      </c>
      <c r="S275" s="52">
        <f>R275-T275</f>
        <v>37.107438016528924</v>
      </c>
      <c r="T275" s="52">
        <f>R275*U275/(U275+100)</f>
        <v>7.792561983471074</v>
      </c>
      <c r="U275" s="50">
        <v>21</v>
      </c>
      <c r="V275" s="53">
        <v>0</v>
      </c>
      <c r="W275" s="147">
        <v>1</v>
      </c>
      <c r="X275" s="148" t="s">
        <v>163</v>
      </c>
      <c r="Y275" s="54">
        <f>R275*W275</f>
        <v>44.9</v>
      </c>
      <c r="Z275" s="52">
        <f>S275*W275</f>
        <v>37.107438016528924</v>
      </c>
      <c r="AA275" s="52">
        <f>T275*W275</f>
        <v>7.792561983471074</v>
      </c>
      <c r="AB275" s="52">
        <f>V275*W275</f>
        <v>0</v>
      </c>
      <c r="AC275" s="53">
        <f>(R275+V275)*W275</f>
        <v>44.9</v>
      </c>
      <c r="AD275" s="138">
        <v>44.9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101</v>
      </c>
      <c r="F276" s="96" t="s">
        <v>100</v>
      </c>
      <c r="G276" s="97">
        <v>46132</v>
      </c>
      <c r="H276" s="98">
        <v>0.7656481481481482</v>
      </c>
      <c r="I276" s="50">
        <v>163000355</v>
      </c>
      <c r="J276" s="96" t="s">
        <v>157</v>
      </c>
      <c r="K276" s="49" t="s">
        <v>401</v>
      </c>
      <c r="L276" s="39" t="s">
        <v>402</v>
      </c>
      <c r="M276" s="49" t="s">
        <v>403</v>
      </c>
      <c r="N276" s="39" t="s">
        <v>404</v>
      </c>
      <c r="O276" s="96" t="s">
        <v>405</v>
      </c>
      <c r="P276" s="49" t="s">
        <v>157</v>
      </c>
      <c r="Q276" s="96" t="s">
        <v>104</v>
      </c>
      <c r="R276" s="52">
        <v>169.9</v>
      </c>
      <c r="S276" s="52">
        <f>R276-T276</f>
        <v>151.69642857142858</v>
      </c>
      <c r="T276" s="52">
        <f>R276*U276/(U276+100)</f>
        <v>18.20357142857143</v>
      </c>
      <c r="U276" s="50">
        <v>12</v>
      </c>
      <c r="V276" s="53">
        <v>0</v>
      </c>
      <c r="W276" s="147">
        <v>0.166</v>
      </c>
      <c r="X276" s="148" t="s">
        <v>193</v>
      </c>
      <c r="Y276" s="54">
        <f>R276*W276</f>
        <v>28.203400000000002</v>
      </c>
      <c r="Z276" s="52">
        <f>S276*W276</f>
        <v>25.181607142857146</v>
      </c>
      <c r="AA276" s="52">
        <f>T276*W276</f>
        <v>3.0217928571428576</v>
      </c>
      <c r="AB276" s="52">
        <f>V276*W276</f>
        <v>0</v>
      </c>
      <c r="AC276" s="53">
        <f>(R276+V276)*W276</f>
        <v>28.203400000000002</v>
      </c>
      <c r="AD276" s="138">
        <v>169.9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101</v>
      </c>
      <c r="F277" s="96" t="s">
        <v>100</v>
      </c>
      <c r="G277" s="97">
        <v>46132</v>
      </c>
      <c r="H277" s="98">
        <v>0.7656481481481482</v>
      </c>
      <c r="I277" s="50">
        <v>163000355</v>
      </c>
      <c r="J277" s="96" t="s">
        <v>157</v>
      </c>
      <c r="K277" s="49" t="s">
        <v>974</v>
      </c>
      <c r="L277" s="39" t="s">
        <v>975</v>
      </c>
      <c r="M277" s="49" t="s">
        <v>190</v>
      </c>
      <c r="N277" s="39" t="s">
        <v>462</v>
      </c>
      <c r="O277" s="96" t="s">
        <v>976</v>
      </c>
      <c r="P277" s="49" t="s">
        <v>157</v>
      </c>
      <c r="Q277" s="96" t="s">
        <v>104</v>
      </c>
      <c r="R277" s="52">
        <v>24.9</v>
      </c>
      <c r="S277" s="52">
        <f>R277-T277</f>
        <v>22.232142857142858</v>
      </c>
      <c r="T277" s="52">
        <f>R277*U277/(U277+100)</f>
        <v>2.6678571428571423</v>
      </c>
      <c r="U277" s="50">
        <v>12</v>
      </c>
      <c r="V277" s="53">
        <v>0</v>
      </c>
      <c r="W277" s="147">
        <v>1</v>
      </c>
      <c r="X277" s="148" t="s">
        <v>163</v>
      </c>
      <c r="Y277" s="54">
        <f>R277*W277</f>
        <v>24.9</v>
      </c>
      <c r="Z277" s="52">
        <f>S277*W277</f>
        <v>22.232142857142858</v>
      </c>
      <c r="AA277" s="52">
        <f>T277*W277</f>
        <v>2.6678571428571423</v>
      </c>
      <c r="AB277" s="52">
        <f>V277*W277</f>
        <v>0</v>
      </c>
      <c r="AC277" s="53">
        <f>(R277+V277)*W277</f>
        <v>24.9</v>
      </c>
      <c r="AD277" s="138">
        <v>24.9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101</v>
      </c>
      <c r="F278" s="96" t="s">
        <v>100</v>
      </c>
      <c r="G278" s="97">
        <v>46132</v>
      </c>
      <c r="H278" s="98">
        <v>0.7757986111111111</v>
      </c>
      <c r="I278" s="50">
        <v>163000356</v>
      </c>
      <c r="J278" s="96" t="s">
        <v>157</v>
      </c>
      <c r="K278" s="49" t="s">
        <v>188</v>
      </c>
      <c r="L278" s="39" t="s">
        <v>189</v>
      </c>
      <c r="M278" s="49" t="s">
        <v>190</v>
      </c>
      <c r="N278" s="39" t="s">
        <v>191</v>
      </c>
      <c r="O278" s="96" t="s">
        <v>192</v>
      </c>
      <c r="P278" s="49" t="s">
        <v>157</v>
      </c>
      <c r="Q278" s="96" t="s">
        <v>104</v>
      </c>
      <c r="R278" s="52">
        <v>49.9</v>
      </c>
      <c r="S278" s="52">
        <f>R278-T278</f>
        <v>44.55357142857143</v>
      </c>
      <c r="T278" s="52">
        <f>R278*U278/(U278+100)</f>
        <v>5.346428571428571</v>
      </c>
      <c r="U278" s="50">
        <v>12</v>
      </c>
      <c r="V278" s="53">
        <v>0</v>
      </c>
      <c r="W278" s="147">
        <v>0.278</v>
      </c>
      <c r="X278" s="148" t="s">
        <v>193</v>
      </c>
      <c r="Y278" s="54">
        <f>R278*W278</f>
        <v>13.872200000000001</v>
      </c>
      <c r="Z278" s="52">
        <f>S278*W278</f>
        <v>12.385892857142858</v>
      </c>
      <c r="AA278" s="52">
        <f>T278*W278</f>
        <v>1.4863071428571428</v>
      </c>
      <c r="AB278" s="52">
        <f>V278*W278</f>
        <v>0</v>
      </c>
      <c r="AC278" s="53">
        <f>(R278+V278)*W278</f>
        <v>13.872200000000001</v>
      </c>
      <c r="AD278" s="138">
        <v>49.9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101</v>
      </c>
      <c r="F279" s="96" t="s">
        <v>100</v>
      </c>
      <c r="G279" s="97">
        <v>46132</v>
      </c>
      <c r="H279" s="98">
        <v>0.7958449074074074</v>
      </c>
      <c r="I279" s="50">
        <v>163000357</v>
      </c>
      <c r="J279" s="96" t="s">
        <v>157</v>
      </c>
      <c r="K279" s="49" t="s">
        <v>865</v>
      </c>
      <c r="L279" s="39" t="s">
        <v>866</v>
      </c>
      <c r="M279" s="49" t="s">
        <v>425</v>
      </c>
      <c r="N279" s="39" t="s">
        <v>197</v>
      </c>
      <c r="O279" s="96" t="s">
        <v>867</v>
      </c>
      <c r="P279" s="49" t="s">
        <v>157</v>
      </c>
      <c r="Q279" s="96" t="s">
        <v>104</v>
      </c>
      <c r="R279" s="52">
        <v>17.9</v>
      </c>
      <c r="S279" s="52">
        <f>R279-T279</f>
        <v>15.982142857142856</v>
      </c>
      <c r="T279" s="52">
        <f>R279*U279/(U279+100)</f>
        <v>1.9178571428571427</v>
      </c>
      <c r="U279" s="50">
        <v>12</v>
      </c>
      <c r="V279" s="53">
        <v>0</v>
      </c>
      <c r="W279" s="147">
        <v>1</v>
      </c>
      <c r="X279" s="148" t="s">
        <v>163</v>
      </c>
      <c r="Y279" s="54">
        <f>R279*W279</f>
        <v>17.9</v>
      </c>
      <c r="Z279" s="52">
        <f>S279*W279</f>
        <v>15.982142857142856</v>
      </c>
      <c r="AA279" s="52">
        <f>T279*W279</f>
        <v>1.9178571428571427</v>
      </c>
      <c r="AB279" s="52">
        <f>V279*W279</f>
        <v>0</v>
      </c>
      <c r="AC279" s="53">
        <f>(R279+V279)*W279</f>
        <v>17.9</v>
      </c>
      <c r="AD279" s="138">
        <v>17.9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101</v>
      </c>
      <c r="F280" s="96" t="s">
        <v>100</v>
      </c>
      <c r="G280" s="97">
        <v>46132</v>
      </c>
      <c r="H280" s="98">
        <v>0.7958449074074074</v>
      </c>
      <c r="I280" s="50">
        <v>163000357</v>
      </c>
      <c r="J280" s="96" t="s">
        <v>157</v>
      </c>
      <c r="K280" s="49" t="s">
        <v>977</v>
      </c>
      <c r="L280" s="39" t="s">
        <v>978</v>
      </c>
      <c r="M280" s="49" t="s">
        <v>979</v>
      </c>
      <c r="N280" s="39" t="s">
        <v>331</v>
      </c>
      <c r="O280" s="96" t="s">
        <v>980</v>
      </c>
      <c r="P280" s="49" t="s">
        <v>157</v>
      </c>
      <c r="Q280" s="96" t="s">
        <v>104</v>
      </c>
      <c r="R280" s="52">
        <v>62.9</v>
      </c>
      <c r="S280" s="52">
        <f>R280-T280</f>
        <v>56.160714285714285</v>
      </c>
      <c r="T280" s="52">
        <f>R280*U280/(U280+100)</f>
        <v>6.739285714285714</v>
      </c>
      <c r="U280" s="50">
        <v>12</v>
      </c>
      <c r="V280" s="53">
        <v>0</v>
      </c>
      <c r="W280" s="147">
        <v>1</v>
      </c>
      <c r="X280" s="148" t="s">
        <v>163</v>
      </c>
      <c r="Y280" s="54">
        <f>R280*W280</f>
        <v>62.9</v>
      </c>
      <c r="Z280" s="52">
        <f>S280*W280</f>
        <v>56.160714285714285</v>
      </c>
      <c r="AA280" s="52">
        <f>T280*W280</f>
        <v>6.739285714285714</v>
      </c>
      <c r="AB280" s="52">
        <f>V280*W280</f>
        <v>0</v>
      </c>
      <c r="AC280" s="53">
        <f>(R280+V280)*W280</f>
        <v>62.9</v>
      </c>
      <c r="AD280" s="138">
        <v>62.9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107</v>
      </c>
      <c r="F281" s="96" t="s">
        <v>106</v>
      </c>
      <c r="G281" s="97">
        <v>46132</v>
      </c>
      <c r="H281" s="98">
        <v>0.2931944444444444</v>
      </c>
      <c r="I281" s="50">
        <v>166004504</v>
      </c>
      <c r="J281" s="96" t="s">
        <v>157</v>
      </c>
      <c r="K281" s="49" t="s">
        <v>967</v>
      </c>
      <c r="L281" s="39" t="s">
        <v>968</v>
      </c>
      <c r="M281" s="49" t="s">
        <v>444</v>
      </c>
      <c r="N281" s="39" t="s">
        <v>445</v>
      </c>
      <c r="O281" s="96" t="s">
        <v>981</v>
      </c>
      <c r="P281" s="49" t="s">
        <v>157</v>
      </c>
      <c r="Q281" s="96" t="s">
        <v>104</v>
      </c>
      <c r="R281" s="52">
        <v>16.9</v>
      </c>
      <c r="S281" s="52">
        <f>R281-T281</f>
        <v>15.089285714285714</v>
      </c>
      <c r="T281" s="52">
        <f>R281*U281/(U281+100)</f>
        <v>1.8107142857142855</v>
      </c>
      <c r="U281" s="50">
        <v>12</v>
      </c>
      <c r="V281" s="53">
        <v>0</v>
      </c>
      <c r="W281" s="147">
        <v>1</v>
      </c>
      <c r="X281" s="148" t="s">
        <v>163</v>
      </c>
      <c r="Y281" s="54">
        <f>R281*W281</f>
        <v>16.9</v>
      </c>
      <c r="Z281" s="52">
        <f>S281*W281</f>
        <v>15.089285714285714</v>
      </c>
      <c r="AA281" s="52">
        <f>T281*W281</f>
        <v>1.8107142857142855</v>
      </c>
      <c r="AB281" s="52">
        <f>V281*W281</f>
        <v>0</v>
      </c>
      <c r="AC281" s="53">
        <f>(R281+V281)*W281</f>
        <v>16.9</v>
      </c>
      <c r="AD281" s="138">
        <v>16.9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107</v>
      </c>
      <c r="F282" s="96" t="s">
        <v>106</v>
      </c>
      <c r="G282" s="97">
        <v>46132</v>
      </c>
      <c r="H282" s="98">
        <v>0.2931944444444444</v>
      </c>
      <c r="I282" s="50">
        <v>166004504</v>
      </c>
      <c r="J282" s="96" t="s">
        <v>157</v>
      </c>
      <c r="K282" s="49" t="s">
        <v>967</v>
      </c>
      <c r="L282" s="39" t="s">
        <v>968</v>
      </c>
      <c r="M282" s="49" t="s">
        <v>444</v>
      </c>
      <c r="N282" s="39" t="s">
        <v>445</v>
      </c>
      <c r="O282" s="96" t="s">
        <v>981</v>
      </c>
      <c r="P282" s="49" t="s">
        <v>157</v>
      </c>
      <c r="Q282" s="96" t="s">
        <v>104</v>
      </c>
      <c r="R282" s="52">
        <v>16.9</v>
      </c>
      <c r="S282" s="52">
        <f>R282-T282</f>
        <v>15.089285714285714</v>
      </c>
      <c r="T282" s="52">
        <f>R282*U282/(U282+100)</f>
        <v>1.8107142857142855</v>
      </c>
      <c r="U282" s="50">
        <v>12</v>
      </c>
      <c r="V282" s="53">
        <v>0</v>
      </c>
      <c r="W282" s="147">
        <v>1</v>
      </c>
      <c r="X282" s="148" t="s">
        <v>163</v>
      </c>
      <c r="Y282" s="54">
        <f>R282*W282</f>
        <v>16.9</v>
      </c>
      <c r="Z282" s="52">
        <f>S282*W282</f>
        <v>15.089285714285714</v>
      </c>
      <c r="AA282" s="52">
        <f>T282*W282</f>
        <v>1.8107142857142855</v>
      </c>
      <c r="AB282" s="52">
        <f>V282*W282</f>
        <v>0</v>
      </c>
      <c r="AC282" s="53">
        <f>(R282+V282)*W282</f>
        <v>16.9</v>
      </c>
      <c r="AD282" s="138">
        <v>16.9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107</v>
      </c>
      <c r="F283" s="96" t="s">
        <v>106</v>
      </c>
      <c r="G283" s="97">
        <v>46132</v>
      </c>
      <c r="H283" s="98">
        <v>0.2931944444444444</v>
      </c>
      <c r="I283" s="50">
        <v>166004504</v>
      </c>
      <c r="J283" s="96" t="s">
        <v>157</v>
      </c>
      <c r="K283" s="49" t="s">
        <v>982</v>
      </c>
      <c r="L283" s="39" t="s">
        <v>983</v>
      </c>
      <c r="M283" s="49" t="s">
        <v>185</v>
      </c>
      <c r="N283" s="39" t="s">
        <v>653</v>
      </c>
      <c r="O283" s="96" t="s">
        <v>984</v>
      </c>
      <c r="P283" s="49" t="s">
        <v>157</v>
      </c>
      <c r="Q283" s="96" t="s">
        <v>104</v>
      </c>
      <c r="R283" s="52">
        <v>35.9</v>
      </c>
      <c r="S283" s="52">
        <f>R283-T283</f>
        <v>29.669421487603305</v>
      </c>
      <c r="T283" s="52">
        <f>R283*U283/(U283+100)</f>
        <v>6.230578512396694</v>
      </c>
      <c r="U283" s="50">
        <v>21</v>
      </c>
      <c r="V283" s="53">
        <v>0</v>
      </c>
      <c r="W283" s="147">
        <v>1</v>
      </c>
      <c r="X283" s="148" t="s">
        <v>163</v>
      </c>
      <c r="Y283" s="54">
        <f>R283*W283</f>
        <v>35.9</v>
      </c>
      <c r="Z283" s="52">
        <f>S283*W283</f>
        <v>29.669421487603305</v>
      </c>
      <c r="AA283" s="52">
        <f>T283*W283</f>
        <v>6.230578512396694</v>
      </c>
      <c r="AB283" s="52">
        <f>V283*W283</f>
        <v>0</v>
      </c>
      <c r="AC283" s="53">
        <f>(R283+V283)*W283</f>
        <v>35.9</v>
      </c>
      <c r="AD283" s="138">
        <v>35.9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107</v>
      </c>
      <c r="F284" s="96" t="s">
        <v>106</v>
      </c>
      <c r="G284" s="97">
        <v>46132</v>
      </c>
      <c r="H284" s="98">
        <v>0.294375</v>
      </c>
      <c r="I284" s="50">
        <v>166004505</v>
      </c>
      <c r="J284" s="96" t="s">
        <v>157</v>
      </c>
      <c r="K284" s="49" t="s">
        <v>985</v>
      </c>
      <c r="L284" s="39" t="s">
        <v>986</v>
      </c>
      <c r="M284" s="49" t="s">
        <v>185</v>
      </c>
      <c r="N284" s="39" t="s">
        <v>233</v>
      </c>
      <c r="O284" s="96" t="s">
        <v>987</v>
      </c>
      <c r="P284" s="49" t="s">
        <v>157</v>
      </c>
      <c r="Q284" s="96" t="s">
        <v>104</v>
      </c>
      <c r="R284" s="52">
        <v>9.9</v>
      </c>
      <c r="S284" s="52">
        <f>R284-T284</f>
        <v>8.181818181818182</v>
      </c>
      <c r="T284" s="52">
        <f>R284*U284/(U284+100)</f>
        <v>1.7181818181818183</v>
      </c>
      <c r="U284" s="50">
        <v>21</v>
      </c>
      <c r="V284" s="53">
        <v>0</v>
      </c>
      <c r="W284" s="147">
        <v>5</v>
      </c>
      <c r="X284" s="148" t="s">
        <v>163</v>
      </c>
      <c r="Y284" s="54">
        <f>R284*W284</f>
        <v>49.5</v>
      </c>
      <c r="Z284" s="52">
        <f>S284*W284</f>
        <v>40.90909090909091</v>
      </c>
      <c r="AA284" s="52">
        <f>T284*W284</f>
        <v>8.590909090909092</v>
      </c>
      <c r="AB284" s="52">
        <f>V284*W284</f>
        <v>0</v>
      </c>
      <c r="AC284" s="53">
        <f>(R284+V284)*W284</f>
        <v>49.5</v>
      </c>
      <c r="AD284" s="138">
        <v>9.9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107</v>
      </c>
      <c r="F285" s="96" t="s">
        <v>106</v>
      </c>
      <c r="G285" s="97">
        <v>46132</v>
      </c>
      <c r="H285" s="98">
        <v>0.294375</v>
      </c>
      <c r="I285" s="50">
        <v>166004505</v>
      </c>
      <c r="J285" s="96" t="s">
        <v>157</v>
      </c>
      <c r="K285" s="49" t="s">
        <v>183</v>
      </c>
      <c r="L285" s="39" t="s">
        <v>184</v>
      </c>
      <c r="M285" s="49" t="s">
        <v>185</v>
      </c>
      <c r="N285" s="39" t="s">
        <v>186</v>
      </c>
      <c r="O285" s="96" t="s">
        <v>988</v>
      </c>
      <c r="P285" s="49" t="s">
        <v>157</v>
      </c>
      <c r="Q285" s="96" t="s">
        <v>104</v>
      </c>
      <c r="R285" s="52">
        <v>1.9</v>
      </c>
      <c r="S285" s="52">
        <f>R285-T285</f>
        <v>1.5702479338842974</v>
      </c>
      <c r="T285" s="52">
        <f>R285*U285/(U285+100)</f>
        <v>0.32975206611570246</v>
      </c>
      <c r="U285" s="50">
        <v>21</v>
      </c>
      <c r="V285" s="53">
        <v>0</v>
      </c>
      <c r="W285" s="147">
        <v>1</v>
      </c>
      <c r="X285" s="148" t="s">
        <v>163</v>
      </c>
      <c r="Y285" s="54">
        <f>R285*W285</f>
        <v>1.9</v>
      </c>
      <c r="Z285" s="52">
        <f>S285*W285</f>
        <v>1.5702479338842974</v>
      </c>
      <c r="AA285" s="52">
        <f>T285*W285</f>
        <v>0.32975206611570246</v>
      </c>
      <c r="AB285" s="52">
        <f>V285*W285</f>
        <v>0</v>
      </c>
      <c r="AC285" s="53">
        <f>(R285+V285)*W285</f>
        <v>1.9</v>
      </c>
      <c r="AD285" s="138">
        <v>1.9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107</v>
      </c>
      <c r="F286" s="96" t="s">
        <v>106</v>
      </c>
      <c r="G286" s="97">
        <v>46132</v>
      </c>
      <c r="H286" s="98">
        <v>0.2945023148148148</v>
      </c>
      <c r="I286" s="50">
        <v>166004506</v>
      </c>
      <c r="J286" s="96" t="s">
        <v>157</v>
      </c>
      <c r="K286" s="49" t="s">
        <v>989</v>
      </c>
      <c r="L286" s="39" t="s">
        <v>990</v>
      </c>
      <c r="M286" s="49" t="s">
        <v>219</v>
      </c>
      <c r="N286" s="39" t="s">
        <v>388</v>
      </c>
      <c r="O286" s="96" t="s">
        <v>991</v>
      </c>
      <c r="P286" s="49" t="s">
        <v>157</v>
      </c>
      <c r="Q286" s="96" t="s">
        <v>104</v>
      </c>
      <c r="R286" s="52">
        <v>35.9</v>
      </c>
      <c r="S286" s="52">
        <f>R286-T286</f>
        <v>29.669421487603305</v>
      </c>
      <c r="T286" s="52">
        <f>R286*U286/(U286+100)</f>
        <v>6.230578512396694</v>
      </c>
      <c r="U286" s="50">
        <v>21</v>
      </c>
      <c r="V286" s="53">
        <v>0</v>
      </c>
      <c r="W286" s="147">
        <v>1</v>
      </c>
      <c r="X286" s="148" t="s">
        <v>163</v>
      </c>
      <c r="Y286" s="54">
        <f>R286*W286</f>
        <v>35.9</v>
      </c>
      <c r="Z286" s="52">
        <f>S286*W286</f>
        <v>29.669421487603305</v>
      </c>
      <c r="AA286" s="52">
        <f>T286*W286</f>
        <v>6.230578512396694</v>
      </c>
      <c r="AB286" s="52">
        <f>V286*W286</f>
        <v>0</v>
      </c>
      <c r="AC286" s="53">
        <f>(R286+V286)*W286</f>
        <v>35.9</v>
      </c>
      <c r="AD286" s="138">
        <v>35.9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107</v>
      </c>
      <c r="F287" s="96" t="s">
        <v>106</v>
      </c>
      <c r="G287" s="97">
        <v>46132</v>
      </c>
      <c r="H287" s="98">
        <v>0.2945023148148148</v>
      </c>
      <c r="I287" s="50">
        <v>166004506</v>
      </c>
      <c r="J287" s="96" t="s">
        <v>157</v>
      </c>
      <c r="K287" s="49" t="s">
        <v>183</v>
      </c>
      <c r="L287" s="39" t="s">
        <v>184</v>
      </c>
      <c r="M287" s="49" t="s">
        <v>185</v>
      </c>
      <c r="N287" s="39" t="s">
        <v>186</v>
      </c>
      <c r="O287" s="96" t="s">
        <v>988</v>
      </c>
      <c r="P287" s="49" t="s">
        <v>157</v>
      </c>
      <c r="Q287" s="96" t="s">
        <v>104</v>
      </c>
      <c r="R287" s="52">
        <v>1.9</v>
      </c>
      <c r="S287" s="52">
        <f>R287-T287</f>
        <v>1.5702479338842974</v>
      </c>
      <c r="T287" s="52">
        <f>R287*U287/(U287+100)</f>
        <v>0.32975206611570246</v>
      </c>
      <c r="U287" s="50">
        <v>21</v>
      </c>
      <c r="V287" s="53">
        <v>0</v>
      </c>
      <c r="W287" s="147">
        <v>1</v>
      </c>
      <c r="X287" s="148" t="s">
        <v>163</v>
      </c>
      <c r="Y287" s="54">
        <f>R287*W287</f>
        <v>1.9</v>
      </c>
      <c r="Z287" s="52">
        <f>S287*W287</f>
        <v>1.5702479338842974</v>
      </c>
      <c r="AA287" s="52">
        <f>T287*W287</f>
        <v>0.32975206611570246</v>
      </c>
      <c r="AB287" s="52">
        <f>V287*W287</f>
        <v>0</v>
      </c>
      <c r="AC287" s="53">
        <f>(R287+V287)*W287</f>
        <v>1.9</v>
      </c>
      <c r="AD287" s="138">
        <v>1.9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107</v>
      </c>
      <c r="F288" s="96" t="s">
        <v>106</v>
      </c>
      <c r="G288" s="97">
        <v>46132</v>
      </c>
      <c r="H288" s="98">
        <v>0.29476851851851854</v>
      </c>
      <c r="I288" s="50">
        <v>166004507</v>
      </c>
      <c r="J288" s="96" t="s">
        <v>157</v>
      </c>
      <c r="K288" s="49" t="s">
        <v>992</v>
      </c>
      <c r="L288" s="39" t="s">
        <v>993</v>
      </c>
      <c r="M288" s="49" t="s">
        <v>214</v>
      </c>
      <c r="N288" s="39" t="s">
        <v>501</v>
      </c>
      <c r="O288" s="96" t="s">
        <v>994</v>
      </c>
      <c r="P288" s="49" t="s">
        <v>157</v>
      </c>
      <c r="Q288" s="96" t="s">
        <v>104</v>
      </c>
      <c r="R288" s="52">
        <v>6.9</v>
      </c>
      <c r="S288" s="52">
        <f>R288-T288</f>
        <v>6.160714285714286</v>
      </c>
      <c r="T288" s="52">
        <f>R288*U288/(U288+100)</f>
        <v>0.7392857142857144</v>
      </c>
      <c r="U288" s="50">
        <v>12</v>
      </c>
      <c r="V288" s="53">
        <v>0</v>
      </c>
      <c r="W288" s="147">
        <v>6</v>
      </c>
      <c r="X288" s="148" t="s">
        <v>163</v>
      </c>
      <c r="Y288" s="54">
        <f>R288*W288</f>
        <v>41.400000000000006</v>
      </c>
      <c r="Z288" s="52">
        <f>S288*W288</f>
        <v>36.964285714285715</v>
      </c>
      <c r="AA288" s="52">
        <f>T288*W288</f>
        <v>4.435714285714287</v>
      </c>
      <c r="AB288" s="52">
        <f>V288*W288</f>
        <v>0</v>
      </c>
      <c r="AC288" s="53">
        <f>(R288+V288)*W288</f>
        <v>41.400000000000006</v>
      </c>
      <c r="AD288" s="138">
        <v>6.9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107</v>
      </c>
      <c r="F289" s="96" t="s">
        <v>106</v>
      </c>
      <c r="G289" s="97">
        <v>46132</v>
      </c>
      <c r="H289" s="98">
        <v>0.29476851851851854</v>
      </c>
      <c r="I289" s="50">
        <v>166004507</v>
      </c>
      <c r="J289" s="96" t="s">
        <v>157</v>
      </c>
      <c r="K289" s="49" t="s">
        <v>995</v>
      </c>
      <c r="L289" s="39" t="s">
        <v>996</v>
      </c>
      <c r="M289" s="49" t="s">
        <v>997</v>
      </c>
      <c r="N289" s="39" t="s">
        <v>998</v>
      </c>
      <c r="O289" s="96" t="s">
        <v>999</v>
      </c>
      <c r="P289" s="49" t="s">
        <v>157</v>
      </c>
      <c r="Q289" s="96" t="s">
        <v>104</v>
      </c>
      <c r="R289" s="52">
        <v>29</v>
      </c>
      <c r="S289" s="52">
        <f>R289-T289</f>
        <v>25.892857142857142</v>
      </c>
      <c r="T289" s="52">
        <f>R289*U289/(U289+100)</f>
        <v>3.107142857142857</v>
      </c>
      <c r="U289" s="50">
        <v>12</v>
      </c>
      <c r="V289" s="53">
        <v>0</v>
      </c>
      <c r="W289" s="147">
        <v>1</v>
      </c>
      <c r="X289" s="148" t="s">
        <v>945</v>
      </c>
      <c r="Y289" s="54">
        <f>R289*W289</f>
        <v>29</v>
      </c>
      <c r="Z289" s="52">
        <f>S289*W289</f>
        <v>25.892857142857142</v>
      </c>
      <c r="AA289" s="52">
        <f>T289*W289</f>
        <v>3.107142857142857</v>
      </c>
      <c r="AB289" s="52">
        <f>V289*W289</f>
        <v>0</v>
      </c>
      <c r="AC289" s="53">
        <f>(R289+V289)*W289</f>
        <v>29</v>
      </c>
      <c r="AD289" s="138">
        <v>29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107</v>
      </c>
      <c r="F290" s="96" t="s">
        <v>106</v>
      </c>
      <c r="G290" s="97">
        <v>46132</v>
      </c>
      <c r="H290" s="98">
        <v>0.29726851851851854</v>
      </c>
      <c r="I290" s="50">
        <v>166004508</v>
      </c>
      <c r="J290" s="96" t="s">
        <v>157</v>
      </c>
      <c r="K290" s="49" t="s">
        <v>1000</v>
      </c>
      <c r="L290" s="39" t="s">
        <v>1001</v>
      </c>
      <c r="M290" s="49" t="s">
        <v>318</v>
      </c>
      <c r="N290" s="39" t="s">
        <v>319</v>
      </c>
      <c r="O290" s="96" t="s">
        <v>1002</v>
      </c>
      <c r="P290" s="49" t="s">
        <v>157</v>
      </c>
      <c r="Q290" s="96" t="s">
        <v>104</v>
      </c>
      <c r="R290" s="52">
        <v>42.9</v>
      </c>
      <c r="S290" s="52">
        <f>R290-T290</f>
        <v>38.30357142857143</v>
      </c>
      <c r="T290" s="52">
        <f>R290*U290/(U290+100)</f>
        <v>4.596428571428571</v>
      </c>
      <c r="U290" s="50">
        <v>12</v>
      </c>
      <c r="V290" s="53">
        <v>0</v>
      </c>
      <c r="W290" s="147">
        <v>1</v>
      </c>
      <c r="X290" s="148" t="s">
        <v>163</v>
      </c>
      <c r="Y290" s="54">
        <f>R290*W290</f>
        <v>42.9</v>
      </c>
      <c r="Z290" s="52">
        <f>S290*W290</f>
        <v>38.30357142857143</v>
      </c>
      <c r="AA290" s="52">
        <f>T290*W290</f>
        <v>4.596428571428571</v>
      </c>
      <c r="AB290" s="52">
        <f>V290*W290</f>
        <v>0</v>
      </c>
      <c r="AC290" s="53">
        <f>(R290+V290)*W290</f>
        <v>42.9</v>
      </c>
      <c r="AD290" s="138">
        <v>42.9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107</v>
      </c>
      <c r="F291" s="96" t="s">
        <v>106</v>
      </c>
      <c r="G291" s="97">
        <v>46132</v>
      </c>
      <c r="H291" s="98">
        <v>0.29726851851851854</v>
      </c>
      <c r="I291" s="50">
        <v>166004508</v>
      </c>
      <c r="J291" s="96" t="s">
        <v>157</v>
      </c>
      <c r="K291" s="49" t="s">
        <v>1003</v>
      </c>
      <c r="L291" s="39" t="s">
        <v>1004</v>
      </c>
      <c r="M291" s="49" t="s">
        <v>466</v>
      </c>
      <c r="N291" s="39" t="s">
        <v>202</v>
      </c>
      <c r="O291" s="96" t="s">
        <v>1005</v>
      </c>
      <c r="P291" s="49" t="s">
        <v>157</v>
      </c>
      <c r="Q291" s="96" t="s">
        <v>104</v>
      </c>
      <c r="R291" s="52">
        <v>12.9</v>
      </c>
      <c r="S291" s="52">
        <f>R291-T291</f>
        <v>11.517857142857142</v>
      </c>
      <c r="T291" s="52">
        <f>R291*U291/(U291+100)</f>
        <v>1.3821428571428573</v>
      </c>
      <c r="U291" s="50">
        <v>12</v>
      </c>
      <c r="V291" s="53">
        <v>0</v>
      </c>
      <c r="W291" s="147">
        <v>1</v>
      </c>
      <c r="X291" s="148" t="s">
        <v>163</v>
      </c>
      <c r="Y291" s="54">
        <f>R291*W291</f>
        <v>12.9</v>
      </c>
      <c r="Z291" s="52">
        <f>S291*W291</f>
        <v>11.517857142857142</v>
      </c>
      <c r="AA291" s="52">
        <f>T291*W291</f>
        <v>1.3821428571428573</v>
      </c>
      <c r="AB291" s="52">
        <f>V291*W291</f>
        <v>0</v>
      </c>
      <c r="AC291" s="53">
        <f>(R291+V291)*W291</f>
        <v>12.9</v>
      </c>
      <c r="AD291" s="138">
        <v>12.9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107</v>
      </c>
      <c r="F292" s="96" t="s">
        <v>106</v>
      </c>
      <c r="G292" s="97">
        <v>46132</v>
      </c>
      <c r="H292" s="98">
        <v>0.29726851851851854</v>
      </c>
      <c r="I292" s="50">
        <v>166004508</v>
      </c>
      <c r="J292" s="96" t="s">
        <v>157</v>
      </c>
      <c r="K292" s="49" t="s">
        <v>1006</v>
      </c>
      <c r="L292" s="39" t="s">
        <v>1007</v>
      </c>
      <c r="M292" s="49" t="s">
        <v>300</v>
      </c>
      <c r="N292" s="39" t="s">
        <v>476</v>
      </c>
      <c r="O292" s="96" t="s">
        <v>1008</v>
      </c>
      <c r="P292" s="49" t="s">
        <v>157</v>
      </c>
      <c r="Q292" s="96" t="s">
        <v>104</v>
      </c>
      <c r="R292" s="52">
        <v>27.9</v>
      </c>
      <c r="S292" s="52">
        <f>R292-T292</f>
        <v>24.910714285714285</v>
      </c>
      <c r="T292" s="52">
        <f>R292*U292/(U292+100)</f>
        <v>2.989285714285714</v>
      </c>
      <c r="U292" s="50">
        <v>12</v>
      </c>
      <c r="V292" s="53">
        <v>0</v>
      </c>
      <c r="W292" s="147">
        <v>1</v>
      </c>
      <c r="X292" s="148" t="s">
        <v>163</v>
      </c>
      <c r="Y292" s="54">
        <f>R292*W292</f>
        <v>27.9</v>
      </c>
      <c r="Z292" s="52">
        <f>S292*W292</f>
        <v>24.910714285714285</v>
      </c>
      <c r="AA292" s="52">
        <f>T292*W292</f>
        <v>2.989285714285714</v>
      </c>
      <c r="AB292" s="52">
        <f>V292*W292</f>
        <v>0</v>
      </c>
      <c r="AC292" s="53">
        <f>(R292+V292)*W292</f>
        <v>27.9</v>
      </c>
      <c r="AD292" s="138">
        <v>27.9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107</v>
      </c>
      <c r="F293" s="96" t="s">
        <v>106</v>
      </c>
      <c r="G293" s="97">
        <v>46132</v>
      </c>
      <c r="H293" s="98">
        <v>0.29726851851851854</v>
      </c>
      <c r="I293" s="50">
        <v>166004508</v>
      </c>
      <c r="J293" s="96" t="s">
        <v>157</v>
      </c>
      <c r="K293" s="49" t="s">
        <v>1009</v>
      </c>
      <c r="L293" s="39" t="s">
        <v>1010</v>
      </c>
      <c r="M293" s="49" t="s">
        <v>214</v>
      </c>
      <c r="N293" s="39" t="s">
        <v>490</v>
      </c>
      <c r="O293" s="96" t="s">
        <v>1011</v>
      </c>
      <c r="P293" s="49" t="s">
        <v>157</v>
      </c>
      <c r="Q293" s="96" t="s">
        <v>104</v>
      </c>
      <c r="R293" s="52">
        <v>37.9</v>
      </c>
      <c r="S293" s="52">
        <f>R293-T293</f>
        <v>33.839285714285715</v>
      </c>
      <c r="T293" s="52">
        <f>R293*U293/(U293+100)</f>
        <v>4.060714285714285</v>
      </c>
      <c r="U293" s="50">
        <v>12</v>
      </c>
      <c r="V293" s="53">
        <v>0</v>
      </c>
      <c r="W293" s="147">
        <v>1</v>
      </c>
      <c r="X293" s="148" t="s">
        <v>163</v>
      </c>
      <c r="Y293" s="54">
        <f>R293*W293</f>
        <v>37.9</v>
      </c>
      <c r="Z293" s="52">
        <f>S293*W293</f>
        <v>33.839285714285715</v>
      </c>
      <c r="AA293" s="52">
        <f>T293*W293</f>
        <v>4.060714285714285</v>
      </c>
      <c r="AB293" s="52">
        <f>V293*W293</f>
        <v>0</v>
      </c>
      <c r="AC293" s="53">
        <f>(R293+V293)*W293</f>
        <v>37.9</v>
      </c>
      <c r="AD293" s="138">
        <v>37.9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107</v>
      </c>
      <c r="F294" s="96" t="s">
        <v>106</v>
      </c>
      <c r="G294" s="97">
        <v>46132</v>
      </c>
      <c r="H294" s="98">
        <v>0.29726851851851854</v>
      </c>
      <c r="I294" s="50">
        <v>166004508</v>
      </c>
      <c r="J294" s="96" t="s">
        <v>157</v>
      </c>
      <c r="K294" s="49" t="s">
        <v>1012</v>
      </c>
      <c r="L294" s="39" t="s">
        <v>1013</v>
      </c>
      <c r="M294" s="49" t="s">
        <v>232</v>
      </c>
      <c r="N294" s="39" t="s">
        <v>233</v>
      </c>
      <c r="O294" s="96" t="s">
        <v>1014</v>
      </c>
      <c r="P294" s="49" t="s">
        <v>157</v>
      </c>
      <c r="Q294" s="96" t="s">
        <v>104</v>
      </c>
      <c r="R294" s="52">
        <v>22.9</v>
      </c>
      <c r="S294" s="52">
        <f>R294-T294</f>
        <v>18.925619834710744</v>
      </c>
      <c r="T294" s="52">
        <f>R294*U294/(U294+100)</f>
        <v>3.974380165289256</v>
      </c>
      <c r="U294" s="50">
        <v>21</v>
      </c>
      <c r="V294" s="53">
        <v>0</v>
      </c>
      <c r="W294" s="147">
        <v>1</v>
      </c>
      <c r="X294" s="148" t="s">
        <v>163</v>
      </c>
      <c r="Y294" s="54">
        <f>R294*W294</f>
        <v>22.9</v>
      </c>
      <c r="Z294" s="52">
        <f>S294*W294</f>
        <v>18.925619834710744</v>
      </c>
      <c r="AA294" s="52">
        <f>T294*W294</f>
        <v>3.974380165289256</v>
      </c>
      <c r="AB294" s="52">
        <f>V294*W294</f>
        <v>0</v>
      </c>
      <c r="AC294" s="53">
        <f>(R294+V294)*W294</f>
        <v>22.9</v>
      </c>
      <c r="AD294" s="138">
        <v>22.9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107</v>
      </c>
      <c r="F295" s="96" t="s">
        <v>106</v>
      </c>
      <c r="G295" s="97">
        <v>46132</v>
      </c>
      <c r="H295" s="98">
        <v>0.29726851851851854</v>
      </c>
      <c r="I295" s="50">
        <v>166004508</v>
      </c>
      <c r="J295" s="96" t="s">
        <v>157</v>
      </c>
      <c r="K295" s="49" t="s">
        <v>1015</v>
      </c>
      <c r="L295" s="39" t="s">
        <v>1016</v>
      </c>
      <c r="M295" s="49" t="s">
        <v>232</v>
      </c>
      <c r="N295" s="39" t="s">
        <v>233</v>
      </c>
      <c r="O295" s="96" t="s">
        <v>1017</v>
      </c>
      <c r="P295" s="49" t="s">
        <v>157</v>
      </c>
      <c r="Q295" s="96" t="s">
        <v>104</v>
      </c>
      <c r="R295" s="52">
        <v>15.9</v>
      </c>
      <c r="S295" s="52">
        <f>R295-T295</f>
        <v>13.140495867768596</v>
      </c>
      <c r="T295" s="52">
        <f>R295*U295/(U295+100)</f>
        <v>2.759504132231405</v>
      </c>
      <c r="U295" s="50">
        <v>21</v>
      </c>
      <c r="V295" s="53">
        <v>0</v>
      </c>
      <c r="W295" s="147">
        <v>1</v>
      </c>
      <c r="X295" s="148" t="s">
        <v>163</v>
      </c>
      <c r="Y295" s="54">
        <f>R295*W295</f>
        <v>15.9</v>
      </c>
      <c r="Z295" s="52">
        <f>S295*W295</f>
        <v>13.140495867768596</v>
      </c>
      <c r="AA295" s="52">
        <f>T295*W295</f>
        <v>2.759504132231405</v>
      </c>
      <c r="AB295" s="52">
        <f>V295*W295</f>
        <v>0</v>
      </c>
      <c r="AC295" s="53">
        <f>(R295+V295)*W295</f>
        <v>15.9</v>
      </c>
      <c r="AD295" s="138">
        <v>15.9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107</v>
      </c>
      <c r="F296" s="96" t="s">
        <v>106</v>
      </c>
      <c r="G296" s="97">
        <v>46132</v>
      </c>
      <c r="H296" s="98">
        <v>0.29726851851851854</v>
      </c>
      <c r="I296" s="50">
        <v>166004508</v>
      </c>
      <c r="J296" s="96" t="s">
        <v>157</v>
      </c>
      <c r="K296" s="49" t="s">
        <v>1018</v>
      </c>
      <c r="L296" s="39" t="s">
        <v>1019</v>
      </c>
      <c r="M296" s="49" t="s">
        <v>972</v>
      </c>
      <c r="N296" s="39" t="s">
        <v>256</v>
      </c>
      <c r="O296" s="96" t="s">
        <v>1020</v>
      </c>
      <c r="P296" s="49" t="s">
        <v>157</v>
      </c>
      <c r="Q296" s="96" t="s">
        <v>104</v>
      </c>
      <c r="R296" s="52">
        <v>29.9</v>
      </c>
      <c r="S296" s="52">
        <f>R296-T296</f>
        <v>24.710743801652892</v>
      </c>
      <c r="T296" s="52">
        <f>R296*U296/(U296+100)</f>
        <v>5.189256198347107</v>
      </c>
      <c r="U296" s="50">
        <v>21</v>
      </c>
      <c r="V296" s="53">
        <v>0</v>
      </c>
      <c r="W296" s="147">
        <v>1</v>
      </c>
      <c r="X296" s="148" t="s">
        <v>163</v>
      </c>
      <c r="Y296" s="54">
        <f>R296*W296</f>
        <v>29.9</v>
      </c>
      <c r="Z296" s="52">
        <f>S296*W296</f>
        <v>24.710743801652892</v>
      </c>
      <c r="AA296" s="52">
        <f>T296*W296</f>
        <v>5.189256198347107</v>
      </c>
      <c r="AB296" s="52">
        <f>V296*W296</f>
        <v>0</v>
      </c>
      <c r="AC296" s="53">
        <f>(R296+V296)*W296</f>
        <v>29.9</v>
      </c>
      <c r="AD296" s="138">
        <v>29.9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107</v>
      </c>
      <c r="F297" s="96" t="s">
        <v>106</v>
      </c>
      <c r="G297" s="97">
        <v>46132</v>
      </c>
      <c r="H297" s="98">
        <v>0.29726851851851854</v>
      </c>
      <c r="I297" s="50">
        <v>166004508</v>
      </c>
      <c r="J297" s="96" t="s">
        <v>157</v>
      </c>
      <c r="K297" s="49" t="s">
        <v>1018</v>
      </c>
      <c r="L297" s="39" t="s">
        <v>1019</v>
      </c>
      <c r="M297" s="49" t="s">
        <v>972</v>
      </c>
      <c r="N297" s="39" t="s">
        <v>256</v>
      </c>
      <c r="O297" s="96" t="s">
        <v>1020</v>
      </c>
      <c r="P297" s="49" t="s">
        <v>157</v>
      </c>
      <c r="Q297" s="96" t="s">
        <v>104</v>
      </c>
      <c r="R297" s="52">
        <v>29.9</v>
      </c>
      <c r="S297" s="52">
        <f>R297-T297</f>
        <v>24.710743801652892</v>
      </c>
      <c r="T297" s="52">
        <f>R297*U297/(U297+100)</f>
        <v>5.189256198347107</v>
      </c>
      <c r="U297" s="50">
        <v>21</v>
      </c>
      <c r="V297" s="53">
        <v>0</v>
      </c>
      <c r="W297" s="147">
        <v>1</v>
      </c>
      <c r="X297" s="148" t="s">
        <v>163</v>
      </c>
      <c r="Y297" s="54">
        <f>R297*W297</f>
        <v>29.9</v>
      </c>
      <c r="Z297" s="52">
        <f>S297*W297</f>
        <v>24.710743801652892</v>
      </c>
      <c r="AA297" s="52">
        <f>T297*W297</f>
        <v>5.189256198347107</v>
      </c>
      <c r="AB297" s="52">
        <f>V297*W297</f>
        <v>0</v>
      </c>
      <c r="AC297" s="53">
        <f>(R297+V297)*W297</f>
        <v>29.9</v>
      </c>
      <c r="AD297" s="138">
        <v>29.9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107</v>
      </c>
      <c r="F298" s="96" t="s">
        <v>106</v>
      </c>
      <c r="G298" s="97">
        <v>46132</v>
      </c>
      <c r="H298" s="98">
        <v>0.29726851851851854</v>
      </c>
      <c r="I298" s="50">
        <v>166004508</v>
      </c>
      <c r="J298" s="96" t="s">
        <v>157</v>
      </c>
      <c r="K298" s="49" t="s">
        <v>1021</v>
      </c>
      <c r="L298" s="39" t="s">
        <v>1022</v>
      </c>
      <c r="M298" s="49" t="s">
        <v>190</v>
      </c>
      <c r="N298" s="39" t="s">
        <v>532</v>
      </c>
      <c r="O298" s="96" t="s">
        <v>1023</v>
      </c>
      <c r="P298" s="49" t="s">
        <v>157</v>
      </c>
      <c r="Q298" s="96" t="s">
        <v>104</v>
      </c>
      <c r="R298" s="52">
        <v>48.9</v>
      </c>
      <c r="S298" s="52">
        <f>R298-T298</f>
        <v>43.660714285714285</v>
      </c>
      <c r="T298" s="52">
        <f>R298*U298/(U298+100)</f>
        <v>5.239285714285714</v>
      </c>
      <c r="U298" s="50">
        <v>12</v>
      </c>
      <c r="V298" s="53">
        <v>0</v>
      </c>
      <c r="W298" s="147">
        <v>0.344</v>
      </c>
      <c r="X298" s="148" t="s">
        <v>193</v>
      </c>
      <c r="Y298" s="54">
        <f>R298*W298</f>
        <v>16.821599999999997</v>
      </c>
      <c r="Z298" s="52">
        <f>S298*W298</f>
        <v>15.019285714285713</v>
      </c>
      <c r="AA298" s="52">
        <f>T298*W298</f>
        <v>1.8023142857142855</v>
      </c>
      <c r="AB298" s="52">
        <f>V298*W298</f>
        <v>0</v>
      </c>
      <c r="AC298" s="53">
        <f>(R298+V298)*W298</f>
        <v>16.821599999999997</v>
      </c>
      <c r="AD298" s="138">
        <v>48.9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107</v>
      </c>
      <c r="F299" s="96" t="s">
        <v>106</v>
      </c>
      <c r="G299" s="97">
        <v>46132</v>
      </c>
      <c r="H299" s="98">
        <v>0.29726851851851854</v>
      </c>
      <c r="I299" s="50">
        <v>166004508</v>
      </c>
      <c r="J299" s="96" t="s">
        <v>157</v>
      </c>
      <c r="K299" s="49" t="s">
        <v>188</v>
      </c>
      <c r="L299" s="39" t="s">
        <v>189</v>
      </c>
      <c r="M299" s="49" t="s">
        <v>190</v>
      </c>
      <c r="N299" s="39" t="s">
        <v>191</v>
      </c>
      <c r="O299" s="96" t="s">
        <v>192</v>
      </c>
      <c r="P299" s="49" t="s">
        <v>157</v>
      </c>
      <c r="Q299" s="96" t="s">
        <v>104</v>
      </c>
      <c r="R299" s="52">
        <v>33.9</v>
      </c>
      <c r="S299" s="52">
        <f>R299-T299</f>
        <v>30.267857142857142</v>
      </c>
      <c r="T299" s="52">
        <f>R299*U299/(U299+100)</f>
        <v>3.6321428571428567</v>
      </c>
      <c r="U299" s="50">
        <v>12</v>
      </c>
      <c r="V299" s="53">
        <v>0</v>
      </c>
      <c r="W299" s="147">
        <v>0.296</v>
      </c>
      <c r="X299" s="148" t="s">
        <v>193</v>
      </c>
      <c r="Y299" s="54">
        <f>R299*W299</f>
        <v>10.0344</v>
      </c>
      <c r="Z299" s="52">
        <f>S299*W299</f>
        <v>8.959285714285715</v>
      </c>
      <c r="AA299" s="52">
        <f>T299*W299</f>
        <v>1.0751142857142855</v>
      </c>
      <c r="AB299" s="52">
        <f>V299*W299</f>
        <v>0</v>
      </c>
      <c r="AC299" s="53">
        <f>(R299+V299)*W299</f>
        <v>10.0344</v>
      </c>
      <c r="AD299" s="138">
        <v>33.9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107</v>
      </c>
      <c r="F300" s="96" t="s">
        <v>106</v>
      </c>
      <c r="G300" s="97">
        <v>46132</v>
      </c>
      <c r="H300" s="98">
        <v>0.29726851851851854</v>
      </c>
      <c r="I300" s="50">
        <v>166004508</v>
      </c>
      <c r="J300" s="96" t="s">
        <v>157</v>
      </c>
      <c r="K300" s="49" t="s">
        <v>293</v>
      </c>
      <c r="L300" s="39" t="s">
        <v>294</v>
      </c>
      <c r="M300" s="49" t="s">
        <v>295</v>
      </c>
      <c r="N300" s="39" t="s">
        <v>296</v>
      </c>
      <c r="O300" s="96" t="s">
        <v>297</v>
      </c>
      <c r="P300" s="49" t="s">
        <v>157</v>
      </c>
      <c r="Q300" s="96" t="s">
        <v>104</v>
      </c>
      <c r="R300" s="52">
        <v>2.9</v>
      </c>
      <c r="S300" s="52">
        <f>R300-T300</f>
        <v>2.5892857142857144</v>
      </c>
      <c r="T300" s="52">
        <f>R300*U300/(U300+100)</f>
        <v>0.31071428571428567</v>
      </c>
      <c r="U300" s="50">
        <v>12</v>
      </c>
      <c r="V300" s="53">
        <v>0</v>
      </c>
      <c r="W300" s="147">
        <v>2</v>
      </c>
      <c r="X300" s="148" t="s">
        <v>163</v>
      </c>
      <c r="Y300" s="54">
        <f>R300*W300</f>
        <v>5.8</v>
      </c>
      <c r="Z300" s="52">
        <f>S300*W300</f>
        <v>5.178571428571429</v>
      </c>
      <c r="AA300" s="52">
        <f>T300*W300</f>
        <v>0.6214285714285713</v>
      </c>
      <c r="AB300" s="52">
        <f>V300*W300</f>
        <v>0</v>
      </c>
      <c r="AC300" s="53">
        <f>(R300+V300)*W300</f>
        <v>5.8</v>
      </c>
      <c r="AD300" s="138">
        <v>2.9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107</v>
      </c>
      <c r="F301" s="96" t="s">
        <v>106</v>
      </c>
      <c r="G301" s="97">
        <v>46132</v>
      </c>
      <c r="H301" s="98">
        <v>0.2978472222222222</v>
      </c>
      <c r="I301" s="50">
        <v>166004509</v>
      </c>
      <c r="J301" s="96" t="s">
        <v>157</v>
      </c>
      <c r="K301" s="49" t="s">
        <v>507</v>
      </c>
      <c r="L301" s="39" t="s">
        <v>508</v>
      </c>
      <c r="M301" s="49" t="s">
        <v>509</v>
      </c>
      <c r="N301" s="39" t="s">
        <v>256</v>
      </c>
      <c r="O301" s="96" t="s">
        <v>1024</v>
      </c>
      <c r="P301" s="49" t="s">
        <v>235</v>
      </c>
      <c r="Q301" s="96" t="s">
        <v>236</v>
      </c>
      <c r="R301" s="52">
        <v>15.9</v>
      </c>
      <c r="S301" s="52">
        <f>R301-T301</f>
        <v>13.140495867768596</v>
      </c>
      <c r="T301" s="52">
        <f>R301*U301/(U301+100)</f>
        <v>2.759504132231405</v>
      </c>
      <c r="U301" s="50">
        <v>21</v>
      </c>
      <c r="V301" s="53">
        <v>0</v>
      </c>
      <c r="W301" s="147">
        <v>1</v>
      </c>
      <c r="X301" s="148" t="s">
        <v>163</v>
      </c>
      <c r="Y301" s="54">
        <f>R301*W301</f>
        <v>15.9</v>
      </c>
      <c r="Z301" s="52">
        <f>S301*W301</f>
        <v>13.140495867768596</v>
      </c>
      <c r="AA301" s="52">
        <f>T301*W301</f>
        <v>2.759504132231405</v>
      </c>
      <c r="AB301" s="52">
        <f>V301*W301</f>
        <v>0</v>
      </c>
      <c r="AC301" s="53">
        <f>(R301+V301)*W301</f>
        <v>15.9</v>
      </c>
      <c r="AD301" s="138">
        <v>15.9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107</v>
      </c>
      <c r="F302" s="96" t="s">
        <v>106</v>
      </c>
      <c r="G302" s="97">
        <v>46132</v>
      </c>
      <c r="H302" s="98">
        <v>0.2978472222222222</v>
      </c>
      <c r="I302" s="50">
        <v>166004509</v>
      </c>
      <c r="J302" s="96" t="s">
        <v>157</v>
      </c>
      <c r="K302" s="49" t="s">
        <v>507</v>
      </c>
      <c r="L302" s="39" t="s">
        <v>508</v>
      </c>
      <c r="M302" s="49" t="s">
        <v>509</v>
      </c>
      <c r="N302" s="39" t="s">
        <v>256</v>
      </c>
      <c r="O302" s="96" t="s">
        <v>1024</v>
      </c>
      <c r="P302" s="49" t="s">
        <v>235</v>
      </c>
      <c r="Q302" s="96" t="s">
        <v>236</v>
      </c>
      <c r="R302" s="52">
        <v>15.9</v>
      </c>
      <c r="S302" s="52">
        <f>R302-T302</f>
        <v>13.140495867768596</v>
      </c>
      <c r="T302" s="52">
        <f>R302*U302/(U302+100)</f>
        <v>2.759504132231405</v>
      </c>
      <c r="U302" s="50">
        <v>21</v>
      </c>
      <c r="V302" s="53">
        <v>0</v>
      </c>
      <c r="W302" s="147">
        <v>1</v>
      </c>
      <c r="X302" s="148" t="s">
        <v>163</v>
      </c>
      <c r="Y302" s="54">
        <f>R302*W302</f>
        <v>15.9</v>
      </c>
      <c r="Z302" s="52">
        <f>S302*W302</f>
        <v>13.140495867768596</v>
      </c>
      <c r="AA302" s="52">
        <f>T302*W302</f>
        <v>2.759504132231405</v>
      </c>
      <c r="AB302" s="52">
        <f>V302*W302</f>
        <v>0</v>
      </c>
      <c r="AC302" s="53">
        <f>(R302+V302)*W302</f>
        <v>15.9</v>
      </c>
      <c r="AD302" s="138">
        <v>15.9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107</v>
      </c>
      <c r="F303" s="96" t="s">
        <v>106</v>
      </c>
      <c r="G303" s="97">
        <v>46132</v>
      </c>
      <c r="H303" s="98">
        <v>0.2989236111111111</v>
      </c>
      <c r="I303" s="50">
        <v>166004510</v>
      </c>
      <c r="J303" s="96" t="s">
        <v>157</v>
      </c>
      <c r="K303" s="49" t="s">
        <v>1025</v>
      </c>
      <c r="L303" s="39" t="s">
        <v>1026</v>
      </c>
      <c r="M303" s="49" t="s">
        <v>539</v>
      </c>
      <c r="N303" s="39" t="s">
        <v>404</v>
      </c>
      <c r="O303" s="96" t="s">
        <v>1027</v>
      </c>
      <c r="P303" s="49" t="s">
        <v>157</v>
      </c>
      <c r="Q303" s="96" t="s">
        <v>104</v>
      </c>
      <c r="R303" s="52">
        <v>31.9</v>
      </c>
      <c r="S303" s="52">
        <f>R303-T303</f>
        <v>28.482142857142858</v>
      </c>
      <c r="T303" s="52">
        <f>R303*U303/(U303+100)</f>
        <v>3.4178571428571423</v>
      </c>
      <c r="U303" s="50">
        <v>12</v>
      </c>
      <c r="V303" s="53">
        <v>0</v>
      </c>
      <c r="W303" s="147">
        <v>1</v>
      </c>
      <c r="X303" s="148" t="s">
        <v>163</v>
      </c>
      <c r="Y303" s="54">
        <f>R303*W303</f>
        <v>31.9</v>
      </c>
      <c r="Z303" s="52">
        <f>S303*W303</f>
        <v>28.482142857142858</v>
      </c>
      <c r="AA303" s="52">
        <f>T303*W303</f>
        <v>3.4178571428571423</v>
      </c>
      <c r="AB303" s="52">
        <f>V303*W303</f>
        <v>0</v>
      </c>
      <c r="AC303" s="53">
        <f>(R303+V303)*W303</f>
        <v>31.9</v>
      </c>
      <c r="AD303" s="138">
        <v>31.9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107</v>
      </c>
      <c r="F304" s="96" t="s">
        <v>106</v>
      </c>
      <c r="G304" s="97">
        <v>46132</v>
      </c>
      <c r="H304" s="98">
        <v>0.2989236111111111</v>
      </c>
      <c r="I304" s="50">
        <v>166004510</v>
      </c>
      <c r="J304" s="96" t="s">
        <v>157</v>
      </c>
      <c r="K304" s="49" t="s">
        <v>1028</v>
      </c>
      <c r="L304" s="39" t="s">
        <v>1029</v>
      </c>
      <c r="M304" s="49" t="s">
        <v>600</v>
      </c>
      <c r="N304" s="39" t="s">
        <v>167</v>
      </c>
      <c r="O304" s="96" t="s">
        <v>1030</v>
      </c>
      <c r="P304" s="49" t="s">
        <v>157</v>
      </c>
      <c r="Q304" s="96" t="s">
        <v>104</v>
      </c>
      <c r="R304" s="52">
        <v>24.9</v>
      </c>
      <c r="S304" s="52">
        <f>R304-T304</f>
        <v>20.578512396694215</v>
      </c>
      <c r="T304" s="52">
        <f>R304*U304/(U304+100)</f>
        <v>4.321487603305785</v>
      </c>
      <c r="U304" s="50">
        <v>21</v>
      </c>
      <c r="V304" s="53">
        <v>0</v>
      </c>
      <c r="W304" s="147">
        <v>1</v>
      </c>
      <c r="X304" s="148" t="s">
        <v>163</v>
      </c>
      <c r="Y304" s="54">
        <f>R304*W304</f>
        <v>24.9</v>
      </c>
      <c r="Z304" s="52">
        <f>S304*W304</f>
        <v>20.578512396694215</v>
      </c>
      <c r="AA304" s="52">
        <f>T304*W304</f>
        <v>4.321487603305785</v>
      </c>
      <c r="AB304" s="52">
        <f>V304*W304</f>
        <v>0</v>
      </c>
      <c r="AC304" s="53">
        <f>(R304+V304)*W304</f>
        <v>24.9</v>
      </c>
      <c r="AD304" s="138">
        <v>24.9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107</v>
      </c>
      <c r="F305" s="96" t="s">
        <v>106</v>
      </c>
      <c r="G305" s="97">
        <v>46132</v>
      </c>
      <c r="H305" s="98">
        <v>0.2989236111111111</v>
      </c>
      <c r="I305" s="50">
        <v>166004510</v>
      </c>
      <c r="J305" s="96" t="s">
        <v>157</v>
      </c>
      <c r="K305" s="49" t="s">
        <v>1031</v>
      </c>
      <c r="L305" s="39" t="s">
        <v>1032</v>
      </c>
      <c r="M305" s="49" t="s">
        <v>166</v>
      </c>
      <c r="N305" s="39" t="s">
        <v>220</v>
      </c>
      <c r="O305" s="96" t="s">
        <v>1033</v>
      </c>
      <c r="P305" s="49" t="s">
        <v>157</v>
      </c>
      <c r="Q305" s="96" t="s">
        <v>104</v>
      </c>
      <c r="R305" s="52">
        <v>49.9</v>
      </c>
      <c r="S305" s="52">
        <f>R305-T305</f>
        <v>41.239669421487605</v>
      </c>
      <c r="T305" s="52">
        <f>R305*U305/(U305+100)</f>
        <v>8.660330578512395</v>
      </c>
      <c r="U305" s="50">
        <v>21</v>
      </c>
      <c r="V305" s="53">
        <v>0</v>
      </c>
      <c r="W305" s="147">
        <v>1</v>
      </c>
      <c r="X305" s="148" t="s">
        <v>163</v>
      </c>
      <c r="Y305" s="54">
        <f>R305*W305</f>
        <v>49.9</v>
      </c>
      <c r="Z305" s="52">
        <f>S305*W305</f>
        <v>41.239669421487605</v>
      </c>
      <c r="AA305" s="52">
        <f>T305*W305</f>
        <v>8.660330578512395</v>
      </c>
      <c r="AB305" s="52">
        <f>V305*W305</f>
        <v>0</v>
      </c>
      <c r="AC305" s="53">
        <f>(R305+V305)*W305</f>
        <v>49.9</v>
      </c>
      <c r="AD305" s="138">
        <v>49.9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107</v>
      </c>
      <c r="F306" s="96" t="s">
        <v>106</v>
      </c>
      <c r="G306" s="97">
        <v>46132</v>
      </c>
      <c r="H306" s="98">
        <v>0.2989236111111111</v>
      </c>
      <c r="I306" s="50">
        <v>166004510</v>
      </c>
      <c r="J306" s="96" t="s">
        <v>157</v>
      </c>
      <c r="K306" s="49" t="s">
        <v>530</v>
      </c>
      <c r="L306" s="39" t="s">
        <v>531</v>
      </c>
      <c r="M306" s="49" t="s">
        <v>190</v>
      </c>
      <c r="N306" s="39" t="s">
        <v>532</v>
      </c>
      <c r="O306" s="96" t="s">
        <v>533</v>
      </c>
      <c r="P306" s="49" t="s">
        <v>157</v>
      </c>
      <c r="Q306" s="96" t="s">
        <v>104</v>
      </c>
      <c r="R306" s="52">
        <v>25.9</v>
      </c>
      <c r="S306" s="52">
        <f>R306-T306</f>
        <v>23.125</v>
      </c>
      <c r="T306" s="52">
        <f>R306*U306/(U306+100)</f>
        <v>2.7749999999999995</v>
      </c>
      <c r="U306" s="50">
        <v>12</v>
      </c>
      <c r="V306" s="53">
        <v>0</v>
      </c>
      <c r="W306" s="147">
        <v>0.164</v>
      </c>
      <c r="X306" s="148" t="s">
        <v>193</v>
      </c>
      <c r="Y306" s="54">
        <f>R306*W306</f>
        <v>4.2476</v>
      </c>
      <c r="Z306" s="52">
        <f>S306*W306</f>
        <v>3.7925</v>
      </c>
      <c r="AA306" s="52">
        <f>T306*W306</f>
        <v>0.45509999999999995</v>
      </c>
      <c r="AB306" s="52">
        <f>V306*W306</f>
        <v>0</v>
      </c>
      <c r="AC306" s="53">
        <f>(R306+V306)*W306</f>
        <v>4.2476</v>
      </c>
      <c r="AD306" s="138">
        <v>25.9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107</v>
      </c>
      <c r="F307" s="96" t="s">
        <v>106</v>
      </c>
      <c r="G307" s="97">
        <v>46132</v>
      </c>
      <c r="H307" s="98">
        <v>0.2989236111111111</v>
      </c>
      <c r="I307" s="50">
        <v>166004510</v>
      </c>
      <c r="J307" s="96" t="s">
        <v>157</v>
      </c>
      <c r="K307" s="49" t="s">
        <v>1034</v>
      </c>
      <c r="L307" s="39" t="s">
        <v>1035</v>
      </c>
      <c r="M307" s="49" t="s">
        <v>190</v>
      </c>
      <c r="N307" s="39" t="s">
        <v>191</v>
      </c>
      <c r="O307" s="96" t="s">
        <v>1036</v>
      </c>
      <c r="P307" s="49" t="s">
        <v>157</v>
      </c>
      <c r="Q307" s="96" t="s">
        <v>104</v>
      </c>
      <c r="R307" s="52">
        <v>109.9</v>
      </c>
      <c r="S307" s="52">
        <f>R307-T307</f>
        <v>98.125</v>
      </c>
      <c r="T307" s="52">
        <f>R307*U307/(U307+100)</f>
        <v>11.775000000000002</v>
      </c>
      <c r="U307" s="50">
        <v>12</v>
      </c>
      <c r="V307" s="53">
        <v>0</v>
      </c>
      <c r="W307" s="147">
        <v>0.21</v>
      </c>
      <c r="X307" s="148" t="s">
        <v>193</v>
      </c>
      <c r="Y307" s="54">
        <f>R307*W307</f>
        <v>23.079</v>
      </c>
      <c r="Z307" s="52">
        <f>S307*W307</f>
        <v>20.60625</v>
      </c>
      <c r="AA307" s="52">
        <f>T307*W307</f>
        <v>2.4727500000000004</v>
      </c>
      <c r="AB307" s="52">
        <f>V307*W307</f>
        <v>0</v>
      </c>
      <c r="AC307" s="53">
        <f>(R307+V307)*W307</f>
        <v>23.079</v>
      </c>
      <c r="AD307" s="138">
        <v>109.9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107</v>
      </c>
      <c r="F308" s="96" t="s">
        <v>106</v>
      </c>
      <c r="G308" s="97">
        <v>46132</v>
      </c>
      <c r="H308" s="98">
        <v>0.2989236111111111</v>
      </c>
      <c r="I308" s="50">
        <v>166004510</v>
      </c>
      <c r="J308" s="96" t="s">
        <v>157</v>
      </c>
      <c r="K308" s="49" t="s">
        <v>1037</v>
      </c>
      <c r="L308" s="39" t="s">
        <v>1038</v>
      </c>
      <c r="M308" s="49" t="s">
        <v>185</v>
      </c>
      <c r="N308" s="39" t="s">
        <v>433</v>
      </c>
      <c r="O308" s="96" t="s">
        <v>1039</v>
      </c>
      <c r="P308" s="49" t="s">
        <v>157</v>
      </c>
      <c r="Q308" s="96" t="s">
        <v>104</v>
      </c>
      <c r="R308" s="52">
        <v>29.9</v>
      </c>
      <c r="S308" s="52">
        <f>R308-T308</f>
        <v>26.69642857142857</v>
      </c>
      <c r="T308" s="52">
        <f>R308*U308/(U308+100)</f>
        <v>3.2035714285714283</v>
      </c>
      <c r="U308" s="50">
        <v>12</v>
      </c>
      <c r="V308" s="53">
        <v>0</v>
      </c>
      <c r="W308" s="147">
        <v>1</v>
      </c>
      <c r="X308" s="148" t="s">
        <v>163</v>
      </c>
      <c r="Y308" s="54">
        <f>R308*W308</f>
        <v>29.9</v>
      </c>
      <c r="Z308" s="52">
        <f>S308*W308</f>
        <v>26.69642857142857</v>
      </c>
      <c r="AA308" s="52">
        <f>T308*W308</f>
        <v>3.2035714285714283</v>
      </c>
      <c r="AB308" s="52">
        <f>V308*W308</f>
        <v>0</v>
      </c>
      <c r="AC308" s="53">
        <f>(R308+V308)*W308</f>
        <v>29.9</v>
      </c>
      <c r="AD308" s="138">
        <v>29.9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107</v>
      </c>
      <c r="F309" s="96" t="s">
        <v>106</v>
      </c>
      <c r="G309" s="97">
        <v>46132</v>
      </c>
      <c r="H309" s="98">
        <v>0.3004398148148148</v>
      </c>
      <c r="I309" s="50">
        <v>166004511</v>
      </c>
      <c r="J309" s="96" t="s">
        <v>157</v>
      </c>
      <c r="K309" s="49" t="s">
        <v>1040</v>
      </c>
      <c r="L309" s="39" t="s">
        <v>1041</v>
      </c>
      <c r="M309" s="49" t="s">
        <v>620</v>
      </c>
      <c r="N309" s="39" t="s">
        <v>1042</v>
      </c>
      <c r="O309" s="96" t="s">
        <v>1043</v>
      </c>
      <c r="P309" s="49" t="s">
        <v>157</v>
      </c>
      <c r="Q309" s="96" t="s">
        <v>104</v>
      </c>
      <c r="R309" s="52">
        <v>19.9</v>
      </c>
      <c r="S309" s="52">
        <f>R309-T309</f>
        <v>17.767857142857142</v>
      </c>
      <c r="T309" s="52">
        <f>R309*U309/(U309+100)</f>
        <v>2.132142857142857</v>
      </c>
      <c r="U309" s="50">
        <v>12</v>
      </c>
      <c r="V309" s="53">
        <v>0</v>
      </c>
      <c r="W309" s="147">
        <v>1</v>
      </c>
      <c r="X309" s="148" t="s">
        <v>163</v>
      </c>
      <c r="Y309" s="54">
        <f>R309*W309</f>
        <v>19.9</v>
      </c>
      <c r="Z309" s="52">
        <f>S309*W309</f>
        <v>17.767857142857142</v>
      </c>
      <c r="AA309" s="52">
        <f>T309*W309</f>
        <v>2.132142857142857</v>
      </c>
      <c r="AB309" s="52">
        <f>V309*W309</f>
        <v>0</v>
      </c>
      <c r="AC309" s="53">
        <f>(R309+V309)*W309</f>
        <v>19.9</v>
      </c>
      <c r="AD309" s="138">
        <v>19.9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107</v>
      </c>
      <c r="F310" s="96" t="s">
        <v>106</v>
      </c>
      <c r="G310" s="97">
        <v>46132</v>
      </c>
      <c r="H310" s="98">
        <v>0.3004398148148148</v>
      </c>
      <c r="I310" s="50">
        <v>166004511</v>
      </c>
      <c r="J310" s="96" t="s">
        <v>157</v>
      </c>
      <c r="K310" s="49" t="s">
        <v>1044</v>
      </c>
      <c r="L310" s="39" t="s">
        <v>1045</v>
      </c>
      <c r="M310" s="49" t="s">
        <v>620</v>
      </c>
      <c r="N310" s="39" t="s">
        <v>1042</v>
      </c>
      <c r="O310" s="96" t="s">
        <v>1046</v>
      </c>
      <c r="P310" s="49" t="s">
        <v>157</v>
      </c>
      <c r="Q310" s="96" t="s">
        <v>104</v>
      </c>
      <c r="R310" s="52">
        <v>19.9</v>
      </c>
      <c r="S310" s="52">
        <f>R310-T310</f>
        <v>17.767857142857142</v>
      </c>
      <c r="T310" s="52">
        <f>R310*U310/(U310+100)</f>
        <v>2.132142857142857</v>
      </c>
      <c r="U310" s="50">
        <v>12</v>
      </c>
      <c r="V310" s="53">
        <v>0</v>
      </c>
      <c r="W310" s="147">
        <v>1</v>
      </c>
      <c r="X310" s="148" t="s">
        <v>163</v>
      </c>
      <c r="Y310" s="54">
        <f>R310*W310</f>
        <v>19.9</v>
      </c>
      <c r="Z310" s="52">
        <f>S310*W310</f>
        <v>17.767857142857142</v>
      </c>
      <c r="AA310" s="52">
        <f>T310*W310</f>
        <v>2.132142857142857</v>
      </c>
      <c r="AB310" s="52">
        <f>V310*W310</f>
        <v>0</v>
      </c>
      <c r="AC310" s="53">
        <f>(R310+V310)*W310</f>
        <v>19.9</v>
      </c>
      <c r="AD310" s="138">
        <v>19.9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107</v>
      </c>
      <c r="F311" s="96" t="s">
        <v>106</v>
      </c>
      <c r="G311" s="97">
        <v>46132</v>
      </c>
      <c r="H311" s="98">
        <v>0.3004398148148148</v>
      </c>
      <c r="I311" s="50">
        <v>166004511</v>
      </c>
      <c r="J311" s="96" t="s">
        <v>157</v>
      </c>
      <c r="K311" s="49" t="s">
        <v>1047</v>
      </c>
      <c r="L311" s="39" t="s">
        <v>1048</v>
      </c>
      <c r="M311" s="49" t="s">
        <v>620</v>
      </c>
      <c r="N311" s="39" t="s">
        <v>1042</v>
      </c>
      <c r="O311" s="96" t="s">
        <v>1049</v>
      </c>
      <c r="P311" s="49" t="s">
        <v>157</v>
      </c>
      <c r="Q311" s="96" t="s">
        <v>104</v>
      </c>
      <c r="R311" s="52">
        <v>21.9</v>
      </c>
      <c r="S311" s="52">
        <f>R311-T311</f>
        <v>19.553571428571427</v>
      </c>
      <c r="T311" s="52">
        <f>R311*U311/(U311+100)</f>
        <v>2.346428571428571</v>
      </c>
      <c r="U311" s="50">
        <v>12</v>
      </c>
      <c r="V311" s="53">
        <v>0</v>
      </c>
      <c r="W311" s="147">
        <v>1</v>
      </c>
      <c r="X311" s="148" t="s">
        <v>163</v>
      </c>
      <c r="Y311" s="54">
        <f>R311*W311</f>
        <v>21.9</v>
      </c>
      <c r="Z311" s="52">
        <f>S311*W311</f>
        <v>19.553571428571427</v>
      </c>
      <c r="AA311" s="52">
        <f>T311*W311</f>
        <v>2.346428571428571</v>
      </c>
      <c r="AB311" s="52">
        <f>V311*W311</f>
        <v>0</v>
      </c>
      <c r="AC311" s="53">
        <f>(R311+V311)*W311</f>
        <v>21.9</v>
      </c>
      <c r="AD311" s="138">
        <v>21.9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107</v>
      </c>
      <c r="F312" s="96" t="s">
        <v>106</v>
      </c>
      <c r="G312" s="97">
        <v>46132</v>
      </c>
      <c r="H312" s="98">
        <v>0.3004398148148148</v>
      </c>
      <c r="I312" s="50">
        <v>166004511</v>
      </c>
      <c r="J312" s="96" t="s">
        <v>157</v>
      </c>
      <c r="K312" s="49" t="s">
        <v>1050</v>
      </c>
      <c r="L312" s="39" t="s">
        <v>1051</v>
      </c>
      <c r="M312" s="49" t="s">
        <v>620</v>
      </c>
      <c r="N312" s="39" t="s">
        <v>1042</v>
      </c>
      <c r="O312" s="96" t="s">
        <v>1052</v>
      </c>
      <c r="P312" s="49" t="s">
        <v>157</v>
      </c>
      <c r="Q312" s="96" t="s">
        <v>104</v>
      </c>
      <c r="R312" s="52">
        <v>19.9</v>
      </c>
      <c r="S312" s="52">
        <f>R312-T312</f>
        <v>17.767857142857142</v>
      </c>
      <c r="T312" s="52">
        <f>R312*U312/(U312+100)</f>
        <v>2.132142857142857</v>
      </c>
      <c r="U312" s="50">
        <v>12</v>
      </c>
      <c r="V312" s="53">
        <v>0</v>
      </c>
      <c r="W312" s="147">
        <v>1</v>
      </c>
      <c r="X312" s="148" t="s">
        <v>163</v>
      </c>
      <c r="Y312" s="54">
        <f>R312*W312</f>
        <v>19.9</v>
      </c>
      <c r="Z312" s="52">
        <f>S312*W312</f>
        <v>17.767857142857142</v>
      </c>
      <c r="AA312" s="52">
        <f>T312*W312</f>
        <v>2.132142857142857</v>
      </c>
      <c r="AB312" s="52">
        <f>V312*W312</f>
        <v>0</v>
      </c>
      <c r="AC312" s="53">
        <f>(R312+V312)*W312</f>
        <v>19.9</v>
      </c>
      <c r="AD312" s="138">
        <v>19.9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107</v>
      </c>
      <c r="F313" s="96" t="s">
        <v>106</v>
      </c>
      <c r="G313" s="97">
        <v>46132</v>
      </c>
      <c r="H313" s="98">
        <v>0.3004398148148148</v>
      </c>
      <c r="I313" s="50">
        <v>166004511</v>
      </c>
      <c r="J313" s="96" t="s">
        <v>157</v>
      </c>
      <c r="K313" s="49" t="s">
        <v>1053</v>
      </c>
      <c r="L313" s="39" t="s">
        <v>1054</v>
      </c>
      <c r="M313" s="49" t="s">
        <v>166</v>
      </c>
      <c r="N313" s="39" t="s">
        <v>167</v>
      </c>
      <c r="O313" s="96" t="s">
        <v>1055</v>
      </c>
      <c r="P313" s="49" t="s">
        <v>157</v>
      </c>
      <c r="Q313" s="96" t="s">
        <v>104</v>
      </c>
      <c r="R313" s="52">
        <v>19.9</v>
      </c>
      <c r="S313" s="52">
        <f>R313-T313</f>
        <v>16.446280991735534</v>
      </c>
      <c r="T313" s="52">
        <f>R313*U313/(U313+100)</f>
        <v>3.4537190082644624</v>
      </c>
      <c r="U313" s="50">
        <v>21</v>
      </c>
      <c r="V313" s="53">
        <v>0</v>
      </c>
      <c r="W313" s="147">
        <v>1</v>
      </c>
      <c r="X313" s="148" t="s">
        <v>163</v>
      </c>
      <c r="Y313" s="54">
        <f>R313*W313</f>
        <v>19.9</v>
      </c>
      <c r="Z313" s="52">
        <f>S313*W313</f>
        <v>16.446280991735534</v>
      </c>
      <c r="AA313" s="52">
        <f>T313*W313</f>
        <v>3.4537190082644624</v>
      </c>
      <c r="AB313" s="52">
        <f>V313*W313</f>
        <v>0</v>
      </c>
      <c r="AC313" s="53">
        <f>(R313+V313)*W313</f>
        <v>19.9</v>
      </c>
      <c r="AD313" s="138">
        <v>19.9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107</v>
      </c>
      <c r="F314" s="96" t="s">
        <v>106</v>
      </c>
      <c r="G314" s="97">
        <v>46132</v>
      </c>
      <c r="H314" s="98">
        <v>0.3004398148148148</v>
      </c>
      <c r="I314" s="50">
        <v>166004511</v>
      </c>
      <c r="J314" s="96" t="s">
        <v>157</v>
      </c>
      <c r="K314" s="49" t="s">
        <v>1056</v>
      </c>
      <c r="L314" s="39" t="s">
        <v>1057</v>
      </c>
      <c r="M314" s="49" t="s">
        <v>403</v>
      </c>
      <c r="N314" s="39" t="s">
        <v>688</v>
      </c>
      <c r="O314" s="96" t="s">
        <v>1058</v>
      </c>
      <c r="P314" s="49" t="s">
        <v>157</v>
      </c>
      <c r="Q314" s="96" t="s">
        <v>104</v>
      </c>
      <c r="R314" s="52">
        <v>199.9</v>
      </c>
      <c r="S314" s="52">
        <f>R314-T314</f>
        <v>178.48214285714286</v>
      </c>
      <c r="T314" s="52">
        <f>R314*U314/(U314+100)</f>
        <v>21.417857142857144</v>
      </c>
      <c r="U314" s="50">
        <v>12</v>
      </c>
      <c r="V314" s="53">
        <v>0</v>
      </c>
      <c r="W314" s="147">
        <v>0.204</v>
      </c>
      <c r="X314" s="148" t="s">
        <v>193</v>
      </c>
      <c r="Y314" s="54">
        <f>R314*W314</f>
        <v>40.7796</v>
      </c>
      <c r="Z314" s="52">
        <f>S314*W314</f>
        <v>36.410357142857144</v>
      </c>
      <c r="AA314" s="52">
        <f>T314*W314</f>
        <v>4.369242857142857</v>
      </c>
      <c r="AB314" s="52">
        <f>V314*W314</f>
        <v>0</v>
      </c>
      <c r="AC314" s="53">
        <f>(R314+V314)*W314</f>
        <v>40.7796</v>
      </c>
      <c r="AD314" s="138">
        <v>199.9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107</v>
      </c>
      <c r="F315" s="96" t="s">
        <v>106</v>
      </c>
      <c r="G315" s="97">
        <v>46132</v>
      </c>
      <c r="H315" s="98">
        <v>0.3004398148148148</v>
      </c>
      <c r="I315" s="50">
        <v>166004511</v>
      </c>
      <c r="J315" s="96" t="s">
        <v>157</v>
      </c>
      <c r="K315" s="49" t="s">
        <v>1059</v>
      </c>
      <c r="L315" s="39" t="s">
        <v>1060</v>
      </c>
      <c r="M315" s="49" t="s">
        <v>277</v>
      </c>
      <c r="N315" s="39" t="s">
        <v>688</v>
      </c>
      <c r="O315" s="96" t="s">
        <v>1061</v>
      </c>
      <c r="P315" s="49" t="s">
        <v>157</v>
      </c>
      <c r="Q315" s="96" t="s">
        <v>104</v>
      </c>
      <c r="R315" s="52">
        <v>179.9</v>
      </c>
      <c r="S315" s="52">
        <f>R315-T315</f>
        <v>160.625</v>
      </c>
      <c r="T315" s="52">
        <f>R315*U315/(U315+100)</f>
        <v>19.275000000000002</v>
      </c>
      <c r="U315" s="50">
        <v>12</v>
      </c>
      <c r="V315" s="53">
        <v>0</v>
      </c>
      <c r="W315" s="147">
        <v>0.312</v>
      </c>
      <c r="X315" s="148" t="s">
        <v>193</v>
      </c>
      <c r="Y315" s="54">
        <f>R315*W315</f>
        <v>56.1288</v>
      </c>
      <c r="Z315" s="52">
        <f>S315*W315</f>
        <v>50.115</v>
      </c>
      <c r="AA315" s="52">
        <f>T315*W315</f>
        <v>6.013800000000001</v>
      </c>
      <c r="AB315" s="52">
        <f>V315*W315</f>
        <v>0</v>
      </c>
      <c r="AC315" s="53">
        <f>(R315+V315)*W315</f>
        <v>56.1288</v>
      </c>
      <c r="AD315" s="138">
        <v>179.9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107</v>
      </c>
      <c r="F316" s="96" t="s">
        <v>106</v>
      </c>
      <c r="G316" s="97">
        <v>46132</v>
      </c>
      <c r="H316" s="98">
        <v>0.30211805555555554</v>
      </c>
      <c r="I316" s="50">
        <v>166004512</v>
      </c>
      <c r="J316" s="96" t="s">
        <v>157</v>
      </c>
      <c r="K316" s="49" t="s">
        <v>1062</v>
      </c>
      <c r="L316" s="39" t="s">
        <v>1063</v>
      </c>
      <c r="M316" s="49" t="s">
        <v>862</v>
      </c>
      <c r="N316" s="39" t="s">
        <v>863</v>
      </c>
      <c r="O316" s="96" t="s">
        <v>1064</v>
      </c>
      <c r="P316" s="49" t="s">
        <v>157</v>
      </c>
      <c r="Q316" s="96" t="s">
        <v>104</v>
      </c>
      <c r="R316" s="52">
        <v>200</v>
      </c>
      <c r="S316" s="52">
        <f>R316-T316</f>
        <v>165.28925619834712</v>
      </c>
      <c r="T316" s="52">
        <f>R316*U316/(U316+100)</f>
        <v>34.710743801652896</v>
      </c>
      <c r="U316" s="50">
        <v>21</v>
      </c>
      <c r="V316" s="53">
        <v>0</v>
      </c>
      <c r="W316" s="147">
        <v>1</v>
      </c>
      <c r="X316" s="148" t="s">
        <v>163</v>
      </c>
      <c r="Y316" s="54">
        <f>R316*W316</f>
        <v>200</v>
      </c>
      <c r="Z316" s="52">
        <f>S316*W316</f>
        <v>165.28925619834712</v>
      </c>
      <c r="AA316" s="52">
        <f>T316*W316</f>
        <v>34.710743801652896</v>
      </c>
      <c r="AB316" s="52">
        <f>V316*W316</f>
        <v>0</v>
      </c>
      <c r="AC316" s="53">
        <f>(R316+V316)*W316</f>
        <v>200</v>
      </c>
      <c r="AD316" s="138">
        <v>200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107</v>
      </c>
      <c r="F317" s="96" t="s">
        <v>106</v>
      </c>
      <c r="G317" s="97">
        <v>46132</v>
      </c>
      <c r="H317" s="98">
        <v>0.3036111111111111</v>
      </c>
      <c r="I317" s="50">
        <v>166004513</v>
      </c>
      <c r="J317" s="96" t="s">
        <v>157</v>
      </c>
      <c r="K317" s="49" t="s">
        <v>1065</v>
      </c>
      <c r="L317" s="39" t="s">
        <v>1066</v>
      </c>
      <c r="M317" s="49" t="s">
        <v>1067</v>
      </c>
      <c r="N317" s="39" t="s">
        <v>1068</v>
      </c>
      <c r="O317" s="96" t="s">
        <v>1069</v>
      </c>
      <c r="P317" s="49" t="s">
        <v>157</v>
      </c>
      <c r="Q317" s="96" t="s">
        <v>104</v>
      </c>
      <c r="R317" s="52">
        <v>45.9</v>
      </c>
      <c r="S317" s="52">
        <f>R317-T317</f>
        <v>40.982142857142854</v>
      </c>
      <c r="T317" s="52">
        <f>R317*U317/(U317+100)</f>
        <v>4.917857142857143</v>
      </c>
      <c r="U317" s="50">
        <v>12</v>
      </c>
      <c r="V317" s="53">
        <v>0</v>
      </c>
      <c r="W317" s="147">
        <v>1</v>
      </c>
      <c r="X317" s="148" t="s">
        <v>163</v>
      </c>
      <c r="Y317" s="54">
        <f>R317*W317</f>
        <v>45.9</v>
      </c>
      <c r="Z317" s="52">
        <f>S317*W317</f>
        <v>40.982142857142854</v>
      </c>
      <c r="AA317" s="52">
        <f>T317*W317</f>
        <v>4.917857142857143</v>
      </c>
      <c r="AB317" s="52">
        <f>V317*W317</f>
        <v>0</v>
      </c>
      <c r="AC317" s="53">
        <f>(R317+V317)*W317</f>
        <v>45.9</v>
      </c>
      <c r="AD317" s="138">
        <v>45.9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107</v>
      </c>
      <c r="F318" s="96" t="s">
        <v>106</v>
      </c>
      <c r="G318" s="97">
        <v>46132</v>
      </c>
      <c r="H318" s="98">
        <v>0.3036111111111111</v>
      </c>
      <c r="I318" s="50">
        <v>166004513</v>
      </c>
      <c r="J318" s="96" t="s">
        <v>157</v>
      </c>
      <c r="K318" s="49" t="s">
        <v>336</v>
      </c>
      <c r="L318" s="39" t="s">
        <v>337</v>
      </c>
      <c r="M318" s="49" t="s">
        <v>190</v>
      </c>
      <c r="N318" s="39" t="s">
        <v>191</v>
      </c>
      <c r="O318" s="96" t="s">
        <v>338</v>
      </c>
      <c r="P318" s="49" t="s">
        <v>157</v>
      </c>
      <c r="Q318" s="96" t="s">
        <v>104</v>
      </c>
      <c r="R318" s="52">
        <v>11.9</v>
      </c>
      <c r="S318" s="52">
        <f>R318-T318</f>
        <v>10.625</v>
      </c>
      <c r="T318" s="52">
        <f>R318*U318/(U318+100)</f>
        <v>1.2750000000000001</v>
      </c>
      <c r="U318" s="50">
        <v>12</v>
      </c>
      <c r="V318" s="53">
        <v>0</v>
      </c>
      <c r="W318" s="147">
        <v>0.346</v>
      </c>
      <c r="X318" s="148" t="s">
        <v>193</v>
      </c>
      <c r="Y318" s="54">
        <f>R318*W318</f>
        <v>4.1174</v>
      </c>
      <c r="Z318" s="52">
        <f>S318*W318</f>
        <v>3.6762499999999996</v>
      </c>
      <c r="AA318" s="52">
        <f>T318*W318</f>
        <v>0.44115</v>
      </c>
      <c r="AB318" s="52">
        <f>V318*W318</f>
        <v>0</v>
      </c>
      <c r="AC318" s="53">
        <f>(R318+V318)*W318</f>
        <v>4.1174</v>
      </c>
      <c r="AD318" s="138">
        <v>11.9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107</v>
      </c>
      <c r="F319" s="96" t="s">
        <v>106</v>
      </c>
      <c r="G319" s="97">
        <v>46132</v>
      </c>
      <c r="H319" s="98">
        <v>0.3036111111111111</v>
      </c>
      <c r="I319" s="50">
        <v>166004513</v>
      </c>
      <c r="J319" s="96" t="s">
        <v>157</v>
      </c>
      <c r="K319" s="49" t="s">
        <v>293</v>
      </c>
      <c r="L319" s="39" t="s">
        <v>294</v>
      </c>
      <c r="M319" s="49" t="s">
        <v>295</v>
      </c>
      <c r="N319" s="39" t="s">
        <v>296</v>
      </c>
      <c r="O319" s="96" t="s">
        <v>297</v>
      </c>
      <c r="P319" s="49" t="s">
        <v>157</v>
      </c>
      <c r="Q319" s="96" t="s">
        <v>104</v>
      </c>
      <c r="R319" s="52">
        <v>2.9</v>
      </c>
      <c r="S319" s="52">
        <f>R319-T319</f>
        <v>2.5892857142857144</v>
      </c>
      <c r="T319" s="52">
        <f>R319*U319/(U319+100)</f>
        <v>0.31071428571428567</v>
      </c>
      <c r="U319" s="50">
        <v>12</v>
      </c>
      <c r="V319" s="53">
        <v>0</v>
      </c>
      <c r="W319" s="147">
        <v>6</v>
      </c>
      <c r="X319" s="148" t="s">
        <v>163</v>
      </c>
      <c r="Y319" s="54">
        <f>R319*W319</f>
        <v>17.4</v>
      </c>
      <c r="Z319" s="52">
        <f>S319*W319</f>
        <v>15.535714285714286</v>
      </c>
      <c r="AA319" s="52">
        <f>T319*W319</f>
        <v>1.8642857142857139</v>
      </c>
      <c r="AB319" s="52">
        <f>V319*W319</f>
        <v>0</v>
      </c>
      <c r="AC319" s="53">
        <f>(R319+V319)*W319</f>
        <v>17.4</v>
      </c>
      <c r="AD319" s="138">
        <v>2.9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107</v>
      </c>
      <c r="F320" s="96" t="s">
        <v>106</v>
      </c>
      <c r="G320" s="97">
        <v>46132</v>
      </c>
      <c r="H320" s="98">
        <v>0.30443287037037037</v>
      </c>
      <c r="I320" s="50">
        <v>166004514</v>
      </c>
      <c r="J320" s="96" t="s">
        <v>157</v>
      </c>
      <c r="K320" s="49" t="s">
        <v>1070</v>
      </c>
      <c r="L320" s="39" t="s">
        <v>1071</v>
      </c>
      <c r="M320" s="49" t="s">
        <v>429</v>
      </c>
      <c r="N320" s="39" t="s">
        <v>239</v>
      </c>
      <c r="O320" s="96" t="s">
        <v>1072</v>
      </c>
      <c r="P320" s="49" t="s">
        <v>157</v>
      </c>
      <c r="Q320" s="96" t="s">
        <v>104</v>
      </c>
      <c r="R320" s="52">
        <v>14.4</v>
      </c>
      <c r="S320" s="52">
        <f>R320-T320</f>
        <v>12.857142857142858</v>
      </c>
      <c r="T320" s="52">
        <f>R320*U320/(U320+100)</f>
        <v>1.542857142857143</v>
      </c>
      <c r="U320" s="50">
        <v>12</v>
      </c>
      <c r="V320" s="53">
        <v>0</v>
      </c>
      <c r="W320" s="147">
        <v>1</v>
      </c>
      <c r="X320" s="148" t="s">
        <v>163</v>
      </c>
      <c r="Y320" s="54">
        <f>R320*W320</f>
        <v>14.4</v>
      </c>
      <c r="Z320" s="52">
        <f>S320*W320</f>
        <v>12.857142857142858</v>
      </c>
      <c r="AA320" s="52">
        <f>T320*W320</f>
        <v>1.542857142857143</v>
      </c>
      <c r="AB320" s="52">
        <f>V320*W320</f>
        <v>0</v>
      </c>
      <c r="AC320" s="53">
        <f>(R320+V320)*W320</f>
        <v>14.4</v>
      </c>
      <c r="AD320" s="138">
        <v>14.4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107</v>
      </c>
      <c r="F321" s="96" t="s">
        <v>106</v>
      </c>
      <c r="G321" s="97">
        <v>46132</v>
      </c>
      <c r="H321" s="98">
        <v>0.30443287037037037</v>
      </c>
      <c r="I321" s="50">
        <v>166004514</v>
      </c>
      <c r="J321" s="96" t="s">
        <v>157</v>
      </c>
      <c r="K321" s="49" t="s">
        <v>1070</v>
      </c>
      <c r="L321" s="39" t="s">
        <v>1071</v>
      </c>
      <c r="M321" s="49" t="s">
        <v>429</v>
      </c>
      <c r="N321" s="39" t="s">
        <v>239</v>
      </c>
      <c r="O321" s="96" t="s">
        <v>1072</v>
      </c>
      <c r="P321" s="49" t="s">
        <v>157</v>
      </c>
      <c r="Q321" s="96" t="s">
        <v>104</v>
      </c>
      <c r="R321" s="52">
        <v>14.4</v>
      </c>
      <c r="S321" s="52">
        <f>R321-T321</f>
        <v>12.857142857142858</v>
      </c>
      <c r="T321" s="52">
        <f>R321*U321/(U321+100)</f>
        <v>1.542857142857143</v>
      </c>
      <c r="U321" s="50">
        <v>12</v>
      </c>
      <c r="V321" s="53">
        <v>0</v>
      </c>
      <c r="W321" s="147">
        <v>1</v>
      </c>
      <c r="X321" s="148" t="s">
        <v>163</v>
      </c>
      <c r="Y321" s="54">
        <f>R321*W321</f>
        <v>14.4</v>
      </c>
      <c r="Z321" s="52">
        <f>S321*W321</f>
        <v>12.857142857142858</v>
      </c>
      <c r="AA321" s="52">
        <f>T321*W321</f>
        <v>1.542857142857143</v>
      </c>
      <c r="AB321" s="52">
        <f>V321*W321</f>
        <v>0</v>
      </c>
      <c r="AC321" s="53">
        <f>(R321+V321)*W321</f>
        <v>14.4</v>
      </c>
      <c r="AD321" s="138">
        <v>14.4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107</v>
      </c>
      <c r="F322" s="96" t="s">
        <v>106</v>
      </c>
      <c r="G322" s="97">
        <v>46132</v>
      </c>
      <c r="H322" s="98">
        <v>0.30443287037037037</v>
      </c>
      <c r="I322" s="50">
        <v>166004514</v>
      </c>
      <c r="J322" s="96" t="s">
        <v>157</v>
      </c>
      <c r="K322" s="49" t="s">
        <v>1073</v>
      </c>
      <c r="L322" s="39" t="s">
        <v>1074</v>
      </c>
      <c r="M322" s="49" t="s">
        <v>399</v>
      </c>
      <c r="N322" s="39" t="s">
        <v>1075</v>
      </c>
      <c r="O322" s="96" t="s">
        <v>1076</v>
      </c>
      <c r="P322" s="49" t="s">
        <v>157</v>
      </c>
      <c r="Q322" s="96" t="s">
        <v>104</v>
      </c>
      <c r="R322" s="52">
        <v>9.9</v>
      </c>
      <c r="S322" s="52">
        <f>R322-T322</f>
        <v>8.181818181818182</v>
      </c>
      <c r="T322" s="52">
        <f>R322*U322/(U322+100)</f>
        <v>1.7181818181818183</v>
      </c>
      <c r="U322" s="50">
        <v>21</v>
      </c>
      <c r="V322" s="53">
        <v>0</v>
      </c>
      <c r="W322" s="147">
        <v>1</v>
      </c>
      <c r="X322" s="148" t="s">
        <v>163</v>
      </c>
      <c r="Y322" s="54">
        <f>R322*W322</f>
        <v>9.9</v>
      </c>
      <c r="Z322" s="52">
        <f>S322*W322</f>
        <v>8.181818181818182</v>
      </c>
      <c r="AA322" s="52">
        <f>T322*W322</f>
        <v>1.7181818181818183</v>
      </c>
      <c r="AB322" s="52">
        <f>V322*W322</f>
        <v>0</v>
      </c>
      <c r="AC322" s="53">
        <f>(R322+V322)*W322</f>
        <v>9.9</v>
      </c>
      <c r="AD322" s="138">
        <v>9.9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107</v>
      </c>
      <c r="F323" s="96" t="s">
        <v>106</v>
      </c>
      <c r="G323" s="97">
        <v>46132</v>
      </c>
      <c r="H323" s="98">
        <v>0.30443287037037037</v>
      </c>
      <c r="I323" s="50">
        <v>166004514</v>
      </c>
      <c r="J323" s="96" t="s">
        <v>157</v>
      </c>
      <c r="K323" s="49" t="s">
        <v>1073</v>
      </c>
      <c r="L323" s="39" t="s">
        <v>1074</v>
      </c>
      <c r="M323" s="49" t="s">
        <v>399</v>
      </c>
      <c r="N323" s="39" t="s">
        <v>1075</v>
      </c>
      <c r="O323" s="96" t="s">
        <v>1076</v>
      </c>
      <c r="P323" s="49" t="s">
        <v>157</v>
      </c>
      <c r="Q323" s="96" t="s">
        <v>104</v>
      </c>
      <c r="R323" s="52">
        <v>9.9</v>
      </c>
      <c r="S323" s="52">
        <f>R323-T323</f>
        <v>8.181818181818182</v>
      </c>
      <c r="T323" s="52">
        <f>R323*U323/(U323+100)</f>
        <v>1.7181818181818183</v>
      </c>
      <c r="U323" s="50">
        <v>21</v>
      </c>
      <c r="V323" s="53">
        <v>0</v>
      </c>
      <c r="W323" s="147">
        <v>1</v>
      </c>
      <c r="X323" s="148" t="s">
        <v>163</v>
      </c>
      <c r="Y323" s="54">
        <f>R323*W323</f>
        <v>9.9</v>
      </c>
      <c r="Z323" s="52">
        <f>S323*W323</f>
        <v>8.181818181818182</v>
      </c>
      <c r="AA323" s="52">
        <f>T323*W323</f>
        <v>1.7181818181818183</v>
      </c>
      <c r="AB323" s="52">
        <f>V323*W323</f>
        <v>0</v>
      </c>
      <c r="AC323" s="53">
        <f>(R323+V323)*W323</f>
        <v>9.9</v>
      </c>
      <c r="AD323" s="138">
        <v>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107</v>
      </c>
      <c r="F324" s="96" t="s">
        <v>106</v>
      </c>
      <c r="G324" s="97">
        <v>46132</v>
      </c>
      <c r="H324" s="98">
        <v>0.30443287037037037</v>
      </c>
      <c r="I324" s="50">
        <v>166004514</v>
      </c>
      <c r="J324" s="96" t="s">
        <v>157</v>
      </c>
      <c r="K324" s="49" t="s">
        <v>350</v>
      </c>
      <c r="L324" s="39" t="s">
        <v>351</v>
      </c>
      <c r="M324" s="49" t="s">
        <v>352</v>
      </c>
      <c r="N324" s="39" t="s">
        <v>353</v>
      </c>
      <c r="O324" s="96" t="s">
        <v>1077</v>
      </c>
      <c r="P324" s="49" t="s">
        <v>157</v>
      </c>
      <c r="Q324" s="96" t="s">
        <v>104</v>
      </c>
      <c r="R324" s="52">
        <v>27.9</v>
      </c>
      <c r="S324" s="52">
        <f>R324-T324</f>
        <v>23.05785123966942</v>
      </c>
      <c r="T324" s="52">
        <f>R324*U324/(U324+100)</f>
        <v>4.842148760330578</v>
      </c>
      <c r="U324" s="50">
        <v>21</v>
      </c>
      <c r="V324" s="53">
        <v>0</v>
      </c>
      <c r="W324" s="147">
        <v>1</v>
      </c>
      <c r="X324" s="148" t="s">
        <v>163</v>
      </c>
      <c r="Y324" s="54">
        <f>R324*W324</f>
        <v>27.9</v>
      </c>
      <c r="Z324" s="52">
        <f>S324*W324</f>
        <v>23.05785123966942</v>
      </c>
      <c r="AA324" s="52">
        <f>T324*W324</f>
        <v>4.842148760330578</v>
      </c>
      <c r="AB324" s="52">
        <f>V324*W324</f>
        <v>0</v>
      </c>
      <c r="AC324" s="53">
        <f>(R324+V324)*W324</f>
        <v>27.9</v>
      </c>
      <c r="AD324" s="138">
        <v>27.9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107</v>
      </c>
      <c r="F325" s="96" t="s">
        <v>106</v>
      </c>
      <c r="G325" s="97">
        <v>46132</v>
      </c>
      <c r="H325" s="98">
        <v>0.30443287037037037</v>
      </c>
      <c r="I325" s="50">
        <v>166004514</v>
      </c>
      <c r="J325" s="96" t="s">
        <v>157</v>
      </c>
      <c r="K325" s="49" t="s">
        <v>1078</v>
      </c>
      <c r="L325" s="39" t="s">
        <v>1079</v>
      </c>
      <c r="M325" s="49" t="s">
        <v>232</v>
      </c>
      <c r="N325" s="39" t="s">
        <v>167</v>
      </c>
      <c r="O325" s="96" t="s">
        <v>1080</v>
      </c>
      <c r="P325" s="49" t="s">
        <v>157</v>
      </c>
      <c r="Q325" s="96" t="s">
        <v>104</v>
      </c>
      <c r="R325" s="52">
        <v>27.9</v>
      </c>
      <c r="S325" s="52">
        <f>R325-T325</f>
        <v>23.05785123966942</v>
      </c>
      <c r="T325" s="52">
        <f>R325*U325/(U325+100)</f>
        <v>4.842148760330578</v>
      </c>
      <c r="U325" s="50">
        <v>21</v>
      </c>
      <c r="V325" s="53">
        <v>0</v>
      </c>
      <c r="W325" s="147">
        <v>1</v>
      </c>
      <c r="X325" s="148" t="s">
        <v>163</v>
      </c>
      <c r="Y325" s="54">
        <f>R325*W325</f>
        <v>27.9</v>
      </c>
      <c r="Z325" s="52">
        <f>S325*W325</f>
        <v>23.05785123966942</v>
      </c>
      <c r="AA325" s="52">
        <f>T325*W325</f>
        <v>4.842148760330578</v>
      </c>
      <c r="AB325" s="52">
        <f>V325*W325</f>
        <v>0</v>
      </c>
      <c r="AC325" s="53">
        <f>(R325+V325)*W325</f>
        <v>27.9</v>
      </c>
      <c r="AD325" s="138">
        <v>27.9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107</v>
      </c>
      <c r="F326" s="96" t="s">
        <v>106</v>
      </c>
      <c r="G326" s="97">
        <v>46132</v>
      </c>
      <c r="H326" s="98">
        <v>0.30663194444444447</v>
      </c>
      <c r="I326" s="50">
        <v>166004515</v>
      </c>
      <c r="J326" s="96" t="s">
        <v>157</v>
      </c>
      <c r="K326" s="49" t="s">
        <v>1081</v>
      </c>
      <c r="L326" s="39" t="s">
        <v>1082</v>
      </c>
      <c r="M326" s="49" t="s">
        <v>171</v>
      </c>
      <c r="N326" s="39" t="s">
        <v>1083</v>
      </c>
      <c r="O326" s="96" t="s">
        <v>1084</v>
      </c>
      <c r="P326" s="49" t="s">
        <v>157</v>
      </c>
      <c r="Q326" s="96" t="s">
        <v>104</v>
      </c>
      <c r="R326" s="52">
        <v>189.9</v>
      </c>
      <c r="S326" s="52">
        <f>R326-T326</f>
        <v>169.55357142857144</v>
      </c>
      <c r="T326" s="52">
        <f>R326*U326/(U326+100)</f>
        <v>20.34642857142857</v>
      </c>
      <c r="U326" s="50">
        <v>12</v>
      </c>
      <c r="V326" s="53">
        <v>0</v>
      </c>
      <c r="W326" s="147">
        <v>1</v>
      </c>
      <c r="X326" s="148" t="s">
        <v>163</v>
      </c>
      <c r="Y326" s="54">
        <f>R326*W326</f>
        <v>189.9</v>
      </c>
      <c r="Z326" s="52">
        <f>S326*W326</f>
        <v>169.55357142857144</v>
      </c>
      <c r="AA326" s="52">
        <f>T326*W326</f>
        <v>20.34642857142857</v>
      </c>
      <c r="AB326" s="52">
        <f>V326*W326</f>
        <v>0</v>
      </c>
      <c r="AC326" s="53">
        <f>(R326+V326)*W326</f>
        <v>189.9</v>
      </c>
      <c r="AD326" s="138">
        <v>189.9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107</v>
      </c>
      <c r="F327" s="96" t="s">
        <v>106</v>
      </c>
      <c r="G327" s="97">
        <v>46132</v>
      </c>
      <c r="H327" s="98">
        <v>0.30663194444444447</v>
      </c>
      <c r="I327" s="50">
        <v>166004515</v>
      </c>
      <c r="J327" s="96" t="s">
        <v>157</v>
      </c>
      <c r="K327" s="49" t="s">
        <v>655</v>
      </c>
      <c r="L327" s="39" t="s">
        <v>656</v>
      </c>
      <c r="M327" s="49" t="s">
        <v>190</v>
      </c>
      <c r="N327" s="39" t="s">
        <v>532</v>
      </c>
      <c r="O327" s="96" t="s">
        <v>657</v>
      </c>
      <c r="P327" s="49" t="s">
        <v>157</v>
      </c>
      <c r="Q327" s="96" t="s">
        <v>104</v>
      </c>
      <c r="R327" s="52">
        <v>25.13</v>
      </c>
      <c r="S327" s="52">
        <f>R327-T327</f>
        <v>22.4375</v>
      </c>
      <c r="T327" s="52">
        <f>R327*U327/(U327+100)</f>
        <v>2.6925</v>
      </c>
      <c r="U327" s="50">
        <v>12</v>
      </c>
      <c r="V327" s="53">
        <v>0</v>
      </c>
      <c r="W327" s="147">
        <v>0.768</v>
      </c>
      <c r="X327" s="148" t="s">
        <v>193</v>
      </c>
      <c r="Y327" s="54">
        <f>R327*W327</f>
        <v>19.29984</v>
      </c>
      <c r="Z327" s="52">
        <f>S327*W327</f>
        <v>17.232</v>
      </c>
      <c r="AA327" s="52">
        <f>T327*W327</f>
        <v>2.06784</v>
      </c>
      <c r="AB327" s="52">
        <f>V327*W327</f>
        <v>0</v>
      </c>
      <c r="AC327" s="53">
        <f>(R327+V327)*W327</f>
        <v>19.29984</v>
      </c>
      <c r="AD327" s="138">
        <v>25.13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107</v>
      </c>
      <c r="F328" s="96" t="s">
        <v>106</v>
      </c>
      <c r="G328" s="97">
        <v>46132</v>
      </c>
      <c r="H328" s="98">
        <v>0.3095486111111111</v>
      </c>
      <c r="I328" s="50">
        <v>166004516</v>
      </c>
      <c r="J328" s="96" t="s">
        <v>157</v>
      </c>
      <c r="K328" s="49" t="s">
        <v>1085</v>
      </c>
      <c r="L328" s="39" t="s">
        <v>1086</v>
      </c>
      <c r="M328" s="49" t="s">
        <v>1087</v>
      </c>
      <c r="N328" s="39" t="s">
        <v>1088</v>
      </c>
      <c r="O328" s="96" t="s">
        <v>1089</v>
      </c>
      <c r="P328" s="49" t="s">
        <v>157</v>
      </c>
      <c r="Q328" s="96" t="s">
        <v>104</v>
      </c>
      <c r="R328" s="52">
        <v>163.03</v>
      </c>
      <c r="S328" s="52">
        <f>R328-T328</f>
        <v>145.5625</v>
      </c>
      <c r="T328" s="52">
        <f>R328*U328/(U328+100)</f>
        <v>17.4675</v>
      </c>
      <c r="U328" s="50">
        <v>12</v>
      </c>
      <c r="V328" s="53">
        <v>0</v>
      </c>
      <c r="W328" s="147">
        <v>0.182</v>
      </c>
      <c r="X328" s="148" t="s">
        <v>193</v>
      </c>
      <c r="Y328" s="54">
        <f>R328*W328</f>
        <v>29.67146</v>
      </c>
      <c r="Z328" s="52">
        <f>S328*W328</f>
        <v>26.492375</v>
      </c>
      <c r="AA328" s="52">
        <f>T328*W328</f>
        <v>3.179085</v>
      </c>
      <c r="AB328" s="52">
        <f>V328*W328</f>
        <v>0</v>
      </c>
      <c r="AC328" s="53">
        <f>(R328+V328)*W328</f>
        <v>29.67146</v>
      </c>
      <c r="AD328" s="138">
        <v>232.9</v>
      </c>
      <c r="AE328" s="137">
        <v>69.87</v>
      </c>
      <c r="AF328" s="139">
        <v>12.7163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107</v>
      </c>
      <c r="F329" s="96" t="s">
        <v>106</v>
      </c>
      <c r="G329" s="97">
        <v>46132</v>
      </c>
      <c r="H329" s="98">
        <v>0.3095486111111111</v>
      </c>
      <c r="I329" s="50">
        <v>166004516</v>
      </c>
      <c r="J329" s="96" t="s">
        <v>157</v>
      </c>
      <c r="K329" s="49" t="s">
        <v>293</v>
      </c>
      <c r="L329" s="39" t="s">
        <v>294</v>
      </c>
      <c r="M329" s="49" t="s">
        <v>295</v>
      </c>
      <c r="N329" s="39" t="s">
        <v>296</v>
      </c>
      <c r="O329" s="96" t="s">
        <v>297</v>
      </c>
      <c r="P329" s="49" t="s">
        <v>157</v>
      </c>
      <c r="Q329" s="96" t="s">
        <v>104</v>
      </c>
      <c r="R329" s="52">
        <v>2.9</v>
      </c>
      <c r="S329" s="52">
        <f>R329-T329</f>
        <v>2.5892857142857144</v>
      </c>
      <c r="T329" s="52">
        <f>R329*U329/(U329+100)</f>
        <v>0.31071428571428567</v>
      </c>
      <c r="U329" s="50">
        <v>12</v>
      </c>
      <c r="V329" s="53">
        <v>0</v>
      </c>
      <c r="W329" s="147">
        <v>10</v>
      </c>
      <c r="X329" s="148" t="s">
        <v>163</v>
      </c>
      <c r="Y329" s="54">
        <f>R329*W329</f>
        <v>29</v>
      </c>
      <c r="Z329" s="52">
        <f>S329*W329</f>
        <v>25.892857142857146</v>
      </c>
      <c r="AA329" s="52">
        <f>T329*W329</f>
        <v>3.1071428571428568</v>
      </c>
      <c r="AB329" s="52">
        <f>V329*W329</f>
        <v>0</v>
      </c>
      <c r="AC329" s="53">
        <f>(R329+V329)*W329</f>
        <v>29</v>
      </c>
      <c r="AD329" s="138">
        <v>2.9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107</v>
      </c>
      <c r="F330" s="96" t="s">
        <v>106</v>
      </c>
      <c r="G330" s="97">
        <v>46132</v>
      </c>
      <c r="H330" s="98">
        <v>0.31048611111111113</v>
      </c>
      <c r="I330" s="50">
        <v>166004517</v>
      </c>
      <c r="J330" s="96" t="s">
        <v>157</v>
      </c>
      <c r="K330" s="49" t="s">
        <v>1090</v>
      </c>
      <c r="L330" s="39" t="s">
        <v>1091</v>
      </c>
      <c r="M330" s="49" t="s">
        <v>792</v>
      </c>
      <c r="N330" s="39" t="s">
        <v>348</v>
      </c>
      <c r="O330" s="96" t="s">
        <v>1092</v>
      </c>
      <c r="P330" s="49" t="s">
        <v>157</v>
      </c>
      <c r="Q330" s="96" t="s">
        <v>104</v>
      </c>
      <c r="R330" s="52">
        <v>18.9</v>
      </c>
      <c r="S330" s="52">
        <f>R330-T330</f>
        <v>16.875</v>
      </c>
      <c r="T330" s="52">
        <f>R330*U330/(U330+100)</f>
        <v>2.025</v>
      </c>
      <c r="U330" s="50">
        <v>12</v>
      </c>
      <c r="V330" s="53">
        <v>0</v>
      </c>
      <c r="W330" s="147">
        <v>1</v>
      </c>
      <c r="X330" s="148" t="s">
        <v>163</v>
      </c>
      <c r="Y330" s="54">
        <f>R330*W330</f>
        <v>18.9</v>
      </c>
      <c r="Z330" s="52">
        <f>S330*W330</f>
        <v>16.875</v>
      </c>
      <c r="AA330" s="52">
        <f>T330*W330</f>
        <v>2.025</v>
      </c>
      <c r="AB330" s="52">
        <f>V330*W330</f>
        <v>0</v>
      </c>
      <c r="AC330" s="53">
        <f>(R330+V330)*W330</f>
        <v>18.9</v>
      </c>
      <c r="AD330" s="138">
        <v>18.9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107</v>
      </c>
      <c r="F331" s="96" t="s">
        <v>106</v>
      </c>
      <c r="G331" s="97">
        <v>46132</v>
      </c>
      <c r="H331" s="98">
        <v>0.31048611111111113</v>
      </c>
      <c r="I331" s="50">
        <v>166004517</v>
      </c>
      <c r="J331" s="96" t="s">
        <v>157</v>
      </c>
      <c r="K331" s="49" t="s">
        <v>1093</v>
      </c>
      <c r="L331" s="39" t="s">
        <v>1094</v>
      </c>
      <c r="M331" s="49" t="s">
        <v>1095</v>
      </c>
      <c r="N331" s="39" t="s">
        <v>348</v>
      </c>
      <c r="O331" s="96" t="s">
        <v>1096</v>
      </c>
      <c r="P331" s="49" t="s">
        <v>157</v>
      </c>
      <c r="Q331" s="96" t="s">
        <v>104</v>
      </c>
      <c r="R331" s="52">
        <v>14.9</v>
      </c>
      <c r="S331" s="52">
        <f>R331-T331</f>
        <v>13.303571428571429</v>
      </c>
      <c r="T331" s="52">
        <f>R331*U331/(U331+100)</f>
        <v>1.5964285714285715</v>
      </c>
      <c r="U331" s="50">
        <v>12</v>
      </c>
      <c r="V331" s="53">
        <v>0</v>
      </c>
      <c r="W331" s="147">
        <v>1</v>
      </c>
      <c r="X331" s="148" t="s">
        <v>163</v>
      </c>
      <c r="Y331" s="54">
        <f>R331*W331</f>
        <v>14.9</v>
      </c>
      <c r="Z331" s="52">
        <f>S331*W331</f>
        <v>13.303571428571429</v>
      </c>
      <c r="AA331" s="52">
        <f>T331*W331</f>
        <v>1.5964285714285715</v>
      </c>
      <c r="AB331" s="52">
        <f>V331*W331</f>
        <v>0</v>
      </c>
      <c r="AC331" s="53">
        <f>(R331+V331)*W331</f>
        <v>14.9</v>
      </c>
      <c r="AD331" s="138">
        <v>14.9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107</v>
      </c>
      <c r="F332" s="96" t="s">
        <v>106</v>
      </c>
      <c r="G332" s="97">
        <v>46132</v>
      </c>
      <c r="H332" s="98">
        <v>0.31048611111111113</v>
      </c>
      <c r="I332" s="50">
        <v>166004517</v>
      </c>
      <c r="J332" s="96" t="s">
        <v>157</v>
      </c>
      <c r="K332" s="49" t="s">
        <v>1097</v>
      </c>
      <c r="L332" s="39" t="s">
        <v>1098</v>
      </c>
      <c r="M332" s="49" t="s">
        <v>444</v>
      </c>
      <c r="N332" s="39" t="s">
        <v>228</v>
      </c>
      <c r="O332" s="96" t="s">
        <v>1099</v>
      </c>
      <c r="P332" s="49" t="s">
        <v>157</v>
      </c>
      <c r="Q332" s="96" t="s">
        <v>104</v>
      </c>
      <c r="R332" s="52">
        <v>17.9</v>
      </c>
      <c r="S332" s="52">
        <f>R332-T332</f>
        <v>15.982142857142856</v>
      </c>
      <c r="T332" s="52">
        <f>R332*U332/(U332+100)</f>
        <v>1.9178571428571427</v>
      </c>
      <c r="U332" s="50">
        <v>12</v>
      </c>
      <c r="V332" s="53">
        <v>0</v>
      </c>
      <c r="W332" s="147">
        <v>1</v>
      </c>
      <c r="X332" s="148" t="s">
        <v>163</v>
      </c>
      <c r="Y332" s="54">
        <f>R332*W332</f>
        <v>17.9</v>
      </c>
      <c r="Z332" s="52">
        <f>S332*W332</f>
        <v>15.982142857142856</v>
      </c>
      <c r="AA332" s="52">
        <f>T332*W332</f>
        <v>1.9178571428571427</v>
      </c>
      <c r="AB332" s="52">
        <f>V332*W332</f>
        <v>0</v>
      </c>
      <c r="AC332" s="53">
        <f>(R332+V332)*W332</f>
        <v>17.9</v>
      </c>
      <c r="AD332" s="138">
        <v>17.9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107</v>
      </c>
      <c r="F333" s="96" t="s">
        <v>106</v>
      </c>
      <c r="G333" s="97">
        <v>46132</v>
      </c>
      <c r="H333" s="98">
        <v>0.31048611111111113</v>
      </c>
      <c r="I333" s="50">
        <v>166004517</v>
      </c>
      <c r="J333" s="96" t="s">
        <v>157</v>
      </c>
      <c r="K333" s="49" t="s">
        <v>1100</v>
      </c>
      <c r="L333" s="39" t="s">
        <v>1101</v>
      </c>
      <c r="M333" s="49" t="s">
        <v>444</v>
      </c>
      <c r="N333" s="39" t="s">
        <v>228</v>
      </c>
      <c r="O333" s="96" t="s">
        <v>1102</v>
      </c>
      <c r="P333" s="49" t="s">
        <v>157</v>
      </c>
      <c r="Q333" s="96" t="s">
        <v>104</v>
      </c>
      <c r="R333" s="52">
        <v>17.9</v>
      </c>
      <c r="S333" s="52">
        <f>R333-T333</f>
        <v>15.982142857142856</v>
      </c>
      <c r="T333" s="52">
        <f>R333*U333/(U333+100)</f>
        <v>1.9178571428571427</v>
      </c>
      <c r="U333" s="50">
        <v>12</v>
      </c>
      <c r="V333" s="53">
        <v>0</v>
      </c>
      <c r="W333" s="147">
        <v>1</v>
      </c>
      <c r="X333" s="148" t="s">
        <v>163</v>
      </c>
      <c r="Y333" s="54">
        <f>R333*W333</f>
        <v>17.9</v>
      </c>
      <c r="Z333" s="52">
        <f>S333*W333</f>
        <v>15.982142857142856</v>
      </c>
      <c r="AA333" s="52">
        <f>T333*W333</f>
        <v>1.9178571428571427</v>
      </c>
      <c r="AB333" s="52">
        <f>V333*W333</f>
        <v>0</v>
      </c>
      <c r="AC333" s="53">
        <f>(R333+V333)*W333</f>
        <v>17.9</v>
      </c>
      <c r="AD333" s="138">
        <v>17.9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107</v>
      </c>
      <c r="F334" s="96" t="s">
        <v>106</v>
      </c>
      <c r="G334" s="97">
        <v>46132</v>
      </c>
      <c r="H334" s="98">
        <v>0.31048611111111113</v>
      </c>
      <c r="I334" s="50">
        <v>166004517</v>
      </c>
      <c r="J334" s="96" t="s">
        <v>157</v>
      </c>
      <c r="K334" s="49" t="s">
        <v>1103</v>
      </c>
      <c r="L334" s="39" t="s">
        <v>1104</v>
      </c>
      <c r="M334" s="49" t="s">
        <v>166</v>
      </c>
      <c r="N334" s="39" t="s">
        <v>167</v>
      </c>
      <c r="O334" s="96" t="s">
        <v>1105</v>
      </c>
      <c r="P334" s="49" t="s">
        <v>157</v>
      </c>
      <c r="Q334" s="96" t="s">
        <v>104</v>
      </c>
      <c r="R334" s="52">
        <v>19.9</v>
      </c>
      <c r="S334" s="52">
        <f>R334-T334</f>
        <v>16.446280991735534</v>
      </c>
      <c r="T334" s="52">
        <f>R334*U334/(U334+100)</f>
        <v>3.4537190082644624</v>
      </c>
      <c r="U334" s="50">
        <v>21</v>
      </c>
      <c r="V334" s="53">
        <v>0</v>
      </c>
      <c r="W334" s="147">
        <v>1</v>
      </c>
      <c r="X334" s="148" t="s">
        <v>163</v>
      </c>
      <c r="Y334" s="54">
        <f>R334*W334</f>
        <v>19.9</v>
      </c>
      <c r="Z334" s="52">
        <f>S334*W334</f>
        <v>16.446280991735534</v>
      </c>
      <c r="AA334" s="52">
        <f>T334*W334</f>
        <v>3.4537190082644624</v>
      </c>
      <c r="AB334" s="52">
        <f>V334*W334</f>
        <v>0</v>
      </c>
      <c r="AC334" s="53">
        <f>(R334+V334)*W334</f>
        <v>19.9</v>
      </c>
      <c r="AD334" s="138">
        <v>19.9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107</v>
      </c>
      <c r="F335" s="96" t="s">
        <v>106</v>
      </c>
      <c r="G335" s="97">
        <v>46132</v>
      </c>
      <c r="H335" s="98">
        <v>0.31048611111111113</v>
      </c>
      <c r="I335" s="50">
        <v>166004517</v>
      </c>
      <c r="J335" s="96" t="s">
        <v>157</v>
      </c>
      <c r="K335" s="49" t="s">
        <v>1106</v>
      </c>
      <c r="L335" s="39" t="s">
        <v>1107</v>
      </c>
      <c r="M335" s="49" t="s">
        <v>166</v>
      </c>
      <c r="N335" s="39" t="s">
        <v>167</v>
      </c>
      <c r="O335" s="96" t="s">
        <v>1108</v>
      </c>
      <c r="P335" s="49" t="s">
        <v>157</v>
      </c>
      <c r="Q335" s="96" t="s">
        <v>104</v>
      </c>
      <c r="R335" s="52">
        <v>17.9</v>
      </c>
      <c r="S335" s="52">
        <f>R335-T335</f>
        <v>14.793388429752065</v>
      </c>
      <c r="T335" s="52">
        <f>R335*U335/(U335+100)</f>
        <v>3.1066115702479338</v>
      </c>
      <c r="U335" s="50">
        <v>21</v>
      </c>
      <c r="V335" s="53">
        <v>0</v>
      </c>
      <c r="W335" s="147">
        <v>1</v>
      </c>
      <c r="X335" s="148" t="s">
        <v>163</v>
      </c>
      <c r="Y335" s="54">
        <f>R335*W335</f>
        <v>17.9</v>
      </c>
      <c r="Z335" s="52">
        <f>S335*W335</f>
        <v>14.793388429752065</v>
      </c>
      <c r="AA335" s="52">
        <f>T335*W335</f>
        <v>3.1066115702479338</v>
      </c>
      <c r="AB335" s="52">
        <f>V335*W335</f>
        <v>0</v>
      </c>
      <c r="AC335" s="53">
        <f>(R335+V335)*W335</f>
        <v>17.9</v>
      </c>
      <c r="AD335" s="138">
        <v>17.9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107</v>
      </c>
      <c r="F336" s="96" t="s">
        <v>106</v>
      </c>
      <c r="G336" s="97">
        <v>46132</v>
      </c>
      <c r="H336" s="98">
        <v>0.31048611111111113</v>
      </c>
      <c r="I336" s="50">
        <v>166004517</v>
      </c>
      <c r="J336" s="96" t="s">
        <v>157</v>
      </c>
      <c r="K336" s="49" t="s">
        <v>515</v>
      </c>
      <c r="L336" s="39" t="s">
        <v>104</v>
      </c>
      <c r="M336" s="49" t="s">
        <v>214</v>
      </c>
      <c r="N336" s="39" t="s">
        <v>296</v>
      </c>
      <c r="O336" s="96" t="s">
        <v>1109</v>
      </c>
      <c r="P336" s="49" t="s">
        <v>157</v>
      </c>
      <c r="Q336" s="96" t="s">
        <v>104</v>
      </c>
      <c r="R336" s="52">
        <v>15.9</v>
      </c>
      <c r="S336" s="52">
        <f>R336-T336</f>
        <v>14.196428571428571</v>
      </c>
      <c r="T336" s="52">
        <f>R336*U336/(U336+100)</f>
        <v>1.7035714285714287</v>
      </c>
      <c r="U336" s="50">
        <v>12</v>
      </c>
      <c r="V336" s="53">
        <v>0</v>
      </c>
      <c r="W336" s="147">
        <v>1</v>
      </c>
      <c r="X336" s="148" t="s">
        <v>163</v>
      </c>
      <c r="Y336" s="54">
        <f>R336*W336</f>
        <v>15.9</v>
      </c>
      <c r="Z336" s="52">
        <f>S336*W336</f>
        <v>14.196428571428571</v>
      </c>
      <c r="AA336" s="52">
        <f>T336*W336</f>
        <v>1.7035714285714287</v>
      </c>
      <c r="AB336" s="52">
        <f>V336*W336</f>
        <v>0</v>
      </c>
      <c r="AC336" s="53">
        <f>(R336+V336)*W336</f>
        <v>15.9</v>
      </c>
      <c r="AD336" s="138">
        <v>15.9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107</v>
      </c>
      <c r="F337" s="96" t="s">
        <v>106</v>
      </c>
      <c r="G337" s="97">
        <v>46132</v>
      </c>
      <c r="H337" s="98">
        <v>0.31048611111111113</v>
      </c>
      <c r="I337" s="50">
        <v>166004517</v>
      </c>
      <c r="J337" s="96" t="s">
        <v>157</v>
      </c>
      <c r="K337" s="49" t="s">
        <v>390</v>
      </c>
      <c r="L337" s="39" t="s">
        <v>391</v>
      </c>
      <c r="M337" s="49" t="s">
        <v>214</v>
      </c>
      <c r="N337" s="39" t="s">
        <v>273</v>
      </c>
      <c r="O337" s="96" t="s">
        <v>1110</v>
      </c>
      <c r="P337" s="49" t="s">
        <v>157</v>
      </c>
      <c r="Q337" s="96" t="s">
        <v>104</v>
      </c>
      <c r="R337" s="52">
        <v>15.9</v>
      </c>
      <c r="S337" s="52">
        <f>R337-T337</f>
        <v>14.196428571428571</v>
      </c>
      <c r="T337" s="52">
        <f>R337*U337/(U337+100)</f>
        <v>1.7035714285714287</v>
      </c>
      <c r="U337" s="50">
        <v>12</v>
      </c>
      <c r="V337" s="53">
        <v>0</v>
      </c>
      <c r="W337" s="147">
        <v>1</v>
      </c>
      <c r="X337" s="148" t="s">
        <v>163</v>
      </c>
      <c r="Y337" s="54">
        <f>R337*W337</f>
        <v>15.9</v>
      </c>
      <c r="Z337" s="52">
        <f>S337*W337</f>
        <v>14.196428571428571</v>
      </c>
      <c r="AA337" s="52">
        <f>T337*W337</f>
        <v>1.7035714285714287</v>
      </c>
      <c r="AB337" s="52">
        <f>V337*W337</f>
        <v>0</v>
      </c>
      <c r="AC337" s="53">
        <f>(R337+V337)*W337</f>
        <v>15.9</v>
      </c>
      <c r="AD337" s="138">
        <v>15.9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107</v>
      </c>
      <c r="F338" s="96" t="s">
        <v>106</v>
      </c>
      <c r="G338" s="97">
        <v>46132</v>
      </c>
      <c r="H338" s="98">
        <v>0.31048611111111113</v>
      </c>
      <c r="I338" s="50">
        <v>166004517</v>
      </c>
      <c r="J338" s="96" t="s">
        <v>157</v>
      </c>
      <c r="K338" s="49" t="s">
        <v>390</v>
      </c>
      <c r="L338" s="39" t="s">
        <v>391</v>
      </c>
      <c r="M338" s="49" t="s">
        <v>214</v>
      </c>
      <c r="N338" s="39" t="s">
        <v>273</v>
      </c>
      <c r="O338" s="96" t="s">
        <v>1110</v>
      </c>
      <c r="P338" s="49" t="s">
        <v>157</v>
      </c>
      <c r="Q338" s="96" t="s">
        <v>104</v>
      </c>
      <c r="R338" s="52">
        <v>15.9</v>
      </c>
      <c r="S338" s="52">
        <f>R338-T338</f>
        <v>14.196428571428571</v>
      </c>
      <c r="T338" s="52">
        <f>R338*U338/(U338+100)</f>
        <v>1.7035714285714287</v>
      </c>
      <c r="U338" s="50">
        <v>12</v>
      </c>
      <c r="V338" s="53">
        <v>0</v>
      </c>
      <c r="W338" s="147">
        <v>1</v>
      </c>
      <c r="X338" s="148" t="s">
        <v>163</v>
      </c>
      <c r="Y338" s="54">
        <f>R338*W338</f>
        <v>15.9</v>
      </c>
      <c r="Z338" s="52">
        <f>S338*W338</f>
        <v>14.196428571428571</v>
      </c>
      <c r="AA338" s="52">
        <f>T338*W338</f>
        <v>1.7035714285714287</v>
      </c>
      <c r="AB338" s="52">
        <f>V338*W338</f>
        <v>0</v>
      </c>
      <c r="AC338" s="53">
        <f>(R338+V338)*W338</f>
        <v>15.9</v>
      </c>
      <c r="AD338" s="138">
        <v>15.9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107</v>
      </c>
      <c r="F339" s="96" t="s">
        <v>106</v>
      </c>
      <c r="G339" s="97">
        <v>46132</v>
      </c>
      <c r="H339" s="98">
        <v>0.31048611111111113</v>
      </c>
      <c r="I339" s="50">
        <v>166004517</v>
      </c>
      <c r="J339" s="96" t="s">
        <v>157</v>
      </c>
      <c r="K339" s="49" t="s">
        <v>517</v>
      </c>
      <c r="L339" s="39" t="s">
        <v>518</v>
      </c>
      <c r="M339" s="49" t="s">
        <v>214</v>
      </c>
      <c r="N339" s="39" t="s">
        <v>273</v>
      </c>
      <c r="O339" s="96" t="s">
        <v>1111</v>
      </c>
      <c r="P339" s="49" t="s">
        <v>157</v>
      </c>
      <c r="Q339" s="96" t="s">
        <v>104</v>
      </c>
      <c r="R339" s="52">
        <v>15.9</v>
      </c>
      <c r="S339" s="52">
        <f>R339-T339</f>
        <v>14.196428571428571</v>
      </c>
      <c r="T339" s="52">
        <f>R339*U339/(U339+100)</f>
        <v>1.7035714285714287</v>
      </c>
      <c r="U339" s="50">
        <v>12</v>
      </c>
      <c r="V339" s="53">
        <v>0</v>
      </c>
      <c r="W339" s="147">
        <v>1</v>
      </c>
      <c r="X339" s="148" t="s">
        <v>163</v>
      </c>
      <c r="Y339" s="54">
        <f>R339*W339</f>
        <v>15.9</v>
      </c>
      <c r="Z339" s="52">
        <f>S339*W339</f>
        <v>14.196428571428571</v>
      </c>
      <c r="AA339" s="52">
        <f>T339*W339</f>
        <v>1.7035714285714287</v>
      </c>
      <c r="AB339" s="52">
        <f>V339*W339</f>
        <v>0</v>
      </c>
      <c r="AC339" s="53">
        <f>(R339+V339)*W339</f>
        <v>15.9</v>
      </c>
      <c r="AD339" s="138">
        <v>15.9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107</v>
      </c>
      <c r="F340" s="96" t="s">
        <v>106</v>
      </c>
      <c r="G340" s="97">
        <v>46132</v>
      </c>
      <c r="H340" s="98">
        <v>0.3128472222222222</v>
      </c>
      <c r="I340" s="50">
        <v>166004518</v>
      </c>
      <c r="J340" s="96" t="s">
        <v>157</v>
      </c>
      <c r="K340" s="49" t="s">
        <v>507</v>
      </c>
      <c r="L340" s="39" t="s">
        <v>508</v>
      </c>
      <c r="M340" s="49" t="s">
        <v>509</v>
      </c>
      <c r="N340" s="39" t="s">
        <v>256</v>
      </c>
      <c r="O340" s="96" t="s">
        <v>1024</v>
      </c>
      <c r="P340" s="49" t="s">
        <v>235</v>
      </c>
      <c r="Q340" s="96" t="s">
        <v>236</v>
      </c>
      <c r="R340" s="52">
        <v>15.9</v>
      </c>
      <c r="S340" s="52">
        <f>R340-T340</f>
        <v>13.140495867768596</v>
      </c>
      <c r="T340" s="52">
        <f>R340*U340/(U340+100)</f>
        <v>2.759504132231405</v>
      </c>
      <c r="U340" s="50">
        <v>21</v>
      </c>
      <c r="V340" s="53">
        <v>0</v>
      </c>
      <c r="W340" s="147">
        <v>1</v>
      </c>
      <c r="X340" s="148" t="s">
        <v>163</v>
      </c>
      <c r="Y340" s="54">
        <f>R340*W340</f>
        <v>15.9</v>
      </c>
      <c r="Z340" s="52">
        <f>S340*W340</f>
        <v>13.140495867768596</v>
      </c>
      <c r="AA340" s="52">
        <f>T340*W340</f>
        <v>2.759504132231405</v>
      </c>
      <c r="AB340" s="52">
        <f>V340*W340</f>
        <v>0</v>
      </c>
      <c r="AC340" s="53">
        <f>(R340+V340)*W340</f>
        <v>15.9</v>
      </c>
      <c r="AD340" s="138">
        <v>15.9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107</v>
      </c>
      <c r="F341" s="96" t="s">
        <v>106</v>
      </c>
      <c r="G341" s="97">
        <v>46132</v>
      </c>
      <c r="H341" s="98">
        <v>0.3148958333333333</v>
      </c>
      <c r="I341" s="50">
        <v>166004519</v>
      </c>
      <c r="J341" s="96" t="s">
        <v>157</v>
      </c>
      <c r="K341" s="49" t="s">
        <v>1112</v>
      </c>
      <c r="L341" s="39" t="s">
        <v>1113</v>
      </c>
      <c r="M341" s="49" t="s">
        <v>792</v>
      </c>
      <c r="N341" s="39" t="s">
        <v>793</v>
      </c>
      <c r="O341" s="96" t="s">
        <v>1114</v>
      </c>
      <c r="P341" s="49" t="s">
        <v>157</v>
      </c>
      <c r="Q341" s="96" t="s">
        <v>104</v>
      </c>
      <c r="R341" s="52">
        <v>16.9</v>
      </c>
      <c r="S341" s="52">
        <f>R341-T341</f>
        <v>15.089285714285714</v>
      </c>
      <c r="T341" s="52">
        <f>R341*U341/(U341+100)</f>
        <v>1.8107142857142855</v>
      </c>
      <c r="U341" s="50">
        <v>12</v>
      </c>
      <c r="V341" s="53">
        <v>0</v>
      </c>
      <c r="W341" s="147">
        <v>1</v>
      </c>
      <c r="X341" s="148" t="s">
        <v>163</v>
      </c>
      <c r="Y341" s="54">
        <f>R341*W341</f>
        <v>16.9</v>
      </c>
      <c r="Z341" s="52">
        <f>S341*W341</f>
        <v>15.089285714285714</v>
      </c>
      <c r="AA341" s="52">
        <f>T341*W341</f>
        <v>1.8107142857142855</v>
      </c>
      <c r="AB341" s="52">
        <f>V341*W341</f>
        <v>0</v>
      </c>
      <c r="AC341" s="53">
        <f>(R341+V341)*W341</f>
        <v>16.9</v>
      </c>
      <c r="AD341" s="138">
        <v>16.9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107</v>
      </c>
      <c r="F342" s="96" t="s">
        <v>106</v>
      </c>
      <c r="G342" s="97">
        <v>46132</v>
      </c>
      <c r="H342" s="98">
        <v>0.3148958333333333</v>
      </c>
      <c r="I342" s="50">
        <v>166004519</v>
      </c>
      <c r="J342" s="96" t="s">
        <v>157</v>
      </c>
      <c r="K342" s="49" t="s">
        <v>1115</v>
      </c>
      <c r="L342" s="39" t="s">
        <v>1116</v>
      </c>
      <c r="M342" s="49" t="s">
        <v>166</v>
      </c>
      <c r="N342" s="39" t="s">
        <v>167</v>
      </c>
      <c r="O342" s="96" t="s">
        <v>1117</v>
      </c>
      <c r="P342" s="49" t="s">
        <v>157</v>
      </c>
      <c r="Q342" s="96" t="s">
        <v>104</v>
      </c>
      <c r="R342" s="52">
        <v>17.9</v>
      </c>
      <c r="S342" s="52">
        <f>R342-T342</f>
        <v>14.793388429752065</v>
      </c>
      <c r="T342" s="52">
        <f>R342*U342/(U342+100)</f>
        <v>3.1066115702479338</v>
      </c>
      <c r="U342" s="50">
        <v>21</v>
      </c>
      <c r="V342" s="53">
        <v>0</v>
      </c>
      <c r="W342" s="147">
        <v>1</v>
      </c>
      <c r="X342" s="148" t="s">
        <v>163</v>
      </c>
      <c r="Y342" s="54">
        <f>R342*W342</f>
        <v>17.9</v>
      </c>
      <c r="Z342" s="52">
        <f>S342*W342</f>
        <v>14.793388429752065</v>
      </c>
      <c r="AA342" s="52">
        <f>T342*W342</f>
        <v>3.1066115702479338</v>
      </c>
      <c r="AB342" s="52">
        <f>V342*W342</f>
        <v>0</v>
      </c>
      <c r="AC342" s="53">
        <f>(R342+V342)*W342</f>
        <v>17.9</v>
      </c>
      <c r="AD342" s="138">
        <v>17.9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107</v>
      </c>
      <c r="F343" s="96" t="s">
        <v>106</v>
      </c>
      <c r="G343" s="97">
        <v>46132</v>
      </c>
      <c r="H343" s="98">
        <v>0.3148958333333333</v>
      </c>
      <c r="I343" s="50">
        <v>166004519</v>
      </c>
      <c r="J343" s="96" t="s">
        <v>157</v>
      </c>
      <c r="K343" s="49" t="s">
        <v>517</v>
      </c>
      <c r="L343" s="39" t="s">
        <v>518</v>
      </c>
      <c r="M343" s="49" t="s">
        <v>214</v>
      </c>
      <c r="N343" s="39" t="s">
        <v>273</v>
      </c>
      <c r="O343" s="96" t="s">
        <v>1111</v>
      </c>
      <c r="P343" s="49" t="s">
        <v>157</v>
      </c>
      <c r="Q343" s="96" t="s">
        <v>104</v>
      </c>
      <c r="R343" s="52">
        <v>15.9</v>
      </c>
      <c r="S343" s="52">
        <f>R343-T343</f>
        <v>14.196428571428571</v>
      </c>
      <c r="T343" s="52">
        <f>R343*U343/(U343+100)</f>
        <v>1.7035714285714287</v>
      </c>
      <c r="U343" s="50">
        <v>12</v>
      </c>
      <c r="V343" s="53">
        <v>0</v>
      </c>
      <c r="W343" s="147">
        <v>1</v>
      </c>
      <c r="X343" s="148" t="s">
        <v>163</v>
      </c>
      <c r="Y343" s="54">
        <f>R343*W343</f>
        <v>15.9</v>
      </c>
      <c r="Z343" s="52">
        <f>S343*W343</f>
        <v>14.196428571428571</v>
      </c>
      <c r="AA343" s="52">
        <f>T343*W343</f>
        <v>1.7035714285714287</v>
      </c>
      <c r="AB343" s="52">
        <f>V343*W343</f>
        <v>0</v>
      </c>
      <c r="AC343" s="53">
        <f>(R343+V343)*W343</f>
        <v>15.9</v>
      </c>
      <c r="AD343" s="138">
        <v>15.9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107</v>
      </c>
      <c r="F344" s="96" t="s">
        <v>106</v>
      </c>
      <c r="G344" s="97">
        <v>46132</v>
      </c>
      <c r="H344" s="98">
        <v>0.3148958333333333</v>
      </c>
      <c r="I344" s="50">
        <v>166004519</v>
      </c>
      <c r="J344" s="96" t="s">
        <v>157</v>
      </c>
      <c r="K344" s="49" t="s">
        <v>517</v>
      </c>
      <c r="L344" s="39" t="s">
        <v>518</v>
      </c>
      <c r="M344" s="49" t="s">
        <v>214</v>
      </c>
      <c r="N344" s="39" t="s">
        <v>273</v>
      </c>
      <c r="O344" s="96" t="s">
        <v>1111</v>
      </c>
      <c r="P344" s="49" t="s">
        <v>157</v>
      </c>
      <c r="Q344" s="96" t="s">
        <v>104</v>
      </c>
      <c r="R344" s="52">
        <v>15.9</v>
      </c>
      <c r="S344" s="52">
        <f>R344-T344</f>
        <v>14.196428571428571</v>
      </c>
      <c r="T344" s="52">
        <f>R344*U344/(U344+100)</f>
        <v>1.7035714285714287</v>
      </c>
      <c r="U344" s="50">
        <v>12</v>
      </c>
      <c r="V344" s="53">
        <v>0</v>
      </c>
      <c r="W344" s="147">
        <v>1</v>
      </c>
      <c r="X344" s="148" t="s">
        <v>163</v>
      </c>
      <c r="Y344" s="54">
        <f>R344*W344</f>
        <v>15.9</v>
      </c>
      <c r="Z344" s="52">
        <f>S344*W344</f>
        <v>14.196428571428571</v>
      </c>
      <c r="AA344" s="52">
        <f>T344*W344</f>
        <v>1.7035714285714287</v>
      </c>
      <c r="AB344" s="52">
        <f>V344*W344</f>
        <v>0</v>
      </c>
      <c r="AC344" s="53">
        <f>(R344+V344)*W344</f>
        <v>15.9</v>
      </c>
      <c r="AD344" s="138">
        <v>15.9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107</v>
      </c>
      <c r="F345" s="96" t="s">
        <v>106</v>
      </c>
      <c r="G345" s="97">
        <v>46132</v>
      </c>
      <c r="H345" s="98">
        <v>0.3163425925925926</v>
      </c>
      <c r="I345" s="50">
        <v>166004520</v>
      </c>
      <c r="J345" s="96" t="s">
        <v>157</v>
      </c>
      <c r="K345" s="49" t="s">
        <v>1118</v>
      </c>
      <c r="L345" s="39" t="s">
        <v>1119</v>
      </c>
      <c r="M345" s="49" t="s">
        <v>1120</v>
      </c>
      <c r="N345" s="39" t="s">
        <v>264</v>
      </c>
      <c r="O345" s="96" t="s">
        <v>1121</v>
      </c>
      <c r="P345" s="49" t="s">
        <v>157</v>
      </c>
      <c r="Q345" s="96" t="s">
        <v>104</v>
      </c>
      <c r="R345" s="52">
        <v>39.9</v>
      </c>
      <c r="S345" s="52">
        <f>R345-T345</f>
        <v>35.625</v>
      </c>
      <c r="T345" s="52">
        <f>R345*U345/(U345+100)</f>
        <v>4.2749999999999995</v>
      </c>
      <c r="U345" s="50">
        <v>12</v>
      </c>
      <c r="V345" s="53">
        <v>0</v>
      </c>
      <c r="W345" s="147">
        <v>1</v>
      </c>
      <c r="X345" s="148" t="s">
        <v>163</v>
      </c>
      <c r="Y345" s="54">
        <f>R345*W345</f>
        <v>39.9</v>
      </c>
      <c r="Z345" s="52">
        <f>S345*W345</f>
        <v>35.625</v>
      </c>
      <c r="AA345" s="52">
        <f>T345*W345</f>
        <v>4.2749999999999995</v>
      </c>
      <c r="AB345" s="52">
        <f>V345*W345</f>
        <v>0</v>
      </c>
      <c r="AC345" s="53">
        <f>(R345+V345)*W345</f>
        <v>39.9</v>
      </c>
      <c r="AD345" s="138">
        <v>39.9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107</v>
      </c>
      <c r="F346" s="96" t="s">
        <v>106</v>
      </c>
      <c r="G346" s="97">
        <v>46132</v>
      </c>
      <c r="H346" s="98">
        <v>0.3163425925925926</v>
      </c>
      <c r="I346" s="50">
        <v>166004520</v>
      </c>
      <c r="J346" s="96" t="s">
        <v>157</v>
      </c>
      <c r="K346" s="49" t="s">
        <v>1122</v>
      </c>
      <c r="L346" s="39" t="s">
        <v>1123</v>
      </c>
      <c r="M346" s="49" t="s">
        <v>1095</v>
      </c>
      <c r="N346" s="39" t="s">
        <v>1124</v>
      </c>
      <c r="O346" s="96" t="s">
        <v>1125</v>
      </c>
      <c r="P346" s="49" t="s">
        <v>157</v>
      </c>
      <c r="Q346" s="96" t="s">
        <v>104</v>
      </c>
      <c r="R346" s="52">
        <v>29.9</v>
      </c>
      <c r="S346" s="52">
        <f>R346-T346</f>
        <v>26.69642857142857</v>
      </c>
      <c r="T346" s="52">
        <f>R346*U346/(U346+100)</f>
        <v>3.2035714285714283</v>
      </c>
      <c r="U346" s="50">
        <v>12</v>
      </c>
      <c r="V346" s="53">
        <v>0</v>
      </c>
      <c r="W346" s="147">
        <v>1</v>
      </c>
      <c r="X346" s="148" t="s">
        <v>163</v>
      </c>
      <c r="Y346" s="54">
        <f>R346*W346</f>
        <v>29.9</v>
      </c>
      <c r="Z346" s="52">
        <f>S346*W346</f>
        <v>26.69642857142857</v>
      </c>
      <c r="AA346" s="52">
        <f>T346*W346</f>
        <v>3.2035714285714283</v>
      </c>
      <c r="AB346" s="52">
        <f>V346*W346</f>
        <v>0</v>
      </c>
      <c r="AC346" s="53">
        <f>(R346+V346)*W346</f>
        <v>29.9</v>
      </c>
      <c r="AD346" s="138">
        <v>29.9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107</v>
      </c>
      <c r="F347" s="96" t="s">
        <v>106</v>
      </c>
      <c r="G347" s="97">
        <v>46132</v>
      </c>
      <c r="H347" s="98">
        <v>0.3166087962962963</v>
      </c>
      <c r="I347" s="50">
        <v>166004521</v>
      </c>
      <c r="J347" s="96" t="s">
        <v>157</v>
      </c>
      <c r="K347" s="49" t="s">
        <v>1126</v>
      </c>
      <c r="L347" s="39" t="s">
        <v>1127</v>
      </c>
      <c r="M347" s="49" t="s">
        <v>862</v>
      </c>
      <c r="N347" s="39" t="s">
        <v>863</v>
      </c>
      <c r="O347" s="96" t="s">
        <v>1128</v>
      </c>
      <c r="P347" s="49" t="s">
        <v>157</v>
      </c>
      <c r="Q347" s="96" t="s">
        <v>104</v>
      </c>
      <c r="R347" s="52">
        <v>161</v>
      </c>
      <c r="S347" s="52">
        <f>R347-T347</f>
        <v>133.05785123966942</v>
      </c>
      <c r="T347" s="52">
        <f>R347*U347/(U347+100)</f>
        <v>27.94214876033058</v>
      </c>
      <c r="U347" s="50">
        <v>21</v>
      </c>
      <c r="V347" s="53">
        <v>0</v>
      </c>
      <c r="W347" s="147">
        <v>1</v>
      </c>
      <c r="X347" s="148" t="s">
        <v>163</v>
      </c>
      <c r="Y347" s="54">
        <f>R347*W347</f>
        <v>161</v>
      </c>
      <c r="Z347" s="52">
        <f>S347*W347</f>
        <v>133.05785123966942</v>
      </c>
      <c r="AA347" s="52">
        <f>T347*W347</f>
        <v>27.94214876033058</v>
      </c>
      <c r="AB347" s="52">
        <f>V347*W347</f>
        <v>0</v>
      </c>
      <c r="AC347" s="53">
        <f>(R347+V347)*W347</f>
        <v>161</v>
      </c>
      <c r="AD347" s="138">
        <v>161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107</v>
      </c>
      <c r="F348" s="96" t="s">
        <v>106</v>
      </c>
      <c r="G348" s="97">
        <v>46132</v>
      </c>
      <c r="H348" s="98">
        <v>0.3168402777777778</v>
      </c>
      <c r="I348" s="50">
        <v>166004522</v>
      </c>
      <c r="J348" s="96" t="s">
        <v>157</v>
      </c>
      <c r="K348" s="49" t="s">
        <v>390</v>
      </c>
      <c r="L348" s="39" t="s">
        <v>391</v>
      </c>
      <c r="M348" s="49" t="s">
        <v>214</v>
      </c>
      <c r="N348" s="39" t="s">
        <v>273</v>
      </c>
      <c r="O348" s="96" t="s">
        <v>1110</v>
      </c>
      <c r="P348" s="49" t="s">
        <v>157</v>
      </c>
      <c r="Q348" s="96" t="s">
        <v>104</v>
      </c>
      <c r="R348" s="52">
        <v>15.9</v>
      </c>
      <c r="S348" s="52">
        <f>R348-T348</f>
        <v>14.196428571428571</v>
      </c>
      <c r="T348" s="52">
        <f>R348*U348/(U348+100)</f>
        <v>1.7035714285714287</v>
      </c>
      <c r="U348" s="50">
        <v>12</v>
      </c>
      <c r="V348" s="53">
        <v>0</v>
      </c>
      <c r="W348" s="147">
        <v>1</v>
      </c>
      <c r="X348" s="148" t="s">
        <v>163</v>
      </c>
      <c r="Y348" s="54">
        <f>R348*W348</f>
        <v>15.9</v>
      </c>
      <c r="Z348" s="52">
        <f>S348*W348</f>
        <v>14.196428571428571</v>
      </c>
      <c r="AA348" s="52">
        <f>T348*W348</f>
        <v>1.7035714285714287</v>
      </c>
      <c r="AB348" s="52">
        <f>V348*W348</f>
        <v>0</v>
      </c>
      <c r="AC348" s="53">
        <f>(R348+V348)*W348</f>
        <v>15.9</v>
      </c>
      <c r="AD348" s="138">
        <v>15.9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107</v>
      </c>
      <c r="F349" s="96" t="s">
        <v>106</v>
      </c>
      <c r="G349" s="97">
        <v>46132</v>
      </c>
      <c r="H349" s="98">
        <v>0.3168402777777778</v>
      </c>
      <c r="I349" s="50">
        <v>166004522</v>
      </c>
      <c r="J349" s="96" t="s">
        <v>157</v>
      </c>
      <c r="K349" s="49" t="s">
        <v>390</v>
      </c>
      <c r="L349" s="39" t="s">
        <v>391</v>
      </c>
      <c r="M349" s="49" t="s">
        <v>214</v>
      </c>
      <c r="N349" s="39" t="s">
        <v>273</v>
      </c>
      <c r="O349" s="96" t="s">
        <v>1110</v>
      </c>
      <c r="P349" s="49" t="s">
        <v>157</v>
      </c>
      <c r="Q349" s="96" t="s">
        <v>104</v>
      </c>
      <c r="R349" s="52">
        <v>15.9</v>
      </c>
      <c r="S349" s="52">
        <f>R349-T349</f>
        <v>14.196428571428571</v>
      </c>
      <c r="T349" s="52">
        <f>R349*U349/(U349+100)</f>
        <v>1.7035714285714287</v>
      </c>
      <c r="U349" s="50">
        <v>12</v>
      </c>
      <c r="V349" s="53">
        <v>0</v>
      </c>
      <c r="W349" s="147">
        <v>1</v>
      </c>
      <c r="X349" s="148" t="s">
        <v>163</v>
      </c>
      <c r="Y349" s="54">
        <f>R349*W349</f>
        <v>15.9</v>
      </c>
      <c r="Z349" s="52">
        <f>S349*W349</f>
        <v>14.196428571428571</v>
      </c>
      <c r="AA349" s="52">
        <f>T349*W349</f>
        <v>1.7035714285714287</v>
      </c>
      <c r="AB349" s="52">
        <f>V349*W349</f>
        <v>0</v>
      </c>
      <c r="AC349" s="53">
        <f>(R349+V349)*W349</f>
        <v>15.9</v>
      </c>
      <c r="AD349" s="138">
        <v>15.9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107</v>
      </c>
      <c r="F350" s="96" t="s">
        <v>106</v>
      </c>
      <c r="G350" s="97">
        <v>46132</v>
      </c>
      <c r="H350" s="98">
        <v>0.31710648148148146</v>
      </c>
      <c r="I350" s="50">
        <v>166004523</v>
      </c>
      <c r="J350" s="96" t="s">
        <v>157</v>
      </c>
      <c r="K350" s="49" t="s">
        <v>1129</v>
      </c>
      <c r="L350" s="39" t="s">
        <v>1130</v>
      </c>
      <c r="M350" s="49" t="s">
        <v>185</v>
      </c>
      <c r="N350" s="39" t="s">
        <v>1131</v>
      </c>
      <c r="O350" s="96" t="s">
        <v>1132</v>
      </c>
      <c r="P350" s="49" t="s">
        <v>157</v>
      </c>
      <c r="Q350" s="96" t="s">
        <v>104</v>
      </c>
      <c r="R350" s="52">
        <v>31.9</v>
      </c>
      <c r="S350" s="52">
        <f>R350-T350</f>
        <v>26.363636363636363</v>
      </c>
      <c r="T350" s="52">
        <f>R350*U350/(U350+100)</f>
        <v>5.536363636363636</v>
      </c>
      <c r="U350" s="50">
        <v>21</v>
      </c>
      <c r="V350" s="53">
        <v>0</v>
      </c>
      <c r="W350" s="147">
        <v>1</v>
      </c>
      <c r="X350" s="148" t="s">
        <v>163</v>
      </c>
      <c r="Y350" s="54">
        <f>R350*W350</f>
        <v>31.9</v>
      </c>
      <c r="Z350" s="52">
        <f>S350*W350</f>
        <v>26.363636363636363</v>
      </c>
      <c r="AA350" s="52">
        <f>T350*W350</f>
        <v>5.536363636363636</v>
      </c>
      <c r="AB350" s="52">
        <f>V350*W350</f>
        <v>0</v>
      </c>
      <c r="AC350" s="53">
        <f>(R350+V350)*W350</f>
        <v>31.9</v>
      </c>
      <c r="AD350" s="138">
        <v>31.9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107</v>
      </c>
      <c r="F351" s="96" t="s">
        <v>106</v>
      </c>
      <c r="G351" s="97">
        <v>46132</v>
      </c>
      <c r="H351" s="98">
        <v>0.3177199074074074</v>
      </c>
      <c r="I351" s="50">
        <v>166004524</v>
      </c>
      <c r="J351" s="96" t="s">
        <v>157</v>
      </c>
      <c r="K351" s="49" t="s">
        <v>183</v>
      </c>
      <c r="L351" s="39" t="s">
        <v>184</v>
      </c>
      <c r="M351" s="49" t="s">
        <v>185</v>
      </c>
      <c r="N351" s="39" t="s">
        <v>186</v>
      </c>
      <c r="O351" s="96" t="s">
        <v>988</v>
      </c>
      <c r="P351" s="49" t="s">
        <v>157</v>
      </c>
      <c r="Q351" s="96" t="s">
        <v>104</v>
      </c>
      <c r="R351" s="52">
        <v>1.9</v>
      </c>
      <c r="S351" s="52">
        <f>R351-T351</f>
        <v>1.5702479338842974</v>
      </c>
      <c r="T351" s="52">
        <f>R351*U351/(U351+100)</f>
        <v>0.32975206611570246</v>
      </c>
      <c r="U351" s="50">
        <v>21</v>
      </c>
      <c r="V351" s="53">
        <v>0</v>
      </c>
      <c r="W351" s="147">
        <v>1</v>
      </c>
      <c r="X351" s="148" t="s">
        <v>163</v>
      </c>
      <c r="Y351" s="54">
        <f>R351*W351</f>
        <v>1.9</v>
      </c>
      <c r="Z351" s="52">
        <f>S351*W351</f>
        <v>1.5702479338842974</v>
      </c>
      <c r="AA351" s="52">
        <f>T351*W351</f>
        <v>0.32975206611570246</v>
      </c>
      <c r="AB351" s="52">
        <f>V351*W351</f>
        <v>0</v>
      </c>
      <c r="AC351" s="53">
        <f>(R351+V351)*W351</f>
        <v>1.9</v>
      </c>
      <c r="AD351" s="138">
        <v>1.9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107</v>
      </c>
      <c r="F352" s="96" t="s">
        <v>106</v>
      </c>
      <c r="G352" s="97">
        <v>46132</v>
      </c>
      <c r="H352" s="98">
        <v>0.3177199074074074</v>
      </c>
      <c r="I352" s="50">
        <v>166004524</v>
      </c>
      <c r="J352" s="96" t="s">
        <v>157</v>
      </c>
      <c r="K352" s="49" t="s">
        <v>303</v>
      </c>
      <c r="L352" s="39" t="s">
        <v>304</v>
      </c>
      <c r="M352" s="49" t="s">
        <v>214</v>
      </c>
      <c r="N352" s="39" t="s">
        <v>296</v>
      </c>
      <c r="O352" s="96" t="s">
        <v>305</v>
      </c>
      <c r="P352" s="49" t="s">
        <v>157</v>
      </c>
      <c r="Q352" s="96" t="s">
        <v>104</v>
      </c>
      <c r="R352" s="52">
        <v>11.9</v>
      </c>
      <c r="S352" s="52">
        <f>R352-T352</f>
        <v>10.625</v>
      </c>
      <c r="T352" s="52">
        <f>R352*U352/(U352+100)</f>
        <v>1.2750000000000001</v>
      </c>
      <c r="U352" s="50">
        <v>12</v>
      </c>
      <c r="V352" s="53">
        <v>0</v>
      </c>
      <c r="W352" s="147">
        <v>2</v>
      </c>
      <c r="X352" s="148" t="s">
        <v>163</v>
      </c>
      <c r="Y352" s="54">
        <f>R352*W352</f>
        <v>23.8</v>
      </c>
      <c r="Z352" s="52">
        <f>S352*W352</f>
        <v>21.25</v>
      </c>
      <c r="AA352" s="52">
        <f>T352*W352</f>
        <v>2.5500000000000003</v>
      </c>
      <c r="AB352" s="52">
        <f>V352*W352</f>
        <v>0</v>
      </c>
      <c r="AC352" s="53">
        <f>(R352+V352)*W352</f>
        <v>23.8</v>
      </c>
      <c r="AD352" s="138">
        <v>11.9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107</v>
      </c>
      <c r="F353" s="96" t="s">
        <v>106</v>
      </c>
      <c r="G353" s="97">
        <v>46132</v>
      </c>
      <c r="H353" s="98">
        <v>0.3177199074074074</v>
      </c>
      <c r="I353" s="50">
        <v>166004524</v>
      </c>
      <c r="J353" s="96" t="s">
        <v>157</v>
      </c>
      <c r="K353" s="49" t="s">
        <v>303</v>
      </c>
      <c r="L353" s="39" t="s">
        <v>304</v>
      </c>
      <c r="M353" s="49" t="s">
        <v>214</v>
      </c>
      <c r="N353" s="39" t="s">
        <v>296</v>
      </c>
      <c r="O353" s="96" t="s">
        <v>305</v>
      </c>
      <c r="P353" s="49" t="s">
        <v>157</v>
      </c>
      <c r="Q353" s="96" t="s">
        <v>104</v>
      </c>
      <c r="R353" s="52">
        <v>11.9</v>
      </c>
      <c r="S353" s="52">
        <f>R353-T353</f>
        <v>10.625</v>
      </c>
      <c r="T353" s="52">
        <f>R353*U353/(U353+100)</f>
        <v>1.2750000000000001</v>
      </c>
      <c r="U353" s="50">
        <v>12</v>
      </c>
      <c r="V353" s="53">
        <v>0</v>
      </c>
      <c r="W353" s="147">
        <v>2</v>
      </c>
      <c r="X353" s="148" t="s">
        <v>163</v>
      </c>
      <c r="Y353" s="54">
        <f>R353*W353</f>
        <v>23.8</v>
      </c>
      <c r="Z353" s="52">
        <f>S353*W353</f>
        <v>21.25</v>
      </c>
      <c r="AA353" s="52">
        <f>T353*W353</f>
        <v>2.5500000000000003</v>
      </c>
      <c r="AB353" s="52">
        <f>V353*W353</f>
        <v>0</v>
      </c>
      <c r="AC353" s="53">
        <f>(R353+V353)*W353</f>
        <v>23.8</v>
      </c>
      <c r="AD353" s="138">
        <v>11.9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107</v>
      </c>
      <c r="F354" s="96" t="s">
        <v>106</v>
      </c>
      <c r="G354" s="97">
        <v>46132</v>
      </c>
      <c r="H354" s="98">
        <v>0.3177199074074074</v>
      </c>
      <c r="I354" s="50">
        <v>166004524</v>
      </c>
      <c r="J354" s="96" t="s">
        <v>157</v>
      </c>
      <c r="K354" s="49" t="s">
        <v>1133</v>
      </c>
      <c r="L354" s="39" t="s">
        <v>1134</v>
      </c>
      <c r="M354" s="49" t="s">
        <v>649</v>
      </c>
      <c r="N354" s="39" t="s">
        <v>440</v>
      </c>
      <c r="O354" s="96" t="s">
        <v>1135</v>
      </c>
      <c r="P354" s="49" t="s">
        <v>157</v>
      </c>
      <c r="Q354" s="96" t="s">
        <v>104</v>
      </c>
      <c r="R354" s="52">
        <v>179.9</v>
      </c>
      <c r="S354" s="52">
        <f>R354-T354</f>
        <v>160.625</v>
      </c>
      <c r="T354" s="52">
        <f>R354*U354/(U354+100)</f>
        <v>19.275000000000002</v>
      </c>
      <c r="U354" s="50">
        <v>12</v>
      </c>
      <c r="V354" s="53">
        <v>0</v>
      </c>
      <c r="W354" s="147">
        <v>0.152</v>
      </c>
      <c r="X354" s="148" t="s">
        <v>193</v>
      </c>
      <c r="Y354" s="54">
        <f>R354*W354</f>
        <v>27.3448</v>
      </c>
      <c r="Z354" s="52">
        <f>S354*W354</f>
        <v>24.415</v>
      </c>
      <c r="AA354" s="52">
        <f>T354*W354</f>
        <v>2.9298</v>
      </c>
      <c r="AB354" s="52">
        <f>V354*W354</f>
        <v>0</v>
      </c>
      <c r="AC354" s="53">
        <f>(R354+V354)*W354</f>
        <v>27.3448</v>
      </c>
      <c r="AD354" s="138">
        <v>179.9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107</v>
      </c>
      <c r="F355" s="96" t="s">
        <v>106</v>
      </c>
      <c r="G355" s="97">
        <v>46132</v>
      </c>
      <c r="H355" s="98">
        <v>0.31811342592592595</v>
      </c>
      <c r="I355" s="50">
        <v>166004525</v>
      </c>
      <c r="J355" s="96" t="s">
        <v>157</v>
      </c>
      <c r="K355" s="49" t="s">
        <v>1136</v>
      </c>
      <c r="L355" s="39" t="s">
        <v>1137</v>
      </c>
      <c r="M355" s="49" t="s">
        <v>201</v>
      </c>
      <c r="N355" s="39" t="s">
        <v>609</v>
      </c>
      <c r="O355" s="96" t="s">
        <v>1138</v>
      </c>
      <c r="P355" s="49" t="s">
        <v>157</v>
      </c>
      <c r="Q355" s="96" t="s">
        <v>104</v>
      </c>
      <c r="R355" s="52">
        <v>13.9</v>
      </c>
      <c r="S355" s="52">
        <f>R355-T355</f>
        <v>12.410714285714286</v>
      </c>
      <c r="T355" s="52">
        <f>R355*U355/(U355+100)</f>
        <v>1.4892857142857143</v>
      </c>
      <c r="U355" s="50">
        <v>12</v>
      </c>
      <c r="V355" s="53">
        <v>0</v>
      </c>
      <c r="W355" s="147">
        <v>1</v>
      </c>
      <c r="X355" s="148" t="s">
        <v>163</v>
      </c>
      <c r="Y355" s="54">
        <f>R355*W355</f>
        <v>13.9</v>
      </c>
      <c r="Z355" s="52">
        <f>S355*W355</f>
        <v>12.410714285714286</v>
      </c>
      <c r="AA355" s="52">
        <f>T355*W355</f>
        <v>1.4892857142857143</v>
      </c>
      <c r="AB355" s="52">
        <f>V355*W355</f>
        <v>0</v>
      </c>
      <c r="AC355" s="53">
        <f>(R355+V355)*W355</f>
        <v>13.9</v>
      </c>
      <c r="AD355" s="138">
        <v>13.9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107</v>
      </c>
      <c r="F356" s="96" t="s">
        <v>106</v>
      </c>
      <c r="G356" s="97">
        <v>46132</v>
      </c>
      <c r="H356" s="98">
        <v>0.31811342592592595</v>
      </c>
      <c r="I356" s="50">
        <v>166004525</v>
      </c>
      <c r="J356" s="96" t="s">
        <v>157</v>
      </c>
      <c r="K356" s="49" t="s">
        <v>655</v>
      </c>
      <c r="L356" s="39" t="s">
        <v>656</v>
      </c>
      <c r="M356" s="49" t="s">
        <v>190</v>
      </c>
      <c r="N356" s="39" t="s">
        <v>532</v>
      </c>
      <c r="O356" s="96" t="s">
        <v>657</v>
      </c>
      <c r="P356" s="49" t="s">
        <v>157</v>
      </c>
      <c r="Q356" s="96" t="s">
        <v>104</v>
      </c>
      <c r="R356" s="52">
        <v>25.13</v>
      </c>
      <c r="S356" s="52">
        <f>R356-T356</f>
        <v>22.4375</v>
      </c>
      <c r="T356" s="52">
        <f>R356*U356/(U356+100)</f>
        <v>2.6925</v>
      </c>
      <c r="U356" s="50">
        <v>12</v>
      </c>
      <c r="V356" s="53">
        <v>0</v>
      </c>
      <c r="W356" s="147">
        <v>0.286</v>
      </c>
      <c r="X356" s="148" t="s">
        <v>193</v>
      </c>
      <c r="Y356" s="54">
        <f>R356*W356</f>
        <v>7.187179999999999</v>
      </c>
      <c r="Z356" s="52">
        <f>S356*W356</f>
        <v>6.4171249999999995</v>
      </c>
      <c r="AA356" s="52">
        <f>T356*W356</f>
        <v>0.7700549999999999</v>
      </c>
      <c r="AB356" s="52">
        <f>V356*W356</f>
        <v>0</v>
      </c>
      <c r="AC356" s="53">
        <f>(R356+V356)*W356</f>
        <v>7.187179999999999</v>
      </c>
      <c r="AD356" s="138">
        <v>25.13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107</v>
      </c>
      <c r="F357" s="96" t="s">
        <v>106</v>
      </c>
      <c r="G357" s="97">
        <v>46132</v>
      </c>
      <c r="H357" s="98">
        <v>0.31811342592592595</v>
      </c>
      <c r="I357" s="50">
        <v>166004525</v>
      </c>
      <c r="J357" s="96" t="s">
        <v>157</v>
      </c>
      <c r="K357" s="49" t="s">
        <v>293</v>
      </c>
      <c r="L357" s="39" t="s">
        <v>294</v>
      </c>
      <c r="M357" s="49" t="s">
        <v>295</v>
      </c>
      <c r="N357" s="39" t="s">
        <v>296</v>
      </c>
      <c r="O357" s="96" t="s">
        <v>297</v>
      </c>
      <c r="P357" s="49" t="s">
        <v>157</v>
      </c>
      <c r="Q357" s="96" t="s">
        <v>104</v>
      </c>
      <c r="R357" s="52">
        <v>2.9</v>
      </c>
      <c r="S357" s="52">
        <f>R357-T357</f>
        <v>2.5892857142857144</v>
      </c>
      <c r="T357" s="52">
        <f>R357*U357/(U357+100)</f>
        <v>0.31071428571428567</v>
      </c>
      <c r="U357" s="50">
        <v>12</v>
      </c>
      <c r="V357" s="53">
        <v>0</v>
      </c>
      <c r="W357" s="147">
        <v>5</v>
      </c>
      <c r="X357" s="148" t="s">
        <v>163</v>
      </c>
      <c r="Y357" s="54">
        <f>R357*W357</f>
        <v>14.5</v>
      </c>
      <c r="Z357" s="52">
        <f>S357*W357</f>
        <v>12.946428571428573</v>
      </c>
      <c r="AA357" s="52">
        <f>T357*W357</f>
        <v>1.5535714285714284</v>
      </c>
      <c r="AB357" s="52">
        <f>V357*W357</f>
        <v>0</v>
      </c>
      <c r="AC357" s="53">
        <f>(R357+V357)*W357</f>
        <v>14.5</v>
      </c>
      <c r="AD357" s="138">
        <v>2.9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107</v>
      </c>
      <c r="F358" s="96" t="s">
        <v>106</v>
      </c>
      <c r="G358" s="97">
        <v>46132</v>
      </c>
      <c r="H358" s="98">
        <v>0.3197453703703704</v>
      </c>
      <c r="I358" s="50">
        <v>166004526</v>
      </c>
      <c r="J358" s="96" t="s">
        <v>157</v>
      </c>
      <c r="K358" s="49" t="s">
        <v>611</v>
      </c>
      <c r="L358" s="39" t="s">
        <v>612</v>
      </c>
      <c r="M358" s="49" t="s">
        <v>608</v>
      </c>
      <c r="N358" s="39" t="s">
        <v>609</v>
      </c>
      <c r="O358" s="96" t="s">
        <v>1139</v>
      </c>
      <c r="P358" s="49" t="s">
        <v>235</v>
      </c>
      <c r="Q358" s="96" t="s">
        <v>236</v>
      </c>
      <c r="R358" s="52">
        <v>16.9</v>
      </c>
      <c r="S358" s="52">
        <f>R358-T358</f>
        <v>15.089285714285714</v>
      </c>
      <c r="T358" s="52">
        <f>R358*U358/(U358+100)</f>
        <v>1.8107142857142855</v>
      </c>
      <c r="U358" s="50">
        <v>12</v>
      </c>
      <c r="V358" s="53">
        <v>0</v>
      </c>
      <c r="W358" s="147">
        <v>1</v>
      </c>
      <c r="X358" s="148" t="s">
        <v>163</v>
      </c>
      <c r="Y358" s="54">
        <f>R358*W358</f>
        <v>16.9</v>
      </c>
      <c r="Z358" s="52">
        <f>S358*W358</f>
        <v>15.089285714285714</v>
      </c>
      <c r="AA358" s="52">
        <f>T358*W358</f>
        <v>1.8107142857142855</v>
      </c>
      <c r="AB358" s="52">
        <f>V358*W358</f>
        <v>0</v>
      </c>
      <c r="AC358" s="53">
        <f>(R358+V358)*W358</f>
        <v>16.9</v>
      </c>
      <c r="AD358" s="138">
        <v>16.9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107</v>
      </c>
      <c r="F359" s="96" t="s">
        <v>106</v>
      </c>
      <c r="G359" s="97">
        <v>46132</v>
      </c>
      <c r="H359" s="98">
        <v>0.3197453703703704</v>
      </c>
      <c r="I359" s="50">
        <v>166004526</v>
      </c>
      <c r="J359" s="96" t="s">
        <v>157</v>
      </c>
      <c r="K359" s="49" t="s">
        <v>611</v>
      </c>
      <c r="L359" s="39" t="s">
        <v>612</v>
      </c>
      <c r="M359" s="49" t="s">
        <v>608</v>
      </c>
      <c r="N359" s="39" t="s">
        <v>609</v>
      </c>
      <c r="O359" s="96" t="s">
        <v>1139</v>
      </c>
      <c r="P359" s="49" t="s">
        <v>235</v>
      </c>
      <c r="Q359" s="96" t="s">
        <v>236</v>
      </c>
      <c r="R359" s="52">
        <v>16.9</v>
      </c>
      <c r="S359" s="52">
        <f>R359-T359</f>
        <v>15.089285714285714</v>
      </c>
      <c r="T359" s="52">
        <f>R359*U359/(U359+100)</f>
        <v>1.8107142857142855</v>
      </c>
      <c r="U359" s="50">
        <v>12</v>
      </c>
      <c r="V359" s="53">
        <v>0</v>
      </c>
      <c r="W359" s="147">
        <v>1</v>
      </c>
      <c r="X359" s="148" t="s">
        <v>163</v>
      </c>
      <c r="Y359" s="54">
        <f>R359*W359</f>
        <v>16.9</v>
      </c>
      <c r="Z359" s="52">
        <f>S359*W359</f>
        <v>15.089285714285714</v>
      </c>
      <c r="AA359" s="52">
        <f>T359*W359</f>
        <v>1.8107142857142855</v>
      </c>
      <c r="AB359" s="52">
        <f>V359*W359</f>
        <v>0</v>
      </c>
      <c r="AC359" s="53">
        <f>(R359+V359)*W359</f>
        <v>16.9</v>
      </c>
      <c r="AD359" s="138">
        <v>16.9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107</v>
      </c>
      <c r="F360" s="96" t="s">
        <v>106</v>
      </c>
      <c r="G360" s="97">
        <v>46132</v>
      </c>
      <c r="H360" s="98">
        <v>0.3197453703703704</v>
      </c>
      <c r="I360" s="50">
        <v>166004526</v>
      </c>
      <c r="J360" s="96" t="s">
        <v>157</v>
      </c>
      <c r="K360" s="49" t="s">
        <v>1140</v>
      </c>
      <c r="L360" s="39" t="s">
        <v>1141</v>
      </c>
      <c r="M360" s="49" t="s">
        <v>318</v>
      </c>
      <c r="N360" s="39" t="s">
        <v>202</v>
      </c>
      <c r="O360" s="96" t="s">
        <v>1142</v>
      </c>
      <c r="P360" s="49" t="s">
        <v>157</v>
      </c>
      <c r="Q360" s="96" t="s">
        <v>104</v>
      </c>
      <c r="R360" s="52">
        <v>18.9</v>
      </c>
      <c r="S360" s="52">
        <f>R360-T360</f>
        <v>16.875</v>
      </c>
      <c r="T360" s="52">
        <f>R360*U360/(U360+100)</f>
        <v>2.025</v>
      </c>
      <c r="U360" s="50">
        <v>12</v>
      </c>
      <c r="V360" s="53">
        <v>0</v>
      </c>
      <c r="W360" s="147">
        <v>1</v>
      </c>
      <c r="X360" s="148" t="s">
        <v>163</v>
      </c>
      <c r="Y360" s="54">
        <f>R360*W360</f>
        <v>18.9</v>
      </c>
      <c r="Z360" s="52">
        <f>S360*W360</f>
        <v>16.875</v>
      </c>
      <c r="AA360" s="52">
        <f>T360*W360</f>
        <v>2.025</v>
      </c>
      <c r="AB360" s="52">
        <f>V360*W360</f>
        <v>0</v>
      </c>
      <c r="AC360" s="53">
        <f>(R360+V360)*W360</f>
        <v>18.9</v>
      </c>
      <c r="AD360" s="138">
        <v>18.9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107</v>
      </c>
      <c r="F361" s="96" t="s">
        <v>106</v>
      </c>
      <c r="G361" s="97">
        <v>46132</v>
      </c>
      <c r="H361" s="98">
        <v>0.3197453703703704</v>
      </c>
      <c r="I361" s="50">
        <v>166004526</v>
      </c>
      <c r="J361" s="96" t="s">
        <v>157</v>
      </c>
      <c r="K361" s="49" t="s">
        <v>1140</v>
      </c>
      <c r="L361" s="39" t="s">
        <v>1141</v>
      </c>
      <c r="M361" s="49" t="s">
        <v>318</v>
      </c>
      <c r="N361" s="39" t="s">
        <v>202</v>
      </c>
      <c r="O361" s="96" t="s">
        <v>1142</v>
      </c>
      <c r="P361" s="49" t="s">
        <v>157</v>
      </c>
      <c r="Q361" s="96" t="s">
        <v>104</v>
      </c>
      <c r="R361" s="52">
        <v>18.9</v>
      </c>
      <c r="S361" s="52">
        <f>R361-T361</f>
        <v>16.875</v>
      </c>
      <c r="T361" s="52">
        <f>R361*U361/(U361+100)</f>
        <v>2.025</v>
      </c>
      <c r="U361" s="50">
        <v>12</v>
      </c>
      <c r="V361" s="53">
        <v>0</v>
      </c>
      <c r="W361" s="147">
        <v>1</v>
      </c>
      <c r="X361" s="148" t="s">
        <v>163</v>
      </c>
      <c r="Y361" s="54">
        <f>R361*W361</f>
        <v>18.9</v>
      </c>
      <c r="Z361" s="52">
        <f>S361*W361</f>
        <v>16.875</v>
      </c>
      <c r="AA361" s="52">
        <f>T361*W361</f>
        <v>2.025</v>
      </c>
      <c r="AB361" s="52">
        <f>V361*W361</f>
        <v>0</v>
      </c>
      <c r="AC361" s="53">
        <f>(R361+V361)*W361</f>
        <v>18.9</v>
      </c>
      <c r="AD361" s="138">
        <v>18.9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107</v>
      </c>
      <c r="F362" s="96" t="s">
        <v>106</v>
      </c>
      <c r="G362" s="97">
        <v>46132</v>
      </c>
      <c r="H362" s="98">
        <v>0.3197453703703704</v>
      </c>
      <c r="I362" s="50">
        <v>166004526</v>
      </c>
      <c r="J362" s="96" t="s">
        <v>157</v>
      </c>
      <c r="K362" s="49" t="s">
        <v>1143</v>
      </c>
      <c r="L362" s="39" t="s">
        <v>1144</v>
      </c>
      <c r="M362" s="49" t="s">
        <v>466</v>
      </c>
      <c r="N362" s="39" t="s">
        <v>210</v>
      </c>
      <c r="O362" s="96" t="s">
        <v>1145</v>
      </c>
      <c r="P362" s="49" t="s">
        <v>157</v>
      </c>
      <c r="Q362" s="96" t="s">
        <v>104</v>
      </c>
      <c r="R362" s="52">
        <v>22.9</v>
      </c>
      <c r="S362" s="52">
        <f>R362-T362</f>
        <v>20.44642857142857</v>
      </c>
      <c r="T362" s="52">
        <f>R362*U362/(U362+100)</f>
        <v>2.4535714285714283</v>
      </c>
      <c r="U362" s="50">
        <v>12</v>
      </c>
      <c r="V362" s="53">
        <v>0</v>
      </c>
      <c r="W362" s="147">
        <v>1</v>
      </c>
      <c r="X362" s="148" t="s">
        <v>163</v>
      </c>
      <c r="Y362" s="54">
        <f>R362*W362</f>
        <v>22.9</v>
      </c>
      <c r="Z362" s="52">
        <f>S362*W362</f>
        <v>20.44642857142857</v>
      </c>
      <c r="AA362" s="52">
        <f>T362*W362</f>
        <v>2.4535714285714283</v>
      </c>
      <c r="AB362" s="52">
        <f>V362*W362</f>
        <v>0</v>
      </c>
      <c r="AC362" s="53">
        <f>(R362+V362)*W362</f>
        <v>22.9</v>
      </c>
      <c r="AD362" s="138">
        <v>22.9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107</v>
      </c>
      <c r="F363" s="96" t="s">
        <v>106</v>
      </c>
      <c r="G363" s="97">
        <v>46132</v>
      </c>
      <c r="H363" s="98">
        <v>0.3197453703703704</v>
      </c>
      <c r="I363" s="50">
        <v>166004526</v>
      </c>
      <c r="J363" s="96" t="s">
        <v>157</v>
      </c>
      <c r="K363" s="49" t="s">
        <v>464</v>
      </c>
      <c r="L363" s="39" t="s">
        <v>465</v>
      </c>
      <c r="M363" s="49" t="s">
        <v>466</v>
      </c>
      <c r="N363" s="39" t="s">
        <v>210</v>
      </c>
      <c r="O363" s="96" t="s">
        <v>1146</v>
      </c>
      <c r="P363" s="49" t="s">
        <v>157</v>
      </c>
      <c r="Q363" s="96" t="s">
        <v>104</v>
      </c>
      <c r="R363" s="52">
        <v>22.9</v>
      </c>
      <c r="S363" s="52">
        <f>R363-T363</f>
        <v>20.44642857142857</v>
      </c>
      <c r="T363" s="52">
        <f>R363*U363/(U363+100)</f>
        <v>2.4535714285714283</v>
      </c>
      <c r="U363" s="50">
        <v>12</v>
      </c>
      <c r="V363" s="53">
        <v>0</v>
      </c>
      <c r="W363" s="147">
        <v>1</v>
      </c>
      <c r="X363" s="148" t="s">
        <v>163</v>
      </c>
      <c r="Y363" s="54">
        <f>R363*W363</f>
        <v>22.9</v>
      </c>
      <c r="Z363" s="52">
        <f>S363*W363</f>
        <v>20.44642857142857</v>
      </c>
      <c r="AA363" s="52">
        <f>T363*W363</f>
        <v>2.4535714285714283</v>
      </c>
      <c r="AB363" s="52">
        <f>V363*W363</f>
        <v>0</v>
      </c>
      <c r="AC363" s="53">
        <f>(R363+V363)*W363</f>
        <v>22.9</v>
      </c>
      <c r="AD363" s="138">
        <v>22.9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107</v>
      </c>
      <c r="F364" s="96" t="s">
        <v>106</v>
      </c>
      <c r="G364" s="97">
        <v>46132</v>
      </c>
      <c r="H364" s="98">
        <v>0.3197453703703704</v>
      </c>
      <c r="I364" s="50">
        <v>166004526</v>
      </c>
      <c r="J364" s="96" t="s">
        <v>157</v>
      </c>
      <c r="K364" s="49" t="s">
        <v>739</v>
      </c>
      <c r="L364" s="39" t="s">
        <v>740</v>
      </c>
      <c r="M364" s="49" t="s">
        <v>214</v>
      </c>
      <c r="N364" s="39" t="s">
        <v>418</v>
      </c>
      <c r="O364" s="96" t="s">
        <v>1147</v>
      </c>
      <c r="P364" s="49" t="s">
        <v>157</v>
      </c>
      <c r="Q364" s="96" t="s">
        <v>104</v>
      </c>
      <c r="R364" s="52">
        <v>21.9</v>
      </c>
      <c r="S364" s="52">
        <f>R364-T364</f>
        <v>19.553571428571427</v>
      </c>
      <c r="T364" s="52">
        <f>R364*U364/(U364+100)</f>
        <v>2.346428571428571</v>
      </c>
      <c r="U364" s="50">
        <v>12</v>
      </c>
      <c r="V364" s="53">
        <v>0</v>
      </c>
      <c r="W364" s="147">
        <v>2</v>
      </c>
      <c r="X364" s="148" t="s">
        <v>163</v>
      </c>
      <c r="Y364" s="54">
        <f>R364*W364</f>
        <v>43.8</v>
      </c>
      <c r="Z364" s="52">
        <f>S364*W364</f>
        <v>39.107142857142854</v>
      </c>
      <c r="AA364" s="52">
        <f>T364*W364</f>
        <v>4.692857142857142</v>
      </c>
      <c r="AB364" s="52">
        <f>V364*W364</f>
        <v>0</v>
      </c>
      <c r="AC364" s="53">
        <f>(R364+V364)*W364</f>
        <v>43.8</v>
      </c>
      <c r="AD364" s="138">
        <v>21.9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107</v>
      </c>
      <c r="F365" s="96" t="s">
        <v>106</v>
      </c>
      <c r="G365" s="97">
        <v>46132</v>
      </c>
      <c r="H365" s="98">
        <v>0.3197453703703704</v>
      </c>
      <c r="I365" s="50">
        <v>166004526</v>
      </c>
      <c r="J365" s="96" t="s">
        <v>157</v>
      </c>
      <c r="K365" s="49" t="s">
        <v>390</v>
      </c>
      <c r="L365" s="39" t="s">
        <v>391</v>
      </c>
      <c r="M365" s="49" t="s">
        <v>214</v>
      </c>
      <c r="N365" s="39" t="s">
        <v>273</v>
      </c>
      <c r="O365" s="96" t="s">
        <v>1110</v>
      </c>
      <c r="P365" s="49" t="s">
        <v>157</v>
      </c>
      <c r="Q365" s="96" t="s">
        <v>104</v>
      </c>
      <c r="R365" s="52">
        <v>15.9</v>
      </c>
      <c r="S365" s="52">
        <f>R365-T365</f>
        <v>14.196428571428571</v>
      </c>
      <c r="T365" s="52">
        <f>R365*U365/(U365+100)</f>
        <v>1.7035714285714287</v>
      </c>
      <c r="U365" s="50">
        <v>12</v>
      </c>
      <c r="V365" s="53">
        <v>0</v>
      </c>
      <c r="W365" s="147">
        <v>1</v>
      </c>
      <c r="X365" s="148" t="s">
        <v>163</v>
      </c>
      <c r="Y365" s="54">
        <f>R365*W365</f>
        <v>15.9</v>
      </c>
      <c r="Z365" s="52">
        <f>S365*W365</f>
        <v>14.196428571428571</v>
      </c>
      <c r="AA365" s="52">
        <f>T365*W365</f>
        <v>1.7035714285714287</v>
      </c>
      <c r="AB365" s="52">
        <f>V365*W365</f>
        <v>0</v>
      </c>
      <c r="AC365" s="53">
        <f>(R365+V365)*W365</f>
        <v>15.9</v>
      </c>
      <c r="AD365" s="138">
        <v>15.9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107</v>
      </c>
      <c r="F366" s="96" t="s">
        <v>106</v>
      </c>
      <c r="G366" s="97">
        <v>46132</v>
      </c>
      <c r="H366" s="98">
        <v>0.3197453703703704</v>
      </c>
      <c r="I366" s="50">
        <v>166004526</v>
      </c>
      <c r="J366" s="96" t="s">
        <v>157</v>
      </c>
      <c r="K366" s="49" t="s">
        <v>390</v>
      </c>
      <c r="L366" s="39" t="s">
        <v>391</v>
      </c>
      <c r="M366" s="49" t="s">
        <v>214</v>
      </c>
      <c r="N366" s="39" t="s">
        <v>273</v>
      </c>
      <c r="O366" s="96" t="s">
        <v>1110</v>
      </c>
      <c r="P366" s="49" t="s">
        <v>157</v>
      </c>
      <c r="Q366" s="96" t="s">
        <v>104</v>
      </c>
      <c r="R366" s="52">
        <v>15.9</v>
      </c>
      <c r="S366" s="52">
        <f>R366-T366</f>
        <v>14.196428571428571</v>
      </c>
      <c r="T366" s="52">
        <f>R366*U366/(U366+100)</f>
        <v>1.7035714285714287</v>
      </c>
      <c r="U366" s="50">
        <v>12</v>
      </c>
      <c r="V366" s="53">
        <v>0</v>
      </c>
      <c r="W366" s="147">
        <v>1</v>
      </c>
      <c r="X366" s="148" t="s">
        <v>163</v>
      </c>
      <c r="Y366" s="54">
        <f>R366*W366</f>
        <v>15.9</v>
      </c>
      <c r="Z366" s="52">
        <f>S366*W366</f>
        <v>14.196428571428571</v>
      </c>
      <c r="AA366" s="52">
        <f>T366*W366</f>
        <v>1.7035714285714287</v>
      </c>
      <c r="AB366" s="52">
        <f>V366*W366</f>
        <v>0</v>
      </c>
      <c r="AC366" s="53">
        <f>(R366+V366)*W366</f>
        <v>15.9</v>
      </c>
      <c r="AD366" s="138">
        <v>15.9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107</v>
      </c>
      <c r="F367" s="96" t="s">
        <v>106</v>
      </c>
      <c r="G367" s="97">
        <v>46132</v>
      </c>
      <c r="H367" s="98">
        <v>0.3197453703703704</v>
      </c>
      <c r="I367" s="50">
        <v>166004526</v>
      </c>
      <c r="J367" s="96" t="s">
        <v>157</v>
      </c>
      <c r="K367" s="49" t="s">
        <v>293</v>
      </c>
      <c r="L367" s="39" t="s">
        <v>294</v>
      </c>
      <c r="M367" s="49" t="s">
        <v>295</v>
      </c>
      <c r="N367" s="39" t="s">
        <v>296</v>
      </c>
      <c r="O367" s="96" t="s">
        <v>297</v>
      </c>
      <c r="P367" s="49" t="s">
        <v>157</v>
      </c>
      <c r="Q367" s="96" t="s">
        <v>104</v>
      </c>
      <c r="R367" s="52">
        <v>2.9</v>
      </c>
      <c r="S367" s="52">
        <f>R367-T367</f>
        <v>2.5892857142857144</v>
      </c>
      <c r="T367" s="52">
        <f>R367*U367/(U367+100)</f>
        <v>0.31071428571428567</v>
      </c>
      <c r="U367" s="50">
        <v>12</v>
      </c>
      <c r="V367" s="53">
        <v>0</v>
      </c>
      <c r="W367" s="147">
        <v>6</v>
      </c>
      <c r="X367" s="148" t="s">
        <v>163</v>
      </c>
      <c r="Y367" s="54">
        <f>R367*W367</f>
        <v>17.4</v>
      </c>
      <c r="Z367" s="52">
        <f>S367*W367</f>
        <v>15.535714285714286</v>
      </c>
      <c r="AA367" s="52">
        <f>T367*W367</f>
        <v>1.8642857142857139</v>
      </c>
      <c r="AB367" s="52">
        <f>V367*W367</f>
        <v>0</v>
      </c>
      <c r="AC367" s="53">
        <f>(R367+V367)*W367</f>
        <v>17.4</v>
      </c>
      <c r="AD367" s="138">
        <v>2.9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107</v>
      </c>
      <c r="F368" s="96" t="s">
        <v>106</v>
      </c>
      <c r="G368" s="97">
        <v>46132</v>
      </c>
      <c r="H368" s="98">
        <v>0.32405092592592594</v>
      </c>
      <c r="I368" s="50">
        <v>166004527</v>
      </c>
      <c r="J368" s="96" t="s">
        <v>157</v>
      </c>
      <c r="K368" s="49" t="s">
        <v>1148</v>
      </c>
      <c r="L368" s="39" t="s">
        <v>1149</v>
      </c>
      <c r="M368" s="49" t="s">
        <v>862</v>
      </c>
      <c r="N368" s="39" t="s">
        <v>863</v>
      </c>
      <c r="O368" s="96" t="s">
        <v>1150</v>
      </c>
      <c r="P368" s="49" t="s">
        <v>157</v>
      </c>
      <c r="Q368" s="96" t="s">
        <v>104</v>
      </c>
      <c r="R368" s="52">
        <v>145</v>
      </c>
      <c r="S368" s="52">
        <f>R368-T368</f>
        <v>119.83471074380165</v>
      </c>
      <c r="T368" s="52">
        <f>R368*U368/(U368+100)</f>
        <v>25.165289256198346</v>
      </c>
      <c r="U368" s="50">
        <v>21</v>
      </c>
      <c r="V368" s="53">
        <v>0</v>
      </c>
      <c r="W368" s="147">
        <v>1</v>
      </c>
      <c r="X368" s="148" t="s">
        <v>163</v>
      </c>
      <c r="Y368" s="54">
        <f>R368*W368</f>
        <v>145</v>
      </c>
      <c r="Z368" s="52">
        <f>S368*W368</f>
        <v>119.83471074380165</v>
      </c>
      <c r="AA368" s="52">
        <f>T368*W368</f>
        <v>25.165289256198346</v>
      </c>
      <c r="AB368" s="52">
        <f>V368*W368</f>
        <v>0</v>
      </c>
      <c r="AC368" s="53">
        <f>(R368+V368)*W368</f>
        <v>145</v>
      </c>
      <c r="AD368" s="138">
        <v>145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107</v>
      </c>
      <c r="F369" s="96" t="s">
        <v>106</v>
      </c>
      <c r="G369" s="97">
        <v>46132</v>
      </c>
      <c r="H369" s="98">
        <v>0.3268402777777778</v>
      </c>
      <c r="I369" s="50">
        <v>166004528</v>
      </c>
      <c r="J369" s="96" t="s">
        <v>157</v>
      </c>
      <c r="K369" s="49" t="s">
        <v>1151</v>
      </c>
      <c r="L369" s="39" t="s">
        <v>1152</v>
      </c>
      <c r="M369" s="49" t="s">
        <v>1153</v>
      </c>
      <c r="N369" s="39" t="s">
        <v>1083</v>
      </c>
      <c r="O369" s="96" t="s">
        <v>1154</v>
      </c>
      <c r="P369" s="49" t="s">
        <v>157</v>
      </c>
      <c r="Q369" s="96" t="s">
        <v>104</v>
      </c>
      <c r="R369" s="52">
        <v>15.9</v>
      </c>
      <c r="S369" s="52">
        <f>R369-T369</f>
        <v>14.196428571428571</v>
      </c>
      <c r="T369" s="52">
        <f>R369*U369/(U369+100)</f>
        <v>1.7035714285714287</v>
      </c>
      <c r="U369" s="50">
        <v>12</v>
      </c>
      <c r="V369" s="53">
        <v>0</v>
      </c>
      <c r="W369" s="147">
        <v>1</v>
      </c>
      <c r="X369" s="148" t="s">
        <v>163</v>
      </c>
      <c r="Y369" s="54">
        <f>R369*W369</f>
        <v>15.9</v>
      </c>
      <c r="Z369" s="52">
        <f>S369*W369</f>
        <v>14.196428571428571</v>
      </c>
      <c r="AA369" s="52">
        <f>T369*W369</f>
        <v>1.7035714285714287</v>
      </c>
      <c r="AB369" s="52">
        <f>V369*W369</f>
        <v>0</v>
      </c>
      <c r="AC369" s="53">
        <f>(R369+V369)*W369</f>
        <v>15.9</v>
      </c>
      <c r="AD369" s="138">
        <v>15.9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107</v>
      </c>
      <c r="F370" s="96" t="s">
        <v>106</v>
      </c>
      <c r="G370" s="97">
        <v>46132</v>
      </c>
      <c r="H370" s="98">
        <v>0.3268402777777778</v>
      </c>
      <c r="I370" s="50">
        <v>166004528</v>
      </c>
      <c r="J370" s="96" t="s">
        <v>157</v>
      </c>
      <c r="K370" s="49" t="s">
        <v>967</v>
      </c>
      <c r="L370" s="39" t="s">
        <v>968</v>
      </c>
      <c r="M370" s="49" t="s">
        <v>444</v>
      </c>
      <c r="N370" s="39" t="s">
        <v>445</v>
      </c>
      <c r="O370" s="96" t="s">
        <v>981</v>
      </c>
      <c r="P370" s="49" t="s">
        <v>157</v>
      </c>
      <c r="Q370" s="96" t="s">
        <v>104</v>
      </c>
      <c r="R370" s="52">
        <v>16.9</v>
      </c>
      <c r="S370" s="52">
        <f>R370-T370</f>
        <v>15.089285714285714</v>
      </c>
      <c r="T370" s="52">
        <f>R370*U370/(U370+100)</f>
        <v>1.8107142857142855</v>
      </c>
      <c r="U370" s="50">
        <v>12</v>
      </c>
      <c r="V370" s="53">
        <v>0</v>
      </c>
      <c r="W370" s="147">
        <v>1</v>
      </c>
      <c r="X370" s="148" t="s">
        <v>163</v>
      </c>
      <c r="Y370" s="54">
        <f>R370*W370</f>
        <v>16.9</v>
      </c>
      <c r="Z370" s="52">
        <f>S370*W370</f>
        <v>15.089285714285714</v>
      </c>
      <c r="AA370" s="52">
        <f>T370*W370</f>
        <v>1.8107142857142855</v>
      </c>
      <c r="AB370" s="52">
        <f>V370*W370</f>
        <v>0</v>
      </c>
      <c r="AC370" s="53">
        <f>(R370+V370)*W370</f>
        <v>16.9</v>
      </c>
      <c r="AD370" s="138">
        <v>16.9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107</v>
      </c>
      <c r="F371" s="96" t="s">
        <v>106</v>
      </c>
      <c r="G371" s="97">
        <v>46132</v>
      </c>
      <c r="H371" s="98">
        <v>0.3268402777777778</v>
      </c>
      <c r="I371" s="50">
        <v>166004528</v>
      </c>
      <c r="J371" s="96" t="s">
        <v>157</v>
      </c>
      <c r="K371" s="49" t="s">
        <v>967</v>
      </c>
      <c r="L371" s="39" t="s">
        <v>968</v>
      </c>
      <c r="M371" s="49" t="s">
        <v>444</v>
      </c>
      <c r="N371" s="39" t="s">
        <v>445</v>
      </c>
      <c r="O371" s="96" t="s">
        <v>981</v>
      </c>
      <c r="P371" s="49" t="s">
        <v>157</v>
      </c>
      <c r="Q371" s="96" t="s">
        <v>104</v>
      </c>
      <c r="R371" s="52">
        <v>16.9</v>
      </c>
      <c r="S371" s="52">
        <f>R371-T371</f>
        <v>15.089285714285714</v>
      </c>
      <c r="T371" s="52">
        <f>R371*U371/(U371+100)</f>
        <v>1.8107142857142855</v>
      </c>
      <c r="U371" s="50">
        <v>12</v>
      </c>
      <c r="V371" s="53">
        <v>0</v>
      </c>
      <c r="W371" s="147">
        <v>1</v>
      </c>
      <c r="X371" s="148" t="s">
        <v>163</v>
      </c>
      <c r="Y371" s="54">
        <f>R371*W371</f>
        <v>16.9</v>
      </c>
      <c r="Z371" s="52">
        <f>S371*W371</f>
        <v>15.089285714285714</v>
      </c>
      <c r="AA371" s="52">
        <f>T371*W371</f>
        <v>1.8107142857142855</v>
      </c>
      <c r="AB371" s="52">
        <f>V371*W371</f>
        <v>0</v>
      </c>
      <c r="AC371" s="53">
        <f>(R371+V371)*W371</f>
        <v>16.9</v>
      </c>
      <c r="AD371" s="138">
        <v>16.9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107</v>
      </c>
      <c r="F372" s="96" t="s">
        <v>106</v>
      </c>
      <c r="G372" s="97">
        <v>46132</v>
      </c>
      <c r="H372" s="98">
        <v>0.3268402777777778</v>
      </c>
      <c r="I372" s="50">
        <v>166004528</v>
      </c>
      <c r="J372" s="96" t="s">
        <v>157</v>
      </c>
      <c r="K372" s="49" t="s">
        <v>1155</v>
      </c>
      <c r="L372" s="39" t="s">
        <v>1156</v>
      </c>
      <c r="M372" s="49" t="s">
        <v>620</v>
      </c>
      <c r="N372" s="39" t="s">
        <v>731</v>
      </c>
      <c r="O372" s="96" t="s">
        <v>1157</v>
      </c>
      <c r="P372" s="49" t="s">
        <v>157</v>
      </c>
      <c r="Q372" s="96" t="s">
        <v>104</v>
      </c>
      <c r="R372" s="52">
        <v>39.9</v>
      </c>
      <c r="S372" s="52">
        <f>R372-T372</f>
        <v>32.97520661157024</v>
      </c>
      <c r="T372" s="52">
        <f>R372*U372/(U372+100)</f>
        <v>6.924793388429752</v>
      </c>
      <c r="U372" s="50">
        <v>21</v>
      </c>
      <c r="V372" s="53">
        <v>0</v>
      </c>
      <c r="W372" s="147">
        <v>1</v>
      </c>
      <c r="X372" s="148" t="s">
        <v>163</v>
      </c>
      <c r="Y372" s="54">
        <f>R372*W372</f>
        <v>39.9</v>
      </c>
      <c r="Z372" s="52">
        <f>S372*W372</f>
        <v>32.97520661157024</v>
      </c>
      <c r="AA372" s="52">
        <f>T372*W372</f>
        <v>6.924793388429752</v>
      </c>
      <c r="AB372" s="52">
        <f>V372*W372</f>
        <v>0</v>
      </c>
      <c r="AC372" s="53">
        <f>(R372+V372)*W372</f>
        <v>39.9</v>
      </c>
      <c r="AD372" s="138">
        <v>39.9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107</v>
      </c>
      <c r="F373" s="96" t="s">
        <v>106</v>
      </c>
      <c r="G373" s="97">
        <v>46132</v>
      </c>
      <c r="H373" s="98">
        <v>0.3268402777777778</v>
      </c>
      <c r="I373" s="50">
        <v>166004528</v>
      </c>
      <c r="J373" s="96" t="s">
        <v>157</v>
      </c>
      <c r="K373" s="49" t="s">
        <v>1158</v>
      </c>
      <c r="L373" s="39" t="s">
        <v>1159</v>
      </c>
      <c r="M373" s="49" t="s">
        <v>862</v>
      </c>
      <c r="N373" s="39" t="s">
        <v>863</v>
      </c>
      <c r="O373" s="96" t="s">
        <v>1160</v>
      </c>
      <c r="P373" s="49" t="s">
        <v>157</v>
      </c>
      <c r="Q373" s="96" t="s">
        <v>104</v>
      </c>
      <c r="R373" s="52">
        <v>149</v>
      </c>
      <c r="S373" s="52">
        <f>R373-T373</f>
        <v>123.14049586776859</v>
      </c>
      <c r="T373" s="52">
        <f>R373*U373/(U373+100)</f>
        <v>25.859504132231404</v>
      </c>
      <c r="U373" s="50">
        <v>21</v>
      </c>
      <c r="V373" s="53">
        <v>0</v>
      </c>
      <c r="W373" s="147">
        <v>1</v>
      </c>
      <c r="X373" s="148" t="s">
        <v>163</v>
      </c>
      <c r="Y373" s="54">
        <f>R373*W373</f>
        <v>149</v>
      </c>
      <c r="Z373" s="52">
        <f>S373*W373</f>
        <v>123.14049586776859</v>
      </c>
      <c r="AA373" s="52">
        <f>T373*W373</f>
        <v>25.859504132231404</v>
      </c>
      <c r="AB373" s="52">
        <f>V373*W373</f>
        <v>0</v>
      </c>
      <c r="AC373" s="53">
        <f>(R373+V373)*W373</f>
        <v>149</v>
      </c>
      <c r="AD373" s="138">
        <v>149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107</v>
      </c>
      <c r="F374" s="96" t="s">
        <v>106</v>
      </c>
      <c r="G374" s="97">
        <v>46132</v>
      </c>
      <c r="H374" s="98">
        <v>0.3268402777777778</v>
      </c>
      <c r="I374" s="50">
        <v>166004528</v>
      </c>
      <c r="J374" s="96" t="s">
        <v>157</v>
      </c>
      <c r="K374" s="49" t="s">
        <v>1158</v>
      </c>
      <c r="L374" s="39" t="s">
        <v>1159</v>
      </c>
      <c r="M374" s="49" t="s">
        <v>862</v>
      </c>
      <c r="N374" s="39" t="s">
        <v>863</v>
      </c>
      <c r="O374" s="96" t="s">
        <v>1160</v>
      </c>
      <c r="P374" s="49" t="s">
        <v>157</v>
      </c>
      <c r="Q374" s="96" t="s">
        <v>104</v>
      </c>
      <c r="R374" s="52">
        <v>149</v>
      </c>
      <c r="S374" s="52">
        <f>R374-T374</f>
        <v>123.14049586776859</v>
      </c>
      <c r="T374" s="52">
        <f>R374*U374/(U374+100)</f>
        <v>25.859504132231404</v>
      </c>
      <c r="U374" s="50">
        <v>21</v>
      </c>
      <c r="V374" s="53">
        <v>0</v>
      </c>
      <c r="W374" s="147">
        <v>1</v>
      </c>
      <c r="X374" s="148" t="s">
        <v>163</v>
      </c>
      <c r="Y374" s="54">
        <f>R374*W374</f>
        <v>149</v>
      </c>
      <c r="Z374" s="52">
        <f>S374*W374</f>
        <v>123.14049586776859</v>
      </c>
      <c r="AA374" s="52">
        <f>T374*W374</f>
        <v>25.859504132231404</v>
      </c>
      <c r="AB374" s="52">
        <f>V374*W374</f>
        <v>0</v>
      </c>
      <c r="AC374" s="53">
        <f>(R374+V374)*W374</f>
        <v>149</v>
      </c>
      <c r="AD374" s="138">
        <v>149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107</v>
      </c>
      <c r="F375" s="96" t="s">
        <v>106</v>
      </c>
      <c r="G375" s="97">
        <v>46132</v>
      </c>
      <c r="H375" s="98">
        <v>0.3268402777777778</v>
      </c>
      <c r="I375" s="50">
        <v>166004528</v>
      </c>
      <c r="J375" s="96" t="s">
        <v>157</v>
      </c>
      <c r="K375" s="49" t="s">
        <v>1161</v>
      </c>
      <c r="L375" s="39" t="s">
        <v>1162</v>
      </c>
      <c r="M375" s="49" t="s">
        <v>268</v>
      </c>
      <c r="N375" s="39" t="s">
        <v>296</v>
      </c>
      <c r="O375" s="96" t="s">
        <v>1163</v>
      </c>
      <c r="P375" s="49" t="s">
        <v>157</v>
      </c>
      <c r="Q375" s="96" t="s">
        <v>104</v>
      </c>
      <c r="R375" s="52">
        <v>34.9</v>
      </c>
      <c r="S375" s="52">
        <f>R375-T375</f>
        <v>31.160714285714285</v>
      </c>
      <c r="T375" s="52">
        <f>R375*U375/(U375+100)</f>
        <v>3.739285714285714</v>
      </c>
      <c r="U375" s="50">
        <v>12</v>
      </c>
      <c r="V375" s="53">
        <v>0</v>
      </c>
      <c r="W375" s="147">
        <v>1</v>
      </c>
      <c r="X375" s="148" t="s">
        <v>163</v>
      </c>
      <c r="Y375" s="54">
        <f>R375*W375</f>
        <v>34.9</v>
      </c>
      <c r="Z375" s="52">
        <f>S375*W375</f>
        <v>31.160714285714285</v>
      </c>
      <c r="AA375" s="52">
        <f>T375*W375</f>
        <v>3.739285714285714</v>
      </c>
      <c r="AB375" s="52">
        <f>V375*W375</f>
        <v>0</v>
      </c>
      <c r="AC375" s="53">
        <f>(R375+V375)*W375</f>
        <v>34.9</v>
      </c>
      <c r="AD375" s="138">
        <v>34.9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107</v>
      </c>
      <c r="F376" s="96" t="s">
        <v>106</v>
      </c>
      <c r="G376" s="97">
        <v>46132</v>
      </c>
      <c r="H376" s="98">
        <v>0.3268402777777778</v>
      </c>
      <c r="I376" s="50">
        <v>166004528</v>
      </c>
      <c r="J376" s="96" t="s">
        <v>157</v>
      </c>
      <c r="K376" s="49" t="s">
        <v>1085</v>
      </c>
      <c r="L376" s="39" t="s">
        <v>1086</v>
      </c>
      <c r="M376" s="49" t="s">
        <v>1087</v>
      </c>
      <c r="N376" s="39" t="s">
        <v>1088</v>
      </c>
      <c r="O376" s="96" t="s">
        <v>1089</v>
      </c>
      <c r="P376" s="49" t="s">
        <v>157</v>
      </c>
      <c r="Q376" s="96" t="s">
        <v>104</v>
      </c>
      <c r="R376" s="52">
        <v>163.03</v>
      </c>
      <c r="S376" s="52">
        <f>R376-T376</f>
        <v>145.5625</v>
      </c>
      <c r="T376" s="52">
        <f>R376*U376/(U376+100)</f>
        <v>17.4675</v>
      </c>
      <c r="U376" s="50">
        <v>12</v>
      </c>
      <c r="V376" s="53">
        <v>0</v>
      </c>
      <c r="W376" s="147">
        <v>0.106</v>
      </c>
      <c r="X376" s="148" t="s">
        <v>193</v>
      </c>
      <c r="Y376" s="54">
        <f>R376*W376</f>
        <v>17.28118</v>
      </c>
      <c r="Z376" s="52">
        <f>S376*W376</f>
        <v>15.429625</v>
      </c>
      <c r="AA376" s="52">
        <f>T376*W376</f>
        <v>1.851555</v>
      </c>
      <c r="AB376" s="52">
        <f>V376*W376</f>
        <v>0</v>
      </c>
      <c r="AC376" s="53">
        <f>(R376+V376)*W376</f>
        <v>17.28118</v>
      </c>
      <c r="AD376" s="138">
        <v>232.9</v>
      </c>
      <c r="AE376" s="137">
        <v>69.87</v>
      </c>
      <c r="AF376" s="139">
        <v>7.4062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107</v>
      </c>
      <c r="F377" s="96" t="s">
        <v>106</v>
      </c>
      <c r="G377" s="97">
        <v>46132</v>
      </c>
      <c r="H377" s="98">
        <v>0.3268402777777778</v>
      </c>
      <c r="I377" s="50">
        <v>166004528</v>
      </c>
      <c r="J377" s="96" t="s">
        <v>157</v>
      </c>
      <c r="K377" s="49" t="s">
        <v>1164</v>
      </c>
      <c r="L377" s="39" t="s">
        <v>1165</v>
      </c>
      <c r="M377" s="49" t="s">
        <v>277</v>
      </c>
      <c r="N377" s="39" t="s">
        <v>408</v>
      </c>
      <c r="O377" s="96" t="s">
        <v>1166</v>
      </c>
      <c r="P377" s="49" t="s">
        <v>157</v>
      </c>
      <c r="Q377" s="96" t="s">
        <v>104</v>
      </c>
      <c r="R377" s="52">
        <v>159.9</v>
      </c>
      <c r="S377" s="52">
        <f>R377-T377</f>
        <v>142.76785714285714</v>
      </c>
      <c r="T377" s="52">
        <f>R377*U377/(U377+100)</f>
        <v>17.13214285714286</v>
      </c>
      <c r="U377" s="50">
        <v>12</v>
      </c>
      <c r="V377" s="53">
        <v>0</v>
      </c>
      <c r="W377" s="147">
        <v>0.126</v>
      </c>
      <c r="X377" s="148" t="s">
        <v>410</v>
      </c>
      <c r="Y377" s="54">
        <f>R377*W377</f>
        <v>20.1474</v>
      </c>
      <c r="Z377" s="52">
        <f>S377*W377</f>
        <v>17.98875</v>
      </c>
      <c r="AA377" s="52">
        <f>T377*W377</f>
        <v>2.15865</v>
      </c>
      <c r="AB377" s="52">
        <f>V377*W377</f>
        <v>0</v>
      </c>
      <c r="AC377" s="53">
        <f>(R377+V377)*W377</f>
        <v>20.1474</v>
      </c>
      <c r="AD377" s="138">
        <v>159.9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107</v>
      </c>
      <c r="F378" s="96" t="s">
        <v>106</v>
      </c>
      <c r="G378" s="97">
        <v>46132</v>
      </c>
      <c r="H378" s="98">
        <v>0.3282407407407407</v>
      </c>
      <c r="I378" s="50">
        <v>166004529</v>
      </c>
      <c r="J378" s="96" t="s">
        <v>157</v>
      </c>
      <c r="K378" s="49" t="s">
        <v>1167</v>
      </c>
      <c r="L378" s="39" t="s">
        <v>1168</v>
      </c>
      <c r="M378" s="49" t="s">
        <v>300</v>
      </c>
      <c r="N378" s="39" t="s">
        <v>301</v>
      </c>
      <c r="O378" s="96" t="s">
        <v>1169</v>
      </c>
      <c r="P378" s="49" t="s">
        <v>157</v>
      </c>
      <c r="Q378" s="96" t="s">
        <v>104</v>
      </c>
      <c r="R378" s="52">
        <v>19.9</v>
      </c>
      <c r="S378" s="52">
        <f>R378-T378</f>
        <v>17.767857142857142</v>
      </c>
      <c r="T378" s="52">
        <f>R378*U378/(U378+100)</f>
        <v>2.132142857142857</v>
      </c>
      <c r="U378" s="50">
        <v>12</v>
      </c>
      <c r="V378" s="53">
        <v>0</v>
      </c>
      <c r="W378" s="147">
        <v>1</v>
      </c>
      <c r="X378" s="148" t="s">
        <v>163</v>
      </c>
      <c r="Y378" s="54">
        <f>R378*W378</f>
        <v>19.9</v>
      </c>
      <c r="Z378" s="52">
        <f>S378*W378</f>
        <v>17.767857142857142</v>
      </c>
      <c r="AA378" s="52">
        <f>T378*W378</f>
        <v>2.132142857142857</v>
      </c>
      <c r="AB378" s="52">
        <f>V378*W378</f>
        <v>0</v>
      </c>
      <c r="AC378" s="53">
        <f>(R378+V378)*W378</f>
        <v>19.9</v>
      </c>
      <c r="AD378" s="138">
        <v>19.9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107</v>
      </c>
      <c r="F379" s="96" t="s">
        <v>106</v>
      </c>
      <c r="G379" s="97">
        <v>46132</v>
      </c>
      <c r="H379" s="98">
        <v>0.3282407407407407</v>
      </c>
      <c r="I379" s="50">
        <v>166004529</v>
      </c>
      <c r="J379" s="96" t="s">
        <v>157</v>
      </c>
      <c r="K379" s="49" t="s">
        <v>1170</v>
      </c>
      <c r="L379" s="39" t="s">
        <v>1171</v>
      </c>
      <c r="M379" s="49" t="s">
        <v>429</v>
      </c>
      <c r="N379" s="39" t="s">
        <v>414</v>
      </c>
      <c r="O379" s="96" t="s">
        <v>1172</v>
      </c>
      <c r="P379" s="49" t="s">
        <v>157</v>
      </c>
      <c r="Q379" s="96" t="s">
        <v>104</v>
      </c>
      <c r="R379" s="52">
        <v>14.9</v>
      </c>
      <c r="S379" s="52">
        <f>R379-T379</f>
        <v>13.303571428571429</v>
      </c>
      <c r="T379" s="52">
        <f>R379*U379/(U379+100)</f>
        <v>1.5964285714285715</v>
      </c>
      <c r="U379" s="50">
        <v>12</v>
      </c>
      <c r="V379" s="53">
        <v>0</v>
      </c>
      <c r="W379" s="147">
        <v>1</v>
      </c>
      <c r="X379" s="148" t="s">
        <v>163</v>
      </c>
      <c r="Y379" s="54">
        <f>R379*W379</f>
        <v>14.9</v>
      </c>
      <c r="Z379" s="52">
        <f>S379*W379</f>
        <v>13.303571428571429</v>
      </c>
      <c r="AA379" s="52">
        <f>T379*W379</f>
        <v>1.5964285714285715</v>
      </c>
      <c r="AB379" s="52">
        <f>V379*W379</f>
        <v>0</v>
      </c>
      <c r="AC379" s="53">
        <f>(R379+V379)*W379</f>
        <v>14.9</v>
      </c>
      <c r="AD379" s="138">
        <v>14.9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107</v>
      </c>
      <c r="F380" s="96" t="s">
        <v>106</v>
      </c>
      <c r="G380" s="97">
        <v>46132</v>
      </c>
      <c r="H380" s="98">
        <v>0.3282407407407407</v>
      </c>
      <c r="I380" s="50">
        <v>166004529</v>
      </c>
      <c r="J380" s="96" t="s">
        <v>157</v>
      </c>
      <c r="K380" s="49" t="s">
        <v>1170</v>
      </c>
      <c r="L380" s="39" t="s">
        <v>1171</v>
      </c>
      <c r="M380" s="49" t="s">
        <v>429</v>
      </c>
      <c r="N380" s="39" t="s">
        <v>414</v>
      </c>
      <c r="O380" s="96" t="s">
        <v>1172</v>
      </c>
      <c r="P380" s="49" t="s">
        <v>157</v>
      </c>
      <c r="Q380" s="96" t="s">
        <v>104</v>
      </c>
      <c r="R380" s="52">
        <v>14.9</v>
      </c>
      <c r="S380" s="52">
        <f>R380-T380</f>
        <v>13.303571428571429</v>
      </c>
      <c r="T380" s="52">
        <f>R380*U380/(U380+100)</f>
        <v>1.5964285714285715</v>
      </c>
      <c r="U380" s="50">
        <v>12</v>
      </c>
      <c r="V380" s="53">
        <v>0</v>
      </c>
      <c r="W380" s="147">
        <v>1</v>
      </c>
      <c r="X380" s="148" t="s">
        <v>163</v>
      </c>
      <c r="Y380" s="54">
        <f>R380*W380</f>
        <v>14.9</v>
      </c>
      <c r="Z380" s="52">
        <f>S380*W380</f>
        <v>13.303571428571429</v>
      </c>
      <c r="AA380" s="52">
        <f>T380*W380</f>
        <v>1.5964285714285715</v>
      </c>
      <c r="AB380" s="52">
        <f>V380*W380</f>
        <v>0</v>
      </c>
      <c r="AC380" s="53">
        <f>(R380+V380)*W380</f>
        <v>14.9</v>
      </c>
      <c r="AD380" s="138">
        <v>14.9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107</v>
      </c>
      <c r="F381" s="96" t="s">
        <v>106</v>
      </c>
      <c r="G381" s="97">
        <v>46132</v>
      </c>
      <c r="H381" s="98">
        <v>0.3282407407407407</v>
      </c>
      <c r="I381" s="50">
        <v>166004529</v>
      </c>
      <c r="J381" s="96" t="s">
        <v>157</v>
      </c>
      <c r="K381" s="49" t="s">
        <v>967</v>
      </c>
      <c r="L381" s="39" t="s">
        <v>968</v>
      </c>
      <c r="M381" s="49" t="s">
        <v>444</v>
      </c>
      <c r="N381" s="39" t="s">
        <v>445</v>
      </c>
      <c r="O381" s="96" t="s">
        <v>981</v>
      </c>
      <c r="P381" s="49" t="s">
        <v>157</v>
      </c>
      <c r="Q381" s="96" t="s">
        <v>104</v>
      </c>
      <c r="R381" s="52">
        <v>16.9</v>
      </c>
      <c r="S381" s="52">
        <f>R381-T381</f>
        <v>15.089285714285714</v>
      </c>
      <c r="T381" s="52">
        <f>R381*U381/(U381+100)</f>
        <v>1.8107142857142855</v>
      </c>
      <c r="U381" s="50">
        <v>12</v>
      </c>
      <c r="V381" s="53">
        <v>0</v>
      </c>
      <c r="W381" s="147">
        <v>1</v>
      </c>
      <c r="X381" s="148" t="s">
        <v>163</v>
      </c>
      <c r="Y381" s="54">
        <f>R381*W381</f>
        <v>16.9</v>
      </c>
      <c r="Z381" s="52">
        <f>S381*W381</f>
        <v>15.089285714285714</v>
      </c>
      <c r="AA381" s="52">
        <f>T381*W381</f>
        <v>1.8107142857142855</v>
      </c>
      <c r="AB381" s="52">
        <f>V381*W381</f>
        <v>0</v>
      </c>
      <c r="AC381" s="53">
        <f>(R381+V381)*W381</f>
        <v>16.9</v>
      </c>
      <c r="AD381" s="138">
        <v>16.9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107</v>
      </c>
      <c r="F382" s="96" t="s">
        <v>106</v>
      </c>
      <c r="G382" s="97">
        <v>46132</v>
      </c>
      <c r="H382" s="98">
        <v>0.3282407407407407</v>
      </c>
      <c r="I382" s="50">
        <v>166004529</v>
      </c>
      <c r="J382" s="96" t="s">
        <v>157</v>
      </c>
      <c r="K382" s="49" t="s">
        <v>1173</v>
      </c>
      <c r="L382" s="39" t="s">
        <v>1174</v>
      </c>
      <c r="M382" s="49" t="s">
        <v>185</v>
      </c>
      <c r="N382" s="39" t="s">
        <v>843</v>
      </c>
      <c r="O382" s="96" t="s">
        <v>1175</v>
      </c>
      <c r="P382" s="49" t="s">
        <v>157</v>
      </c>
      <c r="Q382" s="96" t="s">
        <v>104</v>
      </c>
      <c r="R382" s="52">
        <v>12.4</v>
      </c>
      <c r="S382" s="52">
        <f>R382-T382</f>
        <v>11.071428571428571</v>
      </c>
      <c r="T382" s="52">
        <f>R382*U382/(U382+100)</f>
        <v>1.3285714285714287</v>
      </c>
      <c r="U382" s="50">
        <v>12</v>
      </c>
      <c r="V382" s="53">
        <v>0</v>
      </c>
      <c r="W382" s="147">
        <v>1</v>
      </c>
      <c r="X382" s="148" t="s">
        <v>163</v>
      </c>
      <c r="Y382" s="54">
        <f>R382*W382</f>
        <v>12.4</v>
      </c>
      <c r="Z382" s="52">
        <f>S382*W382</f>
        <v>11.071428571428571</v>
      </c>
      <c r="AA382" s="52">
        <f>T382*W382</f>
        <v>1.3285714285714287</v>
      </c>
      <c r="AB382" s="52">
        <f>V382*W382</f>
        <v>0</v>
      </c>
      <c r="AC382" s="53">
        <f>(R382+V382)*W382</f>
        <v>12.4</v>
      </c>
      <c r="AD382" s="138">
        <v>12.4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107</v>
      </c>
      <c r="F383" s="96" t="s">
        <v>106</v>
      </c>
      <c r="G383" s="97">
        <v>46132</v>
      </c>
      <c r="H383" s="98">
        <v>0.3282407407407407</v>
      </c>
      <c r="I383" s="50">
        <v>166004529</v>
      </c>
      <c r="J383" s="96" t="s">
        <v>157</v>
      </c>
      <c r="K383" s="49" t="s">
        <v>1173</v>
      </c>
      <c r="L383" s="39" t="s">
        <v>1174</v>
      </c>
      <c r="M383" s="49" t="s">
        <v>185</v>
      </c>
      <c r="N383" s="39" t="s">
        <v>843</v>
      </c>
      <c r="O383" s="96" t="s">
        <v>1175</v>
      </c>
      <c r="P383" s="49" t="s">
        <v>157</v>
      </c>
      <c r="Q383" s="96" t="s">
        <v>104</v>
      </c>
      <c r="R383" s="52">
        <v>12.4</v>
      </c>
      <c r="S383" s="52">
        <f>R383-T383</f>
        <v>11.071428571428571</v>
      </c>
      <c r="T383" s="52">
        <f>R383*U383/(U383+100)</f>
        <v>1.3285714285714287</v>
      </c>
      <c r="U383" s="50">
        <v>12</v>
      </c>
      <c r="V383" s="53">
        <v>0</v>
      </c>
      <c r="W383" s="147">
        <v>1</v>
      </c>
      <c r="X383" s="148" t="s">
        <v>163</v>
      </c>
      <c r="Y383" s="54">
        <f>R383*W383</f>
        <v>12.4</v>
      </c>
      <c r="Z383" s="52">
        <f>S383*W383</f>
        <v>11.071428571428571</v>
      </c>
      <c r="AA383" s="52">
        <f>T383*W383</f>
        <v>1.3285714285714287</v>
      </c>
      <c r="AB383" s="52">
        <f>V383*W383</f>
        <v>0</v>
      </c>
      <c r="AC383" s="53">
        <f>(R383+V383)*W383</f>
        <v>12.4</v>
      </c>
      <c r="AD383" s="138">
        <v>12.4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107</v>
      </c>
      <c r="F384" s="96" t="s">
        <v>106</v>
      </c>
      <c r="G384" s="97">
        <v>46132</v>
      </c>
      <c r="H384" s="98">
        <v>0.3282407407407407</v>
      </c>
      <c r="I384" s="50">
        <v>166004529</v>
      </c>
      <c r="J384" s="96" t="s">
        <v>157</v>
      </c>
      <c r="K384" s="49" t="s">
        <v>1173</v>
      </c>
      <c r="L384" s="39" t="s">
        <v>1174</v>
      </c>
      <c r="M384" s="49" t="s">
        <v>185</v>
      </c>
      <c r="N384" s="39" t="s">
        <v>843</v>
      </c>
      <c r="O384" s="96" t="s">
        <v>1175</v>
      </c>
      <c r="P384" s="49" t="s">
        <v>157</v>
      </c>
      <c r="Q384" s="96" t="s">
        <v>104</v>
      </c>
      <c r="R384" s="52">
        <v>12.4</v>
      </c>
      <c r="S384" s="52">
        <f>R384-T384</f>
        <v>11.071428571428571</v>
      </c>
      <c r="T384" s="52">
        <f>R384*U384/(U384+100)</f>
        <v>1.3285714285714287</v>
      </c>
      <c r="U384" s="50">
        <v>12</v>
      </c>
      <c r="V384" s="53">
        <v>0</v>
      </c>
      <c r="W384" s="147">
        <v>1</v>
      </c>
      <c r="X384" s="148" t="s">
        <v>163</v>
      </c>
      <c r="Y384" s="54">
        <f>R384*W384</f>
        <v>12.4</v>
      </c>
      <c r="Z384" s="52">
        <f>S384*W384</f>
        <v>11.071428571428571</v>
      </c>
      <c r="AA384" s="52">
        <f>T384*W384</f>
        <v>1.3285714285714287</v>
      </c>
      <c r="AB384" s="52">
        <f>V384*W384</f>
        <v>0</v>
      </c>
      <c r="AC384" s="53">
        <f>(R384+V384)*W384</f>
        <v>12.4</v>
      </c>
      <c r="AD384" s="138">
        <v>12.4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107</v>
      </c>
      <c r="F385" s="96" t="s">
        <v>106</v>
      </c>
      <c r="G385" s="97">
        <v>46132</v>
      </c>
      <c r="H385" s="98">
        <v>0.3282407407407407</v>
      </c>
      <c r="I385" s="50">
        <v>166004529</v>
      </c>
      <c r="J385" s="96" t="s">
        <v>157</v>
      </c>
      <c r="K385" s="49" t="s">
        <v>1176</v>
      </c>
      <c r="L385" s="39" t="s">
        <v>1177</v>
      </c>
      <c r="M385" s="49" t="s">
        <v>185</v>
      </c>
      <c r="N385" s="39" t="s">
        <v>1178</v>
      </c>
      <c r="O385" s="96" t="s">
        <v>1179</v>
      </c>
      <c r="P385" s="49" t="s">
        <v>157</v>
      </c>
      <c r="Q385" s="96" t="s">
        <v>104</v>
      </c>
      <c r="R385" s="52">
        <v>41.9</v>
      </c>
      <c r="S385" s="52">
        <f>R385-T385</f>
        <v>37.410714285714285</v>
      </c>
      <c r="T385" s="52">
        <f>R385*U385/(U385+100)</f>
        <v>4.489285714285714</v>
      </c>
      <c r="U385" s="50">
        <v>12</v>
      </c>
      <c r="V385" s="53">
        <v>0</v>
      </c>
      <c r="W385" s="147">
        <v>1</v>
      </c>
      <c r="X385" s="148" t="s">
        <v>163</v>
      </c>
      <c r="Y385" s="54">
        <f>R385*W385</f>
        <v>41.9</v>
      </c>
      <c r="Z385" s="52">
        <f>S385*W385</f>
        <v>37.410714285714285</v>
      </c>
      <c r="AA385" s="52">
        <f>T385*W385</f>
        <v>4.489285714285714</v>
      </c>
      <c r="AB385" s="52">
        <f>V385*W385</f>
        <v>0</v>
      </c>
      <c r="AC385" s="53">
        <f>(R385+V385)*W385</f>
        <v>41.9</v>
      </c>
      <c r="AD385" s="138">
        <v>41.9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107</v>
      </c>
      <c r="F386" s="96" t="s">
        <v>106</v>
      </c>
      <c r="G386" s="97">
        <v>46132</v>
      </c>
      <c r="H386" s="98">
        <v>0.3282407407407407</v>
      </c>
      <c r="I386" s="50">
        <v>166004529</v>
      </c>
      <c r="J386" s="96" t="s">
        <v>157</v>
      </c>
      <c r="K386" s="49" t="s">
        <v>1180</v>
      </c>
      <c r="L386" s="39" t="s">
        <v>1181</v>
      </c>
      <c r="M386" s="49" t="s">
        <v>1182</v>
      </c>
      <c r="N386" s="39" t="s">
        <v>843</v>
      </c>
      <c r="O386" s="96" t="s">
        <v>1183</v>
      </c>
      <c r="P386" s="49" t="s">
        <v>157</v>
      </c>
      <c r="Q386" s="96" t="s">
        <v>104</v>
      </c>
      <c r="R386" s="52">
        <v>33.9</v>
      </c>
      <c r="S386" s="52">
        <f>R386-T386</f>
        <v>30.267857142857142</v>
      </c>
      <c r="T386" s="52">
        <f>R386*U386/(U386+100)</f>
        <v>3.6321428571428567</v>
      </c>
      <c r="U386" s="50">
        <v>12</v>
      </c>
      <c r="V386" s="53">
        <v>0</v>
      </c>
      <c r="W386" s="147">
        <v>1</v>
      </c>
      <c r="X386" s="148" t="s">
        <v>163</v>
      </c>
      <c r="Y386" s="54">
        <f>R386*W386</f>
        <v>33.9</v>
      </c>
      <c r="Z386" s="52">
        <f>S386*W386</f>
        <v>30.267857142857142</v>
      </c>
      <c r="AA386" s="52">
        <f>T386*W386</f>
        <v>3.6321428571428567</v>
      </c>
      <c r="AB386" s="52">
        <f>V386*W386</f>
        <v>0</v>
      </c>
      <c r="AC386" s="53">
        <f>(R386+V386)*W386</f>
        <v>33.9</v>
      </c>
      <c r="AD386" s="138">
        <v>33.9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107</v>
      </c>
      <c r="F387" s="96" t="s">
        <v>106</v>
      </c>
      <c r="G387" s="97">
        <v>46132</v>
      </c>
      <c r="H387" s="98">
        <v>0.3282407407407407</v>
      </c>
      <c r="I387" s="50">
        <v>166004529</v>
      </c>
      <c r="J387" s="96" t="s">
        <v>157</v>
      </c>
      <c r="K387" s="49" t="s">
        <v>754</v>
      </c>
      <c r="L387" s="39" t="s">
        <v>755</v>
      </c>
      <c r="M387" s="49" t="s">
        <v>214</v>
      </c>
      <c r="N387" s="39" t="s">
        <v>756</v>
      </c>
      <c r="O387" s="96" t="s">
        <v>1184</v>
      </c>
      <c r="P387" s="49" t="s">
        <v>157</v>
      </c>
      <c r="Q387" s="96" t="s">
        <v>104</v>
      </c>
      <c r="R387" s="52">
        <v>19.9</v>
      </c>
      <c r="S387" s="52">
        <f>R387-T387</f>
        <v>17.767857142857142</v>
      </c>
      <c r="T387" s="52">
        <f>R387*U387/(U387+100)</f>
        <v>2.132142857142857</v>
      </c>
      <c r="U387" s="50">
        <v>12</v>
      </c>
      <c r="V387" s="53">
        <v>0</v>
      </c>
      <c r="W387" s="147">
        <v>1</v>
      </c>
      <c r="X387" s="148" t="s">
        <v>163</v>
      </c>
      <c r="Y387" s="54">
        <f>R387*W387</f>
        <v>19.9</v>
      </c>
      <c r="Z387" s="52">
        <f>S387*W387</f>
        <v>17.767857142857142</v>
      </c>
      <c r="AA387" s="52">
        <f>T387*W387</f>
        <v>2.132142857142857</v>
      </c>
      <c r="AB387" s="52">
        <f>V387*W387</f>
        <v>0</v>
      </c>
      <c r="AC387" s="53">
        <f>(R387+V387)*W387</f>
        <v>19.9</v>
      </c>
      <c r="AD387" s="138">
        <v>19.9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107</v>
      </c>
      <c r="F388" s="96" t="s">
        <v>106</v>
      </c>
      <c r="G388" s="97">
        <v>46132</v>
      </c>
      <c r="H388" s="98">
        <v>0.3282407407407407</v>
      </c>
      <c r="I388" s="50">
        <v>166004529</v>
      </c>
      <c r="J388" s="96" t="s">
        <v>157</v>
      </c>
      <c r="K388" s="49" t="s">
        <v>1185</v>
      </c>
      <c r="L388" s="39" t="s">
        <v>1186</v>
      </c>
      <c r="M388" s="49" t="s">
        <v>862</v>
      </c>
      <c r="N388" s="39" t="s">
        <v>863</v>
      </c>
      <c r="O388" s="96" t="s">
        <v>1187</v>
      </c>
      <c r="P388" s="49" t="s">
        <v>157</v>
      </c>
      <c r="Q388" s="96" t="s">
        <v>104</v>
      </c>
      <c r="R388" s="52">
        <v>149</v>
      </c>
      <c r="S388" s="52">
        <f>R388-T388</f>
        <v>123.14049586776859</v>
      </c>
      <c r="T388" s="52">
        <f>R388*U388/(U388+100)</f>
        <v>25.859504132231404</v>
      </c>
      <c r="U388" s="50">
        <v>21</v>
      </c>
      <c r="V388" s="53">
        <v>0</v>
      </c>
      <c r="W388" s="147">
        <v>1</v>
      </c>
      <c r="X388" s="148" t="s">
        <v>163</v>
      </c>
      <c r="Y388" s="54">
        <f>R388*W388</f>
        <v>149</v>
      </c>
      <c r="Z388" s="52">
        <f>S388*W388</f>
        <v>123.14049586776859</v>
      </c>
      <c r="AA388" s="52">
        <f>T388*W388</f>
        <v>25.859504132231404</v>
      </c>
      <c r="AB388" s="52">
        <f>V388*W388</f>
        <v>0</v>
      </c>
      <c r="AC388" s="53">
        <f>(R388+V388)*W388</f>
        <v>149</v>
      </c>
      <c r="AD388" s="138">
        <v>149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107</v>
      </c>
      <c r="F389" s="96" t="s">
        <v>106</v>
      </c>
      <c r="G389" s="97">
        <v>46132</v>
      </c>
      <c r="H389" s="98">
        <v>0.3282407407407407</v>
      </c>
      <c r="I389" s="50">
        <v>166004529</v>
      </c>
      <c r="J389" s="96" t="s">
        <v>157</v>
      </c>
      <c r="K389" s="49" t="s">
        <v>655</v>
      </c>
      <c r="L389" s="39" t="s">
        <v>656</v>
      </c>
      <c r="M389" s="49" t="s">
        <v>190</v>
      </c>
      <c r="N389" s="39" t="s">
        <v>532</v>
      </c>
      <c r="O389" s="96" t="s">
        <v>657</v>
      </c>
      <c r="P389" s="49" t="s">
        <v>157</v>
      </c>
      <c r="Q389" s="96" t="s">
        <v>104</v>
      </c>
      <c r="R389" s="52">
        <v>25.13</v>
      </c>
      <c r="S389" s="52">
        <f>R389-T389</f>
        <v>22.4375</v>
      </c>
      <c r="T389" s="52">
        <f>R389*U389/(U389+100)</f>
        <v>2.6925</v>
      </c>
      <c r="U389" s="50">
        <v>12</v>
      </c>
      <c r="V389" s="53">
        <v>0</v>
      </c>
      <c r="W389" s="147">
        <v>0.834</v>
      </c>
      <c r="X389" s="148" t="s">
        <v>193</v>
      </c>
      <c r="Y389" s="54">
        <f>R389*W389</f>
        <v>20.958419999999997</v>
      </c>
      <c r="Z389" s="52">
        <f>S389*W389</f>
        <v>18.712875</v>
      </c>
      <c r="AA389" s="52">
        <f>T389*W389</f>
        <v>2.245545</v>
      </c>
      <c r="AB389" s="52">
        <f>V389*W389</f>
        <v>0</v>
      </c>
      <c r="AC389" s="53">
        <f>(R389+V389)*W389</f>
        <v>20.958419999999997</v>
      </c>
      <c r="AD389" s="138">
        <v>25.13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107</v>
      </c>
      <c r="F390" s="96" t="s">
        <v>106</v>
      </c>
      <c r="G390" s="97">
        <v>46132</v>
      </c>
      <c r="H390" s="98">
        <v>0.3282407407407407</v>
      </c>
      <c r="I390" s="50">
        <v>166004529</v>
      </c>
      <c r="J390" s="96" t="s">
        <v>157</v>
      </c>
      <c r="K390" s="49" t="s">
        <v>1021</v>
      </c>
      <c r="L390" s="39" t="s">
        <v>1022</v>
      </c>
      <c r="M390" s="49" t="s">
        <v>190</v>
      </c>
      <c r="N390" s="39" t="s">
        <v>532</v>
      </c>
      <c r="O390" s="96" t="s">
        <v>1023</v>
      </c>
      <c r="P390" s="49" t="s">
        <v>157</v>
      </c>
      <c r="Q390" s="96" t="s">
        <v>104</v>
      </c>
      <c r="R390" s="52">
        <v>48.9</v>
      </c>
      <c r="S390" s="52">
        <f>R390-T390</f>
        <v>43.660714285714285</v>
      </c>
      <c r="T390" s="52">
        <f>R390*U390/(U390+100)</f>
        <v>5.239285714285714</v>
      </c>
      <c r="U390" s="50">
        <v>12</v>
      </c>
      <c r="V390" s="53">
        <v>0</v>
      </c>
      <c r="W390" s="147">
        <v>1.17</v>
      </c>
      <c r="X390" s="148" t="s">
        <v>193</v>
      </c>
      <c r="Y390" s="54">
        <f>R390*W390</f>
        <v>57.212999999999994</v>
      </c>
      <c r="Z390" s="52">
        <f>S390*W390</f>
        <v>51.08303571428571</v>
      </c>
      <c r="AA390" s="52">
        <f>T390*W390</f>
        <v>6.129964285714285</v>
      </c>
      <c r="AB390" s="52">
        <f>V390*W390</f>
        <v>0</v>
      </c>
      <c r="AC390" s="53">
        <f>(R390+V390)*W390</f>
        <v>57.212999999999994</v>
      </c>
      <c r="AD390" s="138">
        <v>48.9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107</v>
      </c>
      <c r="F391" s="96" t="s">
        <v>106</v>
      </c>
      <c r="G391" s="97">
        <v>46132</v>
      </c>
      <c r="H391" s="98">
        <v>0.3282407407407407</v>
      </c>
      <c r="I391" s="50">
        <v>166004529</v>
      </c>
      <c r="J391" s="96" t="s">
        <v>157</v>
      </c>
      <c r="K391" s="49" t="s">
        <v>1085</v>
      </c>
      <c r="L391" s="39" t="s">
        <v>1086</v>
      </c>
      <c r="M391" s="49" t="s">
        <v>1087</v>
      </c>
      <c r="N391" s="39" t="s">
        <v>1088</v>
      </c>
      <c r="O391" s="96" t="s">
        <v>1089</v>
      </c>
      <c r="P391" s="49" t="s">
        <v>157</v>
      </c>
      <c r="Q391" s="96" t="s">
        <v>104</v>
      </c>
      <c r="R391" s="52">
        <v>163.03</v>
      </c>
      <c r="S391" s="52">
        <f>R391-T391</f>
        <v>145.5625</v>
      </c>
      <c r="T391" s="52">
        <f>R391*U391/(U391+100)</f>
        <v>17.4675</v>
      </c>
      <c r="U391" s="50">
        <v>12</v>
      </c>
      <c r="V391" s="53">
        <v>0</v>
      </c>
      <c r="W391" s="147">
        <v>0.208</v>
      </c>
      <c r="X391" s="148" t="s">
        <v>193</v>
      </c>
      <c r="Y391" s="54">
        <f>R391*W391</f>
        <v>33.91024</v>
      </c>
      <c r="Z391" s="52">
        <f>S391*W391</f>
        <v>30.276999999999997</v>
      </c>
      <c r="AA391" s="52">
        <f>T391*W391</f>
        <v>3.6332400000000002</v>
      </c>
      <c r="AB391" s="52">
        <f>V391*W391</f>
        <v>0</v>
      </c>
      <c r="AC391" s="53">
        <f>(R391+V391)*W391</f>
        <v>33.91024</v>
      </c>
      <c r="AD391" s="138">
        <v>232.9</v>
      </c>
      <c r="AE391" s="137">
        <v>69.87</v>
      </c>
      <c r="AF391" s="139">
        <v>14.533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107</v>
      </c>
      <c r="F392" s="96" t="s">
        <v>106</v>
      </c>
      <c r="G392" s="97">
        <v>46132</v>
      </c>
      <c r="H392" s="98">
        <v>0.3282407407407407</v>
      </c>
      <c r="I392" s="50">
        <v>166004529</v>
      </c>
      <c r="J392" s="96" t="s">
        <v>157</v>
      </c>
      <c r="K392" s="49" t="s">
        <v>390</v>
      </c>
      <c r="L392" s="39" t="s">
        <v>391</v>
      </c>
      <c r="M392" s="49" t="s">
        <v>214</v>
      </c>
      <c r="N392" s="39" t="s">
        <v>273</v>
      </c>
      <c r="O392" s="96" t="s">
        <v>1110</v>
      </c>
      <c r="P392" s="49" t="s">
        <v>157</v>
      </c>
      <c r="Q392" s="96" t="s">
        <v>104</v>
      </c>
      <c r="R392" s="52">
        <v>15.9</v>
      </c>
      <c r="S392" s="52">
        <f>R392-T392</f>
        <v>14.196428571428571</v>
      </c>
      <c r="T392" s="52">
        <f>R392*U392/(U392+100)</f>
        <v>1.7035714285714287</v>
      </c>
      <c r="U392" s="50">
        <v>12</v>
      </c>
      <c r="V392" s="53">
        <v>0</v>
      </c>
      <c r="W392" s="147">
        <v>1</v>
      </c>
      <c r="X392" s="148" t="s">
        <v>163</v>
      </c>
      <c r="Y392" s="54">
        <f>R392*W392</f>
        <v>15.9</v>
      </c>
      <c r="Z392" s="52">
        <f>S392*W392</f>
        <v>14.196428571428571</v>
      </c>
      <c r="AA392" s="52">
        <f>T392*W392</f>
        <v>1.7035714285714287</v>
      </c>
      <c r="AB392" s="52">
        <f>V392*W392</f>
        <v>0</v>
      </c>
      <c r="AC392" s="53">
        <f>(R392+V392)*W392</f>
        <v>15.9</v>
      </c>
      <c r="AD392" s="138">
        <v>15.9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107</v>
      </c>
      <c r="F393" s="96" t="s">
        <v>106</v>
      </c>
      <c r="G393" s="97">
        <v>46132</v>
      </c>
      <c r="H393" s="98">
        <v>0.3282407407407407</v>
      </c>
      <c r="I393" s="50">
        <v>166004529</v>
      </c>
      <c r="J393" s="96" t="s">
        <v>157</v>
      </c>
      <c r="K393" s="49" t="s">
        <v>1188</v>
      </c>
      <c r="L393" s="39" t="s">
        <v>1189</v>
      </c>
      <c r="M393" s="49" t="s">
        <v>522</v>
      </c>
      <c r="N393" s="39" t="s">
        <v>688</v>
      </c>
      <c r="O393" s="96" t="s">
        <v>1190</v>
      </c>
      <c r="P393" s="49" t="s">
        <v>157</v>
      </c>
      <c r="Q393" s="96" t="s">
        <v>104</v>
      </c>
      <c r="R393" s="52">
        <v>154.9</v>
      </c>
      <c r="S393" s="52">
        <f>R393-T393</f>
        <v>138.30357142857144</v>
      </c>
      <c r="T393" s="52">
        <f>R393*U393/(U393+100)</f>
        <v>16.59642857142857</v>
      </c>
      <c r="U393" s="50">
        <v>12</v>
      </c>
      <c r="V393" s="53">
        <v>0</v>
      </c>
      <c r="W393" s="147">
        <v>0.204</v>
      </c>
      <c r="X393" s="148" t="s">
        <v>193</v>
      </c>
      <c r="Y393" s="54">
        <f>R393*W393</f>
        <v>31.5996</v>
      </c>
      <c r="Z393" s="52">
        <f>S393*W393</f>
        <v>28.21392857142857</v>
      </c>
      <c r="AA393" s="52">
        <f>T393*W393</f>
        <v>3.3856714285714284</v>
      </c>
      <c r="AB393" s="52">
        <f>V393*W393</f>
        <v>0</v>
      </c>
      <c r="AC393" s="53">
        <f>(R393+V393)*W393</f>
        <v>31.5996</v>
      </c>
      <c r="AD393" s="138">
        <v>154.9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107</v>
      </c>
      <c r="F394" s="96" t="s">
        <v>106</v>
      </c>
      <c r="G394" s="97">
        <v>46132</v>
      </c>
      <c r="H394" s="98">
        <v>0.3282407407407407</v>
      </c>
      <c r="I394" s="50">
        <v>166004529</v>
      </c>
      <c r="J394" s="96" t="s">
        <v>157</v>
      </c>
      <c r="K394" s="49" t="s">
        <v>293</v>
      </c>
      <c r="L394" s="39" t="s">
        <v>294</v>
      </c>
      <c r="M394" s="49" t="s">
        <v>295</v>
      </c>
      <c r="N394" s="39" t="s">
        <v>296</v>
      </c>
      <c r="O394" s="96" t="s">
        <v>297</v>
      </c>
      <c r="P394" s="49" t="s">
        <v>157</v>
      </c>
      <c r="Q394" s="96" t="s">
        <v>104</v>
      </c>
      <c r="R394" s="52">
        <v>2.9</v>
      </c>
      <c r="S394" s="52">
        <f>R394-T394</f>
        <v>2.5892857142857144</v>
      </c>
      <c r="T394" s="52">
        <f>R394*U394/(U394+100)</f>
        <v>0.31071428571428567</v>
      </c>
      <c r="U394" s="50">
        <v>12</v>
      </c>
      <c r="V394" s="53">
        <v>0</v>
      </c>
      <c r="W394" s="147">
        <v>7</v>
      </c>
      <c r="X394" s="148" t="s">
        <v>163</v>
      </c>
      <c r="Y394" s="54">
        <f>R394*W394</f>
        <v>20.3</v>
      </c>
      <c r="Z394" s="52">
        <f>S394*W394</f>
        <v>18.125</v>
      </c>
      <c r="AA394" s="52">
        <f>T394*W394</f>
        <v>2.175</v>
      </c>
      <c r="AB394" s="52">
        <f>V394*W394</f>
        <v>0</v>
      </c>
      <c r="AC394" s="53">
        <f>(R394+V394)*W394</f>
        <v>20.3</v>
      </c>
      <c r="AD394" s="138">
        <v>2.9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107</v>
      </c>
      <c r="F395" s="96" t="s">
        <v>106</v>
      </c>
      <c r="G395" s="97">
        <v>46132</v>
      </c>
      <c r="H395" s="98">
        <v>0.3282407407407407</v>
      </c>
      <c r="I395" s="50">
        <v>166004529</v>
      </c>
      <c r="J395" s="96" t="s">
        <v>157</v>
      </c>
      <c r="K395" s="49" t="s">
        <v>1191</v>
      </c>
      <c r="L395" s="39" t="s">
        <v>1192</v>
      </c>
      <c r="M395" s="49" t="s">
        <v>1193</v>
      </c>
      <c r="N395" s="39" t="s">
        <v>1194</v>
      </c>
      <c r="O395" s="96" t="s">
        <v>1195</v>
      </c>
      <c r="P395" s="49" t="s">
        <v>235</v>
      </c>
      <c r="Q395" s="96" t="s">
        <v>236</v>
      </c>
      <c r="R395" s="52">
        <v>79.9</v>
      </c>
      <c r="S395" s="52">
        <f>R395-T395</f>
        <v>71.33928571428572</v>
      </c>
      <c r="T395" s="52">
        <f>R395*U395/(U395+100)</f>
        <v>8.560714285714287</v>
      </c>
      <c r="U395" s="50">
        <v>12</v>
      </c>
      <c r="V395" s="53">
        <v>0</v>
      </c>
      <c r="W395" s="147">
        <v>1</v>
      </c>
      <c r="X395" s="148" t="s">
        <v>163</v>
      </c>
      <c r="Y395" s="54">
        <f>R395*W395</f>
        <v>79.9</v>
      </c>
      <c r="Z395" s="52">
        <f>S395*W395</f>
        <v>71.33928571428572</v>
      </c>
      <c r="AA395" s="52">
        <f>T395*W395</f>
        <v>8.560714285714287</v>
      </c>
      <c r="AB395" s="52">
        <f>V395*W395</f>
        <v>0</v>
      </c>
      <c r="AC395" s="53">
        <f>(R395+V395)*W395</f>
        <v>79.9</v>
      </c>
      <c r="AD395" s="138">
        <v>79.9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107</v>
      </c>
      <c r="F396" s="96" t="s">
        <v>106</v>
      </c>
      <c r="G396" s="97">
        <v>46132</v>
      </c>
      <c r="H396" s="98">
        <v>0.3285532407407407</v>
      </c>
      <c r="I396" s="50">
        <v>166004530</v>
      </c>
      <c r="J396" s="96" t="s">
        <v>157</v>
      </c>
      <c r="K396" s="49" t="s">
        <v>1126</v>
      </c>
      <c r="L396" s="39" t="s">
        <v>1127</v>
      </c>
      <c r="M396" s="49" t="s">
        <v>862</v>
      </c>
      <c r="N396" s="39" t="s">
        <v>863</v>
      </c>
      <c r="O396" s="96" t="s">
        <v>1128</v>
      </c>
      <c r="P396" s="49" t="s">
        <v>157</v>
      </c>
      <c r="Q396" s="96" t="s">
        <v>104</v>
      </c>
      <c r="R396" s="52">
        <v>161</v>
      </c>
      <c r="S396" s="52">
        <f>R396-T396</f>
        <v>133.05785123966942</v>
      </c>
      <c r="T396" s="52">
        <f>R396*U396/(U396+100)</f>
        <v>27.94214876033058</v>
      </c>
      <c r="U396" s="50">
        <v>21</v>
      </c>
      <c r="V396" s="53">
        <v>0</v>
      </c>
      <c r="W396" s="147">
        <v>1</v>
      </c>
      <c r="X396" s="148" t="s">
        <v>163</v>
      </c>
      <c r="Y396" s="54">
        <f>R396*W396</f>
        <v>161</v>
      </c>
      <c r="Z396" s="52">
        <f>S396*W396</f>
        <v>133.05785123966942</v>
      </c>
      <c r="AA396" s="52">
        <f>T396*W396</f>
        <v>27.94214876033058</v>
      </c>
      <c r="AB396" s="52">
        <f>V396*W396</f>
        <v>0</v>
      </c>
      <c r="AC396" s="53">
        <f>(R396+V396)*W396</f>
        <v>161</v>
      </c>
      <c r="AD396" s="138">
        <v>161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107</v>
      </c>
      <c r="F397" s="96" t="s">
        <v>106</v>
      </c>
      <c r="G397" s="97">
        <v>46132</v>
      </c>
      <c r="H397" s="98">
        <v>0.32880787037037035</v>
      </c>
      <c r="I397" s="50">
        <v>166004531</v>
      </c>
      <c r="J397" s="96" t="s">
        <v>157</v>
      </c>
      <c r="K397" s="49" t="s">
        <v>1196</v>
      </c>
      <c r="L397" s="39" t="s">
        <v>1197</v>
      </c>
      <c r="M397" s="49" t="s">
        <v>425</v>
      </c>
      <c r="N397" s="39" t="s">
        <v>172</v>
      </c>
      <c r="O397" s="96" t="s">
        <v>1198</v>
      </c>
      <c r="P397" s="49" t="s">
        <v>157</v>
      </c>
      <c r="Q397" s="96" t="s">
        <v>104</v>
      </c>
      <c r="R397" s="52">
        <v>15.9</v>
      </c>
      <c r="S397" s="52">
        <f>R397-T397</f>
        <v>14.196428571428571</v>
      </c>
      <c r="T397" s="52">
        <f>R397*U397/(U397+100)</f>
        <v>1.7035714285714287</v>
      </c>
      <c r="U397" s="50">
        <v>12</v>
      </c>
      <c r="V397" s="53">
        <v>0</v>
      </c>
      <c r="W397" s="147">
        <v>1</v>
      </c>
      <c r="X397" s="148" t="s">
        <v>163</v>
      </c>
      <c r="Y397" s="54">
        <f>R397*W397</f>
        <v>15.9</v>
      </c>
      <c r="Z397" s="52">
        <f>S397*W397</f>
        <v>14.196428571428571</v>
      </c>
      <c r="AA397" s="52">
        <f>T397*W397</f>
        <v>1.7035714285714287</v>
      </c>
      <c r="AB397" s="52">
        <f>V397*W397</f>
        <v>0</v>
      </c>
      <c r="AC397" s="53">
        <f>(R397+V397)*W397</f>
        <v>15.9</v>
      </c>
      <c r="AD397" s="138">
        <v>15.9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107</v>
      </c>
      <c r="F398" s="96" t="s">
        <v>106</v>
      </c>
      <c r="G398" s="97">
        <v>46132</v>
      </c>
      <c r="H398" s="98">
        <v>0.32880787037037035</v>
      </c>
      <c r="I398" s="50">
        <v>166004531</v>
      </c>
      <c r="J398" s="96" t="s">
        <v>157</v>
      </c>
      <c r="K398" s="49" t="s">
        <v>1199</v>
      </c>
      <c r="L398" s="39" t="s">
        <v>1200</v>
      </c>
      <c r="M398" s="49" t="s">
        <v>425</v>
      </c>
      <c r="N398" s="39" t="s">
        <v>172</v>
      </c>
      <c r="O398" s="96" t="s">
        <v>1201</v>
      </c>
      <c r="P398" s="49" t="s">
        <v>157</v>
      </c>
      <c r="Q398" s="96" t="s">
        <v>104</v>
      </c>
      <c r="R398" s="52">
        <v>15.9</v>
      </c>
      <c r="S398" s="52">
        <f>R398-T398</f>
        <v>14.196428571428571</v>
      </c>
      <c r="T398" s="52">
        <f>R398*U398/(U398+100)</f>
        <v>1.7035714285714287</v>
      </c>
      <c r="U398" s="50">
        <v>12</v>
      </c>
      <c r="V398" s="53">
        <v>0</v>
      </c>
      <c r="W398" s="147">
        <v>1</v>
      </c>
      <c r="X398" s="148" t="s">
        <v>163</v>
      </c>
      <c r="Y398" s="54">
        <f>R398*W398</f>
        <v>15.9</v>
      </c>
      <c r="Z398" s="52">
        <f>S398*W398</f>
        <v>14.196428571428571</v>
      </c>
      <c r="AA398" s="52">
        <f>T398*W398</f>
        <v>1.7035714285714287</v>
      </c>
      <c r="AB398" s="52">
        <f>V398*W398</f>
        <v>0</v>
      </c>
      <c r="AC398" s="53">
        <f>(R398+V398)*W398</f>
        <v>15.9</v>
      </c>
      <c r="AD398" s="138">
        <v>15.9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107</v>
      </c>
      <c r="F399" s="96" t="s">
        <v>106</v>
      </c>
      <c r="G399" s="97">
        <v>46132</v>
      </c>
      <c r="H399" s="98">
        <v>0.32880787037037035</v>
      </c>
      <c r="I399" s="50">
        <v>166004531</v>
      </c>
      <c r="J399" s="96" t="s">
        <v>157</v>
      </c>
      <c r="K399" s="49" t="s">
        <v>423</v>
      </c>
      <c r="L399" s="39" t="s">
        <v>424</v>
      </c>
      <c r="M399" s="49" t="s">
        <v>425</v>
      </c>
      <c r="N399" s="39" t="s">
        <v>172</v>
      </c>
      <c r="O399" s="96" t="s">
        <v>1202</v>
      </c>
      <c r="P399" s="49" t="s">
        <v>157</v>
      </c>
      <c r="Q399" s="96" t="s">
        <v>104</v>
      </c>
      <c r="R399" s="52">
        <v>15.9</v>
      </c>
      <c r="S399" s="52">
        <f>R399-T399</f>
        <v>14.196428571428571</v>
      </c>
      <c r="T399" s="52">
        <f>R399*U399/(U399+100)</f>
        <v>1.7035714285714287</v>
      </c>
      <c r="U399" s="50">
        <v>12</v>
      </c>
      <c r="V399" s="53">
        <v>0</v>
      </c>
      <c r="W399" s="147">
        <v>1</v>
      </c>
      <c r="X399" s="148" t="s">
        <v>163</v>
      </c>
      <c r="Y399" s="54">
        <f>R399*W399</f>
        <v>15.9</v>
      </c>
      <c r="Z399" s="52">
        <f>S399*W399</f>
        <v>14.196428571428571</v>
      </c>
      <c r="AA399" s="52">
        <f>T399*W399</f>
        <v>1.7035714285714287</v>
      </c>
      <c r="AB399" s="52">
        <f>V399*W399</f>
        <v>0</v>
      </c>
      <c r="AC399" s="53">
        <f>(R399+V399)*W399</f>
        <v>15.9</v>
      </c>
      <c r="AD399" s="138">
        <v>15.9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107</v>
      </c>
      <c r="F400" s="96" t="s">
        <v>106</v>
      </c>
      <c r="G400" s="97">
        <v>46132</v>
      </c>
      <c r="H400" s="98">
        <v>0.32880787037037035</v>
      </c>
      <c r="I400" s="50">
        <v>166004531</v>
      </c>
      <c r="J400" s="96" t="s">
        <v>157</v>
      </c>
      <c r="K400" s="49" t="s">
        <v>1203</v>
      </c>
      <c r="L400" s="39" t="s">
        <v>1204</v>
      </c>
      <c r="M400" s="49" t="s">
        <v>1205</v>
      </c>
      <c r="N400" s="39" t="s">
        <v>838</v>
      </c>
      <c r="O400" s="96" t="s">
        <v>1206</v>
      </c>
      <c r="P400" s="49" t="s">
        <v>157</v>
      </c>
      <c r="Q400" s="96" t="s">
        <v>104</v>
      </c>
      <c r="R400" s="52">
        <v>40.53</v>
      </c>
      <c r="S400" s="52">
        <f>R400-T400</f>
        <v>36.1875</v>
      </c>
      <c r="T400" s="52">
        <f>R400*U400/(U400+100)</f>
        <v>4.3425</v>
      </c>
      <c r="U400" s="50">
        <v>12</v>
      </c>
      <c r="V400" s="53">
        <v>0</v>
      </c>
      <c r="W400" s="147">
        <v>1</v>
      </c>
      <c r="X400" s="148" t="s">
        <v>163</v>
      </c>
      <c r="Y400" s="54">
        <f>R400*W400</f>
        <v>40.53</v>
      </c>
      <c r="Z400" s="52">
        <f>S400*W400</f>
        <v>36.1875</v>
      </c>
      <c r="AA400" s="52">
        <f>T400*W400</f>
        <v>4.3425</v>
      </c>
      <c r="AB400" s="52">
        <f>V400*W400</f>
        <v>0</v>
      </c>
      <c r="AC400" s="53">
        <f>(R400+V400)*W400</f>
        <v>40.53</v>
      </c>
      <c r="AD400" s="138">
        <v>57.9</v>
      </c>
      <c r="AE400" s="137">
        <v>17.37</v>
      </c>
      <c r="AF400" s="139">
        <v>17.37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107</v>
      </c>
      <c r="F401" s="96" t="s">
        <v>106</v>
      </c>
      <c r="G401" s="97">
        <v>46132</v>
      </c>
      <c r="H401" s="98">
        <v>0.32880787037037035</v>
      </c>
      <c r="I401" s="50">
        <v>166004531</v>
      </c>
      <c r="J401" s="96" t="s">
        <v>157</v>
      </c>
      <c r="K401" s="49" t="s">
        <v>1207</v>
      </c>
      <c r="L401" s="39" t="s">
        <v>1208</v>
      </c>
      <c r="M401" s="49" t="s">
        <v>185</v>
      </c>
      <c r="N401" s="39" t="s">
        <v>233</v>
      </c>
      <c r="O401" s="96" t="s">
        <v>1209</v>
      </c>
      <c r="P401" s="49" t="s">
        <v>157</v>
      </c>
      <c r="Q401" s="96" t="s">
        <v>104</v>
      </c>
      <c r="R401" s="52">
        <v>9.9</v>
      </c>
      <c r="S401" s="52">
        <f>R401-T401</f>
        <v>8.181818181818182</v>
      </c>
      <c r="T401" s="52">
        <f>R401*U401/(U401+100)</f>
        <v>1.7181818181818183</v>
      </c>
      <c r="U401" s="50">
        <v>21</v>
      </c>
      <c r="V401" s="53">
        <v>0</v>
      </c>
      <c r="W401" s="147">
        <v>1</v>
      </c>
      <c r="X401" s="148" t="s">
        <v>163</v>
      </c>
      <c r="Y401" s="54">
        <f>R401*W401</f>
        <v>9.9</v>
      </c>
      <c r="Z401" s="52">
        <f>S401*W401</f>
        <v>8.181818181818182</v>
      </c>
      <c r="AA401" s="52">
        <f>T401*W401</f>
        <v>1.7181818181818183</v>
      </c>
      <c r="AB401" s="52">
        <f>V401*W401</f>
        <v>0</v>
      </c>
      <c r="AC401" s="53">
        <f>(R401+V401)*W401</f>
        <v>9.9</v>
      </c>
      <c r="AD401" s="138">
        <v>9.9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107</v>
      </c>
      <c r="F402" s="96" t="s">
        <v>106</v>
      </c>
      <c r="G402" s="97">
        <v>46132</v>
      </c>
      <c r="H402" s="98">
        <v>0.329375</v>
      </c>
      <c r="I402" s="50">
        <v>166004532</v>
      </c>
      <c r="J402" s="96" t="s">
        <v>157</v>
      </c>
      <c r="K402" s="49" t="s">
        <v>1210</v>
      </c>
      <c r="L402" s="39" t="s">
        <v>1211</v>
      </c>
      <c r="M402" s="49" t="s">
        <v>429</v>
      </c>
      <c r="N402" s="39" t="s">
        <v>239</v>
      </c>
      <c r="O402" s="96" t="s">
        <v>1212</v>
      </c>
      <c r="P402" s="49" t="s">
        <v>157</v>
      </c>
      <c r="Q402" s="96" t="s">
        <v>104</v>
      </c>
      <c r="R402" s="52">
        <v>17.9</v>
      </c>
      <c r="S402" s="52">
        <f>R402-T402</f>
        <v>15.982142857142856</v>
      </c>
      <c r="T402" s="52">
        <f>R402*U402/(U402+100)</f>
        <v>1.9178571428571427</v>
      </c>
      <c r="U402" s="50">
        <v>12</v>
      </c>
      <c r="V402" s="53">
        <v>0</v>
      </c>
      <c r="W402" s="147">
        <v>1</v>
      </c>
      <c r="X402" s="148" t="s">
        <v>163</v>
      </c>
      <c r="Y402" s="54">
        <f>R402*W402</f>
        <v>17.9</v>
      </c>
      <c r="Z402" s="52">
        <f>S402*W402</f>
        <v>15.982142857142856</v>
      </c>
      <c r="AA402" s="52">
        <f>T402*W402</f>
        <v>1.9178571428571427</v>
      </c>
      <c r="AB402" s="52">
        <f>V402*W402</f>
        <v>0</v>
      </c>
      <c r="AC402" s="53">
        <f>(R402+V402)*W402</f>
        <v>17.9</v>
      </c>
      <c r="AD402" s="138">
        <v>17.9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107</v>
      </c>
      <c r="F403" s="96" t="s">
        <v>106</v>
      </c>
      <c r="G403" s="97">
        <v>46132</v>
      </c>
      <c r="H403" s="98">
        <v>0.329375</v>
      </c>
      <c r="I403" s="50">
        <v>166004532</v>
      </c>
      <c r="J403" s="96" t="s">
        <v>157</v>
      </c>
      <c r="K403" s="49" t="s">
        <v>1210</v>
      </c>
      <c r="L403" s="39" t="s">
        <v>1211</v>
      </c>
      <c r="M403" s="49" t="s">
        <v>429</v>
      </c>
      <c r="N403" s="39" t="s">
        <v>239</v>
      </c>
      <c r="O403" s="96" t="s">
        <v>1212</v>
      </c>
      <c r="P403" s="49" t="s">
        <v>157</v>
      </c>
      <c r="Q403" s="96" t="s">
        <v>104</v>
      </c>
      <c r="R403" s="52">
        <v>17.9</v>
      </c>
      <c r="S403" s="52">
        <f>R403-T403</f>
        <v>15.982142857142856</v>
      </c>
      <c r="T403" s="52">
        <f>R403*U403/(U403+100)</f>
        <v>1.9178571428571427</v>
      </c>
      <c r="U403" s="50">
        <v>12</v>
      </c>
      <c r="V403" s="53">
        <v>0</v>
      </c>
      <c r="W403" s="147">
        <v>1</v>
      </c>
      <c r="X403" s="148" t="s">
        <v>163</v>
      </c>
      <c r="Y403" s="54">
        <f>R403*W403</f>
        <v>17.9</v>
      </c>
      <c r="Z403" s="52">
        <f>S403*W403</f>
        <v>15.982142857142856</v>
      </c>
      <c r="AA403" s="52">
        <f>T403*W403</f>
        <v>1.9178571428571427</v>
      </c>
      <c r="AB403" s="52">
        <f>V403*W403</f>
        <v>0</v>
      </c>
      <c r="AC403" s="53">
        <f>(R403+V403)*W403</f>
        <v>17.9</v>
      </c>
      <c r="AD403" s="138">
        <v>17.9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107</v>
      </c>
      <c r="F404" s="96" t="s">
        <v>106</v>
      </c>
      <c r="G404" s="97">
        <v>46132</v>
      </c>
      <c r="H404" s="98">
        <v>0.329375</v>
      </c>
      <c r="I404" s="50">
        <v>166004532</v>
      </c>
      <c r="J404" s="96" t="s">
        <v>157</v>
      </c>
      <c r="K404" s="49" t="s">
        <v>1213</v>
      </c>
      <c r="L404" s="39" t="s">
        <v>1214</v>
      </c>
      <c r="M404" s="49" t="s">
        <v>429</v>
      </c>
      <c r="N404" s="39" t="s">
        <v>239</v>
      </c>
      <c r="O404" s="96" t="s">
        <v>1215</v>
      </c>
      <c r="P404" s="49" t="s">
        <v>157</v>
      </c>
      <c r="Q404" s="96" t="s">
        <v>104</v>
      </c>
      <c r="R404" s="52">
        <v>14.4</v>
      </c>
      <c r="S404" s="52">
        <f>R404-T404</f>
        <v>12.857142857142858</v>
      </c>
      <c r="T404" s="52">
        <f>R404*U404/(U404+100)</f>
        <v>1.542857142857143</v>
      </c>
      <c r="U404" s="50">
        <v>12</v>
      </c>
      <c r="V404" s="53">
        <v>0</v>
      </c>
      <c r="W404" s="147">
        <v>1</v>
      </c>
      <c r="X404" s="148" t="s">
        <v>163</v>
      </c>
      <c r="Y404" s="54">
        <f>R404*W404</f>
        <v>14.4</v>
      </c>
      <c r="Z404" s="52">
        <f>S404*W404</f>
        <v>12.857142857142858</v>
      </c>
      <c r="AA404" s="52">
        <f>T404*W404</f>
        <v>1.542857142857143</v>
      </c>
      <c r="AB404" s="52">
        <f>V404*W404</f>
        <v>0</v>
      </c>
      <c r="AC404" s="53">
        <f>(R404+V404)*W404</f>
        <v>14.4</v>
      </c>
      <c r="AD404" s="138">
        <v>14.4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107</v>
      </c>
      <c r="F405" s="96" t="s">
        <v>106</v>
      </c>
      <c r="G405" s="97">
        <v>46132</v>
      </c>
      <c r="H405" s="98">
        <v>0.329375</v>
      </c>
      <c r="I405" s="50">
        <v>166004532</v>
      </c>
      <c r="J405" s="96" t="s">
        <v>157</v>
      </c>
      <c r="K405" s="49" t="s">
        <v>1213</v>
      </c>
      <c r="L405" s="39" t="s">
        <v>1214</v>
      </c>
      <c r="M405" s="49" t="s">
        <v>429</v>
      </c>
      <c r="N405" s="39" t="s">
        <v>239</v>
      </c>
      <c r="O405" s="96" t="s">
        <v>1215</v>
      </c>
      <c r="P405" s="49" t="s">
        <v>157</v>
      </c>
      <c r="Q405" s="96" t="s">
        <v>104</v>
      </c>
      <c r="R405" s="52">
        <v>14.4</v>
      </c>
      <c r="S405" s="52">
        <f>R405-T405</f>
        <v>12.857142857142858</v>
      </c>
      <c r="T405" s="52">
        <f>R405*U405/(U405+100)</f>
        <v>1.542857142857143</v>
      </c>
      <c r="U405" s="50">
        <v>12</v>
      </c>
      <c r="V405" s="53">
        <v>0</v>
      </c>
      <c r="W405" s="147">
        <v>1</v>
      </c>
      <c r="X405" s="148" t="s">
        <v>163</v>
      </c>
      <c r="Y405" s="54">
        <f>R405*W405</f>
        <v>14.4</v>
      </c>
      <c r="Z405" s="52">
        <f>S405*W405</f>
        <v>12.857142857142858</v>
      </c>
      <c r="AA405" s="52">
        <f>T405*W405</f>
        <v>1.542857142857143</v>
      </c>
      <c r="AB405" s="52">
        <f>V405*W405</f>
        <v>0</v>
      </c>
      <c r="AC405" s="53">
        <f>(R405+V405)*W405</f>
        <v>14.4</v>
      </c>
      <c r="AD405" s="138">
        <v>14.4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107</v>
      </c>
      <c r="F406" s="96" t="s">
        <v>106</v>
      </c>
      <c r="G406" s="97">
        <v>46132</v>
      </c>
      <c r="H406" s="98">
        <v>0.329375</v>
      </c>
      <c r="I406" s="50">
        <v>166004532</v>
      </c>
      <c r="J406" s="96" t="s">
        <v>157</v>
      </c>
      <c r="K406" s="49" t="s">
        <v>1213</v>
      </c>
      <c r="L406" s="39" t="s">
        <v>1214</v>
      </c>
      <c r="M406" s="49" t="s">
        <v>429</v>
      </c>
      <c r="N406" s="39" t="s">
        <v>239</v>
      </c>
      <c r="O406" s="96" t="s">
        <v>1215</v>
      </c>
      <c r="P406" s="49" t="s">
        <v>157</v>
      </c>
      <c r="Q406" s="96" t="s">
        <v>104</v>
      </c>
      <c r="R406" s="52">
        <v>14.4</v>
      </c>
      <c r="S406" s="52">
        <f>R406-T406</f>
        <v>12.857142857142858</v>
      </c>
      <c r="T406" s="52">
        <f>R406*U406/(U406+100)</f>
        <v>1.542857142857143</v>
      </c>
      <c r="U406" s="50">
        <v>12</v>
      </c>
      <c r="V406" s="53">
        <v>0</v>
      </c>
      <c r="W406" s="147">
        <v>1</v>
      </c>
      <c r="X406" s="148" t="s">
        <v>163</v>
      </c>
      <c r="Y406" s="54">
        <f>R406*W406</f>
        <v>14.4</v>
      </c>
      <c r="Z406" s="52">
        <f>S406*W406</f>
        <v>12.857142857142858</v>
      </c>
      <c r="AA406" s="52">
        <f>T406*W406</f>
        <v>1.542857142857143</v>
      </c>
      <c r="AB406" s="52">
        <f>V406*W406</f>
        <v>0</v>
      </c>
      <c r="AC406" s="53">
        <f>(R406+V406)*W406</f>
        <v>14.4</v>
      </c>
      <c r="AD406" s="138">
        <v>14.4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107</v>
      </c>
      <c r="F407" s="96" t="s">
        <v>106</v>
      </c>
      <c r="G407" s="97">
        <v>46132</v>
      </c>
      <c r="H407" s="98">
        <v>0.329375</v>
      </c>
      <c r="I407" s="50">
        <v>166004532</v>
      </c>
      <c r="J407" s="96" t="s">
        <v>157</v>
      </c>
      <c r="K407" s="49" t="s">
        <v>1216</v>
      </c>
      <c r="L407" s="39" t="s">
        <v>1217</v>
      </c>
      <c r="M407" s="49" t="s">
        <v>1218</v>
      </c>
      <c r="N407" s="39" t="s">
        <v>161</v>
      </c>
      <c r="O407" s="96" t="s">
        <v>1219</v>
      </c>
      <c r="P407" s="49" t="s">
        <v>157</v>
      </c>
      <c r="Q407" s="96" t="s">
        <v>104</v>
      </c>
      <c r="R407" s="52">
        <v>124.9</v>
      </c>
      <c r="S407" s="52">
        <f>R407-T407</f>
        <v>111.51785714285715</v>
      </c>
      <c r="T407" s="52">
        <f>R407*U407/(U407+100)</f>
        <v>13.382142857142858</v>
      </c>
      <c r="U407" s="50">
        <v>12</v>
      </c>
      <c r="V407" s="53">
        <v>0</v>
      </c>
      <c r="W407" s="147">
        <v>1</v>
      </c>
      <c r="X407" s="148" t="s">
        <v>163</v>
      </c>
      <c r="Y407" s="54">
        <f>R407*W407</f>
        <v>124.9</v>
      </c>
      <c r="Z407" s="52">
        <f>S407*W407</f>
        <v>111.51785714285715</v>
      </c>
      <c r="AA407" s="52">
        <f>T407*W407</f>
        <v>13.382142857142858</v>
      </c>
      <c r="AB407" s="52">
        <f>V407*W407</f>
        <v>0</v>
      </c>
      <c r="AC407" s="53">
        <f>(R407+V407)*W407</f>
        <v>124.9</v>
      </c>
      <c r="AD407" s="138">
        <v>124.9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107</v>
      </c>
      <c r="F408" s="96" t="s">
        <v>106</v>
      </c>
      <c r="G408" s="97">
        <v>46132</v>
      </c>
      <c r="H408" s="98">
        <v>0.329375</v>
      </c>
      <c r="I408" s="50">
        <v>166004532</v>
      </c>
      <c r="J408" s="96" t="s">
        <v>157</v>
      </c>
      <c r="K408" s="49" t="s">
        <v>1093</v>
      </c>
      <c r="L408" s="39" t="s">
        <v>1094</v>
      </c>
      <c r="M408" s="49" t="s">
        <v>1095</v>
      </c>
      <c r="N408" s="39" t="s">
        <v>348</v>
      </c>
      <c r="O408" s="96" t="s">
        <v>1096</v>
      </c>
      <c r="P408" s="49" t="s">
        <v>157</v>
      </c>
      <c r="Q408" s="96" t="s">
        <v>104</v>
      </c>
      <c r="R408" s="52">
        <v>14.9</v>
      </c>
      <c r="S408" s="52">
        <f>R408-T408</f>
        <v>13.303571428571429</v>
      </c>
      <c r="T408" s="52">
        <f>R408*U408/(U408+100)</f>
        <v>1.5964285714285715</v>
      </c>
      <c r="U408" s="50">
        <v>12</v>
      </c>
      <c r="V408" s="53">
        <v>0</v>
      </c>
      <c r="W408" s="147">
        <v>1</v>
      </c>
      <c r="X408" s="148" t="s">
        <v>163</v>
      </c>
      <c r="Y408" s="54">
        <f>R408*W408</f>
        <v>14.9</v>
      </c>
      <c r="Z408" s="52">
        <f>S408*W408</f>
        <v>13.303571428571429</v>
      </c>
      <c r="AA408" s="52">
        <f>T408*W408</f>
        <v>1.5964285714285715</v>
      </c>
      <c r="AB408" s="52">
        <f>V408*W408</f>
        <v>0</v>
      </c>
      <c r="AC408" s="53">
        <f>(R408+V408)*W408</f>
        <v>14.9</v>
      </c>
      <c r="AD408" s="138">
        <v>14.9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107</v>
      </c>
      <c r="F409" s="96" t="s">
        <v>106</v>
      </c>
      <c r="G409" s="97">
        <v>46132</v>
      </c>
      <c r="H409" s="98">
        <v>0.329375</v>
      </c>
      <c r="I409" s="50">
        <v>166004532</v>
      </c>
      <c r="J409" s="96" t="s">
        <v>157</v>
      </c>
      <c r="K409" s="49" t="s">
        <v>1220</v>
      </c>
      <c r="L409" s="39" t="s">
        <v>1221</v>
      </c>
      <c r="M409" s="49" t="s">
        <v>1222</v>
      </c>
      <c r="N409" s="39" t="s">
        <v>653</v>
      </c>
      <c r="O409" s="96" t="s">
        <v>1223</v>
      </c>
      <c r="P409" s="49" t="s">
        <v>157</v>
      </c>
      <c r="Q409" s="96" t="s">
        <v>104</v>
      </c>
      <c r="R409" s="52">
        <v>54.9</v>
      </c>
      <c r="S409" s="52">
        <f>R409-T409</f>
        <v>45.37190082644628</v>
      </c>
      <c r="T409" s="52">
        <f>R409*U409/(U409+100)</f>
        <v>9.528099173553718</v>
      </c>
      <c r="U409" s="50">
        <v>21</v>
      </c>
      <c r="V409" s="53">
        <v>0</v>
      </c>
      <c r="W409" s="147">
        <v>1</v>
      </c>
      <c r="X409" s="148" t="s">
        <v>163</v>
      </c>
      <c r="Y409" s="54">
        <f>R409*W409</f>
        <v>54.9</v>
      </c>
      <c r="Z409" s="52">
        <f>S409*W409</f>
        <v>45.37190082644628</v>
      </c>
      <c r="AA409" s="52">
        <f>T409*W409</f>
        <v>9.528099173553718</v>
      </c>
      <c r="AB409" s="52">
        <f>V409*W409</f>
        <v>0</v>
      </c>
      <c r="AC409" s="53">
        <f>(R409+V409)*W409</f>
        <v>54.9</v>
      </c>
      <c r="AD409" s="138">
        <v>54.9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107</v>
      </c>
      <c r="F410" s="96" t="s">
        <v>106</v>
      </c>
      <c r="G410" s="97">
        <v>46132</v>
      </c>
      <c r="H410" s="98">
        <v>0.329375</v>
      </c>
      <c r="I410" s="50">
        <v>166004532</v>
      </c>
      <c r="J410" s="96" t="s">
        <v>157</v>
      </c>
      <c r="K410" s="49" t="s">
        <v>1224</v>
      </c>
      <c r="L410" s="39" t="s">
        <v>1225</v>
      </c>
      <c r="M410" s="49" t="s">
        <v>190</v>
      </c>
      <c r="N410" s="39" t="s">
        <v>532</v>
      </c>
      <c r="O410" s="96" t="s">
        <v>1226</v>
      </c>
      <c r="P410" s="49" t="s">
        <v>157</v>
      </c>
      <c r="Q410" s="96" t="s">
        <v>104</v>
      </c>
      <c r="R410" s="52">
        <v>44.9</v>
      </c>
      <c r="S410" s="52">
        <f>R410-T410</f>
        <v>40.089285714285715</v>
      </c>
      <c r="T410" s="52">
        <f>R410*U410/(U410+100)</f>
        <v>4.810714285714285</v>
      </c>
      <c r="U410" s="50">
        <v>12</v>
      </c>
      <c r="V410" s="53">
        <v>0</v>
      </c>
      <c r="W410" s="147">
        <v>0.416</v>
      </c>
      <c r="X410" s="148" t="s">
        <v>193</v>
      </c>
      <c r="Y410" s="54">
        <f>R410*W410</f>
        <v>18.6784</v>
      </c>
      <c r="Z410" s="52">
        <f>S410*W410</f>
        <v>16.677142857142858</v>
      </c>
      <c r="AA410" s="52">
        <f>T410*W410</f>
        <v>2.0012571428571424</v>
      </c>
      <c r="AB410" s="52">
        <f>V410*W410</f>
        <v>0</v>
      </c>
      <c r="AC410" s="53">
        <f>(R410+V410)*W410</f>
        <v>18.6784</v>
      </c>
      <c r="AD410" s="138">
        <v>44.9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107</v>
      </c>
      <c r="F411" s="96" t="s">
        <v>106</v>
      </c>
      <c r="G411" s="97">
        <v>46132</v>
      </c>
      <c r="H411" s="98">
        <v>0.33113425925925927</v>
      </c>
      <c r="I411" s="50">
        <v>166004533</v>
      </c>
      <c r="J411" s="96" t="s">
        <v>157</v>
      </c>
      <c r="K411" s="49" t="s">
        <v>293</v>
      </c>
      <c r="L411" s="39" t="s">
        <v>294</v>
      </c>
      <c r="M411" s="49" t="s">
        <v>295</v>
      </c>
      <c r="N411" s="39" t="s">
        <v>296</v>
      </c>
      <c r="O411" s="96" t="s">
        <v>297</v>
      </c>
      <c r="P411" s="49" t="s">
        <v>157</v>
      </c>
      <c r="Q411" s="96" t="s">
        <v>104</v>
      </c>
      <c r="R411" s="52">
        <v>2.9</v>
      </c>
      <c r="S411" s="52">
        <f>R411-T411</f>
        <v>2.5892857142857144</v>
      </c>
      <c r="T411" s="52">
        <f>R411*U411/(U411+100)</f>
        <v>0.31071428571428567</v>
      </c>
      <c r="U411" s="50">
        <v>12</v>
      </c>
      <c r="V411" s="53">
        <v>0</v>
      </c>
      <c r="W411" s="147">
        <v>2</v>
      </c>
      <c r="X411" s="148" t="s">
        <v>163</v>
      </c>
      <c r="Y411" s="54">
        <f>R411*W411</f>
        <v>5.8</v>
      </c>
      <c r="Z411" s="52">
        <f>S411*W411</f>
        <v>5.178571428571429</v>
      </c>
      <c r="AA411" s="52">
        <f>T411*W411</f>
        <v>0.6214285714285713</v>
      </c>
      <c r="AB411" s="52">
        <f>V411*W411</f>
        <v>0</v>
      </c>
      <c r="AC411" s="53">
        <f>(R411+V411)*W411</f>
        <v>5.8</v>
      </c>
      <c r="AD411" s="138">
        <v>2.9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107</v>
      </c>
      <c r="F412" s="96" t="s">
        <v>106</v>
      </c>
      <c r="G412" s="97">
        <v>46132</v>
      </c>
      <c r="H412" s="98">
        <v>0.33251157407407406</v>
      </c>
      <c r="I412" s="50">
        <v>166004534</v>
      </c>
      <c r="J412" s="96" t="s">
        <v>157</v>
      </c>
      <c r="K412" s="49" t="s">
        <v>188</v>
      </c>
      <c r="L412" s="39" t="s">
        <v>189</v>
      </c>
      <c r="M412" s="49" t="s">
        <v>190</v>
      </c>
      <c r="N412" s="39" t="s">
        <v>191</v>
      </c>
      <c r="O412" s="96" t="s">
        <v>192</v>
      </c>
      <c r="P412" s="49" t="s">
        <v>157</v>
      </c>
      <c r="Q412" s="96" t="s">
        <v>104</v>
      </c>
      <c r="R412" s="52">
        <v>33.9</v>
      </c>
      <c r="S412" s="52">
        <f>R412-T412</f>
        <v>30.267857142857142</v>
      </c>
      <c r="T412" s="52">
        <f>R412*U412/(U412+100)</f>
        <v>3.6321428571428567</v>
      </c>
      <c r="U412" s="50">
        <v>12</v>
      </c>
      <c r="V412" s="53">
        <v>0</v>
      </c>
      <c r="W412" s="147">
        <v>0.254</v>
      </c>
      <c r="X412" s="148" t="s">
        <v>193</v>
      </c>
      <c r="Y412" s="54">
        <f>R412*W412</f>
        <v>8.6106</v>
      </c>
      <c r="Z412" s="52">
        <f>S412*W412</f>
        <v>7.688035714285714</v>
      </c>
      <c r="AA412" s="52">
        <f>T412*W412</f>
        <v>0.9225642857142856</v>
      </c>
      <c r="AB412" s="52">
        <f>V412*W412</f>
        <v>0</v>
      </c>
      <c r="AC412" s="53">
        <f>(R412+V412)*W412</f>
        <v>8.6106</v>
      </c>
      <c r="AD412" s="138">
        <v>33.9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107</v>
      </c>
      <c r="F413" s="96" t="s">
        <v>106</v>
      </c>
      <c r="G413" s="97">
        <v>46132</v>
      </c>
      <c r="H413" s="98">
        <v>0.33251157407407406</v>
      </c>
      <c r="I413" s="50">
        <v>166004534</v>
      </c>
      <c r="J413" s="96" t="s">
        <v>157</v>
      </c>
      <c r="K413" s="49" t="s">
        <v>1133</v>
      </c>
      <c r="L413" s="39" t="s">
        <v>1134</v>
      </c>
      <c r="M413" s="49" t="s">
        <v>649</v>
      </c>
      <c r="N413" s="39" t="s">
        <v>440</v>
      </c>
      <c r="O413" s="96" t="s">
        <v>1135</v>
      </c>
      <c r="P413" s="49" t="s">
        <v>157</v>
      </c>
      <c r="Q413" s="96" t="s">
        <v>104</v>
      </c>
      <c r="R413" s="52">
        <v>179.9</v>
      </c>
      <c r="S413" s="52">
        <f>R413-T413</f>
        <v>160.625</v>
      </c>
      <c r="T413" s="52">
        <f>R413*U413/(U413+100)</f>
        <v>19.275000000000002</v>
      </c>
      <c r="U413" s="50">
        <v>12</v>
      </c>
      <c r="V413" s="53">
        <v>0</v>
      </c>
      <c r="W413" s="147">
        <v>0.15</v>
      </c>
      <c r="X413" s="148" t="s">
        <v>193</v>
      </c>
      <c r="Y413" s="54">
        <f>R413*W413</f>
        <v>26.985</v>
      </c>
      <c r="Z413" s="52">
        <f>S413*W413</f>
        <v>24.09375</v>
      </c>
      <c r="AA413" s="52">
        <f>T413*W413</f>
        <v>2.8912500000000003</v>
      </c>
      <c r="AB413" s="52">
        <f>V413*W413</f>
        <v>0</v>
      </c>
      <c r="AC413" s="53">
        <f>(R413+V413)*W413</f>
        <v>26.985</v>
      </c>
      <c r="AD413" s="138">
        <v>179.9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107</v>
      </c>
      <c r="F414" s="96" t="s">
        <v>106</v>
      </c>
      <c r="G414" s="97">
        <v>46132</v>
      </c>
      <c r="H414" s="98">
        <v>0.33337962962962964</v>
      </c>
      <c r="I414" s="50">
        <v>166004535</v>
      </c>
      <c r="J414" s="96" t="s">
        <v>157</v>
      </c>
      <c r="K414" s="49" t="s">
        <v>1227</v>
      </c>
      <c r="L414" s="39" t="s">
        <v>1228</v>
      </c>
      <c r="M414" s="49" t="s">
        <v>1229</v>
      </c>
      <c r="N414" s="39" t="s">
        <v>1230</v>
      </c>
      <c r="O414" s="96" t="s">
        <v>1231</v>
      </c>
      <c r="P414" s="49" t="s">
        <v>157</v>
      </c>
      <c r="Q414" s="96" t="s">
        <v>104</v>
      </c>
      <c r="R414" s="52">
        <v>29.9</v>
      </c>
      <c r="S414" s="52">
        <f>R414-T414</f>
        <v>26.69642857142857</v>
      </c>
      <c r="T414" s="52">
        <f>R414*U414/(U414+100)</f>
        <v>3.2035714285714283</v>
      </c>
      <c r="U414" s="50">
        <v>12</v>
      </c>
      <c r="V414" s="53">
        <v>0</v>
      </c>
      <c r="W414" s="147">
        <v>1</v>
      </c>
      <c r="X414" s="148" t="s">
        <v>163</v>
      </c>
      <c r="Y414" s="54">
        <f>R414*W414</f>
        <v>29.9</v>
      </c>
      <c r="Z414" s="52">
        <f>S414*W414</f>
        <v>26.69642857142857</v>
      </c>
      <c r="AA414" s="52">
        <f>T414*W414</f>
        <v>3.2035714285714283</v>
      </c>
      <c r="AB414" s="52">
        <f>V414*W414</f>
        <v>0</v>
      </c>
      <c r="AC414" s="53">
        <f>(R414+V414)*W414</f>
        <v>29.9</v>
      </c>
      <c r="AD414" s="138">
        <v>29.9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107</v>
      </c>
      <c r="F415" s="96" t="s">
        <v>106</v>
      </c>
      <c r="G415" s="97">
        <v>46132</v>
      </c>
      <c r="H415" s="98">
        <v>0.33337962962962964</v>
      </c>
      <c r="I415" s="50">
        <v>166004535</v>
      </c>
      <c r="J415" s="96" t="s">
        <v>157</v>
      </c>
      <c r="K415" s="49" t="s">
        <v>961</v>
      </c>
      <c r="L415" s="39" t="s">
        <v>962</v>
      </c>
      <c r="M415" s="49" t="s">
        <v>678</v>
      </c>
      <c r="N415" s="39" t="s">
        <v>874</v>
      </c>
      <c r="O415" s="96" t="s">
        <v>963</v>
      </c>
      <c r="P415" s="49" t="s">
        <v>157</v>
      </c>
      <c r="Q415" s="96" t="s">
        <v>104</v>
      </c>
      <c r="R415" s="52">
        <v>49.9</v>
      </c>
      <c r="S415" s="52">
        <f>R415-T415</f>
        <v>44.55357142857143</v>
      </c>
      <c r="T415" s="52">
        <f>R415*U415/(U415+100)</f>
        <v>5.346428571428571</v>
      </c>
      <c r="U415" s="50">
        <v>12</v>
      </c>
      <c r="V415" s="53">
        <v>0</v>
      </c>
      <c r="W415" s="147">
        <v>1</v>
      </c>
      <c r="X415" s="148" t="s">
        <v>163</v>
      </c>
      <c r="Y415" s="54">
        <f>R415*W415</f>
        <v>49.9</v>
      </c>
      <c r="Z415" s="52">
        <f>S415*W415</f>
        <v>44.55357142857143</v>
      </c>
      <c r="AA415" s="52">
        <f>T415*W415</f>
        <v>5.346428571428571</v>
      </c>
      <c r="AB415" s="52">
        <f>V415*W415</f>
        <v>0</v>
      </c>
      <c r="AC415" s="53">
        <f>(R415+V415)*W415</f>
        <v>49.9</v>
      </c>
      <c r="AD415" s="138">
        <v>49.9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107</v>
      </c>
      <c r="F416" s="96" t="s">
        <v>106</v>
      </c>
      <c r="G416" s="97">
        <v>46132</v>
      </c>
      <c r="H416" s="98">
        <v>0.33337962962962964</v>
      </c>
      <c r="I416" s="50">
        <v>166004535</v>
      </c>
      <c r="J416" s="96" t="s">
        <v>157</v>
      </c>
      <c r="K416" s="49" t="s">
        <v>1232</v>
      </c>
      <c r="L416" s="39" t="s">
        <v>1233</v>
      </c>
      <c r="M416" s="49" t="s">
        <v>466</v>
      </c>
      <c r="N416" s="39" t="s">
        <v>291</v>
      </c>
      <c r="O416" s="96" t="s">
        <v>1234</v>
      </c>
      <c r="P416" s="49" t="s">
        <v>235</v>
      </c>
      <c r="Q416" s="96" t="s">
        <v>236</v>
      </c>
      <c r="R416" s="52">
        <v>26.9</v>
      </c>
      <c r="S416" s="52">
        <f>R416-T416</f>
        <v>24.017857142857142</v>
      </c>
      <c r="T416" s="52">
        <f>R416*U416/(U416+100)</f>
        <v>2.8821428571428567</v>
      </c>
      <c r="U416" s="50">
        <v>12</v>
      </c>
      <c r="V416" s="53">
        <v>0</v>
      </c>
      <c r="W416" s="147">
        <v>1</v>
      </c>
      <c r="X416" s="148" t="s">
        <v>163</v>
      </c>
      <c r="Y416" s="54">
        <f>R416*W416</f>
        <v>26.9</v>
      </c>
      <c r="Z416" s="52">
        <f>S416*W416</f>
        <v>24.017857142857142</v>
      </c>
      <c r="AA416" s="52">
        <f>T416*W416</f>
        <v>2.8821428571428567</v>
      </c>
      <c r="AB416" s="52">
        <f>V416*W416</f>
        <v>0</v>
      </c>
      <c r="AC416" s="53">
        <f>(R416+V416)*W416</f>
        <v>26.9</v>
      </c>
      <c r="AD416" s="138">
        <v>26.9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107</v>
      </c>
      <c r="F417" s="96" t="s">
        <v>106</v>
      </c>
      <c r="G417" s="97">
        <v>46132</v>
      </c>
      <c r="H417" s="98">
        <v>0.33337962962962964</v>
      </c>
      <c r="I417" s="50">
        <v>166004535</v>
      </c>
      <c r="J417" s="96" t="s">
        <v>157</v>
      </c>
      <c r="K417" s="49" t="s">
        <v>1232</v>
      </c>
      <c r="L417" s="39" t="s">
        <v>1233</v>
      </c>
      <c r="M417" s="49" t="s">
        <v>466</v>
      </c>
      <c r="N417" s="39" t="s">
        <v>291</v>
      </c>
      <c r="O417" s="96" t="s">
        <v>1234</v>
      </c>
      <c r="P417" s="49" t="s">
        <v>235</v>
      </c>
      <c r="Q417" s="96" t="s">
        <v>236</v>
      </c>
      <c r="R417" s="52">
        <v>26.9</v>
      </c>
      <c r="S417" s="52">
        <f>R417-T417</f>
        <v>24.017857142857142</v>
      </c>
      <c r="T417" s="52">
        <f>R417*U417/(U417+100)</f>
        <v>2.8821428571428567</v>
      </c>
      <c r="U417" s="50">
        <v>12</v>
      </c>
      <c r="V417" s="53">
        <v>0</v>
      </c>
      <c r="W417" s="147">
        <v>1</v>
      </c>
      <c r="X417" s="148" t="s">
        <v>163</v>
      </c>
      <c r="Y417" s="54">
        <f>R417*W417</f>
        <v>26.9</v>
      </c>
      <c r="Z417" s="52">
        <f>S417*W417</f>
        <v>24.017857142857142</v>
      </c>
      <c r="AA417" s="52">
        <f>T417*W417</f>
        <v>2.8821428571428567</v>
      </c>
      <c r="AB417" s="52">
        <f>V417*W417</f>
        <v>0</v>
      </c>
      <c r="AC417" s="53">
        <f>(R417+V417)*W417</f>
        <v>26.9</v>
      </c>
      <c r="AD417" s="138">
        <v>26.9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107</v>
      </c>
      <c r="F418" s="96" t="s">
        <v>106</v>
      </c>
      <c r="G418" s="97">
        <v>46132</v>
      </c>
      <c r="H418" s="98">
        <v>0.33337962962962964</v>
      </c>
      <c r="I418" s="50">
        <v>166004535</v>
      </c>
      <c r="J418" s="96" t="s">
        <v>157</v>
      </c>
      <c r="K418" s="49" t="s">
        <v>758</v>
      </c>
      <c r="L418" s="39" t="s">
        <v>759</v>
      </c>
      <c r="M418" s="49" t="s">
        <v>201</v>
      </c>
      <c r="N418" s="39" t="s">
        <v>202</v>
      </c>
      <c r="O418" s="96" t="s">
        <v>1235</v>
      </c>
      <c r="P418" s="49" t="s">
        <v>235</v>
      </c>
      <c r="Q418" s="96" t="s">
        <v>236</v>
      </c>
      <c r="R418" s="52">
        <v>19.9</v>
      </c>
      <c r="S418" s="52">
        <f>R418-T418</f>
        <v>17.767857142857142</v>
      </c>
      <c r="T418" s="52">
        <f>R418*U418/(U418+100)</f>
        <v>2.132142857142857</v>
      </c>
      <c r="U418" s="50">
        <v>12</v>
      </c>
      <c r="V418" s="53">
        <v>0</v>
      </c>
      <c r="W418" s="147">
        <v>1</v>
      </c>
      <c r="X418" s="148" t="s">
        <v>163</v>
      </c>
      <c r="Y418" s="54">
        <f>R418*W418</f>
        <v>19.9</v>
      </c>
      <c r="Z418" s="52">
        <f>S418*W418</f>
        <v>17.767857142857142</v>
      </c>
      <c r="AA418" s="52">
        <f>T418*W418</f>
        <v>2.132142857142857</v>
      </c>
      <c r="AB418" s="52">
        <f>V418*W418</f>
        <v>0</v>
      </c>
      <c r="AC418" s="53">
        <f>(R418+V418)*W418</f>
        <v>19.9</v>
      </c>
      <c r="AD418" s="138">
        <v>19.9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107</v>
      </c>
      <c r="F419" s="96" t="s">
        <v>106</v>
      </c>
      <c r="G419" s="97">
        <v>46132</v>
      </c>
      <c r="H419" s="98">
        <v>0.33337962962962964</v>
      </c>
      <c r="I419" s="50">
        <v>166004535</v>
      </c>
      <c r="J419" s="96" t="s">
        <v>157</v>
      </c>
      <c r="K419" s="49" t="s">
        <v>758</v>
      </c>
      <c r="L419" s="39" t="s">
        <v>759</v>
      </c>
      <c r="M419" s="49" t="s">
        <v>201</v>
      </c>
      <c r="N419" s="39" t="s">
        <v>202</v>
      </c>
      <c r="O419" s="96" t="s">
        <v>1235</v>
      </c>
      <c r="P419" s="49" t="s">
        <v>235</v>
      </c>
      <c r="Q419" s="96" t="s">
        <v>236</v>
      </c>
      <c r="R419" s="52">
        <v>19.9</v>
      </c>
      <c r="S419" s="52">
        <f>R419-T419</f>
        <v>17.767857142857142</v>
      </c>
      <c r="T419" s="52">
        <f>R419*U419/(U419+100)</f>
        <v>2.132142857142857</v>
      </c>
      <c r="U419" s="50">
        <v>12</v>
      </c>
      <c r="V419" s="53">
        <v>0</v>
      </c>
      <c r="W419" s="147">
        <v>1</v>
      </c>
      <c r="X419" s="148" t="s">
        <v>163</v>
      </c>
      <c r="Y419" s="54">
        <f>R419*W419</f>
        <v>19.9</v>
      </c>
      <c r="Z419" s="52">
        <f>S419*W419</f>
        <v>17.767857142857142</v>
      </c>
      <c r="AA419" s="52">
        <f>T419*W419</f>
        <v>2.132142857142857</v>
      </c>
      <c r="AB419" s="52">
        <f>V419*W419</f>
        <v>0</v>
      </c>
      <c r="AC419" s="53">
        <f>(R419+V419)*W419</f>
        <v>19.9</v>
      </c>
      <c r="AD419" s="138">
        <v>19.9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107</v>
      </c>
      <c r="F420" s="96" t="s">
        <v>106</v>
      </c>
      <c r="G420" s="97">
        <v>46132</v>
      </c>
      <c r="H420" s="98">
        <v>0.33337962962962964</v>
      </c>
      <c r="I420" s="50">
        <v>166004535</v>
      </c>
      <c r="J420" s="96" t="s">
        <v>157</v>
      </c>
      <c r="K420" s="49" t="s">
        <v>1236</v>
      </c>
      <c r="L420" s="39" t="s">
        <v>1237</v>
      </c>
      <c r="M420" s="49" t="s">
        <v>201</v>
      </c>
      <c r="N420" s="39" t="s">
        <v>609</v>
      </c>
      <c r="O420" s="96" t="s">
        <v>1238</v>
      </c>
      <c r="P420" s="49" t="s">
        <v>157</v>
      </c>
      <c r="Q420" s="96" t="s">
        <v>104</v>
      </c>
      <c r="R420" s="52">
        <v>13.9</v>
      </c>
      <c r="S420" s="52">
        <f>R420-T420</f>
        <v>12.410714285714286</v>
      </c>
      <c r="T420" s="52">
        <f>R420*U420/(U420+100)</f>
        <v>1.4892857142857143</v>
      </c>
      <c r="U420" s="50">
        <v>12</v>
      </c>
      <c r="V420" s="53">
        <v>0</v>
      </c>
      <c r="W420" s="147">
        <v>1</v>
      </c>
      <c r="X420" s="148" t="s">
        <v>163</v>
      </c>
      <c r="Y420" s="54">
        <f>R420*W420</f>
        <v>13.9</v>
      </c>
      <c r="Z420" s="52">
        <f>S420*W420</f>
        <v>12.410714285714286</v>
      </c>
      <c r="AA420" s="52">
        <f>T420*W420</f>
        <v>1.4892857142857143</v>
      </c>
      <c r="AB420" s="52">
        <f>V420*W420</f>
        <v>0</v>
      </c>
      <c r="AC420" s="53">
        <f>(R420+V420)*W420</f>
        <v>13.9</v>
      </c>
      <c r="AD420" s="138">
        <v>13.9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107</v>
      </c>
      <c r="F421" s="96" t="s">
        <v>106</v>
      </c>
      <c r="G421" s="97">
        <v>46132</v>
      </c>
      <c r="H421" s="98">
        <v>0.33337962962962964</v>
      </c>
      <c r="I421" s="50">
        <v>166004535</v>
      </c>
      <c r="J421" s="96" t="s">
        <v>157</v>
      </c>
      <c r="K421" s="49" t="s">
        <v>1236</v>
      </c>
      <c r="L421" s="39" t="s">
        <v>1237</v>
      </c>
      <c r="M421" s="49" t="s">
        <v>201</v>
      </c>
      <c r="N421" s="39" t="s">
        <v>609</v>
      </c>
      <c r="O421" s="96" t="s">
        <v>1238</v>
      </c>
      <c r="P421" s="49" t="s">
        <v>157</v>
      </c>
      <c r="Q421" s="96" t="s">
        <v>104</v>
      </c>
      <c r="R421" s="52">
        <v>13.9</v>
      </c>
      <c r="S421" s="52">
        <f>R421-T421</f>
        <v>12.410714285714286</v>
      </c>
      <c r="T421" s="52">
        <f>R421*U421/(U421+100)</f>
        <v>1.4892857142857143</v>
      </c>
      <c r="U421" s="50">
        <v>12</v>
      </c>
      <c r="V421" s="53">
        <v>0</v>
      </c>
      <c r="W421" s="147">
        <v>1</v>
      </c>
      <c r="X421" s="148" t="s">
        <v>163</v>
      </c>
      <c r="Y421" s="54">
        <f>R421*W421</f>
        <v>13.9</v>
      </c>
      <c r="Z421" s="52">
        <f>S421*W421</f>
        <v>12.410714285714286</v>
      </c>
      <c r="AA421" s="52">
        <f>T421*W421</f>
        <v>1.4892857142857143</v>
      </c>
      <c r="AB421" s="52">
        <f>V421*W421</f>
        <v>0</v>
      </c>
      <c r="AC421" s="53">
        <f>(R421+V421)*W421</f>
        <v>13.9</v>
      </c>
      <c r="AD421" s="138">
        <v>13.9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107</v>
      </c>
      <c r="F422" s="96" t="s">
        <v>106</v>
      </c>
      <c r="G422" s="97">
        <v>46132</v>
      </c>
      <c r="H422" s="98">
        <v>0.33337962962962964</v>
      </c>
      <c r="I422" s="50">
        <v>166004535</v>
      </c>
      <c r="J422" s="96" t="s">
        <v>157</v>
      </c>
      <c r="K422" s="49" t="s">
        <v>393</v>
      </c>
      <c r="L422" s="39" t="s">
        <v>394</v>
      </c>
      <c r="M422" s="49" t="s">
        <v>395</v>
      </c>
      <c r="N422" s="39" t="s">
        <v>167</v>
      </c>
      <c r="O422" s="96" t="s">
        <v>1239</v>
      </c>
      <c r="P422" s="49" t="s">
        <v>157</v>
      </c>
      <c r="Q422" s="96" t="s">
        <v>104</v>
      </c>
      <c r="R422" s="52">
        <v>41.9</v>
      </c>
      <c r="S422" s="52">
        <f>R422-T422</f>
        <v>34.62809917355372</v>
      </c>
      <c r="T422" s="52">
        <f>R422*U422/(U422+100)</f>
        <v>7.271900826446281</v>
      </c>
      <c r="U422" s="50">
        <v>21</v>
      </c>
      <c r="V422" s="53">
        <v>0</v>
      </c>
      <c r="W422" s="147">
        <v>1</v>
      </c>
      <c r="X422" s="148" t="s">
        <v>163</v>
      </c>
      <c r="Y422" s="54">
        <f>R422*W422</f>
        <v>41.9</v>
      </c>
      <c r="Z422" s="52">
        <f>S422*W422</f>
        <v>34.62809917355372</v>
      </c>
      <c r="AA422" s="52">
        <f>T422*W422</f>
        <v>7.271900826446281</v>
      </c>
      <c r="AB422" s="52">
        <f>V422*W422</f>
        <v>0</v>
      </c>
      <c r="AC422" s="53">
        <f>(R422+V422)*W422</f>
        <v>41.9</v>
      </c>
      <c r="AD422" s="138">
        <v>41.9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107</v>
      </c>
      <c r="F423" s="96" t="s">
        <v>106</v>
      </c>
      <c r="G423" s="97">
        <v>46132</v>
      </c>
      <c r="H423" s="98">
        <v>0.33337962962962964</v>
      </c>
      <c r="I423" s="50">
        <v>166004535</v>
      </c>
      <c r="J423" s="96" t="s">
        <v>157</v>
      </c>
      <c r="K423" s="49" t="s">
        <v>1240</v>
      </c>
      <c r="L423" s="39" t="s">
        <v>1241</v>
      </c>
      <c r="M423" s="49" t="s">
        <v>185</v>
      </c>
      <c r="N423" s="39" t="s">
        <v>1242</v>
      </c>
      <c r="O423" s="96" t="s">
        <v>1243</v>
      </c>
      <c r="P423" s="49" t="s">
        <v>157</v>
      </c>
      <c r="Q423" s="96" t="s">
        <v>104</v>
      </c>
      <c r="R423" s="52">
        <v>29.9</v>
      </c>
      <c r="S423" s="52">
        <f>R423-T423</f>
        <v>24.710743801652892</v>
      </c>
      <c r="T423" s="52">
        <f>R423*U423/(U423+100)</f>
        <v>5.189256198347107</v>
      </c>
      <c r="U423" s="50">
        <v>21</v>
      </c>
      <c r="V423" s="53">
        <v>0</v>
      </c>
      <c r="W423" s="147">
        <v>1</v>
      </c>
      <c r="X423" s="148" t="s">
        <v>163</v>
      </c>
      <c r="Y423" s="54">
        <f>R423*W423</f>
        <v>29.9</v>
      </c>
      <c r="Z423" s="52">
        <f>S423*W423</f>
        <v>24.710743801652892</v>
      </c>
      <c r="AA423" s="52">
        <f>T423*W423</f>
        <v>5.189256198347107</v>
      </c>
      <c r="AB423" s="52">
        <f>V423*W423</f>
        <v>0</v>
      </c>
      <c r="AC423" s="53">
        <f>(R423+V423)*W423</f>
        <v>29.9</v>
      </c>
      <c r="AD423" s="138">
        <v>29.9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107</v>
      </c>
      <c r="F424" s="96" t="s">
        <v>106</v>
      </c>
      <c r="G424" s="97">
        <v>46132</v>
      </c>
      <c r="H424" s="98">
        <v>0.33337962962962964</v>
      </c>
      <c r="I424" s="50">
        <v>166004535</v>
      </c>
      <c r="J424" s="96" t="s">
        <v>157</v>
      </c>
      <c r="K424" s="49" t="s">
        <v>303</v>
      </c>
      <c r="L424" s="39" t="s">
        <v>304</v>
      </c>
      <c r="M424" s="49" t="s">
        <v>214</v>
      </c>
      <c r="N424" s="39" t="s">
        <v>296</v>
      </c>
      <c r="O424" s="96" t="s">
        <v>305</v>
      </c>
      <c r="P424" s="49" t="s">
        <v>157</v>
      </c>
      <c r="Q424" s="96" t="s">
        <v>104</v>
      </c>
      <c r="R424" s="52">
        <v>11.9</v>
      </c>
      <c r="S424" s="52">
        <f>R424-T424</f>
        <v>10.625</v>
      </c>
      <c r="T424" s="52">
        <f>R424*U424/(U424+100)</f>
        <v>1.2750000000000001</v>
      </c>
      <c r="U424" s="50">
        <v>12</v>
      </c>
      <c r="V424" s="53">
        <v>0</v>
      </c>
      <c r="W424" s="147">
        <v>4</v>
      </c>
      <c r="X424" s="148" t="s">
        <v>163</v>
      </c>
      <c r="Y424" s="54">
        <f>R424*W424</f>
        <v>47.6</v>
      </c>
      <c r="Z424" s="52">
        <f>S424*W424</f>
        <v>42.5</v>
      </c>
      <c r="AA424" s="52">
        <f>T424*W424</f>
        <v>5.1000000000000005</v>
      </c>
      <c r="AB424" s="52">
        <f>V424*W424</f>
        <v>0</v>
      </c>
      <c r="AC424" s="53">
        <f>(R424+V424)*W424</f>
        <v>47.6</v>
      </c>
      <c r="AD424" s="138">
        <v>11.9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107</v>
      </c>
      <c r="F425" s="96" t="s">
        <v>106</v>
      </c>
      <c r="G425" s="97">
        <v>46132</v>
      </c>
      <c r="H425" s="98">
        <v>0.33337962962962964</v>
      </c>
      <c r="I425" s="50">
        <v>166004535</v>
      </c>
      <c r="J425" s="96" t="s">
        <v>157</v>
      </c>
      <c r="K425" s="49" t="s">
        <v>845</v>
      </c>
      <c r="L425" s="39" t="s">
        <v>846</v>
      </c>
      <c r="M425" s="49" t="s">
        <v>522</v>
      </c>
      <c r="N425" s="39" t="s">
        <v>688</v>
      </c>
      <c r="O425" s="96" t="s">
        <v>1244</v>
      </c>
      <c r="P425" s="49" t="s">
        <v>157</v>
      </c>
      <c r="Q425" s="96" t="s">
        <v>104</v>
      </c>
      <c r="R425" s="52">
        <v>219.9</v>
      </c>
      <c r="S425" s="52">
        <f>R425-T425</f>
        <v>196.33928571428572</v>
      </c>
      <c r="T425" s="52">
        <f>R425*U425/(U425+100)</f>
        <v>23.560714285714287</v>
      </c>
      <c r="U425" s="50">
        <v>12</v>
      </c>
      <c r="V425" s="53">
        <v>0</v>
      </c>
      <c r="W425" s="147">
        <v>0.158</v>
      </c>
      <c r="X425" s="148" t="s">
        <v>193</v>
      </c>
      <c r="Y425" s="54">
        <f>R425*W425</f>
        <v>34.7442</v>
      </c>
      <c r="Z425" s="52">
        <f>S425*W425</f>
        <v>31.021607142857146</v>
      </c>
      <c r="AA425" s="52">
        <f>T425*W425</f>
        <v>3.7225928571428573</v>
      </c>
      <c r="AB425" s="52">
        <f>V425*W425</f>
        <v>0</v>
      </c>
      <c r="AC425" s="53">
        <f>(R425+V425)*W425</f>
        <v>34.7442</v>
      </c>
      <c r="AD425" s="138">
        <v>219.9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107</v>
      </c>
      <c r="F426" s="96" t="s">
        <v>106</v>
      </c>
      <c r="G426" s="97">
        <v>46132</v>
      </c>
      <c r="H426" s="98">
        <v>0.33337962962962964</v>
      </c>
      <c r="I426" s="50">
        <v>166004535</v>
      </c>
      <c r="J426" s="96" t="s">
        <v>157</v>
      </c>
      <c r="K426" s="49" t="s">
        <v>1245</v>
      </c>
      <c r="L426" s="39" t="s">
        <v>1246</v>
      </c>
      <c r="M426" s="49" t="s">
        <v>522</v>
      </c>
      <c r="N426" s="39" t="s">
        <v>1247</v>
      </c>
      <c r="O426" s="96" t="s">
        <v>1248</v>
      </c>
      <c r="P426" s="49" t="s">
        <v>157</v>
      </c>
      <c r="Q426" s="96" t="s">
        <v>104</v>
      </c>
      <c r="R426" s="52">
        <v>189.9</v>
      </c>
      <c r="S426" s="52">
        <f>R426-T426</f>
        <v>169.55357142857144</v>
      </c>
      <c r="T426" s="52">
        <f>R426*U426/(U426+100)</f>
        <v>20.34642857142857</v>
      </c>
      <c r="U426" s="50">
        <v>12</v>
      </c>
      <c r="V426" s="53">
        <v>0</v>
      </c>
      <c r="W426" s="147">
        <v>0.152</v>
      </c>
      <c r="X426" s="148" t="s">
        <v>193</v>
      </c>
      <c r="Y426" s="54">
        <f>R426*W426</f>
        <v>28.8648</v>
      </c>
      <c r="Z426" s="52">
        <f>S426*W426</f>
        <v>25.77214285714286</v>
      </c>
      <c r="AA426" s="52">
        <f>T426*W426</f>
        <v>3.092657142857143</v>
      </c>
      <c r="AB426" s="52">
        <f>V426*W426</f>
        <v>0</v>
      </c>
      <c r="AC426" s="53">
        <f>(R426+V426)*W426</f>
        <v>28.8648</v>
      </c>
      <c r="AD426" s="138">
        <v>189.9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107</v>
      </c>
      <c r="F427" s="96" t="s">
        <v>106</v>
      </c>
      <c r="G427" s="97">
        <v>46132</v>
      </c>
      <c r="H427" s="98">
        <v>0.33337962962962964</v>
      </c>
      <c r="I427" s="50">
        <v>166004535</v>
      </c>
      <c r="J427" s="96" t="s">
        <v>157</v>
      </c>
      <c r="K427" s="49" t="s">
        <v>293</v>
      </c>
      <c r="L427" s="39" t="s">
        <v>294</v>
      </c>
      <c r="M427" s="49" t="s">
        <v>295</v>
      </c>
      <c r="N427" s="39" t="s">
        <v>296</v>
      </c>
      <c r="O427" s="96" t="s">
        <v>297</v>
      </c>
      <c r="P427" s="49" t="s">
        <v>157</v>
      </c>
      <c r="Q427" s="96" t="s">
        <v>104</v>
      </c>
      <c r="R427" s="52">
        <v>2.9</v>
      </c>
      <c r="S427" s="52">
        <f>R427-T427</f>
        <v>2.5892857142857144</v>
      </c>
      <c r="T427" s="52">
        <f>R427*U427/(U427+100)</f>
        <v>0.31071428571428567</v>
      </c>
      <c r="U427" s="50">
        <v>12</v>
      </c>
      <c r="V427" s="53">
        <v>0</v>
      </c>
      <c r="W427" s="147">
        <v>3</v>
      </c>
      <c r="X427" s="148" t="s">
        <v>163</v>
      </c>
      <c r="Y427" s="54">
        <f>R427*W427</f>
        <v>8.7</v>
      </c>
      <c r="Z427" s="52">
        <f>S427*W427</f>
        <v>7.767857142857143</v>
      </c>
      <c r="AA427" s="52">
        <f>T427*W427</f>
        <v>0.9321428571428569</v>
      </c>
      <c r="AB427" s="52">
        <f>V427*W427</f>
        <v>0</v>
      </c>
      <c r="AC427" s="53">
        <f>(R427+V427)*W427</f>
        <v>8.7</v>
      </c>
      <c r="AD427" s="138">
        <v>2.9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107</v>
      </c>
      <c r="F428" s="96" t="s">
        <v>106</v>
      </c>
      <c r="G428" s="97">
        <v>46132</v>
      </c>
      <c r="H428" s="98">
        <v>0.33413194444444444</v>
      </c>
      <c r="I428" s="50">
        <v>166004536</v>
      </c>
      <c r="J428" s="96" t="s">
        <v>157</v>
      </c>
      <c r="K428" s="49" t="s">
        <v>266</v>
      </c>
      <c r="L428" s="39" t="s">
        <v>267</v>
      </c>
      <c r="M428" s="49" t="s">
        <v>268</v>
      </c>
      <c r="N428" s="39" t="s">
        <v>269</v>
      </c>
      <c r="O428" s="96" t="s">
        <v>1249</v>
      </c>
      <c r="P428" s="49" t="s">
        <v>235</v>
      </c>
      <c r="Q428" s="96" t="s">
        <v>236</v>
      </c>
      <c r="R428" s="52">
        <v>11.9</v>
      </c>
      <c r="S428" s="52">
        <f>R428-T428</f>
        <v>10.625</v>
      </c>
      <c r="T428" s="52">
        <f>R428*U428/(U428+100)</f>
        <v>1.2750000000000001</v>
      </c>
      <c r="U428" s="50">
        <v>12</v>
      </c>
      <c r="V428" s="53">
        <v>0</v>
      </c>
      <c r="W428" s="147">
        <v>1</v>
      </c>
      <c r="X428" s="148" t="s">
        <v>163</v>
      </c>
      <c r="Y428" s="54">
        <f>R428*W428</f>
        <v>11.9</v>
      </c>
      <c r="Z428" s="52">
        <f>S428*W428</f>
        <v>10.625</v>
      </c>
      <c r="AA428" s="52">
        <f>T428*W428</f>
        <v>1.2750000000000001</v>
      </c>
      <c r="AB428" s="52">
        <f>V428*W428</f>
        <v>0</v>
      </c>
      <c r="AC428" s="53">
        <f>(R428+V428)*W428</f>
        <v>11.9</v>
      </c>
      <c r="AD428" s="138">
        <v>11.9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107</v>
      </c>
      <c r="F429" s="96" t="s">
        <v>106</v>
      </c>
      <c r="G429" s="97">
        <v>46132</v>
      </c>
      <c r="H429" s="98">
        <v>0.33413194444444444</v>
      </c>
      <c r="I429" s="50">
        <v>166004536</v>
      </c>
      <c r="J429" s="96" t="s">
        <v>157</v>
      </c>
      <c r="K429" s="49" t="s">
        <v>293</v>
      </c>
      <c r="L429" s="39" t="s">
        <v>294</v>
      </c>
      <c r="M429" s="49" t="s">
        <v>295</v>
      </c>
      <c r="N429" s="39" t="s">
        <v>296</v>
      </c>
      <c r="O429" s="96" t="s">
        <v>297</v>
      </c>
      <c r="P429" s="49" t="s">
        <v>157</v>
      </c>
      <c r="Q429" s="96" t="s">
        <v>104</v>
      </c>
      <c r="R429" s="52">
        <v>2.9</v>
      </c>
      <c r="S429" s="52">
        <f>R429-T429</f>
        <v>2.5892857142857144</v>
      </c>
      <c r="T429" s="52">
        <f>R429*U429/(U429+100)</f>
        <v>0.31071428571428567</v>
      </c>
      <c r="U429" s="50">
        <v>12</v>
      </c>
      <c r="V429" s="53">
        <v>0</v>
      </c>
      <c r="W429" s="147">
        <v>4</v>
      </c>
      <c r="X429" s="148" t="s">
        <v>163</v>
      </c>
      <c r="Y429" s="54">
        <f>R429*W429</f>
        <v>11.6</v>
      </c>
      <c r="Z429" s="52">
        <f>S429*W429</f>
        <v>10.357142857142858</v>
      </c>
      <c r="AA429" s="52">
        <f>T429*W429</f>
        <v>1.2428571428571427</v>
      </c>
      <c r="AB429" s="52">
        <f>V429*W429</f>
        <v>0</v>
      </c>
      <c r="AC429" s="53">
        <f>(R429+V429)*W429</f>
        <v>11.6</v>
      </c>
      <c r="AD429" s="138">
        <v>2.9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107</v>
      </c>
      <c r="F430" s="96" t="s">
        <v>106</v>
      </c>
      <c r="G430" s="97">
        <v>46132</v>
      </c>
      <c r="H430" s="98">
        <v>0.3349537037037037</v>
      </c>
      <c r="I430" s="50">
        <v>166004537</v>
      </c>
      <c r="J430" s="96" t="s">
        <v>157</v>
      </c>
      <c r="K430" s="49" t="s">
        <v>1250</v>
      </c>
      <c r="L430" s="39" t="s">
        <v>1251</v>
      </c>
      <c r="M430" s="49" t="s">
        <v>1252</v>
      </c>
      <c r="N430" s="39" t="s">
        <v>747</v>
      </c>
      <c r="O430" s="96" t="s">
        <v>1253</v>
      </c>
      <c r="P430" s="49" t="s">
        <v>157</v>
      </c>
      <c r="Q430" s="96" t="s">
        <v>104</v>
      </c>
      <c r="R430" s="52">
        <v>43.9</v>
      </c>
      <c r="S430" s="52">
        <f>R430-T430</f>
        <v>39.19642857142857</v>
      </c>
      <c r="T430" s="52">
        <f>R430*U430/(U430+100)</f>
        <v>4.703571428571428</v>
      </c>
      <c r="U430" s="50">
        <v>12</v>
      </c>
      <c r="V430" s="53">
        <v>0</v>
      </c>
      <c r="W430" s="147">
        <v>1</v>
      </c>
      <c r="X430" s="148" t="s">
        <v>163</v>
      </c>
      <c r="Y430" s="54">
        <f>R430*W430</f>
        <v>43.9</v>
      </c>
      <c r="Z430" s="52">
        <f>S430*W430</f>
        <v>39.19642857142857</v>
      </c>
      <c r="AA430" s="52">
        <f>T430*W430</f>
        <v>4.703571428571428</v>
      </c>
      <c r="AB430" s="52">
        <f>V430*W430</f>
        <v>0</v>
      </c>
      <c r="AC430" s="53">
        <f>(R430+V430)*W430</f>
        <v>43.9</v>
      </c>
      <c r="AD430" s="138">
        <v>43.9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107</v>
      </c>
      <c r="F431" s="96" t="s">
        <v>106</v>
      </c>
      <c r="G431" s="97">
        <v>46132</v>
      </c>
      <c r="H431" s="98">
        <v>0.3349537037037037</v>
      </c>
      <c r="I431" s="50">
        <v>166004537</v>
      </c>
      <c r="J431" s="96" t="s">
        <v>157</v>
      </c>
      <c r="K431" s="49" t="s">
        <v>1250</v>
      </c>
      <c r="L431" s="39" t="s">
        <v>1251</v>
      </c>
      <c r="M431" s="49" t="s">
        <v>1252</v>
      </c>
      <c r="N431" s="39" t="s">
        <v>747</v>
      </c>
      <c r="O431" s="96" t="s">
        <v>1253</v>
      </c>
      <c r="P431" s="49" t="s">
        <v>157</v>
      </c>
      <c r="Q431" s="96" t="s">
        <v>104</v>
      </c>
      <c r="R431" s="52">
        <v>43.9</v>
      </c>
      <c r="S431" s="52">
        <f>R431-T431</f>
        <v>39.19642857142857</v>
      </c>
      <c r="T431" s="52">
        <f>R431*U431/(U431+100)</f>
        <v>4.703571428571428</v>
      </c>
      <c r="U431" s="50">
        <v>12</v>
      </c>
      <c r="V431" s="53">
        <v>0</v>
      </c>
      <c r="W431" s="147">
        <v>1</v>
      </c>
      <c r="X431" s="148" t="s">
        <v>163</v>
      </c>
      <c r="Y431" s="54">
        <f>R431*W431</f>
        <v>43.9</v>
      </c>
      <c r="Z431" s="52">
        <f>S431*W431</f>
        <v>39.19642857142857</v>
      </c>
      <c r="AA431" s="52">
        <f>T431*W431</f>
        <v>4.703571428571428</v>
      </c>
      <c r="AB431" s="52">
        <f>V431*W431</f>
        <v>0</v>
      </c>
      <c r="AC431" s="53">
        <f>(R431+V431)*W431</f>
        <v>43.9</v>
      </c>
      <c r="AD431" s="138">
        <v>43.9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107</v>
      </c>
      <c r="F432" s="96" t="s">
        <v>106</v>
      </c>
      <c r="G432" s="97">
        <v>46132</v>
      </c>
      <c r="H432" s="98">
        <v>0.3349537037037037</v>
      </c>
      <c r="I432" s="50">
        <v>166004537</v>
      </c>
      <c r="J432" s="96" t="s">
        <v>157</v>
      </c>
      <c r="K432" s="49" t="s">
        <v>1254</v>
      </c>
      <c r="L432" s="39" t="s">
        <v>1255</v>
      </c>
      <c r="M432" s="49" t="s">
        <v>185</v>
      </c>
      <c r="N432" s="39" t="s">
        <v>264</v>
      </c>
      <c r="O432" s="96" t="s">
        <v>1256</v>
      </c>
      <c r="P432" s="49" t="s">
        <v>157</v>
      </c>
      <c r="Q432" s="96" t="s">
        <v>104</v>
      </c>
      <c r="R432" s="52">
        <v>29.9</v>
      </c>
      <c r="S432" s="52">
        <f>R432-T432</f>
        <v>26.69642857142857</v>
      </c>
      <c r="T432" s="52">
        <f>R432*U432/(U432+100)</f>
        <v>3.2035714285714283</v>
      </c>
      <c r="U432" s="50">
        <v>12</v>
      </c>
      <c r="V432" s="53">
        <v>0</v>
      </c>
      <c r="W432" s="147">
        <v>1</v>
      </c>
      <c r="X432" s="148" t="s">
        <v>163</v>
      </c>
      <c r="Y432" s="54">
        <f>R432*W432</f>
        <v>29.9</v>
      </c>
      <c r="Z432" s="52">
        <f>S432*W432</f>
        <v>26.69642857142857</v>
      </c>
      <c r="AA432" s="52">
        <f>T432*W432</f>
        <v>3.2035714285714283</v>
      </c>
      <c r="AB432" s="52">
        <f>V432*W432</f>
        <v>0</v>
      </c>
      <c r="AC432" s="53">
        <f>(R432+V432)*W432</f>
        <v>29.9</v>
      </c>
      <c r="AD432" s="138">
        <v>29.9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107</v>
      </c>
      <c r="F433" s="96" t="s">
        <v>106</v>
      </c>
      <c r="G433" s="97">
        <v>46132</v>
      </c>
      <c r="H433" s="98">
        <v>0.3349537037037037</v>
      </c>
      <c r="I433" s="50">
        <v>166004537</v>
      </c>
      <c r="J433" s="96" t="s">
        <v>157</v>
      </c>
      <c r="K433" s="49" t="s">
        <v>1257</v>
      </c>
      <c r="L433" s="39" t="s">
        <v>1258</v>
      </c>
      <c r="M433" s="49" t="s">
        <v>185</v>
      </c>
      <c r="N433" s="39" t="s">
        <v>906</v>
      </c>
      <c r="O433" s="96" t="s">
        <v>1259</v>
      </c>
      <c r="P433" s="49" t="s">
        <v>157</v>
      </c>
      <c r="Q433" s="96" t="s">
        <v>104</v>
      </c>
      <c r="R433" s="52">
        <v>39.9</v>
      </c>
      <c r="S433" s="52">
        <f>R433-T433</f>
        <v>35.625</v>
      </c>
      <c r="T433" s="52">
        <f>R433*U433/(U433+100)</f>
        <v>4.2749999999999995</v>
      </c>
      <c r="U433" s="50">
        <v>12</v>
      </c>
      <c r="V433" s="53">
        <v>0</v>
      </c>
      <c r="W433" s="147">
        <v>1</v>
      </c>
      <c r="X433" s="148" t="s">
        <v>163</v>
      </c>
      <c r="Y433" s="54">
        <f>R433*W433</f>
        <v>39.9</v>
      </c>
      <c r="Z433" s="52">
        <f>S433*W433</f>
        <v>35.625</v>
      </c>
      <c r="AA433" s="52">
        <f>T433*W433</f>
        <v>4.2749999999999995</v>
      </c>
      <c r="AB433" s="52">
        <f>V433*W433</f>
        <v>0</v>
      </c>
      <c r="AC433" s="53">
        <f>(R433+V433)*W433</f>
        <v>39.9</v>
      </c>
      <c r="AD433" s="138">
        <v>39.9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107</v>
      </c>
      <c r="F434" s="96" t="s">
        <v>106</v>
      </c>
      <c r="G434" s="97">
        <v>46132</v>
      </c>
      <c r="H434" s="98">
        <v>0.3349537037037037</v>
      </c>
      <c r="I434" s="50">
        <v>166004537</v>
      </c>
      <c r="J434" s="96" t="s">
        <v>157</v>
      </c>
      <c r="K434" s="49" t="s">
        <v>967</v>
      </c>
      <c r="L434" s="39" t="s">
        <v>968</v>
      </c>
      <c r="M434" s="49" t="s">
        <v>444</v>
      </c>
      <c r="N434" s="39" t="s">
        <v>445</v>
      </c>
      <c r="O434" s="96" t="s">
        <v>981</v>
      </c>
      <c r="P434" s="49" t="s">
        <v>157</v>
      </c>
      <c r="Q434" s="96" t="s">
        <v>104</v>
      </c>
      <c r="R434" s="52">
        <v>16.9</v>
      </c>
      <c r="S434" s="52">
        <f>R434-T434</f>
        <v>15.089285714285714</v>
      </c>
      <c r="T434" s="52">
        <f>R434*U434/(U434+100)</f>
        <v>1.8107142857142855</v>
      </c>
      <c r="U434" s="50">
        <v>12</v>
      </c>
      <c r="V434" s="53">
        <v>0</v>
      </c>
      <c r="W434" s="147">
        <v>1</v>
      </c>
      <c r="X434" s="148" t="s">
        <v>163</v>
      </c>
      <c r="Y434" s="54">
        <f>R434*W434</f>
        <v>16.9</v>
      </c>
      <c r="Z434" s="52">
        <f>S434*W434</f>
        <v>15.089285714285714</v>
      </c>
      <c r="AA434" s="52">
        <f>T434*W434</f>
        <v>1.8107142857142855</v>
      </c>
      <c r="AB434" s="52">
        <f>V434*W434</f>
        <v>0</v>
      </c>
      <c r="AC434" s="53">
        <f>(R434+V434)*W434</f>
        <v>16.9</v>
      </c>
      <c r="AD434" s="138">
        <v>16.9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107</v>
      </c>
      <c r="F435" s="96" t="s">
        <v>106</v>
      </c>
      <c r="G435" s="97">
        <v>46132</v>
      </c>
      <c r="H435" s="98">
        <v>0.3356018518518519</v>
      </c>
      <c r="I435" s="50">
        <v>166004538</v>
      </c>
      <c r="J435" s="96" t="s">
        <v>157</v>
      </c>
      <c r="K435" s="49" t="s">
        <v>1260</v>
      </c>
      <c r="L435" s="39" t="s">
        <v>1261</v>
      </c>
      <c r="M435" s="49" t="s">
        <v>1182</v>
      </c>
      <c r="N435" s="39" t="s">
        <v>1178</v>
      </c>
      <c r="O435" s="96" t="s">
        <v>1262</v>
      </c>
      <c r="P435" s="49" t="s">
        <v>157</v>
      </c>
      <c r="Q435" s="96" t="s">
        <v>104</v>
      </c>
      <c r="R435" s="52">
        <v>49.9</v>
      </c>
      <c r="S435" s="52">
        <f>R435-T435</f>
        <v>44.55357142857143</v>
      </c>
      <c r="T435" s="52">
        <f>R435*U435/(U435+100)</f>
        <v>5.346428571428571</v>
      </c>
      <c r="U435" s="50">
        <v>12</v>
      </c>
      <c r="V435" s="53">
        <v>0</v>
      </c>
      <c r="W435" s="147">
        <v>1</v>
      </c>
      <c r="X435" s="148" t="s">
        <v>163</v>
      </c>
      <c r="Y435" s="54">
        <f>R435*W435</f>
        <v>49.9</v>
      </c>
      <c r="Z435" s="52">
        <f>S435*W435</f>
        <v>44.55357142857143</v>
      </c>
      <c r="AA435" s="52">
        <f>T435*W435</f>
        <v>5.346428571428571</v>
      </c>
      <c r="AB435" s="52">
        <f>V435*W435</f>
        <v>0</v>
      </c>
      <c r="AC435" s="53">
        <f>(R435+V435)*W435</f>
        <v>49.9</v>
      </c>
      <c r="AD435" s="138">
        <v>49.9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107</v>
      </c>
      <c r="F436" s="96" t="s">
        <v>106</v>
      </c>
      <c r="G436" s="97">
        <v>46132</v>
      </c>
      <c r="H436" s="98">
        <v>0.3356018518518519</v>
      </c>
      <c r="I436" s="50">
        <v>166004538</v>
      </c>
      <c r="J436" s="96" t="s">
        <v>157</v>
      </c>
      <c r="K436" s="49" t="s">
        <v>1263</v>
      </c>
      <c r="L436" s="39" t="s">
        <v>1264</v>
      </c>
      <c r="M436" s="49" t="s">
        <v>509</v>
      </c>
      <c r="N436" s="39" t="s">
        <v>256</v>
      </c>
      <c r="O436" s="96" t="s">
        <v>1265</v>
      </c>
      <c r="P436" s="49" t="s">
        <v>157</v>
      </c>
      <c r="Q436" s="96" t="s">
        <v>104</v>
      </c>
      <c r="R436" s="52">
        <v>16.9</v>
      </c>
      <c r="S436" s="52">
        <f>R436-T436</f>
        <v>13.96694214876033</v>
      </c>
      <c r="T436" s="52">
        <f>R436*U436/(U436+100)</f>
        <v>2.9330578512396692</v>
      </c>
      <c r="U436" s="50">
        <v>21</v>
      </c>
      <c r="V436" s="53">
        <v>0</v>
      </c>
      <c r="W436" s="147">
        <v>1</v>
      </c>
      <c r="X436" s="148" t="s">
        <v>163</v>
      </c>
      <c r="Y436" s="54">
        <f>R436*W436</f>
        <v>16.9</v>
      </c>
      <c r="Z436" s="52">
        <f>S436*W436</f>
        <v>13.96694214876033</v>
      </c>
      <c r="AA436" s="52">
        <f>T436*W436</f>
        <v>2.9330578512396692</v>
      </c>
      <c r="AB436" s="52">
        <f>V436*W436</f>
        <v>0</v>
      </c>
      <c r="AC436" s="53">
        <f>(R436+V436)*W436</f>
        <v>16.9</v>
      </c>
      <c r="AD436" s="138">
        <v>16.9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107</v>
      </c>
      <c r="F437" s="96" t="s">
        <v>106</v>
      </c>
      <c r="G437" s="97">
        <v>46132</v>
      </c>
      <c r="H437" s="98">
        <v>0.3356018518518519</v>
      </c>
      <c r="I437" s="50">
        <v>166004538</v>
      </c>
      <c r="J437" s="96" t="s">
        <v>157</v>
      </c>
      <c r="K437" s="49" t="s">
        <v>1263</v>
      </c>
      <c r="L437" s="39" t="s">
        <v>1264</v>
      </c>
      <c r="M437" s="49" t="s">
        <v>509</v>
      </c>
      <c r="N437" s="39" t="s">
        <v>256</v>
      </c>
      <c r="O437" s="96" t="s">
        <v>1265</v>
      </c>
      <c r="P437" s="49" t="s">
        <v>157</v>
      </c>
      <c r="Q437" s="96" t="s">
        <v>104</v>
      </c>
      <c r="R437" s="52">
        <v>16.9</v>
      </c>
      <c r="S437" s="52">
        <f>R437-T437</f>
        <v>13.96694214876033</v>
      </c>
      <c r="T437" s="52">
        <f>R437*U437/(U437+100)</f>
        <v>2.9330578512396692</v>
      </c>
      <c r="U437" s="50">
        <v>21</v>
      </c>
      <c r="V437" s="53">
        <v>0</v>
      </c>
      <c r="W437" s="147">
        <v>1</v>
      </c>
      <c r="X437" s="148" t="s">
        <v>163</v>
      </c>
      <c r="Y437" s="54">
        <f>R437*W437</f>
        <v>16.9</v>
      </c>
      <c r="Z437" s="52">
        <f>S437*W437</f>
        <v>13.96694214876033</v>
      </c>
      <c r="AA437" s="52">
        <f>T437*W437</f>
        <v>2.9330578512396692</v>
      </c>
      <c r="AB437" s="52">
        <f>V437*W437</f>
        <v>0</v>
      </c>
      <c r="AC437" s="53">
        <f>(R437+V437)*W437</f>
        <v>16.9</v>
      </c>
      <c r="AD437" s="138">
        <v>16.9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107</v>
      </c>
      <c r="F438" s="96" t="s">
        <v>106</v>
      </c>
      <c r="G438" s="97">
        <v>46132</v>
      </c>
      <c r="H438" s="98">
        <v>0.3380902777777778</v>
      </c>
      <c r="I438" s="50">
        <v>166004539</v>
      </c>
      <c r="J438" s="96" t="s">
        <v>157</v>
      </c>
      <c r="K438" s="49" t="s">
        <v>758</v>
      </c>
      <c r="L438" s="39" t="s">
        <v>759</v>
      </c>
      <c r="M438" s="49" t="s">
        <v>201</v>
      </c>
      <c r="N438" s="39" t="s">
        <v>202</v>
      </c>
      <c r="O438" s="96" t="s">
        <v>1235</v>
      </c>
      <c r="P438" s="49" t="s">
        <v>235</v>
      </c>
      <c r="Q438" s="96" t="s">
        <v>236</v>
      </c>
      <c r="R438" s="52">
        <v>19.9</v>
      </c>
      <c r="S438" s="52">
        <f>R438-T438</f>
        <v>17.767857142857142</v>
      </c>
      <c r="T438" s="52">
        <f>R438*U438/(U438+100)</f>
        <v>2.132142857142857</v>
      </c>
      <c r="U438" s="50">
        <v>12</v>
      </c>
      <c r="V438" s="53">
        <v>0</v>
      </c>
      <c r="W438" s="147">
        <v>1</v>
      </c>
      <c r="X438" s="148" t="s">
        <v>163</v>
      </c>
      <c r="Y438" s="54">
        <f>R438*W438</f>
        <v>19.9</v>
      </c>
      <c r="Z438" s="52">
        <f>S438*W438</f>
        <v>17.767857142857142</v>
      </c>
      <c r="AA438" s="52">
        <f>T438*W438</f>
        <v>2.132142857142857</v>
      </c>
      <c r="AB438" s="52">
        <f>V438*W438</f>
        <v>0</v>
      </c>
      <c r="AC438" s="53">
        <f>(R438+V438)*W438</f>
        <v>19.9</v>
      </c>
      <c r="AD438" s="138">
        <v>19.9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107</v>
      </c>
      <c r="F439" s="96" t="s">
        <v>106</v>
      </c>
      <c r="G439" s="97">
        <v>46132</v>
      </c>
      <c r="H439" s="98">
        <v>0.3380902777777778</v>
      </c>
      <c r="I439" s="50">
        <v>166004539</v>
      </c>
      <c r="J439" s="96" t="s">
        <v>157</v>
      </c>
      <c r="K439" s="49" t="s">
        <v>1266</v>
      </c>
      <c r="L439" s="39" t="s">
        <v>1267</v>
      </c>
      <c r="M439" s="49" t="s">
        <v>232</v>
      </c>
      <c r="N439" s="39" t="s">
        <v>167</v>
      </c>
      <c r="O439" s="96" t="s">
        <v>1268</v>
      </c>
      <c r="P439" s="49" t="s">
        <v>157</v>
      </c>
      <c r="Q439" s="96" t="s">
        <v>104</v>
      </c>
      <c r="R439" s="52">
        <v>32.9</v>
      </c>
      <c r="S439" s="52">
        <f>R439-T439</f>
        <v>27.1900826446281</v>
      </c>
      <c r="T439" s="52">
        <f>R439*U439/(U439+100)</f>
        <v>5.709917355371901</v>
      </c>
      <c r="U439" s="50">
        <v>21</v>
      </c>
      <c r="V439" s="53">
        <v>0</v>
      </c>
      <c r="W439" s="147">
        <v>1</v>
      </c>
      <c r="X439" s="148" t="s">
        <v>163</v>
      </c>
      <c r="Y439" s="54">
        <f>R439*W439</f>
        <v>32.9</v>
      </c>
      <c r="Z439" s="52">
        <f>S439*W439</f>
        <v>27.1900826446281</v>
      </c>
      <c r="AA439" s="52">
        <f>T439*W439</f>
        <v>5.709917355371901</v>
      </c>
      <c r="AB439" s="52">
        <f>V439*W439</f>
        <v>0</v>
      </c>
      <c r="AC439" s="53">
        <f>(R439+V439)*W439</f>
        <v>32.9</v>
      </c>
      <c r="AD439" s="138">
        <v>32.9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107</v>
      </c>
      <c r="F440" s="96" t="s">
        <v>106</v>
      </c>
      <c r="G440" s="97">
        <v>46132</v>
      </c>
      <c r="H440" s="98">
        <v>0.3380902777777778</v>
      </c>
      <c r="I440" s="50">
        <v>166004539</v>
      </c>
      <c r="J440" s="96" t="s">
        <v>157</v>
      </c>
      <c r="K440" s="49" t="s">
        <v>266</v>
      </c>
      <c r="L440" s="39" t="s">
        <v>267</v>
      </c>
      <c r="M440" s="49" t="s">
        <v>268</v>
      </c>
      <c r="N440" s="39" t="s">
        <v>269</v>
      </c>
      <c r="O440" s="96" t="s">
        <v>1249</v>
      </c>
      <c r="P440" s="49" t="s">
        <v>235</v>
      </c>
      <c r="Q440" s="96" t="s">
        <v>236</v>
      </c>
      <c r="R440" s="52">
        <v>11.9</v>
      </c>
      <c r="S440" s="52">
        <f>R440-T440</f>
        <v>10.625</v>
      </c>
      <c r="T440" s="52">
        <f>R440*U440/(U440+100)</f>
        <v>1.2750000000000001</v>
      </c>
      <c r="U440" s="50">
        <v>12</v>
      </c>
      <c r="V440" s="53">
        <v>0</v>
      </c>
      <c r="W440" s="147">
        <v>2</v>
      </c>
      <c r="X440" s="148" t="s">
        <v>163</v>
      </c>
      <c r="Y440" s="54">
        <f>R440*W440</f>
        <v>23.8</v>
      </c>
      <c r="Z440" s="52">
        <f>S440*W440</f>
        <v>21.25</v>
      </c>
      <c r="AA440" s="52">
        <f>T440*W440</f>
        <v>2.5500000000000003</v>
      </c>
      <c r="AB440" s="52">
        <f>V440*W440</f>
        <v>0</v>
      </c>
      <c r="AC440" s="53">
        <f>(R440+V440)*W440</f>
        <v>23.8</v>
      </c>
      <c r="AD440" s="138">
        <v>11.9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107</v>
      </c>
      <c r="F441" s="96" t="s">
        <v>106</v>
      </c>
      <c r="G441" s="97">
        <v>46132</v>
      </c>
      <c r="H441" s="98">
        <v>0.33824074074074073</v>
      </c>
      <c r="I441" s="50">
        <v>166004540</v>
      </c>
      <c r="J441" s="96" t="s">
        <v>157</v>
      </c>
      <c r="K441" s="49" t="s">
        <v>1269</v>
      </c>
      <c r="L441" s="39" t="s">
        <v>1270</v>
      </c>
      <c r="M441" s="49" t="s">
        <v>429</v>
      </c>
      <c r="N441" s="39" t="s">
        <v>404</v>
      </c>
      <c r="O441" s="96" t="s">
        <v>1271</v>
      </c>
      <c r="P441" s="49" t="s">
        <v>235</v>
      </c>
      <c r="Q441" s="96" t="s">
        <v>236</v>
      </c>
      <c r="R441" s="52">
        <v>16.9</v>
      </c>
      <c r="S441" s="52">
        <f>R441-T441</f>
        <v>15.089285714285714</v>
      </c>
      <c r="T441" s="52">
        <f>R441*U441/(U441+100)</f>
        <v>1.8107142857142855</v>
      </c>
      <c r="U441" s="50">
        <v>12</v>
      </c>
      <c r="V441" s="53">
        <v>0</v>
      </c>
      <c r="W441" s="147">
        <v>1</v>
      </c>
      <c r="X441" s="148" t="s">
        <v>163</v>
      </c>
      <c r="Y441" s="54">
        <f>R441*W441</f>
        <v>16.9</v>
      </c>
      <c r="Z441" s="52">
        <f>S441*W441</f>
        <v>15.089285714285714</v>
      </c>
      <c r="AA441" s="52">
        <f>T441*W441</f>
        <v>1.8107142857142855</v>
      </c>
      <c r="AB441" s="52">
        <f>V441*W441</f>
        <v>0</v>
      </c>
      <c r="AC441" s="53">
        <f>(R441+V441)*W441</f>
        <v>16.9</v>
      </c>
      <c r="AD441" s="138">
        <v>16.9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107</v>
      </c>
      <c r="F442" s="96" t="s">
        <v>106</v>
      </c>
      <c r="G442" s="97">
        <v>46132</v>
      </c>
      <c r="H442" s="98">
        <v>0.33824074074074073</v>
      </c>
      <c r="I442" s="50">
        <v>166004540</v>
      </c>
      <c r="J442" s="96" t="s">
        <v>157</v>
      </c>
      <c r="K442" s="49" t="s">
        <v>1272</v>
      </c>
      <c r="L442" s="39" t="s">
        <v>1273</v>
      </c>
      <c r="M442" s="49" t="s">
        <v>171</v>
      </c>
      <c r="N442" s="39" t="s">
        <v>348</v>
      </c>
      <c r="O442" s="96" t="s">
        <v>1274</v>
      </c>
      <c r="P442" s="49" t="s">
        <v>157</v>
      </c>
      <c r="Q442" s="96" t="s">
        <v>104</v>
      </c>
      <c r="R442" s="52">
        <v>15.9</v>
      </c>
      <c r="S442" s="52">
        <f>R442-T442</f>
        <v>14.196428571428571</v>
      </c>
      <c r="T442" s="52">
        <f>R442*U442/(U442+100)</f>
        <v>1.7035714285714287</v>
      </c>
      <c r="U442" s="50">
        <v>12</v>
      </c>
      <c r="V442" s="53">
        <v>0</v>
      </c>
      <c r="W442" s="147">
        <v>1</v>
      </c>
      <c r="X442" s="148" t="s">
        <v>163</v>
      </c>
      <c r="Y442" s="54">
        <f>R442*W442</f>
        <v>15.9</v>
      </c>
      <c r="Z442" s="52">
        <f>S442*W442</f>
        <v>14.196428571428571</v>
      </c>
      <c r="AA442" s="52">
        <f>T442*W442</f>
        <v>1.7035714285714287</v>
      </c>
      <c r="AB442" s="52">
        <f>V442*W442</f>
        <v>0</v>
      </c>
      <c r="AC442" s="53">
        <f>(R442+V442)*W442</f>
        <v>15.9</v>
      </c>
      <c r="AD442" s="138">
        <v>15.9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107</v>
      </c>
      <c r="F443" s="96" t="s">
        <v>106</v>
      </c>
      <c r="G443" s="97">
        <v>46132</v>
      </c>
      <c r="H443" s="98">
        <v>0.33824074074074073</v>
      </c>
      <c r="I443" s="50">
        <v>166004540</v>
      </c>
      <c r="J443" s="96" t="s">
        <v>157</v>
      </c>
      <c r="K443" s="49" t="s">
        <v>507</v>
      </c>
      <c r="L443" s="39" t="s">
        <v>508</v>
      </c>
      <c r="M443" s="49" t="s">
        <v>509</v>
      </c>
      <c r="N443" s="39" t="s">
        <v>256</v>
      </c>
      <c r="O443" s="96" t="s">
        <v>1024</v>
      </c>
      <c r="P443" s="49" t="s">
        <v>235</v>
      </c>
      <c r="Q443" s="96" t="s">
        <v>236</v>
      </c>
      <c r="R443" s="52">
        <v>15.9</v>
      </c>
      <c r="S443" s="52">
        <f>R443-T443</f>
        <v>13.140495867768596</v>
      </c>
      <c r="T443" s="52">
        <f>R443*U443/(U443+100)</f>
        <v>2.759504132231405</v>
      </c>
      <c r="U443" s="50">
        <v>21</v>
      </c>
      <c r="V443" s="53">
        <v>0</v>
      </c>
      <c r="W443" s="147">
        <v>1</v>
      </c>
      <c r="X443" s="148" t="s">
        <v>163</v>
      </c>
      <c r="Y443" s="54">
        <f>R443*W443</f>
        <v>15.9</v>
      </c>
      <c r="Z443" s="52">
        <f>S443*W443</f>
        <v>13.140495867768596</v>
      </c>
      <c r="AA443" s="52">
        <f>T443*W443</f>
        <v>2.759504132231405</v>
      </c>
      <c r="AB443" s="52">
        <f>V443*W443</f>
        <v>0</v>
      </c>
      <c r="AC443" s="53">
        <f>(R443+V443)*W443</f>
        <v>15.9</v>
      </c>
      <c r="AD443" s="138">
        <v>15.9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107</v>
      </c>
      <c r="F444" s="96" t="s">
        <v>106</v>
      </c>
      <c r="G444" s="97">
        <v>46132</v>
      </c>
      <c r="H444" s="98">
        <v>0.33824074074074073</v>
      </c>
      <c r="I444" s="50">
        <v>166004540</v>
      </c>
      <c r="J444" s="96" t="s">
        <v>157</v>
      </c>
      <c r="K444" s="49" t="s">
        <v>507</v>
      </c>
      <c r="L444" s="39" t="s">
        <v>508</v>
      </c>
      <c r="M444" s="49" t="s">
        <v>509</v>
      </c>
      <c r="N444" s="39" t="s">
        <v>256</v>
      </c>
      <c r="O444" s="96" t="s">
        <v>1024</v>
      </c>
      <c r="P444" s="49" t="s">
        <v>235</v>
      </c>
      <c r="Q444" s="96" t="s">
        <v>236</v>
      </c>
      <c r="R444" s="52">
        <v>15.9</v>
      </c>
      <c r="S444" s="52">
        <f>R444-T444</f>
        <v>13.140495867768596</v>
      </c>
      <c r="T444" s="52">
        <f>R444*U444/(U444+100)</f>
        <v>2.759504132231405</v>
      </c>
      <c r="U444" s="50">
        <v>21</v>
      </c>
      <c r="V444" s="53">
        <v>0</v>
      </c>
      <c r="W444" s="147">
        <v>1</v>
      </c>
      <c r="X444" s="148" t="s">
        <v>163</v>
      </c>
      <c r="Y444" s="54">
        <f>R444*W444</f>
        <v>15.9</v>
      </c>
      <c r="Z444" s="52">
        <f>S444*W444</f>
        <v>13.140495867768596</v>
      </c>
      <c r="AA444" s="52">
        <f>T444*W444</f>
        <v>2.759504132231405</v>
      </c>
      <c r="AB444" s="52">
        <f>V444*W444</f>
        <v>0</v>
      </c>
      <c r="AC444" s="53">
        <f>(R444+V444)*W444</f>
        <v>15.9</v>
      </c>
      <c r="AD444" s="138">
        <v>15.9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107</v>
      </c>
      <c r="F445" s="96" t="s">
        <v>106</v>
      </c>
      <c r="G445" s="97">
        <v>46132</v>
      </c>
      <c r="H445" s="98">
        <v>0.33824074074074073</v>
      </c>
      <c r="I445" s="50">
        <v>166004540</v>
      </c>
      <c r="J445" s="96" t="s">
        <v>157</v>
      </c>
      <c r="K445" s="49" t="s">
        <v>507</v>
      </c>
      <c r="L445" s="39" t="s">
        <v>508</v>
      </c>
      <c r="M445" s="49" t="s">
        <v>509</v>
      </c>
      <c r="N445" s="39" t="s">
        <v>256</v>
      </c>
      <c r="O445" s="96" t="s">
        <v>1024</v>
      </c>
      <c r="P445" s="49" t="s">
        <v>235</v>
      </c>
      <c r="Q445" s="96" t="s">
        <v>236</v>
      </c>
      <c r="R445" s="52">
        <v>15.9</v>
      </c>
      <c r="S445" s="52">
        <f>R445-T445</f>
        <v>13.140495867768596</v>
      </c>
      <c r="T445" s="52">
        <f>R445*U445/(U445+100)</f>
        <v>2.759504132231405</v>
      </c>
      <c r="U445" s="50">
        <v>21</v>
      </c>
      <c r="V445" s="53">
        <v>0</v>
      </c>
      <c r="W445" s="147">
        <v>1</v>
      </c>
      <c r="X445" s="148" t="s">
        <v>163</v>
      </c>
      <c r="Y445" s="54">
        <f>R445*W445</f>
        <v>15.9</v>
      </c>
      <c r="Z445" s="52">
        <f>S445*W445</f>
        <v>13.140495867768596</v>
      </c>
      <c r="AA445" s="52">
        <f>T445*W445</f>
        <v>2.759504132231405</v>
      </c>
      <c r="AB445" s="52">
        <f>V445*W445</f>
        <v>0</v>
      </c>
      <c r="AC445" s="53">
        <f>(R445+V445)*W445</f>
        <v>15.9</v>
      </c>
      <c r="AD445" s="138">
        <v>15.9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107</v>
      </c>
      <c r="F446" s="96" t="s">
        <v>106</v>
      </c>
      <c r="G446" s="97">
        <v>46132</v>
      </c>
      <c r="H446" s="98">
        <v>0.3387847222222222</v>
      </c>
      <c r="I446" s="50">
        <v>166004541</v>
      </c>
      <c r="J446" s="96" t="s">
        <v>157</v>
      </c>
      <c r="K446" s="49" t="s">
        <v>1275</v>
      </c>
      <c r="L446" s="39" t="s">
        <v>1276</v>
      </c>
      <c r="M446" s="49" t="s">
        <v>214</v>
      </c>
      <c r="N446" s="39" t="s">
        <v>501</v>
      </c>
      <c r="O446" s="96" t="s">
        <v>1277</v>
      </c>
      <c r="P446" s="49" t="s">
        <v>157</v>
      </c>
      <c r="Q446" s="96" t="s">
        <v>104</v>
      </c>
      <c r="R446" s="52">
        <v>13.9</v>
      </c>
      <c r="S446" s="52">
        <f>R446-T446</f>
        <v>12.410714285714286</v>
      </c>
      <c r="T446" s="52">
        <f>R446*U446/(U446+100)</f>
        <v>1.4892857142857143</v>
      </c>
      <c r="U446" s="50">
        <v>12</v>
      </c>
      <c r="V446" s="53">
        <v>0</v>
      </c>
      <c r="W446" s="147">
        <v>2</v>
      </c>
      <c r="X446" s="148" t="s">
        <v>163</v>
      </c>
      <c r="Y446" s="54">
        <f>R446*W446</f>
        <v>27.8</v>
      </c>
      <c r="Z446" s="52">
        <f>S446*W446</f>
        <v>24.821428571428573</v>
      </c>
      <c r="AA446" s="52">
        <f>T446*W446</f>
        <v>2.9785714285714286</v>
      </c>
      <c r="AB446" s="52">
        <f>V446*W446</f>
        <v>0</v>
      </c>
      <c r="AC446" s="53">
        <f>(R446+V446)*W446</f>
        <v>27.8</v>
      </c>
      <c r="AD446" s="138">
        <v>13.9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107</v>
      </c>
      <c r="F447" s="96" t="s">
        <v>106</v>
      </c>
      <c r="G447" s="97">
        <v>46132</v>
      </c>
      <c r="H447" s="98">
        <v>0.3387847222222222</v>
      </c>
      <c r="I447" s="50">
        <v>166004541</v>
      </c>
      <c r="J447" s="96" t="s">
        <v>157</v>
      </c>
      <c r="K447" s="49" t="s">
        <v>416</v>
      </c>
      <c r="L447" s="39" t="s">
        <v>417</v>
      </c>
      <c r="M447" s="49" t="s">
        <v>214</v>
      </c>
      <c r="N447" s="39" t="s">
        <v>418</v>
      </c>
      <c r="O447" s="96" t="s">
        <v>1278</v>
      </c>
      <c r="P447" s="49" t="s">
        <v>157</v>
      </c>
      <c r="Q447" s="96" t="s">
        <v>104</v>
      </c>
      <c r="R447" s="52">
        <v>19.9</v>
      </c>
      <c r="S447" s="52">
        <f>R447-T447</f>
        <v>17.767857142857142</v>
      </c>
      <c r="T447" s="52">
        <f>R447*U447/(U447+100)</f>
        <v>2.132142857142857</v>
      </c>
      <c r="U447" s="50">
        <v>12</v>
      </c>
      <c r="V447" s="53">
        <v>0</v>
      </c>
      <c r="W447" s="147">
        <v>1</v>
      </c>
      <c r="X447" s="148" t="s">
        <v>163</v>
      </c>
      <c r="Y447" s="54">
        <f>R447*W447</f>
        <v>19.9</v>
      </c>
      <c r="Z447" s="52">
        <f>S447*W447</f>
        <v>17.767857142857142</v>
      </c>
      <c r="AA447" s="52">
        <f>T447*W447</f>
        <v>2.132142857142857</v>
      </c>
      <c r="AB447" s="52">
        <f>V447*W447</f>
        <v>0</v>
      </c>
      <c r="AC447" s="53">
        <f>(R447+V447)*W447</f>
        <v>19.9</v>
      </c>
      <c r="AD447" s="138">
        <v>19.9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107</v>
      </c>
      <c r="F448" s="96" t="s">
        <v>106</v>
      </c>
      <c r="G448" s="97">
        <v>46132</v>
      </c>
      <c r="H448" s="98">
        <v>0.3390625</v>
      </c>
      <c r="I448" s="50">
        <v>166004542</v>
      </c>
      <c r="J448" s="96" t="s">
        <v>157</v>
      </c>
      <c r="K448" s="49" t="s">
        <v>1279</v>
      </c>
      <c r="L448" s="39" t="s">
        <v>1280</v>
      </c>
      <c r="M448" s="49" t="s">
        <v>429</v>
      </c>
      <c r="N448" s="39" t="s">
        <v>348</v>
      </c>
      <c r="O448" s="96" t="s">
        <v>1281</v>
      </c>
      <c r="P448" s="49" t="s">
        <v>157</v>
      </c>
      <c r="Q448" s="96" t="s">
        <v>104</v>
      </c>
      <c r="R448" s="52">
        <v>25.9</v>
      </c>
      <c r="S448" s="52">
        <f>R448-T448</f>
        <v>23.125</v>
      </c>
      <c r="T448" s="52">
        <f>R448*U448/(U448+100)</f>
        <v>2.7749999999999995</v>
      </c>
      <c r="U448" s="50">
        <v>12</v>
      </c>
      <c r="V448" s="53">
        <v>0</v>
      </c>
      <c r="W448" s="147">
        <v>1</v>
      </c>
      <c r="X448" s="148" t="s">
        <v>163</v>
      </c>
      <c r="Y448" s="54">
        <f>R448*W448</f>
        <v>25.9</v>
      </c>
      <c r="Z448" s="52">
        <f>S448*W448</f>
        <v>23.125</v>
      </c>
      <c r="AA448" s="52">
        <f>T448*W448</f>
        <v>2.7749999999999995</v>
      </c>
      <c r="AB448" s="52">
        <f>V448*W448</f>
        <v>0</v>
      </c>
      <c r="AC448" s="53">
        <f>(R448+V448)*W448</f>
        <v>25.9</v>
      </c>
      <c r="AD448" s="138">
        <v>25.9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107</v>
      </c>
      <c r="F449" s="96" t="s">
        <v>106</v>
      </c>
      <c r="G449" s="97">
        <v>46132</v>
      </c>
      <c r="H449" s="98">
        <v>0.3390625</v>
      </c>
      <c r="I449" s="50">
        <v>166004542</v>
      </c>
      <c r="J449" s="96" t="s">
        <v>157</v>
      </c>
      <c r="K449" s="49" t="s">
        <v>1282</v>
      </c>
      <c r="L449" s="39" t="s">
        <v>1283</v>
      </c>
      <c r="M449" s="49" t="s">
        <v>429</v>
      </c>
      <c r="N449" s="39" t="s">
        <v>348</v>
      </c>
      <c r="O449" s="96" t="s">
        <v>1284</v>
      </c>
      <c r="P449" s="49" t="s">
        <v>157</v>
      </c>
      <c r="Q449" s="96" t="s">
        <v>104</v>
      </c>
      <c r="R449" s="52">
        <v>25.9</v>
      </c>
      <c r="S449" s="52">
        <f>R449-T449</f>
        <v>23.125</v>
      </c>
      <c r="T449" s="52">
        <f>R449*U449/(U449+100)</f>
        <v>2.7749999999999995</v>
      </c>
      <c r="U449" s="50">
        <v>12</v>
      </c>
      <c r="V449" s="53">
        <v>0</v>
      </c>
      <c r="W449" s="147">
        <v>1</v>
      </c>
      <c r="X449" s="148" t="s">
        <v>163</v>
      </c>
      <c r="Y449" s="54">
        <f>R449*W449</f>
        <v>25.9</v>
      </c>
      <c r="Z449" s="52">
        <f>S449*W449</f>
        <v>23.125</v>
      </c>
      <c r="AA449" s="52">
        <f>T449*W449</f>
        <v>2.7749999999999995</v>
      </c>
      <c r="AB449" s="52">
        <f>V449*W449</f>
        <v>0</v>
      </c>
      <c r="AC449" s="53">
        <f>(R449+V449)*W449</f>
        <v>25.9</v>
      </c>
      <c r="AD449" s="138">
        <v>25.9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107</v>
      </c>
      <c r="F450" s="96" t="s">
        <v>106</v>
      </c>
      <c r="G450" s="97">
        <v>46132</v>
      </c>
      <c r="H450" s="98">
        <v>0.3390625</v>
      </c>
      <c r="I450" s="50">
        <v>166004542</v>
      </c>
      <c r="J450" s="96" t="s">
        <v>157</v>
      </c>
      <c r="K450" s="49" t="s">
        <v>420</v>
      </c>
      <c r="L450" s="39" t="s">
        <v>421</v>
      </c>
      <c r="M450" s="49" t="s">
        <v>232</v>
      </c>
      <c r="N450" s="39" t="s">
        <v>233</v>
      </c>
      <c r="O450" s="96" t="s">
        <v>1285</v>
      </c>
      <c r="P450" s="49" t="s">
        <v>157</v>
      </c>
      <c r="Q450" s="96" t="s">
        <v>104</v>
      </c>
      <c r="R450" s="52">
        <v>19.9</v>
      </c>
      <c r="S450" s="52">
        <f>R450-T450</f>
        <v>16.446280991735534</v>
      </c>
      <c r="T450" s="52">
        <f>R450*U450/(U450+100)</f>
        <v>3.4537190082644624</v>
      </c>
      <c r="U450" s="50">
        <v>21</v>
      </c>
      <c r="V450" s="53">
        <v>0</v>
      </c>
      <c r="W450" s="147">
        <v>1</v>
      </c>
      <c r="X450" s="148" t="s">
        <v>163</v>
      </c>
      <c r="Y450" s="54">
        <f>R450*W450</f>
        <v>19.9</v>
      </c>
      <c r="Z450" s="52">
        <f>S450*W450</f>
        <v>16.446280991735534</v>
      </c>
      <c r="AA450" s="52">
        <f>T450*W450</f>
        <v>3.4537190082644624</v>
      </c>
      <c r="AB450" s="52">
        <f>V450*W450</f>
        <v>0</v>
      </c>
      <c r="AC450" s="53">
        <f>(R450+V450)*W450</f>
        <v>19.9</v>
      </c>
      <c r="AD450" s="138">
        <v>19.9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107</v>
      </c>
      <c r="F451" s="96" t="s">
        <v>106</v>
      </c>
      <c r="G451" s="97">
        <v>46132</v>
      </c>
      <c r="H451" s="98">
        <v>0.3390625</v>
      </c>
      <c r="I451" s="50">
        <v>166004542</v>
      </c>
      <c r="J451" s="96" t="s">
        <v>157</v>
      </c>
      <c r="K451" s="49" t="s">
        <v>420</v>
      </c>
      <c r="L451" s="39" t="s">
        <v>421</v>
      </c>
      <c r="M451" s="49" t="s">
        <v>232</v>
      </c>
      <c r="N451" s="39" t="s">
        <v>233</v>
      </c>
      <c r="O451" s="96" t="s">
        <v>1285</v>
      </c>
      <c r="P451" s="49" t="s">
        <v>157</v>
      </c>
      <c r="Q451" s="96" t="s">
        <v>104</v>
      </c>
      <c r="R451" s="52">
        <v>19.9</v>
      </c>
      <c r="S451" s="52">
        <f>R451-T451</f>
        <v>16.446280991735534</v>
      </c>
      <c r="T451" s="52">
        <f>R451*U451/(U451+100)</f>
        <v>3.4537190082644624</v>
      </c>
      <c r="U451" s="50">
        <v>21</v>
      </c>
      <c r="V451" s="53">
        <v>0</v>
      </c>
      <c r="W451" s="147">
        <v>1</v>
      </c>
      <c r="X451" s="148" t="s">
        <v>163</v>
      </c>
      <c r="Y451" s="54">
        <f>R451*W451</f>
        <v>19.9</v>
      </c>
      <c r="Z451" s="52">
        <f>S451*W451</f>
        <v>16.446280991735534</v>
      </c>
      <c r="AA451" s="52">
        <f>T451*W451</f>
        <v>3.4537190082644624</v>
      </c>
      <c r="AB451" s="52">
        <f>V451*W451</f>
        <v>0</v>
      </c>
      <c r="AC451" s="53">
        <f>(R451+V451)*W451</f>
        <v>19.9</v>
      </c>
      <c r="AD451" s="138">
        <v>19.9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107</v>
      </c>
      <c r="F452" s="96" t="s">
        <v>106</v>
      </c>
      <c r="G452" s="97">
        <v>46132</v>
      </c>
      <c r="H452" s="98">
        <v>0.3390625</v>
      </c>
      <c r="I452" s="50">
        <v>166004542</v>
      </c>
      <c r="J452" s="96" t="s">
        <v>157</v>
      </c>
      <c r="K452" s="49" t="s">
        <v>293</v>
      </c>
      <c r="L452" s="39" t="s">
        <v>294</v>
      </c>
      <c r="M452" s="49" t="s">
        <v>295</v>
      </c>
      <c r="N452" s="39" t="s">
        <v>296</v>
      </c>
      <c r="O452" s="96" t="s">
        <v>297</v>
      </c>
      <c r="P452" s="49" t="s">
        <v>157</v>
      </c>
      <c r="Q452" s="96" t="s">
        <v>104</v>
      </c>
      <c r="R452" s="52">
        <v>2.9</v>
      </c>
      <c r="S452" s="52">
        <f>R452-T452</f>
        <v>2.5892857142857144</v>
      </c>
      <c r="T452" s="52">
        <f>R452*U452/(U452+100)</f>
        <v>0.31071428571428567</v>
      </c>
      <c r="U452" s="50">
        <v>12</v>
      </c>
      <c r="V452" s="53">
        <v>0</v>
      </c>
      <c r="W452" s="147">
        <v>10</v>
      </c>
      <c r="X452" s="148" t="s">
        <v>163</v>
      </c>
      <c r="Y452" s="54">
        <f>R452*W452</f>
        <v>29</v>
      </c>
      <c r="Z452" s="52">
        <f>S452*W452</f>
        <v>25.892857142857146</v>
      </c>
      <c r="AA452" s="52">
        <f>T452*W452</f>
        <v>3.1071428571428568</v>
      </c>
      <c r="AB452" s="52">
        <f>V452*W452</f>
        <v>0</v>
      </c>
      <c r="AC452" s="53">
        <f>(R452+V452)*W452</f>
        <v>29</v>
      </c>
      <c r="AD452" s="138">
        <v>2.9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107</v>
      </c>
      <c r="F453" s="96" t="s">
        <v>106</v>
      </c>
      <c r="G453" s="97">
        <v>46132</v>
      </c>
      <c r="H453" s="98">
        <v>0.3396064814814815</v>
      </c>
      <c r="I453" s="50">
        <v>166004543</v>
      </c>
      <c r="J453" s="96" t="s">
        <v>157</v>
      </c>
      <c r="K453" s="49" t="s">
        <v>1286</v>
      </c>
      <c r="L453" s="39" t="s">
        <v>1287</v>
      </c>
      <c r="M453" s="49" t="s">
        <v>171</v>
      </c>
      <c r="N453" s="39" t="s">
        <v>264</v>
      </c>
      <c r="O453" s="96" t="s">
        <v>1288</v>
      </c>
      <c r="P453" s="49" t="s">
        <v>157</v>
      </c>
      <c r="Q453" s="96" t="s">
        <v>104</v>
      </c>
      <c r="R453" s="52">
        <v>27.9</v>
      </c>
      <c r="S453" s="52">
        <f>R453-T453</f>
        <v>24.910714285714285</v>
      </c>
      <c r="T453" s="52">
        <f>R453*U453/(U453+100)</f>
        <v>2.989285714285714</v>
      </c>
      <c r="U453" s="50">
        <v>12</v>
      </c>
      <c r="V453" s="53">
        <v>0</v>
      </c>
      <c r="W453" s="147">
        <v>1</v>
      </c>
      <c r="X453" s="148" t="s">
        <v>163</v>
      </c>
      <c r="Y453" s="54">
        <f>R453*W453</f>
        <v>27.9</v>
      </c>
      <c r="Z453" s="52">
        <f>S453*W453</f>
        <v>24.910714285714285</v>
      </c>
      <c r="AA453" s="52">
        <f>T453*W453</f>
        <v>2.989285714285714</v>
      </c>
      <c r="AB453" s="52">
        <f>V453*W453</f>
        <v>0</v>
      </c>
      <c r="AC453" s="53">
        <f>(R453+V453)*W453</f>
        <v>27.9</v>
      </c>
      <c r="AD453" s="138">
        <v>27.9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107</v>
      </c>
      <c r="F454" s="96" t="s">
        <v>106</v>
      </c>
      <c r="G454" s="97">
        <v>46132</v>
      </c>
      <c r="H454" s="98">
        <v>0.3396064814814815</v>
      </c>
      <c r="I454" s="50">
        <v>166004543</v>
      </c>
      <c r="J454" s="96" t="s">
        <v>157</v>
      </c>
      <c r="K454" s="49" t="s">
        <v>758</v>
      </c>
      <c r="L454" s="39" t="s">
        <v>759</v>
      </c>
      <c r="M454" s="49" t="s">
        <v>201</v>
      </c>
      <c r="N454" s="39" t="s">
        <v>202</v>
      </c>
      <c r="O454" s="96" t="s">
        <v>1235</v>
      </c>
      <c r="P454" s="49" t="s">
        <v>235</v>
      </c>
      <c r="Q454" s="96" t="s">
        <v>236</v>
      </c>
      <c r="R454" s="52">
        <v>19.9</v>
      </c>
      <c r="S454" s="52">
        <f>R454-T454</f>
        <v>17.767857142857142</v>
      </c>
      <c r="T454" s="52">
        <f>R454*U454/(U454+100)</f>
        <v>2.132142857142857</v>
      </c>
      <c r="U454" s="50">
        <v>12</v>
      </c>
      <c r="V454" s="53">
        <v>0</v>
      </c>
      <c r="W454" s="147">
        <v>1</v>
      </c>
      <c r="X454" s="148" t="s">
        <v>163</v>
      </c>
      <c r="Y454" s="54">
        <f>R454*W454</f>
        <v>19.9</v>
      </c>
      <c r="Z454" s="52">
        <f>S454*W454</f>
        <v>17.767857142857142</v>
      </c>
      <c r="AA454" s="52">
        <f>T454*W454</f>
        <v>2.132142857142857</v>
      </c>
      <c r="AB454" s="52">
        <f>V454*W454</f>
        <v>0</v>
      </c>
      <c r="AC454" s="53">
        <f>(R454+V454)*W454</f>
        <v>19.9</v>
      </c>
      <c r="AD454" s="138">
        <v>19.9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107</v>
      </c>
      <c r="F455" s="96" t="s">
        <v>106</v>
      </c>
      <c r="G455" s="97">
        <v>46132</v>
      </c>
      <c r="H455" s="98">
        <v>0.3396064814814815</v>
      </c>
      <c r="I455" s="50">
        <v>166004543</v>
      </c>
      <c r="J455" s="96" t="s">
        <v>157</v>
      </c>
      <c r="K455" s="49" t="s">
        <v>1289</v>
      </c>
      <c r="L455" s="39" t="s">
        <v>1290</v>
      </c>
      <c r="M455" s="49" t="s">
        <v>842</v>
      </c>
      <c r="N455" s="39" t="s">
        <v>843</v>
      </c>
      <c r="O455" s="96" t="s">
        <v>1291</v>
      </c>
      <c r="P455" s="49" t="s">
        <v>157</v>
      </c>
      <c r="Q455" s="96" t="s">
        <v>104</v>
      </c>
      <c r="R455" s="52">
        <v>29.9</v>
      </c>
      <c r="S455" s="52">
        <f>R455-T455</f>
        <v>26.69642857142857</v>
      </c>
      <c r="T455" s="52">
        <f>R455*U455/(U455+100)</f>
        <v>3.2035714285714283</v>
      </c>
      <c r="U455" s="50">
        <v>12</v>
      </c>
      <c r="V455" s="53">
        <v>0</v>
      </c>
      <c r="W455" s="147">
        <v>1</v>
      </c>
      <c r="X455" s="148" t="s">
        <v>163</v>
      </c>
      <c r="Y455" s="54">
        <f>R455*W455</f>
        <v>29.9</v>
      </c>
      <c r="Z455" s="52">
        <f>S455*W455</f>
        <v>26.69642857142857</v>
      </c>
      <c r="AA455" s="52">
        <f>T455*W455</f>
        <v>3.2035714285714283</v>
      </c>
      <c r="AB455" s="52">
        <f>V455*W455</f>
        <v>0</v>
      </c>
      <c r="AC455" s="53">
        <f>(R455+V455)*W455</f>
        <v>29.9</v>
      </c>
      <c r="AD455" s="138">
        <v>29.9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107</v>
      </c>
      <c r="F456" s="96" t="s">
        <v>106</v>
      </c>
      <c r="G456" s="97">
        <v>46132</v>
      </c>
      <c r="H456" s="98">
        <v>0.3396064814814815</v>
      </c>
      <c r="I456" s="50">
        <v>166004543</v>
      </c>
      <c r="J456" s="96" t="s">
        <v>157</v>
      </c>
      <c r="K456" s="49" t="s">
        <v>1292</v>
      </c>
      <c r="L456" s="39" t="s">
        <v>1293</v>
      </c>
      <c r="M456" s="49" t="s">
        <v>954</v>
      </c>
      <c r="N456" s="39" t="s">
        <v>233</v>
      </c>
      <c r="O456" s="96" t="s">
        <v>1294</v>
      </c>
      <c r="P456" s="49" t="s">
        <v>157</v>
      </c>
      <c r="Q456" s="96" t="s">
        <v>104</v>
      </c>
      <c r="R456" s="52">
        <v>19.9</v>
      </c>
      <c r="S456" s="52">
        <f>R456-T456</f>
        <v>16.446280991735534</v>
      </c>
      <c r="T456" s="52">
        <f>R456*U456/(U456+100)</f>
        <v>3.4537190082644624</v>
      </c>
      <c r="U456" s="50">
        <v>21</v>
      </c>
      <c r="V456" s="53">
        <v>0</v>
      </c>
      <c r="W456" s="147">
        <v>1</v>
      </c>
      <c r="X456" s="148" t="s">
        <v>163</v>
      </c>
      <c r="Y456" s="54">
        <f>R456*W456</f>
        <v>19.9</v>
      </c>
      <c r="Z456" s="52">
        <f>S456*W456</f>
        <v>16.446280991735534</v>
      </c>
      <c r="AA456" s="52">
        <f>T456*W456</f>
        <v>3.4537190082644624</v>
      </c>
      <c r="AB456" s="52">
        <f>V456*W456</f>
        <v>0</v>
      </c>
      <c r="AC456" s="53">
        <f>(R456+V456)*W456</f>
        <v>19.9</v>
      </c>
      <c r="AD456" s="138">
        <v>19.9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107</v>
      </c>
      <c r="F457" s="96" t="s">
        <v>106</v>
      </c>
      <c r="G457" s="97">
        <v>46132</v>
      </c>
      <c r="H457" s="98">
        <v>0.3396064814814815</v>
      </c>
      <c r="I457" s="50">
        <v>166004543</v>
      </c>
      <c r="J457" s="96" t="s">
        <v>157</v>
      </c>
      <c r="K457" s="49" t="s">
        <v>499</v>
      </c>
      <c r="L457" s="39" t="s">
        <v>500</v>
      </c>
      <c r="M457" s="49" t="s">
        <v>214</v>
      </c>
      <c r="N457" s="39" t="s">
        <v>501</v>
      </c>
      <c r="O457" s="96" t="s">
        <v>1295</v>
      </c>
      <c r="P457" s="49" t="s">
        <v>157</v>
      </c>
      <c r="Q457" s="96" t="s">
        <v>104</v>
      </c>
      <c r="R457" s="52">
        <v>29.9</v>
      </c>
      <c r="S457" s="52">
        <f>R457-T457</f>
        <v>26.69642857142857</v>
      </c>
      <c r="T457" s="52">
        <f>R457*U457/(U457+100)</f>
        <v>3.2035714285714283</v>
      </c>
      <c r="U457" s="50">
        <v>12</v>
      </c>
      <c r="V457" s="53">
        <v>0</v>
      </c>
      <c r="W457" s="147">
        <v>1</v>
      </c>
      <c r="X457" s="148" t="s">
        <v>163</v>
      </c>
      <c r="Y457" s="54">
        <f>R457*W457</f>
        <v>29.9</v>
      </c>
      <c r="Z457" s="52">
        <f>S457*W457</f>
        <v>26.69642857142857</v>
      </c>
      <c r="AA457" s="52">
        <f>T457*W457</f>
        <v>3.2035714285714283</v>
      </c>
      <c r="AB457" s="52">
        <f>V457*W457</f>
        <v>0</v>
      </c>
      <c r="AC457" s="53">
        <f>(R457+V457)*W457</f>
        <v>29.9</v>
      </c>
      <c r="AD457" s="138">
        <v>29.9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107</v>
      </c>
      <c r="F458" s="96" t="s">
        <v>106</v>
      </c>
      <c r="G458" s="97">
        <v>46132</v>
      </c>
      <c r="H458" s="98">
        <v>0.3396064814814815</v>
      </c>
      <c r="I458" s="50">
        <v>166004543</v>
      </c>
      <c r="J458" s="96" t="s">
        <v>157</v>
      </c>
      <c r="K458" s="49" t="s">
        <v>499</v>
      </c>
      <c r="L458" s="39" t="s">
        <v>500</v>
      </c>
      <c r="M458" s="49" t="s">
        <v>214</v>
      </c>
      <c r="N458" s="39" t="s">
        <v>501</v>
      </c>
      <c r="O458" s="96" t="s">
        <v>1295</v>
      </c>
      <c r="P458" s="49" t="s">
        <v>157</v>
      </c>
      <c r="Q458" s="96" t="s">
        <v>104</v>
      </c>
      <c r="R458" s="52">
        <v>29.9</v>
      </c>
      <c r="S458" s="52">
        <f>R458-T458</f>
        <v>26.69642857142857</v>
      </c>
      <c r="T458" s="52">
        <f>R458*U458/(U458+100)</f>
        <v>3.2035714285714283</v>
      </c>
      <c r="U458" s="50">
        <v>12</v>
      </c>
      <c r="V458" s="53">
        <v>0</v>
      </c>
      <c r="W458" s="147">
        <v>1</v>
      </c>
      <c r="X458" s="148" t="s">
        <v>163</v>
      </c>
      <c r="Y458" s="54">
        <f>R458*W458</f>
        <v>29.9</v>
      </c>
      <c r="Z458" s="52">
        <f>S458*W458</f>
        <v>26.69642857142857</v>
      </c>
      <c r="AA458" s="52">
        <f>T458*W458</f>
        <v>3.2035714285714283</v>
      </c>
      <c r="AB458" s="52">
        <f>V458*W458</f>
        <v>0</v>
      </c>
      <c r="AC458" s="53">
        <f>(R458+V458)*W458</f>
        <v>29.9</v>
      </c>
      <c r="AD458" s="138">
        <v>29.9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107</v>
      </c>
      <c r="F459" s="96" t="s">
        <v>106</v>
      </c>
      <c r="G459" s="97">
        <v>46132</v>
      </c>
      <c r="H459" s="98">
        <v>0.3396064814814815</v>
      </c>
      <c r="I459" s="50">
        <v>166004543</v>
      </c>
      <c r="J459" s="96" t="s">
        <v>157</v>
      </c>
      <c r="K459" s="49" t="s">
        <v>266</v>
      </c>
      <c r="L459" s="39" t="s">
        <v>267</v>
      </c>
      <c r="M459" s="49" t="s">
        <v>268</v>
      </c>
      <c r="N459" s="39" t="s">
        <v>269</v>
      </c>
      <c r="O459" s="96" t="s">
        <v>1249</v>
      </c>
      <c r="P459" s="49" t="s">
        <v>235</v>
      </c>
      <c r="Q459" s="96" t="s">
        <v>236</v>
      </c>
      <c r="R459" s="52">
        <v>11.9</v>
      </c>
      <c r="S459" s="52">
        <f>R459-T459</f>
        <v>10.625</v>
      </c>
      <c r="T459" s="52">
        <f>R459*U459/(U459+100)</f>
        <v>1.2750000000000001</v>
      </c>
      <c r="U459" s="50">
        <v>12</v>
      </c>
      <c r="V459" s="53">
        <v>0</v>
      </c>
      <c r="W459" s="147">
        <v>1</v>
      </c>
      <c r="X459" s="148" t="s">
        <v>163</v>
      </c>
      <c r="Y459" s="54">
        <f>R459*W459</f>
        <v>11.9</v>
      </c>
      <c r="Z459" s="52">
        <f>S459*W459</f>
        <v>10.625</v>
      </c>
      <c r="AA459" s="52">
        <f>T459*W459</f>
        <v>1.2750000000000001</v>
      </c>
      <c r="AB459" s="52">
        <f>V459*W459</f>
        <v>0</v>
      </c>
      <c r="AC459" s="53">
        <f>(R459+V459)*W459</f>
        <v>11.9</v>
      </c>
      <c r="AD459" s="138">
        <v>11.9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107</v>
      </c>
      <c r="F460" s="96" t="s">
        <v>106</v>
      </c>
      <c r="G460" s="97">
        <v>46132</v>
      </c>
      <c r="H460" s="98">
        <v>0.3400810185185185</v>
      </c>
      <c r="I460" s="50">
        <v>166004544</v>
      </c>
      <c r="J460" s="96" t="s">
        <v>157</v>
      </c>
      <c r="K460" s="49" t="s">
        <v>949</v>
      </c>
      <c r="L460" s="39" t="s">
        <v>950</v>
      </c>
      <c r="M460" s="49" t="s">
        <v>185</v>
      </c>
      <c r="N460" s="39" t="s">
        <v>874</v>
      </c>
      <c r="O460" s="96" t="s">
        <v>1296</v>
      </c>
      <c r="P460" s="49" t="s">
        <v>157</v>
      </c>
      <c r="Q460" s="96" t="s">
        <v>104</v>
      </c>
      <c r="R460" s="52">
        <v>24.9</v>
      </c>
      <c r="S460" s="52">
        <f>R460-T460</f>
        <v>22.232142857142858</v>
      </c>
      <c r="T460" s="52">
        <f>R460*U460/(U460+100)</f>
        <v>2.6678571428571423</v>
      </c>
      <c r="U460" s="50">
        <v>12</v>
      </c>
      <c r="V460" s="53">
        <v>0</v>
      </c>
      <c r="W460" s="147">
        <v>1</v>
      </c>
      <c r="X460" s="148" t="s">
        <v>163</v>
      </c>
      <c r="Y460" s="54">
        <f>R460*W460</f>
        <v>24.9</v>
      </c>
      <c r="Z460" s="52">
        <f>S460*W460</f>
        <v>22.232142857142858</v>
      </c>
      <c r="AA460" s="52">
        <f>T460*W460</f>
        <v>2.6678571428571423</v>
      </c>
      <c r="AB460" s="52">
        <f>V460*W460</f>
        <v>0</v>
      </c>
      <c r="AC460" s="53">
        <f>(R460+V460)*W460</f>
        <v>24.9</v>
      </c>
      <c r="AD460" s="138">
        <v>24.9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107</v>
      </c>
      <c r="F461" s="96" t="s">
        <v>106</v>
      </c>
      <c r="G461" s="97">
        <v>46132</v>
      </c>
      <c r="H461" s="98">
        <v>0.3400810185185185</v>
      </c>
      <c r="I461" s="50">
        <v>166004544</v>
      </c>
      <c r="J461" s="96" t="s">
        <v>157</v>
      </c>
      <c r="K461" s="49" t="s">
        <v>507</v>
      </c>
      <c r="L461" s="39" t="s">
        <v>508</v>
      </c>
      <c r="M461" s="49" t="s">
        <v>509</v>
      </c>
      <c r="N461" s="39" t="s">
        <v>256</v>
      </c>
      <c r="O461" s="96" t="s">
        <v>1024</v>
      </c>
      <c r="P461" s="49" t="s">
        <v>235</v>
      </c>
      <c r="Q461" s="96" t="s">
        <v>236</v>
      </c>
      <c r="R461" s="52">
        <v>15.9</v>
      </c>
      <c r="S461" s="52">
        <f>R461-T461</f>
        <v>13.140495867768596</v>
      </c>
      <c r="T461" s="52">
        <f>R461*U461/(U461+100)</f>
        <v>2.759504132231405</v>
      </c>
      <c r="U461" s="50">
        <v>21</v>
      </c>
      <c r="V461" s="53">
        <v>0</v>
      </c>
      <c r="W461" s="147">
        <v>1</v>
      </c>
      <c r="X461" s="148" t="s">
        <v>163</v>
      </c>
      <c r="Y461" s="54">
        <f>R461*W461</f>
        <v>15.9</v>
      </c>
      <c r="Z461" s="52">
        <f>S461*W461</f>
        <v>13.140495867768596</v>
      </c>
      <c r="AA461" s="52">
        <f>T461*W461</f>
        <v>2.759504132231405</v>
      </c>
      <c r="AB461" s="52">
        <f>V461*W461</f>
        <v>0</v>
      </c>
      <c r="AC461" s="53">
        <f>(R461+V461)*W461</f>
        <v>15.9</v>
      </c>
      <c r="AD461" s="138">
        <v>15.9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107</v>
      </c>
      <c r="F462" s="96" t="s">
        <v>106</v>
      </c>
      <c r="G462" s="97">
        <v>46132</v>
      </c>
      <c r="H462" s="98">
        <v>0.3400810185185185</v>
      </c>
      <c r="I462" s="50">
        <v>166004544</v>
      </c>
      <c r="J462" s="96" t="s">
        <v>157</v>
      </c>
      <c r="K462" s="49" t="s">
        <v>507</v>
      </c>
      <c r="L462" s="39" t="s">
        <v>508</v>
      </c>
      <c r="M462" s="49" t="s">
        <v>509</v>
      </c>
      <c r="N462" s="39" t="s">
        <v>256</v>
      </c>
      <c r="O462" s="96" t="s">
        <v>1024</v>
      </c>
      <c r="P462" s="49" t="s">
        <v>235</v>
      </c>
      <c r="Q462" s="96" t="s">
        <v>236</v>
      </c>
      <c r="R462" s="52">
        <v>15.9</v>
      </c>
      <c r="S462" s="52">
        <f>R462-T462</f>
        <v>13.140495867768596</v>
      </c>
      <c r="T462" s="52">
        <f>R462*U462/(U462+100)</f>
        <v>2.759504132231405</v>
      </c>
      <c r="U462" s="50">
        <v>21</v>
      </c>
      <c r="V462" s="53">
        <v>0</v>
      </c>
      <c r="W462" s="147">
        <v>1</v>
      </c>
      <c r="X462" s="148" t="s">
        <v>163</v>
      </c>
      <c r="Y462" s="54">
        <f>R462*W462</f>
        <v>15.9</v>
      </c>
      <c r="Z462" s="52">
        <f>S462*W462</f>
        <v>13.140495867768596</v>
      </c>
      <c r="AA462" s="52">
        <f>T462*W462</f>
        <v>2.759504132231405</v>
      </c>
      <c r="AB462" s="52">
        <f>V462*W462</f>
        <v>0</v>
      </c>
      <c r="AC462" s="53">
        <f>(R462+V462)*W462</f>
        <v>15.9</v>
      </c>
      <c r="AD462" s="138">
        <v>15.9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107</v>
      </c>
      <c r="F463" s="96" t="s">
        <v>106</v>
      </c>
      <c r="G463" s="97">
        <v>46132</v>
      </c>
      <c r="H463" s="98">
        <v>0.3400810185185185</v>
      </c>
      <c r="I463" s="50">
        <v>166004544</v>
      </c>
      <c r="J463" s="96" t="s">
        <v>157</v>
      </c>
      <c r="K463" s="49" t="s">
        <v>293</v>
      </c>
      <c r="L463" s="39" t="s">
        <v>294</v>
      </c>
      <c r="M463" s="49" t="s">
        <v>295</v>
      </c>
      <c r="N463" s="39" t="s">
        <v>296</v>
      </c>
      <c r="O463" s="96" t="s">
        <v>297</v>
      </c>
      <c r="P463" s="49" t="s">
        <v>157</v>
      </c>
      <c r="Q463" s="96" t="s">
        <v>104</v>
      </c>
      <c r="R463" s="52">
        <v>2.9</v>
      </c>
      <c r="S463" s="52">
        <f>R463-T463</f>
        <v>2.5892857142857144</v>
      </c>
      <c r="T463" s="52">
        <f>R463*U463/(U463+100)</f>
        <v>0.31071428571428567</v>
      </c>
      <c r="U463" s="50">
        <v>12</v>
      </c>
      <c r="V463" s="53">
        <v>0</v>
      </c>
      <c r="W463" s="147">
        <v>5</v>
      </c>
      <c r="X463" s="148" t="s">
        <v>163</v>
      </c>
      <c r="Y463" s="54">
        <f>R463*W463</f>
        <v>14.5</v>
      </c>
      <c r="Z463" s="52">
        <f>S463*W463</f>
        <v>12.946428571428573</v>
      </c>
      <c r="AA463" s="52">
        <f>T463*W463</f>
        <v>1.5535714285714284</v>
      </c>
      <c r="AB463" s="52">
        <f>V463*W463</f>
        <v>0</v>
      </c>
      <c r="AC463" s="53">
        <f>(R463+V463)*W463</f>
        <v>14.5</v>
      </c>
      <c r="AD463" s="138">
        <v>2.9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107</v>
      </c>
      <c r="F464" s="96" t="s">
        <v>106</v>
      </c>
      <c r="G464" s="97">
        <v>46132</v>
      </c>
      <c r="H464" s="98">
        <v>0.34219907407407407</v>
      </c>
      <c r="I464" s="50">
        <v>166004545</v>
      </c>
      <c r="J464" s="96" t="s">
        <v>157</v>
      </c>
      <c r="K464" s="49" t="s">
        <v>507</v>
      </c>
      <c r="L464" s="39" t="s">
        <v>508</v>
      </c>
      <c r="M464" s="49" t="s">
        <v>509</v>
      </c>
      <c r="N464" s="39" t="s">
        <v>256</v>
      </c>
      <c r="O464" s="96" t="s">
        <v>1024</v>
      </c>
      <c r="P464" s="49" t="s">
        <v>235</v>
      </c>
      <c r="Q464" s="96" t="s">
        <v>236</v>
      </c>
      <c r="R464" s="52">
        <v>15.9</v>
      </c>
      <c r="S464" s="52">
        <f>R464-T464</f>
        <v>13.140495867768596</v>
      </c>
      <c r="T464" s="52">
        <f>R464*U464/(U464+100)</f>
        <v>2.759504132231405</v>
      </c>
      <c r="U464" s="50">
        <v>21</v>
      </c>
      <c r="V464" s="53">
        <v>0</v>
      </c>
      <c r="W464" s="147">
        <v>6</v>
      </c>
      <c r="X464" s="148" t="s">
        <v>163</v>
      </c>
      <c r="Y464" s="54">
        <f>R464*W464</f>
        <v>95.4</v>
      </c>
      <c r="Z464" s="52">
        <f>S464*W464</f>
        <v>78.84297520661158</v>
      </c>
      <c r="AA464" s="52">
        <f>T464*W464</f>
        <v>16.55702479338843</v>
      </c>
      <c r="AB464" s="52">
        <f>V464*W464</f>
        <v>0</v>
      </c>
      <c r="AC464" s="53">
        <f>(R464+V464)*W464</f>
        <v>95.4</v>
      </c>
      <c r="AD464" s="138">
        <v>15.9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107</v>
      </c>
      <c r="F465" s="96" t="s">
        <v>106</v>
      </c>
      <c r="G465" s="97">
        <v>46132</v>
      </c>
      <c r="H465" s="98">
        <v>0.34219907407407407</v>
      </c>
      <c r="I465" s="50">
        <v>166004545</v>
      </c>
      <c r="J465" s="96" t="s">
        <v>157</v>
      </c>
      <c r="K465" s="49" t="s">
        <v>303</v>
      </c>
      <c r="L465" s="39" t="s">
        <v>304</v>
      </c>
      <c r="M465" s="49" t="s">
        <v>214</v>
      </c>
      <c r="N465" s="39" t="s">
        <v>296</v>
      </c>
      <c r="O465" s="96" t="s">
        <v>305</v>
      </c>
      <c r="P465" s="49" t="s">
        <v>157</v>
      </c>
      <c r="Q465" s="96" t="s">
        <v>104</v>
      </c>
      <c r="R465" s="52">
        <v>11.9</v>
      </c>
      <c r="S465" s="52">
        <f>R465-T465</f>
        <v>10.625</v>
      </c>
      <c r="T465" s="52">
        <f>R465*U465/(U465+100)</f>
        <v>1.2750000000000001</v>
      </c>
      <c r="U465" s="50">
        <v>12</v>
      </c>
      <c r="V465" s="53">
        <v>0</v>
      </c>
      <c r="W465" s="147">
        <v>1</v>
      </c>
      <c r="X465" s="148" t="s">
        <v>163</v>
      </c>
      <c r="Y465" s="54">
        <f>R465*W465</f>
        <v>11.9</v>
      </c>
      <c r="Z465" s="52">
        <f>S465*W465</f>
        <v>10.625</v>
      </c>
      <c r="AA465" s="52">
        <f>T465*W465</f>
        <v>1.2750000000000001</v>
      </c>
      <c r="AB465" s="52">
        <f>V465*W465</f>
        <v>0</v>
      </c>
      <c r="AC465" s="53">
        <f>(R465+V465)*W465</f>
        <v>11.9</v>
      </c>
      <c r="AD465" s="138">
        <v>11.9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107</v>
      </c>
      <c r="F466" s="96" t="s">
        <v>106</v>
      </c>
      <c r="G466" s="97">
        <v>46132</v>
      </c>
      <c r="H466" s="98">
        <v>0.3437615740740741</v>
      </c>
      <c r="I466" s="50">
        <v>166004546</v>
      </c>
      <c r="J466" s="96" t="s">
        <v>157</v>
      </c>
      <c r="K466" s="49" t="s">
        <v>1297</v>
      </c>
      <c r="L466" s="39" t="s">
        <v>1298</v>
      </c>
      <c r="M466" s="49" t="s">
        <v>997</v>
      </c>
      <c r="N466" s="39" t="s">
        <v>998</v>
      </c>
      <c r="O466" s="96" t="s">
        <v>1299</v>
      </c>
      <c r="P466" s="49" t="s">
        <v>157</v>
      </c>
      <c r="Q466" s="96" t="s">
        <v>104</v>
      </c>
      <c r="R466" s="52">
        <v>33</v>
      </c>
      <c r="S466" s="52">
        <f>R466-T466</f>
        <v>29.464285714285715</v>
      </c>
      <c r="T466" s="52">
        <f>R466*U466/(U466+100)</f>
        <v>3.5357142857142856</v>
      </c>
      <c r="U466" s="50">
        <v>12</v>
      </c>
      <c r="V466" s="53">
        <v>0</v>
      </c>
      <c r="W466" s="147">
        <v>1</v>
      </c>
      <c r="X466" s="148" t="s">
        <v>945</v>
      </c>
      <c r="Y466" s="54">
        <f>R466*W466</f>
        <v>33</v>
      </c>
      <c r="Z466" s="52">
        <f>S466*W466</f>
        <v>29.464285714285715</v>
      </c>
      <c r="AA466" s="52">
        <f>T466*W466</f>
        <v>3.5357142857142856</v>
      </c>
      <c r="AB466" s="52">
        <f>V466*W466</f>
        <v>0</v>
      </c>
      <c r="AC466" s="53">
        <f>(R466+V466)*W466</f>
        <v>33</v>
      </c>
      <c r="AD466" s="138">
        <v>33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107</v>
      </c>
      <c r="F467" s="96" t="s">
        <v>106</v>
      </c>
      <c r="G467" s="97">
        <v>46132</v>
      </c>
      <c r="H467" s="98">
        <v>0.3437615740740741</v>
      </c>
      <c r="I467" s="50">
        <v>166004546</v>
      </c>
      <c r="J467" s="96" t="s">
        <v>157</v>
      </c>
      <c r="K467" s="49" t="s">
        <v>1300</v>
      </c>
      <c r="L467" s="39" t="s">
        <v>1301</v>
      </c>
      <c r="M467" s="49" t="s">
        <v>997</v>
      </c>
      <c r="N467" s="39" t="s">
        <v>998</v>
      </c>
      <c r="O467" s="96" t="s">
        <v>1302</v>
      </c>
      <c r="P467" s="49" t="s">
        <v>157</v>
      </c>
      <c r="Q467" s="96" t="s">
        <v>104</v>
      </c>
      <c r="R467" s="52">
        <v>24</v>
      </c>
      <c r="S467" s="52">
        <f>R467-T467</f>
        <v>21.428571428571427</v>
      </c>
      <c r="T467" s="52">
        <f>R467*U467/(U467+100)</f>
        <v>2.5714285714285716</v>
      </c>
      <c r="U467" s="50">
        <v>12</v>
      </c>
      <c r="V467" s="53">
        <v>0</v>
      </c>
      <c r="W467" s="147">
        <v>1</v>
      </c>
      <c r="X467" s="148" t="s">
        <v>945</v>
      </c>
      <c r="Y467" s="54">
        <f>R467*W467</f>
        <v>24</v>
      </c>
      <c r="Z467" s="52">
        <f>S467*W467</f>
        <v>21.428571428571427</v>
      </c>
      <c r="AA467" s="52">
        <f>T467*W467</f>
        <v>2.5714285714285716</v>
      </c>
      <c r="AB467" s="52">
        <f>V467*W467</f>
        <v>0</v>
      </c>
      <c r="AC467" s="53">
        <f>(R467+V467)*W467</f>
        <v>24</v>
      </c>
      <c r="AD467" s="138">
        <v>24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107</v>
      </c>
      <c r="F468" s="96" t="s">
        <v>106</v>
      </c>
      <c r="G468" s="97">
        <v>46132</v>
      </c>
      <c r="H468" s="98">
        <v>0.34457175925925926</v>
      </c>
      <c r="I468" s="50">
        <v>166004547</v>
      </c>
      <c r="J468" s="96" t="s">
        <v>157</v>
      </c>
      <c r="K468" s="49" t="s">
        <v>1303</v>
      </c>
      <c r="L468" s="39" t="s">
        <v>1304</v>
      </c>
      <c r="M468" s="49" t="s">
        <v>160</v>
      </c>
      <c r="N468" s="39" t="s">
        <v>239</v>
      </c>
      <c r="O468" s="96" t="s">
        <v>1305</v>
      </c>
      <c r="P468" s="49" t="s">
        <v>157</v>
      </c>
      <c r="Q468" s="96" t="s">
        <v>104</v>
      </c>
      <c r="R468" s="52">
        <v>54.9</v>
      </c>
      <c r="S468" s="52">
        <f>R468-T468</f>
        <v>49.01785714285714</v>
      </c>
      <c r="T468" s="52">
        <f>R468*U468/(U468+100)</f>
        <v>5.882142857142857</v>
      </c>
      <c r="U468" s="50">
        <v>12</v>
      </c>
      <c r="V468" s="53">
        <v>0</v>
      </c>
      <c r="W468" s="147">
        <v>1</v>
      </c>
      <c r="X468" s="148" t="s">
        <v>163</v>
      </c>
      <c r="Y468" s="54">
        <f>R468*W468</f>
        <v>54.9</v>
      </c>
      <c r="Z468" s="52">
        <f>S468*W468</f>
        <v>49.01785714285714</v>
      </c>
      <c r="AA468" s="52">
        <f>T468*W468</f>
        <v>5.882142857142857</v>
      </c>
      <c r="AB468" s="52">
        <f>V468*W468</f>
        <v>0</v>
      </c>
      <c r="AC468" s="53">
        <f>(R468+V468)*W468</f>
        <v>54.9</v>
      </c>
      <c r="AD468" s="138">
        <v>54.9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107</v>
      </c>
      <c r="F469" s="96" t="s">
        <v>106</v>
      </c>
      <c r="G469" s="97">
        <v>46132</v>
      </c>
      <c r="H469" s="98">
        <v>0.34457175925925926</v>
      </c>
      <c r="I469" s="50">
        <v>166004547</v>
      </c>
      <c r="J469" s="96" t="s">
        <v>157</v>
      </c>
      <c r="K469" s="49" t="s">
        <v>1306</v>
      </c>
      <c r="L469" s="39" t="s">
        <v>1307</v>
      </c>
      <c r="M469" s="49" t="s">
        <v>171</v>
      </c>
      <c r="N469" s="39" t="s">
        <v>161</v>
      </c>
      <c r="O469" s="96" t="s">
        <v>1308</v>
      </c>
      <c r="P469" s="49" t="s">
        <v>157</v>
      </c>
      <c r="Q469" s="96" t="s">
        <v>104</v>
      </c>
      <c r="R469" s="52">
        <v>74.9</v>
      </c>
      <c r="S469" s="52">
        <f>R469-T469</f>
        <v>66.875</v>
      </c>
      <c r="T469" s="52">
        <f>R469*U469/(U469+100)</f>
        <v>8.025</v>
      </c>
      <c r="U469" s="50">
        <v>12</v>
      </c>
      <c r="V469" s="53">
        <v>0</v>
      </c>
      <c r="W469" s="147">
        <v>1</v>
      </c>
      <c r="X469" s="148" t="s">
        <v>163</v>
      </c>
      <c r="Y469" s="54">
        <f>R469*W469</f>
        <v>74.9</v>
      </c>
      <c r="Z469" s="52">
        <f>S469*W469</f>
        <v>66.875</v>
      </c>
      <c r="AA469" s="52">
        <f>T469*W469</f>
        <v>8.025</v>
      </c>
      <c r="AB469" s="52">
        <f>V469*W469</f>
        <v>0</v>
      </c>
      <c r="AC469" s="53">
        <f>(R469+V469)*W469</f>
        <v>74.9</v>
      </c>
      <c r="AD469" s="138">
        <v>74.9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107</v>
      </c>
      <c r="F470" s="96" t="s">
        <v>106</v>
      </c>
      <c r="G470" s="97">
        <v>46132</v>
      </c>
      <c r="H470" s="98">
        <v>0.34457175925925926</v>
      </c>
      <c r="I470" s="50">
        <v>166004547</v>
      </c>
      <c r="J470" s="96" t="s">
        <v>157</v>
      </c>
      <c r="K470" s="49" t="s">
        <v>1309</v>
      </c>
      <c r="L470" s="39" t="s">
        <v>1310</v>
      </c>
      <c r="M470" s="49" t="s">
        <v>1311</v>
      </c>
      <c r="N470" s="39" t="s">
        <v>1312</v>
      </c>
      <c r="O470" s="96" t="s">
        <v>1313</v>
      </c>
      <c r="P470" s="49" t="s">
        <v>157</v>
      </c>
      <c r="Q470" s="96" t="s">
        <v>104</v>
      </c>
      <c r="R470" s="52">
        <v>72.9</v>
      </c>
      <c r="S470" s="52">
        <f>R470-T470</f>
        <v>60.247933884297524</v>
      </c>
      <c r="T470" s="52">
        <f>R470*U470/(U470+100)</f>
        <v>12.65206611570248</v>
      </c>
      <c r="U470" s="50">
        <v>21</v>
      </c>
      <c r="V470" s="53">
        <v>0</v>
      </c>
      <c r="W470" s="147">
        <v>1</v>
      </c>
      <c r="X470" s="148" t="s">
        <v>163</v>
      </c>
      <c r="Y470" s="54">
        <f>R470*W470</f>
        <v>72.9</v>
      </c>
      <c r="Z470" s="52">
        <f>S470*W470</f>
        <v>60.247933884297524</v>
      </c>
      <c r="AA470" s="52">
        <f>T470*W470</f>
        <v>12.65206611570248</v>
      </c>
      <c r="AB470" s="52">
        <f>V470*W470</f>
        <v>0</v>
      </c>
      <c r="AC470" s="53">
        <f>(R470+V470)*W470</f>
        <v>72.9</v>
      </c>
      <c r="AD470" s="138">
        <v>72.9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107</v>
      </c>
      <c r="F471" s="96" t="s">
        <v>106</v>
      </c>
      <c r="G471" s="97">
        <v>46132</v>
      </c>
      <c r="H471" s="98">
        <v>0.34457175925925926</v>
      </c>
      <c r="I471" s="50">
        <v>166004547</v>
      </c>
      <c r="J471" s="96" t="s">
        <v>157</v>
      </c>
      <c r="K471" s="49" t="s">
        <v>183</v>
      </c>
      <c r="L471" s="39" t="s">
        <v>184</v>
      </c>
      <c r="M471" s="49" t="s">
        <v>185</v>
      </c>
      <c r="N471" s="39" t="s">
        <v>186</v>
      </c>
      <c r="O471" s="96" t="s">
        <v>988</v>
      </c>
      <c r="P471" s="49" t="s">
        <v>157</v>
      </c>
      <c r="Q471" s="96" t="s">
        <v>104</v>
      </c>
      <c r="R471" s="52">
        <v>1.9</v>
      </c>
      <c r="S471" s="52">
        <f>R471-T471</f>
        <v>1.5702479338842974</v>
      </c>
      <c r="T471" s="52">
        <f>R471*U471/(U471+100)</f>
        <v>0.32975206611570246</v>
      </c>
      <c r="U471" s="50">
        <v>21</v>
      </c>
      <c r="V471" s="53">
        <v>0</v>
      </c>
      <c r="W471" s="147">
        <v>1</v>
      </c>
      <c r="X471" s="148" t="s">
        <v>163</v>
      </c>
      <c r="Y471" s="54">
        <f>R471*W471</f>
        <v>1.9</v>
      </c>
      <c r="Z471" s="52">
        <f>S471*W471</f>
        <v>1.5702479338842974</v>
      </c>
      <c r="AA471" s="52">
        <f>T471*W471</f>
        <v>0.32975206611570246</v>
      </c>
      <c r="AB471" s="52">
        <f>V471*W471</f>
        <v>0</v>
      </c>
      <c r="AC471" s="53">
        <f>(R471+V471)*W471</f>
        <v>1.9</v>
      </c>
      <c r="AD471" s="138">
        <v>1.9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107</v>
      </c>
      <c r="F472" s="96" t="s">
        <v>106</v>
      </c>
      <c r="G472" s="97">
        <v>46132</v>
      </c>
      <c r="H472" s="98">
        <v>0.34457175925925926</v>
      </c>
      <c r="I472" s="50">
        <v>166004547</v>
      </c>
      <c r="J472" s="96" t="s">
        <v>157</v>
      </c>
      <c r="K472" s="49" t="s">
        <v>293</v>
      </c>
      <c r="L472" s="39" t="s">
        <v>294</v>
      </c>
      <c r="M472" s="49" t="s">
        <v>295</v>
      </c>
      <c r="N472" s="39" t="s">
        <v>296</v>
      </c>
      <c r="O472" s="96" t="s">
        <v>297</v>
      </c>
      <c r="P472" s="49" t="s">
        <v>157</v>
      </c>
      <c r="Q472" s="96" t="s">
        <v>104</v>
      </c>
      <c r="R472" s="52">
        <v>2.9</v>
      </c>
      <c r="S472" s="52">
        <f>R472-T472</f>
        <v>2.5892857142857144</v>
      </c>
      <c r="T472" s="52">
        <f>R472*U472/(U472+100)</f>
        <v>0.31071428571428567</v>
      </c>
      <c r="U472" s="50">
        <v>12</v>
      </c>
      <c r="V472" s="53">
        <v>0</v>
      </c>
      <c r="W472" s="147">
        <v>12</v>
      </c>
      <c r="X472" s="148" t="s">
        <v>163</v>
      </c>
      <c r="Y472" s="54">
        <f>R472*W472</f>
        <v>34.8</v>
      </c>
      <c r="Z472" s="52">
        <f>S472*W472</f>
        <v>31.071428571428573</v>
      </c>
      <c r="AA472" s="52">
        <f>T472*W472</f>
        <v>3.7285714285714278</v>
      </c>
      <c r="AB472" s="52">
        <f>V472*W472</f>
        <v>0</v>
      </c>
      <c r="AC472" s="53">
        <f>(R472+V472)*W472</f>
        <v>34.8</v>
      </c>
      <c r="AD472" s="138">
        <v>2.9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107</v>
      </c>
      <c r="F473" s="96" t="s">
        <v>106</v>
      </c>
      <c r="G473" s="97">
        <v>46132</v>
      </c>
      <c r="H473" s="98">
        <v>0.34630787037037036</v>
      </c>
      <c r="I473" s="50">
        <v>166004548</v>
      </c>
      <c r="J473" s="96" t="s">
        <v>157</v>
      </c>
      <c r="K473" s="49" t="s">
        <v>1314</v>
      </c>
      <c r="L473" s="39" t="s">
        <v>1315</v>
      </c>
      <c r="M473" s="49" t="s">
        <v>527</v>
      </c>
      <c r="N473" s="39" t="s">
        <v>528</v>
      </c>
      <c r="O473" s="96" t="s">
        <v>1316</v>
      </c>
      <c r="P473" s="49" t="s">
        <v>157</v>
      </c>
      <c r="Q473" s="96" t="s">
        <v>104</v>
      </c>
      <c r="R473" s="52">
        <v>27.9</v>
      </c>
      <c r="S473" s="52">
        <f>R473-T473</f>
        <v>24.910714285714285</v>
      </c>
      <c r="T473" s="52">
        <f>R473*U473/(U473+100)</f>
        <v>2.989285714285714</v>
      </c>
      <c r="U473" s="50">
        <v>12</v>
      </c>
      <c r="V473" s="53">
        <v>0</v>
      </c>
      <c r="W473" s="147">
        <v>1</v>
      </c>
      <c r="X473" s="148" t="s">
        <v>163</v>
      </c>
      <c r="Y473" s="54">
        <f>R473*W473</f>
        <v>27.9</v>
      </c>
      <c r="Z473" s="52">
        <f>S473*W473</f>
        <v>24.910714285714285</v>
      </c>
      <c r="AA473" s="52">
        <f>T473*W473</f>
        <v>2.989285714285714</v>
      </c>
      <c r="AB473" s="52">
        <f>V473*W473</f>
        <v>0</v>
      </c>
      <c r="AC473" s="53">
        <f>(R473+V473)*W473</f>
        <v>27.9</v>
      </c>
      <c r="AD473" s="138">
        <v>27.9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107</v>
      </c>
      <c r="F474" s="96" t="s">
        <v>106</v>
      </c>
      <c r="G474" s="97">
        <v>46132</v>
      </c>
      <c r="H474" s="98">
        <v>0.34630787037037036</v>
      </c>
      <c r="I474" s="50">
        <v>166004548</v>
      </c>
      <c r="J474" s="96" t="s">
        <v>157</v>
      </c>
      <c r="K474" s="49" t="s">
        <v>1314</v>
      </c>
      <c r="L474" s="39" t="s">
        <v>1315</v>
      </c>
      <c r="M474" s="49" t="s">
        <v>527</v>
      </c>
      <c r="N474" s="39" t="s">
        <v>528</v>
      </c>
      <c r="O474" s="96" t="s">
        <v>1316</v>
      </c>
      <c r="P474" s="49" t="s">
        <v>157</v>
      </c>
      <c r="Q474" s="96" t="s">
        <v>104</v>
      </c>
      <c r="R474" s="52">
        <v>27.9</v>
      </c>
      <c r="S474" s="52">
        <f>R474-T474</f>
        <v>24.910714285714285</v>
      </c>
      <c r="T474" s="52">
        <f>R474*U474/(U474+100)</f>
        <v>2.989285714285714</v>
      </c>
      <c r="U474" s="50">
        <v>12</v>
      </c>
      <c r="V474" s="53">
        <v>0</v>
      </c>
      <c r="W474" s="147">
        <v>1</v>
      </c>
      <c r="X474" s="148" t="s">
        <v>163</v>
      </c>
      <c r="Y474" s="54">
        <f>R474*W474</f>
        <v>27.9</v>
      </c>
      <c r="Z474" s="52">
        <f>S474*W474</f>
        <v>24.910714285714285</v>
      </c>
      <c r="AA474" s="52">
        <f>T474*W474</f>
        <v>2.989285714285714</v>
      </c>
      <c r="AB474" s="52">
        <f>V474*W474</f>
        <v>0</v>
      </c>
      <c r="AC474" s="53">
        <f>(R474+V474)*W474</f>
        <v>27.9</v>
      </c>
      <c r="AD474" s="138">
        <v>27.9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107</v>
      </c>
      <c r="F475" s="96" t="s">
        <v>106</v>
      </c>
      <c r="G475" s="97">
        <v>46132</v>
      </c>
      <c r="H475" s="98">
        <v>0.34630787037037036</v>
      </c>
      <c r="I475" s="50">
        <v>166004548</v>
      </c>
      <c r="J475" s="96" t="s">
        <v>157</v>
      </c>
      <c r="K475" s="49" t="s">
        <v>553</v>
      </c>
      <c r="L475" s="39" t="s">
        <v>104</v>
      </c>
      <c r="M475" s="49" t="s">
        <v>554</v>
      </c>
      <c r="N475" s="39" t="s">
        <v>296</v>
      </c>
      <c r="O475" s="96" t="s">
        <v>555</v>
      </c>
      <c r="P475" s="49" t="s">
        <v>157</v>
      </c>
      <c r="Q475" s="96" t="s">
        <v>104</v>
      </c>
      <c r="R475" s="52">
        <v>8.9</v>
      </c>
      <c r="S475" s="52">
        <f>R475-T475</f>
        <v>7.946428571428572</v>
      </c>
      <c r="T475" s="52">
        <f>R475*U475/(U475+100)</f>
        <v>0.9535714285714286</v>
      </c>
      <c r="U475" s="50">
        <v>12</v>
      </c>
      <c r="V475" s="53">
        <v>0</v>
      </c>
      <c r="W475" s="147">
        <v>4</v>
      </c>
      <c r="X475" s="148" t="s">
        <v>163</v>
      </c>
      <c r="Y475" s="54">
        <f>R475*W475</f>
        <v>35.6</v>
      </c>
      <c r="Z475" s="52">
        <f>S475*W475</f>
        <v>31.78571428571429</v>
      </c>
      <c r="AA475" s="52">
        <f>T475*W475</f>
        <v>3.8142857142857145</v>
      </c>
      <c r="AB475" s="52">
        <f>V475*W475</f>
        <v>0</v>
      </c>
      <c r="AC475" s="53">
        <f>(R475+V475)*W475</f>
        <v>35.6</v>
      </c>
      <c r="AD475" s="138">
        <v>8.9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107</v>
      </c>
      <c r="F476" s="96" t="s">
        <v>106</v>
      </c>
      <c r="G476" s="97">
        <v>46132</v>
      </c>
      <c r="H476" s="98">
        <v>0.3469212962962963</v>
      </c>
      <c r="I476" s="50">
        <v>166004549</v>
      </c>
      <c r="J476" s="96" t="s">
        <v>157</v>
      </c>
      <c r="K476" s="49" t="s">
        <v>571</v>
      </c>
      <c r="L476" s="39" t="s">
        <v>572</v>
      </c>
      <c r="M476" s="49" t="s">
        <v>568</v>
      </c>
      <c r="N476" s="39" t="s">
        <v>569</v>
      </c>
      <c r="O476" s="96" t="s">
        <v>1317</v>
      </c>
      <c r="P476" s="49" t="s">
        <v>157</v>
      </c>
      <c r="Q476" s="96" t="s">
        <v>104</v>
      </c>
      <c r="R476" s="52">
        <v>21.9</v>
      </c>
      <c r="S476" s="52">
        <f>R476-T476</f>
        <v>19.553571428571427</v>
      </c>
      <c r="T476" s="52">
        <f>R476*U476/(U476+100)</f>
        <v>2.346428571428571</v>
      </c>
      <c r="U476" s="50">
        <v>12</v>
      </c>
      <c r="V476" s="53">
        <v>0</v>
      </c>
      <c r="W476" s="147">
        <v>1</v>
      </c>
      <c r="X476" s="148" t="s">
        <v>163</v>
      </c>
      <c r="Y476" s="54">
        <f>R476*W476</f>
        <v>21.9</v>
      </c>
      <c r="Z476" s="52">
        <f>S476*W476</f>
        <v>19.553571428571427</v>
      </c>
      <c r="AA476" s="52">
        <f>T476*W476</f>
        <v>2.346428571428571</v>
      </c>
      <c r="AB476" s="52">
        <f>V476*W476</f>
        <v>0</v>
      </c>
      <c r="AC476" s="53">
        <f>(R476+V476)*W476</f>
        <v>21.9</v>
      </c>
      <c r="AD476" s="138">
        <v>21.9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107</v>
      </c>
      <c r="F477" s="96" t="s">
        <v>106</v>
      </c>
      <c r="G477" s="97">
        <v>46132</v>
      </c>
      <c r="H477" s="98">
        <v>0.3469212962962963</v>
      </c>
      <c r="I477" s="50">
        <v>166004549</v>
      </c>
      <c r="J477" s="96" t="s">
        <v>157</v>
      </c>
      <c r="K477" s="49" t="s">
        <v>598</v>
      </c>
      <c r="L477" s="39" t="s">
        <v>599</v>
      </c>
      <c r="M477" s="49" t="s">
        <v>600</v>
      </c>
      <c r="N477" s="39" t="s">
        <v>601</v>
      </c>
      <c r="O477" s="96" t="s">
        <v>1318</v>
      </c>
      <c r="P477" s="49" t="s">
        <v>235</v>
      </c>
      <c r="Q477" s="96" t="s">
        <v>236</v>
      </c>
      <c r="R477" s="52">
        <v>29.9</v>
      </c>
      <c r="S477" s="52">
        <f>R477-T477</f>
        <v>26.69642857142857</v>
      </c>
      <c r="T477" s="52">
        <f>R477*U477/(U477+100)</f>
        <v>3.2035714285714283</v>
      </c>
      <c r="U477" s="50">
        <v>12</v>
      </c>
      <c r="V477" s="53">
        <v>0</v>
      </c>
      <c r="W477" s="147">
        <v>1</v>
      </c>
      <c r="X477" s="148" t="s">
        <v>163</v>
      </c>
      <c r="Y477" s="54">
        <f>R477*W477</f>
        <v>29.9</v>
      </c>
      <c r="Z477" s="52">
        <f>S477*W477</f>
        <v>26.69642857142857</v>
      </c>
      <c r="AA477" s="52">
        <f>T477*W477</f>
        <v>3.2035714285714283</v>
      </c>
      <c r="AB477" s="52">
        <f>V477*W477</f>
        <v>0</v>
      </c>
      <c r="AC477" s="53">
        <f>(R477+V477)*W477</f>
        <v>29.9</v>
      </c>
      <c r="AD477" s="138">
        <v>29.9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107</v>
      </c>
      <c r="F478" s="96" t="s">
        <v>106</v>
      </c>
      <c r="G478" s="97">
        <v>46132</v>
      </c>
      <c r="H478" s="98">
        <v>0.3469212962962963</v>
      </c>
      <c r="I478" s="50">
        <v>166004549</v>
      </c>
      <c r="J478" s="96" t="s">
        <v>157</v>
      </c>
      <c r="K478" s="49" t="s">
        <v>1319</v>
      </c>
      <c r="L478" s="39" t="s">
        <v>1320</v>
      </c>
      <c r="M478" s="49" t="s">
        <v>1120</v>
      </c>
      <c r="N478" s="39" t="s">
        <v>1068</v>
      </c>
      <c r="O478" s="96" t="s">
        <v>1321</v>
      </c>
      <c r="P478" s="49" t="s">
        <v>157</v>
      </c>
      <c r="Q478" s="96" t="s">
        <v>104</v>
      </c>
      <c r="R478" s="52">
        <v>24.9</v>
      </c>
      <c r="S478" s="52">
        <f>R478-T478</f>
        <v>22.232142857142858</v>
      </c>
      <c r="T478" s="52">
        <f>R478*U478/(U478+100)</f>
        <v>2.6678571428571423</v>
      </c>
      <c r="U478" s="50">
        <v>12</v>
      </c>
      <c r="V478" s="53">
        <v>0</v>
      </c>
      <c r="W478" s="147">
        <v>1</v>
      </c>
      <c r="X478" s="148" t="s">
        <v>163</v>
      </c>
      <c r="Y478" s="54">
        <f>R478*W478</f>
        <v>24.9</v>
      </c>
      <c r="Z478" s="52">
        <f>S478*W478</f>
        <v>22.232142857142858</v>
      </c>
      <c r="AA478" s="52">
        <f>T478*W478</f>
        <v>2.6678571428571423</v>
      </c>
      <c r="AB478" s="52">
        <f>V478*W478</f>
        <v>0</v>
      </c>
      <c r="AC478" s="53">
        <f>(R478+V478)*W478</f>
        <v>24.9</v>
      </c>
      <c r="AD478" s="138">
        <v>24.9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107</v>
      </c>
      <c r="F479" s="96" t="s">
        <v>106</v>
      </c>
      <c r="G479" s="97">
        <v>46132</v>
      </c>
      <c r="H479" s="98">
        <v>0.3469212962962963</v>
      </c>
      <c r="I479" s="50">
        <v>166004549</v>
      </c>
      <c r="J479" s="96" t="s">
        <v>157</v>
      </c>
      <c r="K479" s="49" t="s">
        <v>1322</v>
      </c>
      <c r="L479" s="39" t="s">
        <v>1323</v>
      </c>
      <c r="M479" s="49" t="s">
        <v>300</v>
      </c>
      <c r="N479" s="39" t="s">
        <v>1324</v>
      </c>
      <c r="O479" s="96" t="s">
        <v>1325</v>
      </c>
      <c r="P479" s="49" t="s">
        <v>157</v>
      </c>
      <c r="Q479" s="96" t="s">
        <v>104</v>
      </c>
      <c r="R479" s="52">
        <v>37.9</v>
      </c>
      <c r="S479" s="52">
        <f>R479-T479</f>
        <v>33.839285714285715</v>
      </c>
      <c r="T479" s="52">
        <f>R479*U479/(U479+100)</f>
        <v>4.060714285714285</v>
      </c>
      <c r="U479" s="50">
        <v>12</v>
      </c>
      <c r="V479" s="53">
        <v>0</v>
      </c>
      <c r="W479" s="147">
        <v>1</v>
      </c>
      <c r="X479" s="148" t="s">
        <v>163</v>
      </c>
      <c r="Y479" s="54">
        <f>R479*W479</f>
        <v>37.9</v>
      </c>
      <c r="Z479" s="52">
        <f>S479*W479</f>
        <v>33.839285714285715</v>
      </c>
      <c r="AA479" s="52">
        <f>T479*W479</f>
        <v>4.060714285714285</v>
      </c>
      <c r="AB479" s="52">
        <f>V479*W479</f>
        <v>0</v>
      </c>
      <c r="AC479" s="53">
        <f>(R479+V479)*W479</f>
        <v>37.9</v>
      </c>
      <c r="AD479" s="138">
        <v>37.9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107</v>
      </c>
      <c r="F480" s="96" t="s">
        <v>106</v>
      </c>
      <c r="G480" s="97">
        <v>46132</v>
      </c>
      <c r="H480" s="98">
        <v>0.3469212962962963</v>
      </c>
      <c r="I480" s="50">
        <v>166004549</v>
      </c>
      <c r="J480" s="96" t="s">
        <v>157</v>
      </c>
      <c r="K480" s="49" t="s">
        <v>1326</v>
      </c>
      <c r="L480" s="39" t="s">
        <v>1327</v>
      </c>
      <c r="M480" s="49" t="s">
        <v>190</v>
      </c>
      <c r="N480" s="39" t="s">
        <v>462</v>
      </c>
      <c r="O480" s="96" t="s">
        <v>1328</v>
      </c>
      <c r="P480" s="49" t="s">
        <v>157</v>
      </c>
      <c r="Q480" s="96" t="s">
        <v>104</v>
      </c>
      <c r="R480" s="52">
        <v>33.9</v>
      </c>
      <c r="S480" s="52">
        <f>R480-T480</f>
        <v>30.267857142857142</v>
      </c>
      <c r="T480" s="52">
        <f>R480*U480/(U480+100)</f>
        <v>3.6321428571428567</v>
      </c>
      <c r="U480" s="50">
        <v>12</v>
      </c>
      <c r="V480" s="53">
        <v>0</v>
      </c>
      <c r="W480" s="147">
        <v>1</v>
      </c>
      <c r="X480" s="148" t="s">
        <v>163</v>
      </c>
      <c r="Y480" s="54">
        <f>R480*W480</f>
        <v>33.9</v>
      </c>
      <c r="Z480" s="52">
        <f>S480*W480</f>
        <v>30.267857142857142</v>
      </c>
      <c r="AA480" s="52">
        <f>T480*W480</f>
        <v>3.6321428571428567</v>
      </c>
      <c r="AB480" s="52">
        <f>V480*W480</f>
        <v>0</v>
      </c>
      <c r="AC480" s="53">
        <f>(R480+V480)*W480</f>
        <v>33.9</v>
      </c>
      <c r="AD480" s="138">
        <v>33.9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107</v>
      </c>
      <c r="F481" s="96" t="s">
        <v>106</v>
      </c>
      <c r="G481" s="97">
        <v>46132</v>
      </c>
      <c r="H481" s="98">
        <v>0.3469212962962963</v>
      </c>
      <c r="I481" s="50">
        <v>166004549</v>
      </c>
      <c r="J481" s="96" t="s">
        <v>157</v>
      </c>
      <c r="K481" s="49" t="s">
        <v>1329</v>
      </c>
      <c r="L481" s="39" t="s">
        <v>1330</v>
      </c>
      <c r="M481" s="49" t="s">
        <v>403</v>
      </c>
      <c r="N481" s="39" t="s">
        <v>373</v>
      </c>
      <c r="O481" s="96" t="s">
        <v>1331</v>
      </c>
      <c r="P481" s="49" t="s">
        <v>157</v>
      </c>
      <c r="Q481" s="96" t="s">
        <v>104</v>
      </c>
      <c r="R481" s="52">
        <v>171.9</v>
      </c>
      <c r="S481" s="52">
        <f>R481-T481</f>
        <v>153.48214285714286</v>
      </c>
      <c r="T481" s="52">
        <f>R481*U481/(U481+100)</f>
        <v>18.417857142857144</v>
      </c>
      <c r="U481" s="50">
        <v>12</v>
      </c>
      <c r="V481" s="53">
        <v>0</v>
      </c>
      <c r="W481" s="147">
        <v>0.208</v>
      </c>
      <c r="X481" s="148" t="s">
        <v>193</v>
      </c>
      <c r="Y481" s="54">
        <f>R481*W481</f>
        <v>35.7552</v>
      </c>
      <c r="Z481" s="52">
        <f>S481*W481</f>
        <v>31.924285714285713</v>
      </c>
      <c r="AA481" s="52">
        <f>T481*W481</f>
        <v>3.830914285714286</v>
      </c>
      <c r="AB481" s="52">
        <f>V481*W481</f>
        <v>0</v>
      </c>
      <c r="AC481" s="53">
        <f>(R481+V481)*W481</f>
        <v>35.7552</v>
      </c>
      <c r="AD481" s="138">
        <v>171.9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107</v>
      </c>
      <c r="F482" s="96" t="s">
        <v>106</v>
      </c>
      <c r="G482" s="97">
        <v>46132</v>
      </c>
      <c r="H482" s="98">
        <v>0.3469212962962963</v>
      </c>
      <c r="I482" s="50">
        <v>166004549</v>
      </c>
      <c r="J482" s="96" t="s">
        <v>157</v>
      </c>
      <c r="K482" s="49" t="s">
        <v>553</v>
      </c>
      <c r="L482" s="39" t="s">
        <v>104</v>
      </c>
      <c r="M482" s="49" t="s">
        <v>554</v>
      </c>
      <c r="N482" s="39" t="s">
        <v>296</v>
      </c>
      <c r="O482" s="96" t="s">
        <v>555</v>
      </c>
      <c r="P482" s="49" t="s">
        <v>157</v>
      </c>
      <c r="Q482" s="96" t="s">
        <v>104</v>
      </c>
      <c r="R482" s="52">
        <v>8.9</v>
      </c>
      <c r="S482" s="52">
        <f>R482-T482</f>
        <v>7.946428571428572</v>
      </c>
      <c r="T482" s="52">
        <f>R482*U482/(U482+100)</f>
        <v>0.9535714285714286</v>
      </c>
      <c r="U482" s="50">
        <v>12</v>
      </c>
      <c r="V482" s="53">
        <v>0</v>
      </c>
      <c r="W482" s="147">
        <v>2</v>
      </c>
      <c r="X482" s="148" t="s">
        <v>163</v>
      </c>
      <c r="Y482" s="54">
        <f>R482*W482</f>
        <v>17.8</v>
      </c>
      <c r="Z482" s="52">
        <f>S482*W482</f>
        <v>15.892857142857144</v>
      </c>
      <c r="AA482" s="52">
        <f>T482*W482</f>
        <v>1.9071428571428573</v>
      </c>
      <c r="AB482" s="52">
        <f>V482*W482</f>
        <v>0</v>
      </c>
      <c r="AC482" s="53">
        <f>(R482+V482)*W482</f>
        <v>17.8</v>
      </c>
      <c r="AD482" s="138">
        <v>8.9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107</v>
      </c>
      <c r="F483" s="96" t="s">
        <v>106</v>
      </c>
      <c r="G483" s="97">
        <v>46132</v>
      </c>
      <c r="H483" s="98">
        <v>0.3469212962962963</v>
      </c>
      <c r="I483" s="50">
        <v>166004549</v>
      </c>
      <c r="J483" s="96" t="s">
        <v>157</v>
      </c>
      <c r="K483" s="49" t="s">
        <v>942</v>
      </c>
      <c r="L483" s="39"/>
      <c r="M483" s="49" t="s">
        <v>295</v>
      </c>
      <c r="N483" s="39" t="s">
        <v>433</v>
      </c>
      <c r="O483" s="96" t="s">
        <v>1332</v>
      </c>
      <c r="P483" s="49" t="s">
        <v>235</v>
      </c>
      <c r="Q483" s="96" t="s">
        <v>944</v>
      </c>
      <c r="R483" s="52">
        <v>9.9</v>
      </c>
      <c r="S483" s="52">
        <f>R483-T483</f>
        <v>8.839285714285715</v>
      </c>
      <c r="T483" s="52">
        <f>R483*U483/(U483+100)</f>
        <v>1.0607142857142857</v>
      </c>
      <c r="U483" s="50">
        <v>12</v>
      </c>
      <c r="V483" s="53">
        <v>0</v>
      </c>
      <c r="W483" s="147">
        <v>1</v>
      </c>
      <c r="X483" s="148" t="s">
        <v>945</v>
      </c>
      <c r="Y483" s="54">
        <f>R483*W483</f>
        <v>9.9</v>
      </c>
      <c r="Z483" s="52">
        <f>S483*W483</f>
        <v>8.839285714285715</v>
      </c>
      <c r="AA483" s="52">
        <f>T483*W483</f>
        <v>1.0607142857142857</v>
      </c>
      <c r="AB483" s="52">
        <f>V483*W483</f>
        <v>0</v>
      </c>
      <c r="AC483" s="53">
        <f>(R483+V483)*W483</f>
        <v>9.9</v>
      </c>
      <c r="AD483" s="138">
        <v>9.9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107</v>
      </c>
      <c r="F484" s="96" t="s">
        <v>106</v>
      </c>
      <c r="G484" s="97">
        <v>46132</v>
      </c>
      <c r="H484" s="98">
        <v>0.3476273148148148</v>
      </c>
      <c r="I484" s="50">
        <v>166004550</v>
      </c>
      <c r="J484" s="96" t="s">
        <v>157</v>
      </c>
      <c r="K484" s="49" t="s">
        <v>1333</v>
      </c>
      <c r="L484" s="39" t="s">
        <v>1334</v>
      </c>
      <c r="M484" s="49" t="s">
        <v>429</v>
      </c>
      <c r="N484" s="39" t="s">
        <v>1335</v>
      </c>
      <c r="O484" s="96" t="s">
        <v>1336</v>
      </c>
      <c r="P484" s="49" t="s">
        <v>157</v>
      </c>
      <c r="Q484" s="96" t="s">
        <v>104</v>
      </c>
      <c r="R484" s="52">
        <v>112.9</v>
      </c>
      <c r="S484" s="52">
        <f>R484-T484</f>
        <v>100.80357142857143</v>
      </c>
      <c r="T484" s="52">
        <f>R484*U484/(U484+100)</f>
        <v>12.096428571428573</v>
      </c>
      <c r="U484" s="50">
        <v>12</v>
      </c>
      <c r="V484" s="53">
        <v>0</v>
      </c>
      <c r="W484" s="147">
        <v>1</v>
      </c>
      <c r="X484" s="148" t="s">
        <v>163</v>
      </c>
      <c r="Y484" s="54">
        <f>R484*W484</f>
        <v>112.9</v>
      </c>
      <c r="Z484" s="52">
        <f>S484*W484</f>
        <v>100.80357142857143</v>
      </c>
      <c r="AA484" s="52">
        <f>T484*W484</f>
        <v>12.096428571428573</v>
      </c>
      <c r="AB484" s="52">
        <f>V484*W484</f>
        <v>0</v>
      </c>
      <c r="AC484" s="53">
        <f>(R484+V484)*W484</f>
        <v>112.9</v>
      </c>
      <c r="AD484" s="138">
        <v>112.9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107</v>
      </c>
      <c r="F485" s="96" t="s">
        <v>106</v>
      </c>
      <c r="G485" s="97">
        <v>46132</v>
      </c>
      <c r="H485" s="98">
        <v>0.3476273148148148</v>
      </c>
      <c r="I485" s="50">
        <v>166004550</v>
      </c>
      <c r="J485" s="96" t="s">
        <v>157</v>
      </c>
      <c r="K485" s="49" t="s">
        <v>1337</v>
      </c>
      <c r="L485" s="39" t="s">
        <v>1338</v>
      </c>
      <c r="M485" s="49" t="s">
        <v>1339</v>
      </c>
      <c r="N485" s="39" t="s">
        <v>1068</v>
      </c>
      <c r="O485" s="96" t="s">
        <v>1340</v>
      </c>
      <c r="P485" s="49" t="s">
        <v>157</v>
      </c>
      <c r="Q485" s="96" t="s">
        <v>104</v>
      </c>
      <c r="R485" s="52">
        <v>27.9</v>
      </c>
      <c r="S485" s="52">
        <f>R485-T485</f>
        <v>24.910714285714285</v>
      </c>
      <c r="T485" s="52">
        <f>R485*U485/(U485+100)</f>
        <v>2.989285714285714</v>
      </c>
      <c r="U485" s="50">
        <v>12</v>
      </c>
      <c r="V485" s="53">
        <v>0</v>
      </c>
      <c r="W485" s="147">
        <v>1</v>
      </c>
      <c r="X485" s="148" t="s">
        <v>163</v>
      </c>
      <c r="Y485" s="54">
        <f>R485*W485</f>
        <v>27.9</v>
      </c>
      <c r="Z485" s="52">
        <f>S485*W485</f>
        <v>24.910714285714285</v>
      </c>
      <c r="AA485" s="52">
        <f>T485*W485</f>
        <v>2.989285714285714</v>
      </c>
      <c r="AB485" s="52">
        <f>V485*W485</f>
        <v>0</v>
      </c>
      <c r="AC485" s="53">
        <f>(R485+V485)*W485</f>
        <v>27.9</v>
      </c>
      <c r="AD485" s="138">
        <v>27.9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107</v>
      </c>
      <c r="F486" s="96" t="s">
        <v>106</v>
      </c>
      <c r="G486" s="97">
        <v>46132</v>
      </c>
      <c r="H486" s="98">
        <v>0.3476273148148148</v>
      </c>
      <c r="I486" s="50">
        <v>166004550</v>
      </c>
      <c r="J486" s="96" t="s">
        <v>157</v>
      </c>
      <c r="K486" s="49" t="s">
        <v>686</v>
      </c>
      <c r="L486" s="39" t="s">
        <v>687</v>
      </c>
      <c r="M486" s="49" t="s">
        <v>369</v>
      </c>
      <c r="N486" s="39" t="s">
        <v>688</v>
      </c>
      <c r="O486" s="96" t="s">
        <v>1341</v>
      </c>
      <c r="P486" s="49" t="s">
        <v>157</v>
      </c>
      <c r="Q486" s="96" t="s">
        <v>104</v>
      </c>
      <c r="R486" s="52">
        <v>227.9</v>
      </c>
      <c r="S486" s="52">
        <f>R486-T486</f>
        <v>203.48214285714286</v>
      </c>
      <c r="T486" s="52">
        <f>R486*U486/(U486+100)</f>
        <v>24.417857142857144</v>
      </c>
      <c r="U486" s="50">
        <v>12</v>
      </c>
      <c r="V486" s="53">
        <v>0</v>
      </c>
      <c r="W486" s="147">
        <v>0.318</v>
      </c>
      <c r="X486" s="148" t="s">
        <v>193</v>
      </c>
      <c r="Y486" s="54">
        <f>R486*W486</f>
        <v>72.4722</v>
      </c>
      <c r="Z486" s="52">
        <f>S486*W486</f>
        <v>64.70732142857143</v>
      </c>
      <c r="AA486" s="52">
        <f>T486*W486</f>
        <v>7.764878571428572</v>
      </c>
      <c r="AB486" s="52">
        <f>V486*W486</f>
        <v>0</v>
      </c>
      <c r="AC486" s="53">
        <f>(R486+V486)*W486</f>
        <v>72.4722</v>
      </c>
      <c r="AD486" s="138">
        <v>227.9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107</v>
      </c>
      <c r="F487" s="96" t="s">
        <v>106</v>
      </c>
      <c r="G487" s="97">
        <v>46132</v>
      </c>
      <c r="H487" s="98">
        <v>0.3476273148148148</v>
      </c>
      <c r="I487" s="50">
        <v>166004550</v>
      </c>
      <c r="J487" s="96" t="s">
        <v>157</v>
      </c>
      <c r="K487" s="49" t="s">
        <v>848</v>
      </c>
      <c r="L487" s="39" t="s">
        <v>849</v>
      </c>
      <c r="M487" s="49" t="s">
        <v>522</v>
      </c>
      <c r="N487" s="39" t="s">
        <v>688</v>
      </c>
      <c r="O487" s="96" t="s">
        <v>1342</v>
      </c>
      <c r="P487" s="49" t="s">
        <v>157</v>
      </c>
      <c r="Q487" s="96" t="s">
        <v>104</v>
      </c>
      <c r="R487" s="52">
        <v>158.9</v>
      </c>
      <c r="S487" s="52">
        <f>R487-T487</f>
        <v>141.875</v>
      </c>
      <c r="T487" s="52">
        <f>R487*U487/(U487+100)</f>
        <v>17.025000000000002</v>
      </c>
      <c r="U487" s="50">
        <v>12</v>
      </c>
      <c r="V487" s="53">
        <v>0</v>
      </c>
      <c r="W487" s="147">
        <v>0.208</v>
      </c>
      <c r="X487" s="148" t="s">
        <v>193</v>
      </c>
      <c r="Y487" s="54">
        <f>R487*W487</f>
        <v>33.0512</v>
      </c>
      <c r="Z487" s="52">
        <f>S487*W487</f>
        <v>29.509999999999998</v>
      </c>
      <c r="AA487" s="52">
        <f>T487*W487</f>
        <v>3.5412000000000003</v>
      </c>
      <c r="AB487" s="52">
        <f>V487*W487</f>
        <v>0</v>
      </c>
      <c r="AC487" s="53">
        <f>(R487+V487)*W487</f>
        <v>33.0512</v>
      </c>
      <c r="AD487" s="138">
        <v>158.9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107</v>
      </c>
      <c r="F488" s="96" t="s">
        <v>106</v>
      </c>
      <c r="G488" s="97">
        <v>46132</v>
      </c>
      <c r="H488" s="98">
        <v>0.3476273148148148</v>
      </c>
      <c r="I488" s="50">
        <v>166004550</v>
      </c>
      <c r="J488" s="96" t="s">
        <v>157</v>
      </c>
      <c r="K488" s="49" t="s">
        <v>1343</v>
      </c>
      <c r="L488" s="39" t="s">
        <v>1344</v>
      </c>
      <c r="M488" s="49" t="s">
        <v>522</v>
      </c>
      <c r="N488" s="39" t="s">
        <v>440</v>
      </c>
      <c r="O488" s="96" t="s">
        <v>1345</v>
      </c>
      <c r="P488" s="49" t="s">
        <v>157</v>
      </c>
      <c r="Q488" s="96" t="s">
        <v>104</v>
      </c>
      <c r="R488" s="52">
        <v>199.9</v>
      </c>
      <c r="S488" s="52">
        <f>R488-T488</f>
        <v>178.48214285714286</v>
      </c>
      <c r="T488" s="52">
        <f>R488*U488/(U488+100)</f>
        <v>21.417857142857144</v>
      </c>
      <c r="U488" s="50">
        <v>12</v>
      </c>
      <c r="V488" s="53">
        <v>0</v>
      </c>
      <c r="W488" s="147">
        <v>0.206</v>
      </c>
      <c r="X488" s="148" t="s">
        <v>193</v>
      </c>
      <c r="Y488" s="54">
        <f>R488*W488</f>
        <v>41.1794</v>
      </c>
      <c r="Z488" s="52">
        <f>S488*W488</f>
        <v>36.76732142857143</v>
      </c>
      <c r="AA488" s="52">
        <f>T488*W488</f>
        <v>4.412078571428571</v>
      </c>
      <c r="AB488" s="52">
        <f>V488*W488</f>
        <v>0</v>
      </c>
      <c r="AC488" s="53">
        <f>(R488+V488)*W488</f>
        <v>41.1794</v>
      </c>
      <c r="AD488" s="138">
        <v>199.9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107</v>
      </c>
      <c r="F489" s="96" t="s">
        <v>106</v>
      </c>
      <c r="G489" s="97">
        <v>46132</v>
      </c>
      <c r="H489" s="98">
        <v>0.3476273148148148</v>
      </c>
      <c r="I489" s="50">
        <v>166004550</v>
      </c>
      <c r="J489" s="96" t="s">
        <v>157</v>
      </c>
      <c r="K489" s="49" t="s">
        <v>560</v>
      </c>
      <c r="L489" s="39" t="s">
        <v>104</v>
      </c>
      <c r="M489" s="49" t="s">
        <v>554</v>
      </c>
      <c r="N489" s="39" t="s">
        <v>296</v>
      </c>
      <c r="O489" s="96" t="s">
        <v>561</v>
      </c>
      <c r="P489" s="49" t="s">
        <v>157</v>
      </c>
      <c r="Q489" s="96" t="s">
        <v>104</v>
      </c>
      <c r="R489" s="52">
        <v>8.9</v>
      </c>
      <c r="S489" s="52">
        <f>R489-T489</f>
        <v>7.946428571428572</v>
      </c>
      <c r="T489" s="52">
        <f>R489*U489/(U489+100)</f>
        <v>0.9535714285714286</v>
      </c>
      <c r="U489" s="50">
        <v>12</v>
      </c>
      <c r="V489" s="53">
        <v>0</v>
      </c>
      <c r="W489" s="147">
        <v>2</v>
      </c>
      <c r="X489" s="148" t="s">
        <v>163</v>
      </c>
      <c r="Y489" s="54">
        <f>R489*W489</f>
        <v>17.8</v>
      </c>
      <c r="Z489" s="52">
        <f>S489*W489</f>
        <v>15.892857142857144</v>
      </c>
      <c r="AA489" s="52">
        <f>T489*W489</f>
        <v>1.9071428571428573</v>
      </c>
      <c r="AB489" s="52">
        <f>V489*W489</f>
        <v>0</v>
      </c>
      <c r="AC489" s="53">
        <f>(R489+V489)*W489</f>
        <v>17.8</v>
      </c>
      <c r="AD489" s="138">
        <v>8.9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107</v>
      </c>
      <c r="F490" s="96" t="s">
        <v>106</v>
      </c>
      <c r="G490" s="97">
        <v>46132</v>
      </c>
      <c r="H490" s="98">
        <v>0.3476273148148148</v>
      </c>
      <c r="I490" s="50">
        <v>166004550</v>
      </c>
      <c r="J490" s="96" t="s">
        <v>157</v>
      </c>
      <c r="K490" s="49" t="s">
        <v>1297</v>
      </c>
      <c r="L490" s="39" t="s">
        <v>1298</v>
      </c>
      <c r="M490" s="49" t="s">
        <v>997</v>
      </c>
      <c r="N490" s="39" t="s">
        <v>998</v>
      </c>
      <c r="O490" s="96" t="s">
        <v>1299</v>
      </c>
      <c r="P490" s="49" t="s">
        <v>157</v>
      </c>
      <c r="Q490" s="96" t="s">
        <v>104</v>
      </c>
      <c r="R490" s="52">
        <v>33</v>
      </c>
      <c r="S490" s="52">
        <f>R490-T490</f>
        <v>29.464285714285715</v>
      </c>
      <c r="T490" s="52">
        <f>R490*U490/(U490+100)</f>
        <v>3.5357142857142856</v>
      </c>
      <c r="U490" s="50">
        <v>12</v>
      </c>
      <c r="V490" s="53">
        <v>0</v>
      </c>
      <c r="W490" s="147">
        <v>1</v>
      </c>
      <c r="X490" s="148" t="s">
        <v>945</v>
      </c>
      <c r="Y490" s="54">
        <f>R490*W490</f>
        <v>33</v>
      </c>
      <c r="Z490" s="52">
        <f>S490*W490</f>
        <v>29.464285714285715</v>
      </c>
      <c r="AA490" s="52">
        <f>T490*W490</f>
        <v>3.5357142857142856</v>
      </c>
      <c r="AB490" s="52">
        <f>V490*W490</f>
        <v>0</v>
      </c>
      <c r="AC490" s="53">
        <f>(R490+V490)*W490</f>
        <v>33</v>
      </c>
      <c r="AD490" s="138">
        <v>33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107</v>
      </c>
      <c r="F491" s="96" t="s">
        <v>106</v>
      </c>
      <c r="G491" s="97">
        <v>46132</v>
      </c>
      <c r="H491" s="98">
        <v>0.3490625</v>
      </c>
      <c r="I491" s="50">
        <v>166004551</v>
      </c>
      <c r="J491" s="96" t="s">
        <v>157</v>
      </c>
      <c r="K491" s="49" t="s">
        <v>1346</v>
      </c>
      <c r="L491" s="39" t="s">
        <v>1347</v>
      </c>
      <c r="M491" s="49" t="s">
        <v>185</v>
      </c>
      <c r="N491" s="39" t="s">
        <v>244</v>
      </c>
      <c r="O491" s="96" t="s">
        <v>1348</v>
      </c>
      <c r="P491" s="49" t="s">
        <v>157</v>
      </c>
      <c r="Q491" s="96" t="s">
        <v>104</v>
      </c>
      <c r="R491" s="52">
        <v>14.9</v>
      </c>
      <c r="S491" s="52">
        <f>R491-T491</f>
        <v>13.303571428571429</v>
      </c>
      <c r="T491" s="52">
        <f>R491*U491/(U491+100)</f>
        <v>1.5964285714285715</v>
      </c>
      <c r="U491" s="50">
        <v>12</v>
      </c>
      <c r="V491" s="53">
        <v>0</v>
      </c>
      <c r="W491" s="147">
        <v>1</v>
      </c>
      <c r="X491" s="148" t="s">
        <v>163</v>
      </c>
      <c r="Y491" s="54">
        <f>R491*W491</f>
        <v>14.9</v>
      </c>
      <c r="Z491" s="52">
        <f>S491*W491</f>
        <v>13.303571428571429</v>
      </c>
      <c r="AA491" s="52">
        <f>T491*W491</f>
        <v>1.5964285714285715</v>
      </c>
      <c r="AB491" s="52">
        <f>V491*W491</f>
        <v>0</v>
      </c>
      <c r="AC491" s="53">
        <f>(R491+V491)*W491</f>
        <v>14.9</v>
      </c>
      <c r="AD491" s="138">
        <v>14.9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107</v>
      </c>
      <c r="F492" s="96" t="s">
        <v>106</v>
      </c>
      <c r="G492" s="97">
        <v>46132</v>
      </c>
      <c r="H492" s="98">
        <v>0.3490625</v>
      </c>
      <c r="I492" s="50">
        <v>166004551</v>
      </c>
      <c r="J492" s="96" t="s">
        <v>157</v>
      </c>
      <c r="K492" s="49" t="s">
        <v>1044</v>
      </c>
      <c r="L492" s="39" t="s">
        <v>1045</v>
      </c>
      <c r="M492" s="49" t="s">
        <v>620</v>
      </c>
      <c r="N492" s="39" t="s">
        <v>1042</v>
      </c>
      <c r="O492" s="96" t="s">
        <v>1046</v>
      </c>
      <c r="P492" s="49" t="s">
        <v>157</v>
      </c>
      <c r="Q492" s="96" t="s">
        <v>104</v>
      </c>
      <c r="R492" s="52">
        <v>19.9</v>
      </c>
      <c r="S492" s="52">
        <f>R492-T492</f>
        <v>17.767857142857142</v>
      </c>
      <c r="T492" s="52">
        <f>R492*U492/(U492+100)</f>
        <v>2.132142857142857</v>
      </c>
      <c r="U492" s="50">
        <v>12</v>
      </c>
      <c r="V492" s="53">
        <v>0</v>
      </c>
      <c r="W492" s="147">
        <v>1</v>
      </c>
      <c r="X492" s="148" t="s">
        <v>163</v>
      </c>
      <c r="Y492" s="54">
        <f>R492*W492</f>
        <v>19.9</v>
      </c>
      <c r="Z492" s="52">
        <f>S492*W492</f>
        <v>17.767857142857142</v>
      </c>
      <c r="AA492" s="52">
        <f>T492*W492</f>
        <v>2.132142857142857</v>
      </c>
      <c r="AB492" s="52">
        <f>V492*W492</f>
        <v>0</v>
      </c>
      <c r="AC492" s="53">
        <f>(R492+V492)*W492</f>
        <v>19.9</v>
      </c>
      <c r="AD492" s="138">
        <v>19.9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107</v>
      </c>
      <c r="F493" s="96" t="s">
        <v>106</v>
      </c>
      <c r="G493" s="97">
        <v>46132</v>
      </c>
      <c r="H493" s="98">
        <v>0.3490625</v>
      </c>
      <c r="I493" s="50">
        <v>166004551</v>
      </c>
      <c r="J493" s="96" t="s">
        <v>157</v>
      </c>
      <c r="K493" s="49" t="s">
        <v>164</v>
      </c>
      <c r="L493" s="39" t="s">
        <v>165</v>
      </c>
      <c r="M493" s="49" t="s">
        <v>166</v>
      </c>
      <c r="N493" s="39" t="s">
        <v>167</v>
      </c>
      <c r="O493" s="96" t="s">
        <v>1349</v>
      </c>
      <c r="P493" s="49" t="s">
        <v>157</v>
      </c>
      <c r="Q493" s="96" t="s">
        <v>104</v>
      </c>
      <c r="R493" s="52">
        <v>23.9</v>
      </c>
      <c r="S493" s="52">
        <f>R493-T493</f>
        <v>19.752066115702476</v>
      </c>
      <c r="T493" s="52">
        <f>R493*U493/(U493+100)</f>
        <v>4.147933884297521</v>
      </c>
      <c r="U493" s="50">
        <v>21</v>
      </c>
      <c r="V493" s="53">
        <v>0</v>
      </c>
      <c r="W493" s="147">
        <v>1</v>
      </c>
      <c r="X493" s="148" t="s">
        <v>163</v>
      </c>
      <c r="Y493" s="54">
        <f>R493*W493</f>
        <v>23.9</v>
      </c>
      <c r="Z493" s="52">
        <f>S493*W493</f>
        <v>19.752066115702476</v>
      </c>
      <c r="AA493" s="52">
        <f>T493*W493</f>
        <v>4.147933884297521</v>
      </c>
      <c r="AB493" s="52">
        <f>V493*W493</f>
        <v>0</v>
      </c>
      <c r="AC493" s="53">
        <f>(R493+V493)*W493</f>
        <v>23.9</v>
      </c>
      <c r="AD493" s="138">
        <v>23.9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107</v>
      </c>
      <c r="F494" s="96" t="s">
        <v>106</v>
      </c>
      <c r="G494" s="97">
        <v>46132</v>
      </c>
      <c r="H494" s="98">
        <v>0.3490625</v>
      </c>
      <c r="I494" s="50">
        <v>166004551</v>
      </c>
      <c r="J494" s="96" t="s">
        <v>157</v>
      </c>
      <c r="K494" s="49" t="s">
        <v>1350</v>
      </c>
      <c r="L494" s="39" t="s">
        <v>1351</v>
      </c>
      <c r="M494" s="49" t="s">
        <v>1222</v>
      </c>
      <c r="N494" s="39" t="s">
        <v>1131</v>
      </c>
      <c r="O494" s="96" t="s">
        <v>1352</v>
      </c>
      <c r="P494" s="49" t="s">
        <v>157</v>
      </c>
      <c r="Q494" s="96" t="s">
        <v>104</v>
      </c>
      <c r="R494" s="52">
        <v>74.9</v>
      </c>
      <c r="S494" s="52">
        <f>R494-T494</f>
        <v>61.900826446280995</v>
      </c>
      <c r="T494" s="52">
        <f>R494*U494/(U494+100)</f>
        <v>12.99917355371901</v>
      </c>
      <c r="U494" s="50">
        <v>21</v>
      </c>
      <c r="V494" s="53">
        <v>0</v>
      </c>
      <c r="W494" s="147">
        <v>1</v>
      </c>
      <c r="X494" s="148" t="s">
        <v>163</v>
      </c>
      <c r="Y494" s="54">
        <f>R494*W494</f>
        <v>74.9</v>
      </c>
      <c r="Z494" s="52">
        <f>S494*W494</f>
        <v>61.900826446280995</v>
      </c>
      <c r="AA494" s="52">
        <f>T494*W494</f>
        <v>12.99917355371901</v>
      </c>
      <c r="AB494" s="52">
        <f>V494*W494</f>
        <v>0</v>
      </c>
      <c r="AC494" s="53">
        <f>(R494+V494)*W494</f>
        <v>74.9</v>
      </c>
      <c r="AD494" s="138">
        <v>74.9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107</v>
      </c>
      <c r="F495" s="96" t="s">
        <v>106</v>
      </c>
      <c r="G495" s="97">
        <v>46132</v>
      </c>
      <c r="H495" s="98">
        <v>0.3499537037037037</v>
      </c>
      <c r="I495" s="50">
        <v>166004552</v>
      </c>
      <c r="J495" s="96" t="s">
        <v>157</v>
      </c>
      <c r="K495" s="49" t="s">
        <v>1353</v>
      </c>
      <c r="L495" s="39" t="s">
        <v>1354</v>
      </c>
      <c r="M495" s="49" t="s">
        <v>196</v>
      </c>
      <c r="N495" s="39" t="s">
        <v>197</v>
      </c>
      <c r="O495" s="96" t="s">
        <v>1355</v>
      </c>
      <c r="P495" s="49" t="s">
        <v>157</v>
      </c>
      <c r="Q495" s="96" t="s">
        <v>104</v>
      </c>
      <c r="R495" s="52">
        <v>7.4</v>
      </c>
      <c r="S495" s="52">
        <f>R495-T495</f>
        <v>6.607142857142858</v>
      </c>
      <c r="T495" s="52">
        <f>R495*U495/(U495+100)</f>
        <v>0.7928571428571429</v>
      </c>
      <c r="U495" s="50">
        <v>12</v>
      </c>
      <c r="V495" s="53">
        <v>0</v>
      </c>
      <c r="W495" s="147">
        <v>1</v>
      </c>
      <c r="X495" s="148" t="s">
        <v>163</v>
      </c>
      <c r="Y495" s="54">
        <f>R495*W495</f>
        <v>7.4</v>
      </c>
      <c r="Z495" s="52">
        <f>S495*W495</f>
        <v>6.607142857142858</v>
      </c>
      <c r="AA495" s="52">
        <f>T495*W495</f>
        <v>0.7928571428571429</v>
      </c>
      <c r="AB495" s="52">
        <f>V495*W495</f>
        <v>0</v>
      </c>
      <c r="AC495" s="53">
        <f>(R495+V495)*W495</f>
        <v>7.4</v>
      </c>
      <c r="AD495" s="138">
        <v>7.4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107</v>
      </c>
      <c r="F496" s="96" t="s">
        <v>106</v>
      </c>
      <c r="G496" s="97">
        <v>46132</v>
      </c>
      <c r="H496" s="98">
        <v>0.3499537037037037</v>
      </c>
      <c r="I496" s="50">
        <v>166004552</v>
      </c>
      <c r="J496" s="96" t="s">
        <v>157</v>
      </c>
      <c r="K496" s="49" t="s">
        <v>1356</v>
      </c>
      <c r="L496" s="39" t="s">
        <v>1357</v>
      </c>
      <c r="M496" s="49" t="s">
        <v>466</v>
      </c>
      <c r="N496" s="39" t="s">
        <v>609</v>
      </c>
      <c r="O496" s="96" t="s">
        <v>1358</v>
      </c>
      <c r="P496" s="49" t="s">
        <v>235</v>
      </c>
      <c r="Q496" s="96" t="s">
        <v>236</v>
      </c>
      <c r="R496" s="52">
        <v>7.9</v>
      </c>
      <c r="S496" s="52">
        <f>R496-T496</f>
        <v>7.053571428571429</v>
      </c>
      <c r="T496" s="52">
        <f>R496*U496/(U496+100)</f>
        <v>0.8464285714285715</v>
      </c>
      <c r="U496" s="50">
        <v>12</v>
      </c>
      <c r="V496" s="53">
        <v>0</v>
      </c>
      <c r="W496" s="147">
        <v>1</v>
      </c>
      <c r="X496" s="148" t="s">
        <v>163</v>
      </c>
      <c r="Y496" s="54">
        <f>R496*W496</f>
        <v>7.9</v>
      </c>
      <c r="Z496" s="52">
        <f>S496*W496</f>
        <v>7.053571428571429</v>
      </c>
      <c r="AA496" s="52">
        <f>T496*W496</f>
        <v>0.8464285714285715</v>
      </c>
      <c r="AB496" s="52">
        <f>V496*W496</f>
        <v>0</v>
      </c>
      <c r="AC496" s="53">
        <f>(R496+V496)*W496</f>
        <v>7.9</v>
      </c>
      <c r="AD496" s="138">
        <v>7.9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107</v>
      </c>
      <c r="F497" s="96" t="s">
        <v>106</v>
      </c>
      <c r="G497" s="97">
        <v>46132</v>
      </c>
      <c r="H497" s="98">
        <v>0.3499537037037037</v>
      </c>
      <c r="I497" s="50">
        <v>166004552</v>
      </c>
      <c r="J497" s="96" t="s">
        <v>157</v>
      </c>
      <c r="K497" s="49" t="s">
        <v>1359</v>
      </c>
      <c r="L497" s="39" t="s">
        <v>1360</v>
      </c>
      <c r="M497" s="49" t="s">
        <v>645</v>
      </c>
      <c r="N497" s="39" t="s">
        <v>319</v>
      </c>
      <c r="O497" s="96" t="s">
        <v>1361</v>
      </c>
      <c r="P497" s="49" t="s">
        <v>157</v>
      </c>
      <c r="Q497" s="96" t="s">
        <v>104</v>
      </c>
      <c r="R497" s="52">
        <v>23.9</v>
      </c>
      <c r="S497" s="52">
        <f>R497-T497</f>
        <v>21.33928571428571</v>
      </c>
      <c r="T497" s="52">
        <f>R497*U497/(U497+100)</f>
        <v>2.5607142857142855</v>
      </c>
      <c r="U497" s="50">
        <v>12</v>
      </c>
      <c r="V497" s="53">
        <v>0</v>
      </c>
      <c r="W497" s="147">
        <v>1</v>
      </c>
      <c r="X497" s="148" t="s">
        <v>163</v>
      </c>
      <c r="Y497" s="54">
        <f>R497*W497</f>
        <v>23.9</v>
      </c>
      <c r="Z497" s="52">
        <f>S497*W497</f>
        <v>21.33928571428571</v>
      </c>
      <c r="AA497" s="52">
        <f>T497*W497</f>
        <v>2.5607142857142855</v>
      </c>
      <c r="AB497" s="52">
        <f>V497*W497</f>
        <v>0</v>
      </c>
      <c r="AC497" s="53">
        <f>(R497+V497)*W497</f>
        <v>23.9</v>
      </c>
      <c r="AD497" s="138">
        <v>23.9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107</v>
      </c>
      <c r="F498" s="96" t="s">
        <v>106</v>
      </c>
      <c r="G498" s="97">
        <v>46132</v>
      </c>
      <c r="H498" s="98">
        <v>0.3499537037037037</v>
      </c>
      <c r="I498" s="50">
        <v>166004552</v>
      </c>
      <c r="J498" s="96" t="s">
        <v>157</v>
      </c>
      <c r="K498" s="49" t="s">
        <v>1362</v>
      </c>
      <c r="L498" s="39" t="s">
        <v>1363</v>
      </c>
      <c r="M498" s="49" t="s">
        <v>645</v>
      </c>
      <c r="N498" s="39" t="s">
        <v>319</v>
      </c>
      <c r="O498" s="96" t="s">
        <v>1364</v>
      </c>
      <c r="P498" s="49" t="s">
        <v>157</v>
      </c>
      <c r="Q498" s="96" t="s">
        <v>104</v>
      </c>
      <c r="R498" s="52">
        <v>23.9</v>
      </c>
      <c r="S498" s="52">
        <f>R498-T498</f>
        <v>21.33928571428571</v>
      </c>
      <c r="T498" s="52">
        <f>R498*U498/(U498+100)</f>
        <v>2.5607142857142855</v>
      </c>
      <c r="U498" s="50">
        <v>12</v>
      </c>
      <c r="V498" s="53">
        <v>0</v>
      </c>
      <c r="W498" s="147">
        <v>1</v>
      </c>
      <c r="X498" s="148" t="s">
        <v>163</v>
      </c>
      <c r="Y498" s="54">
        <f>R498*W498</f>
        <v>23.9</v>
      </c>
      <c r="Z498" s="52">
        <f>S498*W498</f>
        <v>21.33928571428571</v>
      </c>
      <c r="AA498" s="52">
        <f>T498*W498</f>
        <v>2.5607142857142855</v>
      </c>
      <c r="AB498" s="52">
        <f>V498*W498</f>
        <v>0</v>
      </c>
      <c r="AC498" s="53">
        <f>(R498+V498)*W498</f>
        <v>23.9</v>
      </c>
      <c r="AD498" s="138">
        <v>23.9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107</v>
      </c>
      <c r="F499" s="96" t="s">
        <v>106</v>
      </c>
      <c r="G499" s="97">
        <v>46132</v>
      </c>
      <c r="H499" s="98">
        <v>0.3499537037037037</v>
      </c>
      <c r="I499" s="50">
        <v>166004552</v>
      </c>
      <c r="J499" s="96" t="s">
        <v>157</v>
      </c>
      <c r="K499" s="49" t="s">
        <v>1365</v>
      </c>
      <c r="L499" s="39" t="s">
        <v>1366</v>
      </c>
      <c r="M499" s="49" t="s">
        <v>1367</v>
      </c>
      <c r="N499" s="39" t="s">
        <v>319</v>
      </c>
      <c r="O499" s="96" t="s">
        <v>1368</v>
      </c>
      <c r="P499" s="49" t="s">
        <v>157</v>
      </c>
      <c r="Q499" s="96" t="s">
        <v>104</v>
      </c>
      <c r="R499" s="52">
        <v>39.9</v>
      </c>
      <c r="S499" s="52">
        <f>R499-T499</f>
        <v>35.625</v>
      </c>
      <c r="T499" s="52">
        <f>R499*U499/(U499+100)</f>
        <v>4.2749999999999995</v>
      </c>
      <c r="U499" s="50">
        <v>12</v>
      </c>
      <c r="V499" s="53">
        <v>0</v>
      </c>
      <c r="W499" s="147">
        <v>1</v>
      </c>
      <c r="X499" s="148" t="s">
        <v>163</v>
      </c>
      <c r="Y499" s="54">
        <f>R499*W499</f>
        <v>39.9</v>
      </c>
      <c r="Z499" s="52">
        <f>S499*W499</f>
        <v>35.625</v>
      </c>
      <c r="AA499" s="52">
        <f>T499*W499</f>
        <v>4.2749999999999995</v>
      </c>
      <c r="AB499" s="52">
        <f>V499*W499</f>
        <v>0</v>
      </c>
      <c r="AC499" s="53">
        <f>(R499+V499)*W499</f>
        <v>39.9</v>
      </c>
      <c r="AD499" s="138">
        <v>39.9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107</v>
      </c>
      <c r="F500" s="96" t="s">
        <v>106</v>
      </c>
      <c r="G500" s="97">
        <v>46132</v>
      </c>
      <c r="H500" s="98">
        <v>0.3499537037037037</v>
      </c>
      <c r="I500" s="50">
        <v>166004552</v>
      </c>
      <c r="J500" s="96" t="s">
        <v>157</v>
      </c>
      <c r="K500" s="49" t="s">
        <v>507</v>
      </c>
      <c r="L500" s="39" t="s">
        <v>508</v>
      </c>
      <c r="M500" s="49" t="s">
        <v>509</v>
      </c>
      <c r="N500" s="39" t="s">
        <v>256</v>
      </c>
      <c r="O500" s="96" t="s">
        <v>1024</v>
      </c>
      <c r="P500" s="49" t="s">
        <v>235</v>
      </c>
      <c r="Q500" s="96" t="s">
        <v>236</v>
      </c>
      <c r="R500" s="52">
        <v>15.9</v>
      </c>
      <c r="S500" s="52">
        <f>R500-T500</f>
        <v>13.140495867768596</v>
      </c>
      <c r="T500" s="52">
        <f>R500*U500/(U500+100)</f>
        <v>2.759504132231405</v>
      </c>
      <c r="U500" s="50">
        <v>21</v>
      </c>
      <c r="V500" s="53">
        <v>0</v>
      </c>
      <c r="W500" s="147">
        <v>1</v>
      </c>
      <c r="X500" s="148" t="s">
        <v>163</v>
      </c>
      <c r="Y500" s="54">
        <f>R500*W500</f>
        <v>15.9</v>
      </c>
      <c r="Z500" s="52">
        <f>S500*W500</f>
        <v>13.140495867768596</v>
      </c>
      <c r="AA500" s="52">
        <f>T500*W500</f>
        <v>2.759504132231405</v>
      </c>
      <c r="AB500" s="52">
        <f>V500*W500</f>
        <v>0</v>
      </c>
      <c r="AC500" s="53">
        <f>(R500+V500)*W500</f>
        <v>15.9</v>
      </c>
      <c r="AD500" s="138">
        <v>15.9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107</v>
      </c>
      <c r="F501" s="96" t="s">
        <v>106</v>
      </c>
      <c r="G501" s="97">
        <v>46132</v>
      </c>
      <c r="H501" s="98">
        <v>0.3499537037037037</v>
      </c>
      <c r="I501" s="50">
        <v>166004552</v>
      </c>
      <c r="J501" s="96" t="s">
        <v>157</v>
      </c>
      <c r="K501" s="49" t="s">
        <v>507</v>
      </c>
      <c r="L501" s="39" t="s">
        <v>508</v>
      </c>
      <c r="M501" s="49" t="s">
        <v>509</v>
      </c>
      <c r="N501" s="39" t="s">
        <v>256</v>
      </c>
      <c r="O501" s="96" t="s">
        <v>1024</v>
      </c>
      <c r="P501" s="49" t="s">
        <v>235</v>
      </c>
      <c r="Q501" s="96" t="s">
        <v>236</v>
      </c>
      <c r="R501" s="52">
        <v>15.9</v>
      </c>
      <c r="S501" s="52">
        <f>R501-T501</f>
        <v>13.140495867768596</v>
      </c>
      <c r="T501" s="52">
        <f>R501*U501/(U501+100)</f>
        <v>2.759504132231405</v>
      </c>
      <c r="U501" s="50">
        <v>21</v>
      </c>
      <c r="V501" s="53">
        <v>0</v>
      </c>
      <c r="W501" s="147">
        <v>1</v>
      </c>
      <c r="X501" s="148" t="s">
        <v>163</v>
      </c>
      <c r="Y501" s="54">
        <f>R501*W501</f>
        <v>15.9</v>
      </c>
      <c r="Z501" s="52">
        <f>S501*W501</f>
        <v>13.140495867768596</v>
      </c>
      <c r="AA501" s="52">
        <f>T501*W501</f>
        <v>2.759504132231405</v>
      </c>
      <c r="AB501" s="52">
        <f>V501*W501</f>
        <v>0</v>
      </c>
      <c r="AC501" s="53">
        <f>(R501+V501)*W501</f>
        <v>15.9</v>
      </c>
      <c r="AD501" s="138">
        <v>15.9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107</v>
      </c>
      <c r="F502" s="96" t="s">
        <v>106</v>
      </c>
      <c r="G502" s="97">
        <v>46132</v>
      </c>
      <c r="H502" s="98">
        <v>0.3499537037037037</v>
      </c>
      <c r="I502" s="50">
        <v>166004552</v>
      </c>
      <c r="J502" s="96" t="s">
        <v>157</v>
      </c>
      <c r="K502" s="49" t="s">
        <v>293</v>
      </c>
      <c r="L502" s="39" t="s">
        <v>294</v>
      </c>
      <c r="M502" s="49" t="s">
        <v>295</v>
      </c>
      <c r="N502" s="39" t="s">
        <v>296</v>
      </c>
      <c r="O502" s="96" t="s">
        <v>297</v>
      </c>
      <c r="P502" s="49" t="s">
        <v>157</v>
      </c>
      <c r="Q502" s="96" t="s">
        <v>104</v>
      </c>
      <c r="R502" s="52">
        <v>2.9</v>
      </c>
      <c r="S502" s="52">
        <f>R502-T502</f>
        <v>2.5892857142857144</v>
      </c>
      <c r="T502" s="52">
        <f>R502*U502/(U502+100)</f>
        <v>0.31071428571428567</v>
      </c>
      <c r="U502" s="50">
        <v>12</v>
      </c>
      <c r="V502" s="53">
        <v>0</v>
      </c>
      <c r="W502" s="147">
        <v>6</v>
      </c>
      <c r="X502" s="148" t="s">
        <v>163</v>
      </c>
      <c r="Y502" s="54">
        <f>R502*W502</f>
        <v>17.4</v>
      </c>
      <c r="Z502" s="52">
        <f>S502*W502</f>
        <v>15.535714285714286</v>
      </c>
      <c r="AA502" s="52">
        <f>T502*W502</f>
        <v>1.8642857142857139</v>
      </c>
      <c r="AB502" s="52">
        <f>V502*W502</f>
        <v>0</v>
      </c>
      <c r="AC502" s="53">
        <f>(R502+V502)*W502</f>
        <v>17.4</v>
      </c>
      <c r="AD502" s="138">
        <v>2.9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107</v>
      </c>
      <c r="F503" s="96" t="s">
        <v>106</v>
      </c>
      <c r="G503" s="97">
        <v>46132</v>
      </c>
      <c r="H503" s="98">
        <v>0.3499537037037037</v>
      </c>
      <c r="I503" s="50">
        <v>166004552</v>
      </c>
      <c r="J503" s="96" t="s">
        <v>157</v>
      </c>
      <c r="K503" s="49" t="s">
        <v>553</v>
      </c>
      <c r="L503" s="39" t="s">
        <v>104</v>
      </c>
      <c r="M503" s="49" t="s">
        <v>554</v>
      </c>
      <c r="N503" s="39" t="s">
        <v>296</v>
      </c>
      <c r="O503" s="96" t="s">
        <v>555</v>
      </c>
      <c r="P503" s="49" t="s">
        <v>157</v>
      </c>
      <c r="Q503" s="96" t="s">
        <v>104</v>
      </c>
      <c r="R503" s="52">
        <v>8.9</v>
      </c>
      <c r="S503" s="52">
        <f>R503-T503</f>
        <v>7.946428571428572</v>
      </c>
      <c r="T503" s="52">
        <f>R503*U503/(U503+100)</f>
        <v>0.9535714285714286</v>
      </c>
      <c r="U503" s="50">
        <v>12</v>
      </c>
      <c r="V503" s="53">
        <v>0</v>
      </c>
      <c r="W503" s="147">
        <v>2</v>
      </c>
      <c r="X503" s="148" t="s">
        <v>163</v>
      </c>
      <c r="Y503" s="54">
        <f>R503*W503</f>
        <v>17.8</v>
      </c>
      <c r="Z503" s="52">
        <f>S503*W503</f>
        <v>15.892857142857144</v>
      </c>
      <c r="AA503" s="52">
        <f>T503*W503</f>
        <v>1.9071428571428573</v>
      </c>
      <c r="AB503" s="52">
        <f>V503*W503</f>
        <v>0</v>
      </c>
      <c r="AC503" s="53">
        <f>(R503+V503)*W503</f>
        <v>17.8</v>
      </c>
      <c r="AD503" s="138">
        <v>8.9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107</v>
      </c>
      <c r="F504" s="96" t="s">
        <v>106</v>
      </c>
      <c r="G504" s="97">
        <v>46132</v>
      </c>
      <c r="H504" s="98">
        <v>0.352650462962963</v>
      </c>
      <c r="I504" s="50">
        <v>166004553</v>
      </c>
      <c r="J504" s="96" t="s">
        <v>157</v>
      </c>
      <c r="K504" s="49" t="s">
        <v>603</v>
      </c>
      <c r="L504" s="39" t="s">
        <v>604</v>
      </c>
      <c r="M504" s="49" t="s">
        <v>600</v>
      </c>
      <c r="N504" s="39" t="s">
        <v>601</v>
      </c>
      <c r="O504" s="96" t="s">
        <v>1369</v>
      </c>
      <c r="P504" s="49" t="s">
        <v>235</v>
      </c>
      <c r="Q504" s="96" t="s">
        <v>236</v>
      </c>
      <c r="R504" s="52">
        <v>29.9</v>
      </c>
      <c r="S504" s="52">
        <f>R504-T504</f>
        <v>26.69642857142857</v>
      </c>
      <c r="T504" s="52">
        <f>R504*U504/(U504+100)</f>
        <v>3.2035714285714283</v>
      </c>
      <c r="U504" s="50">
        <v>12</v>
      </c>
      <c r="V504" s="53">
        <v>0</v>
      </c>
      <c r="W504" s="147">
        <v>1</v>
      </c>
      <c r="X504" s="148" t="s">
        <v>163</v>
      </c>
      <c r="Y504" s="54">
        <f>R504*W504</f>
        <v>29.9</v>
      </c>
      <c r="Z504" s="52">
        <f>S504*W504</f>
        <v>26.69642857142857</v>
      </c>
      <c r="AA504" s="52">
        <f>T504*W504</f>
        <v>3.2035714285714283</v>
      </c>
      <c r="AB504" s="52">
        <f>V504*W504</f>
        <v>0</v>
      </c>
      <c r="AC504" s="53">
        <f>(R504+V504)*W504</f>
        <v>29.9</v>
      </c>
      <c r="AD504" s="138">
        <v>29.9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107</v>
      </c>
      <c r="F505" s="96" t="s">
        <v>106</v>
      </c>
      <c r="G505" s="97">
        <v>46132</v>
      </c>
      <c r="H505" s="98">
        <v>0.352650462962963</v>
      </c>
      <c r="I505" s="50">
        <v>166004553</v>
      </c>
      <c r="J505" s="96" t="s">
        <v>157</v>
      </c>
      <c r="K505" s="49" t="s">
        <v>891</v>
      </c>
      <c r="L505" s="39" t="s">
        <v>892</v>
      </c>
      <c r="M505" s="49" t="s">
        <v>893</v>
      </c>
      <c r="N505" s="39" t="s">
        <v>291</v>
      </c>
      <c r="O505" s="96" t="s">
        <v>1370</v>
      </c>
      <c r="P505" s="49" t="s">
        <v>157</v>
      </c>
      <c r="Q505" s="96" t="s">
        <v>104</v>
      </c>
      <c r="R505" s="52">
        <v>21.9</v>
      </c>
      <c r="S505" s="52">
        <f>R505-T505</f>
        <v>19.553571428571427</v>
      </c>
      <c r="T505" s="52">
        <f>R505*U505/(U505+100)</f>
        <v>2.346428571428571</v>
      </c>
      <c r="U505" s="50">
        <v>12</v>
      </c>
      <c r="V505" s="53">
        <v>0</v>
      </c>
      <c r="W505" s="147">
        <v>1</v>
      </c>
      <c r="X505" s="148" t="s">
        <v>163</v>
      </c>
      <c r="Y505" s="54">
        <f>R505*W505</f>
        <v>21.9</v>
      </c>
      <c r="Z505" s="52">
        <f>S505*W505</f>
        <v>19.553571428571427</v>
      </c>
      <c r="AA505" s="52">
        <f>T505*W505</f>
        <v>2.346428571428571</v>
      </c>
      <c r="AB505" s="52">
        <f>V505*W505</f>
        <v>0</v>
      </c>
      <c r="AC505" s="53">
        <f>(R505+V505)*W505</f>
        <v>21.9</v>
      </c>
      <c r="AD505" s="138">
        <v>21.9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107</v>
      </c>
      <c r="F506" s="96" t="s">
        <v>106</v>
      </c>
      <c r="G506" s="97">
        <v>46132</v>
      </c>
      <c r="H506" s="98">
        <v>0.352650462962963</v>
      </c>
      <c r="I506" s="50">
        <v>166004553</v>
      </c>
      <c r="J506" s="96" t="s">
        <v>157</v>
      </c>
      <c r="K506" s="49" t="s">
        <v>1371</v>
      </c>
      <c r="L506" s="39" t="s">
        <v>1372</v>
      </c>
      <c r="M506" s="49" t="s">
        <v>1373</v>
      </c>
      <c r="N506" s="39" t="s">
        <v>481</v>
      </c>
      <c r="O506" s="96" t="s">
        <v>1374</v>
      </c>
      <c r="P506" s="49" t="s">
        <v>157</v>
      </c>
      <c r="Q506" s="96" t="s">
        <v>104</v>
      </c>
      <c r="R506" s="52">
        <v>39.9</v>
      </c>
      <c r="S506" s="52">
        <f>R506-T506</f>
        <v>35.625</v>
      </c>
      <c r="T506" s="52">
        <f>R506*U506/(U506+100)</f>
        <v>4.2749999999999995</v>
      </c>
      <c r="U506" s="50">
        <v>12</v>
      </c>
      <c r="V506" s="53">
        <v>0</v>
      </c>
      <c r="W506" s="147">
        <v>1</v>
      </c>
      <c r="X506" s="148" t="s">
        <v>163</v>
      </c>
      <c r="Y506" s="54">
        <f>R506*W506</f>
        <v>39.9</v>
      </c>
      <c r="Z506" s="52">
        <f>S506*W506</f>
        <v>35.625</v>
      </c>
      <c r="AA506" s="52">
        <f>T506*W506</f>
        <v>4.2749999999999995</v>
      </c>
      <c r="AB506" s="52">
        <f>V506*W506</f>
        <v>0</v>
      </c>
      <c r="AC506" s="53">
        <f>(R506+V506)*W506</f>
        <v>39.9</v>
      </c>
      <c r="AD506" s="138">
        <v>39.9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107</v>
      </c>
      <c r="F507" s="96" t="s">
        <v>106</v>
      </c>
      <c r="G507" s="97">
        <v>46132</v>
      </c>
      <c r="H507" s="98">
        <v>0.352650462962963</v>
      </c>
      <c r="I507" s="50">
        <v>166004553</v>
      </c>
      <c r="J507" s="96" t="s">
        <v>157</v>
      </c>
      <c r="K507" s="49" t="s">
        <v>1375</v>
      </c>
      <c r="L507" s="39" t="s">
        <v>1376</v>
      </c>
      <c r="M507" s="49" t="s">
        <v>300</v>
      </c>
      <c r="N507" s="39" t="s">
        <v>1377</v>
      </c>
      <c r="O507" s="96" t="s">
        <v>1378</v>
      </c>
      <c r="P507" s="49" t="s">
        <v>157</v>
      </c>
      <c r="Q507" s="96" t="s">
        <v>104</v>
      </c>
      <c r="R507" s="52">
        <v>29.9</v>
      </c>
      <c r="S507" s="52">
        <f>R507-T507</f>
        <v>26.69642857142857</v>
      </c>
      <c r="T507" s="52">
        <f>R507*U507/(U507+100)</f>
        <v>3.2035714285714283</v>
      </c>
      <c r="U507" s="50">
        <v>12</v>
      </c>
      <c r="V507" s="53">
        <v>0</v>
      </c>
      <c r="W507" s="147">
        <v>1</v>
      </c>
      <c r="X507" s="148" t="s">
        <v>163</v>
      </c>
      <c r="Y507" s="54">
        <f>R507*W507</f>
        <v>29.9</v>
      </c>
      <c r="Z507" s="52">
        <f>S507*W507</f>
        <v>26.69642857142857</v>
      </c>
      <c r="AA507" s="52">
        <f>T507*W507</f>
        <v>3.2035714285714283</v>
      </c>
      <c r="AB507" s="52">
        <f>V507*W507</f>
        <v>0</v>
      </c>
      <c r="AC507" s="53">
        <f>(R507+V507)*W507</f>
        <v>29.9</v>
      </c>
      <c r="AD507" s="138">
        <v>29.9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107</v>
      </c>
      <c r="F508" s="96" t="s">
        <v>106</v>
      </c>
      <c r="G508" s="97">
        <v>46132</v>
      </c>
      <c r="H508" s="98">
        <v>0.352650462962963</v>
      </c>
      <c r="I508" s="50">
        <v>166004553</v>
      </c>
      <c r="J508" s="96" t="s">
        <v>157</v>
      </c>
      <c r="K508" s="49" t="s">
        <v>1379</v>
      </c>
      <c r="L508" s="39" t="s">
        <v>1380</v>
      </c>
      <c r="M508" s="49" t="s">
        <v>1381</v>
      </c>
      <c r="N508" s="39" t="s">
        <v>1382</v>
      </c>
      <c r="O508" s="96" t="s">
        <v>1383</v>
      </c>
      <c r="P508" s="49" t="s">
        <v>157</v>
      </c>
      <c r="Q508" s="96" t="s">
        <v>104</v>
      </c>
      <c r="R508" s="52">
        <v>62.9</v>
      </c>
      <c r="S508" s="52">
        <f>R508-T508</f>
        <v>56.160714285714285</v>
      </c>
      <c r="T508" s="52">
        <f>R508*U508/(U508+100)</f>
        <v>6.739285714285714</v>
      </c>
      <c r="U508" s="50">
        <v>12</v>
      </c>
      <c r="V508" s="53">
        <v>0</v>
      </c>
      <c r="W508" s="147">
        <v>1</v>
      </c>
      <c r="X508" s="148" t="s">
        <v>163</v>
      </c>
      <c r="Y508" s="54">
        <f>R508*W508</f>
        <v>62.9</v>
      </c>
      <c r="Z508" s="52">
        <f>S508*W508</f>
        <v>56.160714285714285</v>
      </c>
      <c r="AA508" s="52">
        <f>T508*W508</f>
        <v>6.739285714285714</v>
      </c>
      <c r="AB508" s="52">
        <f>V508*W508</f>
        <v>0</v>
      </c>
      <c r="AC508" s="53">
        <f>(R508+V508)*W508</f>
        <v>62.9</v>
      </c>
      <c r="AD508" s="138">
        <v>62.9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107</v>
      </c>
      <c r="F509" s="96" t="s">
        <v>106</v>
      </c>
      <c r="G509" s="97">
        <v>46132</v>
      </c>
      <c r="H509" s="98">
        <v>0.352650462962963</v>
      </c>
      <c r="I509" s="50">
        <v>166004553</v>
      </c>
      <c r="J509" s="96" t="s">
        <v>157</v>
      </c>
      <c r="K509" s="49" t="s">
        <v>585</v>
      </c>
      <c r="L509" s="39" t="s">
        <v>586</v>
      </c>
      <c r="M509" s="49" t="s">
        <v>341</v>
      </c>
      <c r="N509" s="39" t="s">
        <v>587</v>
      </c>
      <c r="O509" s="96" t="s">
        <v>588</v>
      </c>
      <c r="P509" s="49" t="s">
        <v>157</v>
      </c>
      <c r="Q509" s="96" t="s">
        <v>104</v>
      </c>
      <c r="R509" s="52">
        <v>34.9</v>
      </c>
      <c r="S509" s="52">
        <f>R509-T509</f>
        <v>28.84297520661157</v>
      </c>
      <c r="T509" s="52">
        <f>R509*U509/(U509+100)</f>
        <v>6.05702479338843</v>
      </c>
      <c r="U509" s="50">
        <v>21</v>
      </c>
      <c r="V509" s="53">
        <v>0</v>
      </c>
      <c r="W509" s="147">
        <v>1</v>
      </c>
      <c r="X509" s="148" t="s">
        <v>163</v>
      </c>
      <c r="Y509" s="54">
        <f>R509*W509</f>
        <v>34.9</v>
      </c>
      <c r="Z509" s="52">
        <f>S509*W509</f>
        <v>28.84297520661157</v>
      </c>
      <c r="AA509" s="52">
        <f>T509*W509</f>
        <v>6.05702479338843</v>
      </c>
      <c r="AB509" s="52">
        <f>V509*W509</f>
        <v>0</v>
      </c>
      <c r="AC509" s="53">
        <f>(R509+V509)*W509</f>
        <v>34.9</v>
      </c>
      <c r="AD509" s="138">
        <v>34.9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107</v>
      </c>
      <c r="F510" s="96" t="s">
        <v>106</v>
      </c>
      <c r="G510" s="97">
        <v>46132</v>
      </c>
      <c r="H510" s="98">
        <v>0.352650462962963</v>
      </c>
      <c r="I510" s="50">
        <v>166004553</v>
      </c>
      <c r="J510" s="96" t="s">
        <v>157</v>
      </c>
      <c r="K510" s="49" t="s">
        <v>350</v>
      </c>
      <c r="L510" s="39" t="s">
        <v>351</v>
      </c>
      <c r="M510" s="49" t="s">
        <v>352</v>
      </c>
      <c r="N510" s="39" t="s">
        <v>353</v>
      </c>
      <c r="O510" s="96" t="s">
        <v>1077</v>
      </c>
      <c r="P510" s="49" t="s">
        <v>157</v>
      </c>
      <c r="Q510" s="96" t="s">
        <v>104</v>
      </c>
      <c r="R510" s="52">
        <v>27.9</v>
      </c>
      <c r="S510" s="52">
        <f>R510-T510</f>
        <v>23.05785123966942</v>
      </c>
      <c r="T510" s="52">
        <f>R510*U510/(U510+100)</f>
        <v>4.842148760330578</v>
      </c>
      <c r="U510" s="50">
        <v>21</v>
      </c>
      <c r="V510" s="53">
        <v>0</v>
      </c>
      <c r="W510" s="147">
        <v>1</v>
      </c>
      <c r="X510" s="148" t="s">
        <v>163</v>
      </c>
      <c r="Y510" s="54">
        <f>R510*W510</f>
        <v>27.9</v>
      </c>
      <c r="Z510" s="52">
        <f>S510*W510</f>
        <v>23.05785123966942</v>
      </c>
      <c r="AA510" s="52">
        <f>T510*W510</f>
        <v>4.842148760330578</v>
      </c>
      <c r="AB510" s="52">
        <f>V510*W510</f>
        <v>0</v>
      </c>
      <c r="AC510" s="53">
        <f>(R510+V510)*W510</f>
        <v>27.9</v>
      </c>
      <c r="AD510" s="138">
        <v>27.9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107</v>
      </c>
      <c r="F511" s="96" t="s">
        <v>106</v>
      </c>
      <c r="G511" s="97">
        <v>46132</v>
      </c>
      <c r="H511" s="98">
        <v>0.352650462962963</v>
      </c>
      <c r="I511" s="50">
        <v>166004553</v>
      </c>
      <c r="J511" s="96" t="s">
        <v>157</v>
      </c>
      <c r="K511" s="49" t="s">
        <v>1384</v>
      </c>
      <c r="L511" s="39" t="s">
        <v>1385</v>
      </c>
      <c r="M511" s="49" t="s">
        <v>232</v>
      </c>
      <c r="N511" s="39" t="s">
        <v>167</v>
      </c>
      <c r="O511" s="96" t="s">
        <v>1386</v>
      </c>
      <c r="P511" s="49" t="s">
        <v>157</v>
      </c>
      <c r="Q511" s="96" t="s">
        <v>104</v>
      </c>
      <c r="R511" s="52">
        <v>27.9</v>
      </c>
      <c r="S511" s="52">
        <f>R511-T511</f>
        <v>23.05785123966942</v>
      </c>
      <c r="T511" s="52">
        <f>R511*U511/(U511+100)</f>
        <v>4.842148760330578</v>
      </c>
      <c r="U511" s="50">
        <v>21</v>
      </c>
      <c r="V511" s="53">
        <v>0</v>
      </c>
      <c r="W511" s="147">
        <v>1</v>
      </c>
      <c r="X511" s="148" t="s">
        <v>163</v>
      </c>
      <c r="Y511" s="54">
        <f>R511*W511</f>
        <v>27.9</v>
      </c>
      <c r="Z511" s="52">
        <f>S511*W511</f>
        <v>23.05785123966942</v>
      </c>
      <c r="AA511" s="52">
        <f>T511*W511</f>
        <v>4.842148760330578</v>
      </c>
      <c r="AB511" s="52">
        <f>V511*W511</f>
        <v>0</v>
      </c>
      <c r="AC511" s="53">
        <f>(R511+V511)*W511</f>
        <v>27.9</v>
      </c>
      <c r="AD511" s="138">
        <v>27.9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107</v>
      </c>
      <c r="F512" s="96" t="s">
        <v>106</v>
      </c>
      <c r="G512" s="97">
        <v>46132</v>
      </c>
      <c r="H512" s="98">
        <v>0.352650462962963</v>
      </c>
      <c r="I512" s="50">
        <v>166004553</v>
      </c>
      <c r="J512" s="96" t="s">
        <v>157</v>
      </c>
      <c r="K512" s="49" t="s">
        <v>1387</v>
      </c>
      <c r="L512" s="39" t="s">
        <v>1388</v>
      </c>
      <c r="M512" s="49" t="s">
        <v>214</v>
      </c>
      <c r="N512" s="39" t="s">
        <v>548</v>
      </c>
      <c r="O512" s="96" t="s">
        <v>1389</v>
      </c>
      <c r="P512" s="49" t="s">
        <v>157</v>
      </c>
      <c r="Q512" s="96" t="s">
        <v>104</v>
      </c>
      <c r="R512" s="52">
        <v>19.9</v>
      </c>
      <c r="S512" s="52">
        <f>R512-T512</f>
        <v>17.767857142857142</v>
      </c>
      <c r="T512" s="52">
        <f>R512*U512/(U512+100)</f>
        <v>2.132142857142857</v>
      </c>
      <c r="U512" s="50">
        <v>12</v>
      </c>
      <c r="V512" s="53">
        <v>0</v>
      </c>
      <c r="W512" s="147">
        <v>1</v>
      </c>
      <c r="X512" s="148" t="s">
        <v>163</v>
      </c>
      <c r="Y512" s="54">
        <f>R512*W512</f>
        <v>19.9</v>
      </c>
      <c r="Z512" s="52">
        <f>S512*W512</f>
        <v>17.767857142857142</v>
      </c>
      <c r="AA512" s="52">
        <f>T512*W512</f>
        <v>2.132142857142857</v>
      </c>
      <c r="AB512" s="52">
        <f>V512*W512</f>
        <v>0</v>
      </c>
      <c r="AC512" s="53">
        <f>(R512+V512)*W512</f>
        <v>19.9</v>
      </c>
      <c r="AD512" s="138">
        <v>19.9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107</v>
      </c>
      <c r="F513" s="96" t="s">
        <v>106</v>
      </c>
      <c r="G513" s="97">
        <v>46132</v>
      </c>
      <c r="H513" s="98">
        <v>0.352650462962963</v>
      </c>
      <c r="I513" s="50">
        <v>166004553</v>
      </c>
      <c r="J513" s="96" t="s">
        <v>157</v>
      </c>
      <c r="K513" s="49" t="s">
        <v>183</v>
      </c>
      <c r="L513" s="39" t="s">
        <v>184</v>
      </c>
      <c r="M513" s="49" t="s">
        <v>185</v>
      </c>
      <c r="N513" s="39" t="s">
        <v>186</v>
      </c>
      <c r="O513" s="96" t="s">
        <v>988</v>
      </c>
      <c r="P513" s="49" t="s">
        <v>157</v>
      </c>
      <c r="Q513" s="96" t="s">
        <v>104</v>
      </c>
      <c r="R513" s="52">
        <v>1.9</v>
      </c>
      <c r="S513" s="52">
        <f>R513-T513</f>
        <v>1.5702479338842974</v>
      </c>
      <c r="T513" s="52">
        <f>R513*U513/(U513+100)</f>
        <v>0.32975206611570246</v>
      </c>
      <c r="U513" s="50">
        <v>21</v>
      </c>
      <c r="V513" s="53">
        <v>0</v>
      </c>
      <c r="W513" s="147">
        <v>1</v>
      </c>
      <c r="X513" s="148" t="s">
        <v>163</v>
      </c>
      <c r="Y513" s="54">
        <f>R513*W513</f>
        <v>1.9</v>
      </c>
      <c r="Z513" s="52">
        <f>S513*W513</f>
        <v>1.5702479338842974</v>
      </c>
      <c r="AA513" s="52">
        <f>T513*W513</f>
        <v>0.32975206611570246</v>
      </c>
      <c r="AB513" s="52">
        <f>V513*W513</f>
        <v>0</v>
      </c>
      <c r="AC513" s="53">
        <f>(R513+V513)*W513</f>
        <v>1.9</v>
      </c>
      <c r="AD513" s="138">
        <v>1.9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107</v>
      </c>
      <c r="F514" s="96" t="s">
        <v>106</v>
      </c>
      <c r="G514" s="97">
        <v>46132</v>
      </c>
      <c r="H514" s="98">
        <v>0.352650462962963</v>
      </c>
      <c r="I514" s="50">
        <v>166004553</v>
      </c>
      <c r="J514" s="96" t="s">
        <v>157</v>
      </c>
      <c r="K514" s="49" t="s">
        <v>336</v>
      </c>
      <c r="L514" s="39" t="s">
        <v>337</v>
      </c>
      <c r="M514" s="49" t="s">
        <v>190</v>
      </c>
      <c r="N514" s="39" t="s">
        <v>191</v>
      </c>
      <c r="O514" s="96" t="s">
        <v>338</v>
      </c>
      <c r="P514" s="49" t="s">
        <v>157</v>
      </c>
      <c r="Q514" s="96" t="s">
        <v>104</v>
      </c>
      <c r="R514" s="52">
        <v>11.9</v>
      </c>
      <c r="S514" s="52">
        <f>R514-T514</f>
        <v>10.625</v>
      </c>
      <c r="T514" s="52">
        <f>R514*U514/(U514+100)</f>
        <v>1.2750000000000001</v>
      </c>
      <c r="U514" s="50">
        <v>12</v>
      </c>
      <c r="V514" s="53">
        <v>0</v>
      </c>
      <c r="W514" s="147">
        <v>0.42</v>
      </c>
      <c r="X514" s="148" t="s">
        <v>193</v>
      </c>
      <c r="Y514" s="54">
        <f>R514*W514</f>
        <v>4.998</v>
      </c>
      <c r="Z514" s="52">
        <f>S514*W514</f>
        <v>4.4624999999999995</v>
      </c>
      <c r="AA514" s="52">
        <f>T514*W514</f>
        <v>0.5355000000000001</v>
      </c>
      <c r="AB514" s="52">
        <f>V514*W514</f>
        <v>0</v>
      </c>
      <c r="AC514" s="53">
        <f>(R514+V514)*W514</f>
        <v>4.998</v>
      </c>
      <c r="AD514" s="138">
        <v>11.9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107</v>
      </c>
      <c r="F515" s="96" t="s">
        <v>106</v>
      </c>
      <c r="G515" s="97">
        <v>46132</v>
      </c>
      <c r="H515" s="98">
        <v>0.352650462962963</v>
      </c>
      <c r="I515" s="50">
        <v>166004553</v>
      </c>
      <c r="J515" s="96" t="s">
        <v>157</v>
      </c>
      <c r="K515" s="49" t="s">
        <v>293</v>
      </c>
      <c r="L515" s="39" t="s">
        <v>294</v>
      </c>
      <c r="M515" s="49" t="s">
        <v>295</v>
      </c>
      <c r="N515" s="39" t="s">
        <v>296</v>
      </c>
      <c r="O515" s="96" t="s">
        <v>297</v>
      </c>
      <c r="P515" s="49" t="s">
        <v>157</v>
      </c>
      <c r="Q515" s="96" t="s">
        <v>104</v>
      </c>
      <c r="R515" s="52">
        <v>2.9</v>
      </c>
      <c r="S515" s="52">
        <f>R515-T515</f>
        <v>2.5892857142857144</v>
      </c>
      <c r="T515" s="52">
        <f>R515*U515/(U515+100)</f>
        <v>0.31071428571428567</v>
      </c>
      <c r="U515" s="50">
        <v>12</v>
      </c>
      <c r="V515" s="53">
        <v>0</v>
      </c>
      <c r="W515" s="147">
        <v>8</v>
      </c>
      <c r="X515" s="148" t="s">
        <v>163</v>
      </c>
      <c r="Y515" s="54">
        <f>R515*W515</f>
        <v>23.2</v>
      </c>
      <c r="Z515" s="52">
        <f>S515*W515</f>
        <v>20.714285714285715</v>
      </c>
      <c r="AA515" s="52">
        <f>T515*W515</f>
        <v>2.4857142857142853</v>
      </c>
      <c r="AB515" s="52">
        <f>V515*W515</f>
        <v>0</v>
      </c>
      <c r="AC515" s="53">
        <f>(R515+V515)*W515</f>
        <v>23.2</v>
      </c>
      <c r="AD515" s="138">
        <v>2.9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107</v>
      </c>
      <c r="F516" s="96" t="s">
        <v>106</v>
      </c>
      <c r="G516" s="97">
        <v>46132</v>
      </c>
      <c r="H516" s="98">
        <v>0.35325231481481484</v>
      </c>
      <c r="I516" s="50">
        <v>166004554</v>
      </c>
      <c r="J516" s="96" t="s">
        <v>157</v>
      </c>
      <c r="K516" s="49" t="s">
        <v>266</v>
      </c>
      <c r="L516" s="39" t="s">
        <v>267</v>
      </c>
      <c r="M516" s="49" t="s">
        <v>268</v>
      </c>
      <c r="N516" s="39" t="s">
        <v>269</v>
      </c>
      <c r="O516" s="96" t="s">
        <v>1249</v>
      </c>
      <c r="P516" s="49" t="s">
        <v>235</v>
      </c>
      <c r="Q516" s="96" t="s">
        <v>236</v>
      </c>
      <c r="R516" s="52">
        <v>11.9</v>
      </c>
      <c r="S516" s="52">
        <f>R516-T516</f>
        <v>10.625</v>
      </c>
      <c r="T516" s="52">
        <f>R516*U516/(U516+100)</f>
        <v>1.2750000000000001</v>
      </c>
      <c r="U516" s="50">
        <v>12</v>
      </c>
      <c r="V516" s="53">
        <v>0</v>
      </c>
      <c r="W516" s="147">
        <v>2</v>
      </c>
      <c r="X516" s="148" t="s">
        <v>163</v>
      </c>
      <c r="Y516" s="54">
        <f>R516*W516</f>
        <v>23.8</v>
      </c>
      <c r="Z516" s="52">
        <f>S516*W516</f>
        <v>21.25</v>
      </c>
      <c r="AA516" s="52">
        <f>T516*W516</f>
        <v>2.5500000000000003</v>
      </c>
      <c r="AB516" s="52">
        <f>V516*W516</f>
        <v>0</v>
      </c>
      <c r="AC516" s="53">
        <f>(R516+V516)*W516</f>
        <v>23.8</v>
      </c>
      <c r="AD516" s="138">
        <v>11.9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107</v>
      </c>
      <c r="F517" s="96" t="s">
        <v>106</v>
      </c>
      <c r="G517" s="97">
        <v>46132</v>
      </c>
      <c r="H517" s="98">
        <v>0.3540509259259259</v>
      </c>
      <c r="I517" s="50">
        <v>166004555</v>
      </c>
      <c r="J517" s="96" t="s">
        <v>157</v>
      </c>
      <c r="K517" s="49" t="s">
        <v>655</v>
      </c>
      <c r="L517" s="39" t="s">
        <v>656</v>
      </c>
      <c r="M517" s="49" t="s">
        <v>190</v>
      </c>
      <c r="N517" s="39" t="s">
        <v>532</v>
      </c>
      <c r="O517" s="96" t="s">
        <v>657</v>
      </c>
      <c r="P517" s="49" t="s">
        <v>157</v>
      </c>
      <c r="Q517" s="96" t="s">
        <v>104</v>
      </c>
      <c r="R517" s="52">
        <v>25.13</v>
      </c>
      <c r="S517" s="52">
        <f>R517-T517</f>
        <v>22.4375</v>
      </c>
      <c r="T517" s="52">
        <f>R517*U517/(U517+100)</f>
        <v>2.6925</v>
      </c>
      <c r="U517" s="50">
        <v>12</v>
      </c>
      <c r="V517" s="53">
        <v>0</v>
      </c>
      <c r="W517" s="147">
        <v>0.846</v>
      </c>
      <c r="X517" s="148" t="s">
        <v>193</v>
      </c>
      <c r="Y517" s="54">
        <f>R517*W517</f>
        <v>21.25998</v>
      </c>
      <c r="Z517" s="52">
        <f>S517*W517</f>
        <v>18.982125</v>
      </c>
      <c r="AA517" s="52">
        <f>T517*W517</f>
        <v>2.2778549999999997</v>
      </c>
      <c r="AB517" s="52">
        <f>V517*W517</f>
        <v>0</v>
      </c>
      <c r="AC517" s="53">
        <f>(R517+V517)*W517</f>
        <v>21.25998</v>
      </c>
      <c r="AD517" s="138">
        <v>35.9</v>
      </c>
      <c r="AE517" s="137">
        <v>10.77</v>
      </c>
      <c r="AF517" s="139">
        <v>9.1114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107</v>
      </c>
      <c r="F518" s="96" t="s">
        <v>106</v>
      </c>
      <c r="G518" s="97">
        <v>46132</v>
      </c>
      <c r="H518" s="98">
        <v>0.3540509259259259</v>
      </c>
      <c r="I518" s="50">
        <v>166004555</v>
      </c>
      <c r="J518" s="96" t="s">
        <v>157</v>
      </c>
      <c r="K518" s="49" t="s">
        <v>266</v>
      </c>
      <c r="L518" s="39" t="s">
        <v>267</v>
      </c>
      <c r="M518" s="49" t="s">
        <v>268</v>
      </c>
      <c r="N518" s="39" t="s">
        <v>269</v>
      </c>
      <c r="O518" s="96" t="s">
        <v>1249</v>
      </c>
      <c r="P518" s="49" t="s">
        <v>235</v>
      </c>
      <c r="Q518" s="96" t="s">
        <v>236</v>
      </c>
      <c r="R518" s="52">
        <v>11.9</v>
      </c>
      <c r="S518" s="52">
        <f>R518-T518</f>
        <v>10.625</v>
      </c>
      <c r="T518" s="52">
        <f>R518*U518/(U518+100)</f>
        <v>1.2750000000000001</v>
      </c>
      <c r="U518" s="50">
        <v>12</v>
      </c>
      <c r="V518" s="53">
        <v>0</v>
      </c>
      <c r="W518" s="147">
        <v>2</v>
      </c>
      <c r="X518" s="148" t="s">
        <v>163</v>
      </c>
      <c r="Y518" s="54">
        <f>R518*W518</f>
        <v>23.8</v>
      </c>
      <c r="Z518" s="52">
        <f>S518*W518</f>
        <v>21.25</v>
      </c>
      <c r="AA518" s="52">
        <f>T518*W518</f>
        <v>2.5500000000000003</v>
      </c>
      <c r="AB518" s="52">
        <f>V518*W518</f>
        <v>0</v>
      </c>
      <c r="AC518" s="53">
        <f>(R518+V518)*W518</f>
        <v>23.8</v>
      </c>
      <c r="AD518" s="138">
        <v>11.9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107</v>
      </c>
      <c r="F519" s="96" t="s">
        <v>106</v>
      </c>
      <c r="G519" s="97">
        <v>46132</v>
      </c>
      <c r="H519" s="98">
        <v>0.3540509259259259</v>
      </c>
      <c r="I519" s="50">
        <v>166004555</v>
      </c>
      <c r="J519" s="96" t="s">
        <v>157</v>
      </c>
      <c r="K519" s="49" t="s">
        <v>1390</v>
      </c>
      <c r="L519" s="39" t="s">
        <v>1391</v>
      </c>
      <c r="M519" s="49" t="s">
        <v>403</v>
      </c>
      <c r="N519" s="39" t="s">
        <v>523</v>
      </c>
      <c r="O519" s="96" t="s">
        <v>1392</v>
      </c>
      <c r="P519" s="49" t="s">
        <v>157</v>
      </c>
      <c r="Q519" s="96" t="s">
        <v>104</v>
      </c>
      <c r="R519" s="52">
        <v>249.9</v>
      </c>
      <c r="S519" s="52">
        <f>R519-T519</f>
        <v>223.125</v>
      </c>
      <c r="T519" s="52">
        <f>R519*U519/(U519+100)</f>
        <v>26.775000000000002</v>
      </c>
      <c r="U519" s="50">
        <v>12</v>
      </c>
      <c r="V519" s="53">
        <v>0</v>
      </c>
      <c r="W519" s="147">
        <v>0.102</v>
      </c>
      <c r="X519" s="148" t="s">
        <v>193</v>
      </c>
      <c r="Y519" s="54">
        <f>R519*W519</f>
        <v>25.4898</v>
      </c>
      <c r="Z519" s="52">
        <f>S519*W519</f>
        <v>22.75875</v>
      </c>
      <c r="AA519" s="52">
        <f>T519*W519</f>
        <v>2.73105</v>
      </c>
      <c r="AB519" s="52">
        <f>V519*W519</f>
        <v>0</v>
      </c>
      <c r="AC519" s="53">
        <f>(R519+V519)*W519</f>
        <v>25.4898</v>
      </c>
      <c r="AD519" s="138">
        <v>249.9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107</v>
      </c>
      <c r="F520" s="96" t="s">
        <v>106</v>
      </c>
      <c r="G520" s="97">
        <v>46132</v>
      </c>
      <c r="H520" s="98">
        <v>0.3540509259259259</v>
      </c>
      <c r="I520" s="50">
        <v>166004555</v>
      </c>
      <c r="J520" s="96" t="s">
        <v>157</v>
      </c>
      <c r="K520" s="49" t="s">
        <v>293</v>
      </c>
      <c r="L520" s="39" t="s">
        <v>294</v>
      </c>
      <c r="M520" s="49" t="s">
        <v>295</v>
      </c>
      <c r="N520" s="39" t="s">
        <v>296</v>
      </c>
      <c r="O520" s="96" t="s">
        <v>297</v>
      </c>
      <c r="P520" s="49" t="s">
        <v>157</v>
      </c>
      <c r="Q520" s="96" t="s">
        <v>104</v>
      </c>
      <c r="R520" s="52">
        <v>2.9</v>
      </c>
      <c r="S520" s="52">
        <f>R520-T520</f>
        <v>2.5892857142857144</v>
      </c>
      <c r="T520" s="52">
        <f>R520*U520/(U520+100)</f>
        <v>0.31071428571428567</v>
      </c>
      <c r="U520" s="50">
        <v>12</v>
      </c>
      <c r="V520" s="53">
        <v>0</v>
      </c>
      <c r="W520" s="147">
        <v>2</v>
      </c>
      <c r="X520" s="148" t="s">
        <v>163</v>
      </c>
      <c r="Y520" s="54">
        <f>R520*W520</f>
        <v>5.8</v>
      </c>
      <c r="Z520" s="52">
        <f>S520*W520</f>
        <v>5.178571428571429</v>
      </c>
      <c r="AA520" s="52">
        <f>T520*W520</f>
        <v>0.6214285714285713</v>
      </c>
      <c r="AB520" s="52">
        <f>V520*W520</f>
        <v>0</v>
      </c>
      <c r="AC520" s="53">
        <f>(R520+V520)*W520</f>
        <v>5.8</v>
      </c>
      <c r="AD520" s="138">
        <v>2.9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107</v>
      </c>
      <c r="F521" s="96" t="s">
        <v>106</v>
      </c>
      <c r="G521" s="97">
        <v>46132</v>
      </c>
      <c r="H521" s="98">
        <v>0.3556944444444444</v>
      </c>
      <c r="I521" s="50">
        <v>166004556</v>
      </c>
      <c r="J521" s="96" t="s">
        <v>157</v>
      </c>
      <c r="K521" s="49" t="s">
        <v>1393</v>
      </c>
      <c r="L521" s="39" t="s">
        <v>1394</v>
      </c>
      <c r="M521" s="49" t="s">
        <v>649</v>
      </c>
      <c r="N521" s="39" t="s">
        <v>440</v>
      </c>
      <c r="O521" s="96" t="s">
        <v>1395</v>
      </c>
      <c r="P521" s="49" t="s">
        <v>157</v>
      </c>
      <c r="Q521" s="96" t="s">
        <v>104</v>
      </c>
      <c r="R521" s="52">
        <v>42.9</v>
      </c>
      <c r="S521" s="52">
        <f>R521-T521</f>
        <v>38.30357142857143</v>
      </c>
      <c r="T521" s="52">
        <f>R521*U521/(U521+100)</f>
        <v>4.596428571428571</v>
      </c>
      <c r="U521" s="50">
        <v>12</v>
      </c>
      <c r="V521" s="53">
        <v>0</v>
      </c>
      <c r="W521" s="147">
        <v>1</v>
      </c>
      <c r="X521" s="148" t="s">
        <v>163</v>
      </c>
      <c r="Y521" s="54">
        <f>R521*W521</f>
        <v>42.9</v>
      </c>
      <c r="Z521" s="52">
        <f>S521*W521</f>
        <v>38.30357142857143</v>
      </c>
      <c r="AA521" s="52">
        <f>T521*W521</f>
        <v>4.596428571428571</v>
      </c>
      <c r="AB521" s="52">
        <f>V521*W521</f>
        <v>0</v>
      </c>
      <c r="AC521" s="53">
        <f>(R521+V521)*W521</f>
        <v>42.9</v>
      </c>
      <c r="AD521" s="138">
        <v>42.9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107</v>
      </c>
      <c r="F522" s="96" t="s">
        <v>106</v>
      </c>
      <c r="G522" s="97">
        <v>46132</v>
      </c>
      <c r="H522" s="98">
        <v>0.3567708333333333</v>
      </c>
      <c r="I522" s="50">
        <v>166004557</v>
      </c>
      <c r="J522" s="96" t="s">
        <v>157</v>
      </c>
      <c r="K522" s="49" t="s">
        <v>1396</v>
      </c>
      <c r="L522" s="39" t="s">
        <v>1397</v>
      </c>
      <c r="M522" s="49" t="s">
        <v>830</v>
      </c>
      <c r="N522" s="39" t="s">
        <v>264</v>
      </c>
      <c r="O522" s="96" t="s">
        <v>1398</v>
      </c>
      <c r="P522" s="49" t="s">
        <v>157</v>
      </c>
      <c r="Q522" s="96" t="s">
        <v>104</v>
      </c>
      <c r="R522" s="52">
        <v>41.9</v>
      </c>
      <c r="S522" s="52">
        <f>R522-T522</f>
        <v>37.410714285714285</v>
      </c>
      <c r="T522" s="52">
        <f>R522*U522/(U522+100)</f>
        <v>4.489285714285714</v>
      </c>
      <c r="U522" s="50">
        <v>12</v>
      </c>
      <c r="V522" s="53">
        <v>0</v>
      </c>
      <c r="W522" s="147">
        <v>1</v>
      </c>
      <c r="X522" s="148" t="s">
        <v>163</v>
      </c>
      <c r="Y522" s="54">
        <f>R522*W522</f>
        <v>41.9</v>
      </c>
      <c r="Z522" s="52">
        <f>S522*W522</f>
        <v>37.410714285714285</v>
      </c>
      <c r="AA522" s="52">
        <f>T522*W522</f>
        <v>4.489285714285714</v>
      </c>
      <c r="AB522" s="52">
        <f>V522*W522</f>
        <v>0</v>
      </c>
      <c r="AC522" s="53">
        <f>(R522+V522)*W522</f>
        <v>41.9</v>
      </c>
      <c r="AD522" s="138">
        <v>41.9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107</v>
      </c>
      <c r="F523" s="96" t="s">
        <v>106</v>
      </c>
      <c r="G523" s="97">
        <v>46132</v>
      </c>
      <c r="H523" s="98">
        <v>0.3567708333333333</v>
      </c>
      <c r="I523" s="50">
        <v>166004557</v>
      </c>
      <c r="J523" s="96" t="s">
        <v>157</v>
      </c>
      <c r="K523" s="49" t="s">
        <v>1399</v>
      </c>
      <c r="L523" s="39" t="s">
        <v>1400</v>
      </c>
      <c r="M523" s="49" t="s">
        <v>1401</v>
      </c>
      <c r="N523" s="39" t="s">
        <v>244</v>
      </c>
      <c r="O523" s="96" t="s">
        <v>1402</v>
      </c>
      <c r="P523" s="49" t="s">
        <v>157</v>
      </c>
      <c r="Q523" s="96" t="s">
        <v>104</v>
      </c>
      <c r="R523" s="52">
        <v>24.9</v>
      </c>
      <c r="S523" s="52">
        <f>R523-T523</f>
        <v>22.232142857142858</v>
      </c>
      <c r="T523" s="52">
        <f>R523*U523/(U523+100)</f>
        <v>2.6678571428571423</v>
      </c>
      <c r="U523" s="50">
        <v>12</v>
      </c>
      <c r="V523" s="53">
        <v>0</v>
      </c>
      <c r="W523" s="147">
        <v>1</v>
      </c>
      <c r="X523" s="148" t="s">
        <v>163</v>
      </c>
      <c r="Y523" s="54">
        <f>R523*W523</f>
        <v>24.9</v>
      </c>
      <c r="Z523" s="52">
        <f>S523*W523</f>
        <v>22.232142857142858</v>
      </c>
      <c r="AA523" s="52">
        <f>T523*W523</f>
        <v>2.6678571428571423</v>
      </c>
      <c r="AB523" s="52">
        <f>V523*W523</f>
        <v>0</v>
      </c>
      <c r="AC523" s="53">
        <f>(R523+V523)*W523</f>
        <v>24.9</v>
      </c>
      <c r="AD523" s="138">
        <v>24.9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107</v>
      </c>
      <c r="F524" s="96" t="s">
        <v>106</v>
      </c>
      <c r="G524" s="97">
        <v>46132</v>
      </c>
      <c r="H524" s="98">
        <v>0.3567708333333333</v>
      </c>
      <c r="I524" s="50">
        <v>166004557</v>
      </c>
      <c r="J524" s="96" t="s">
        <v>157</v>
      </c>
      <c r="K524" s="49" t="s">
        <v>1403</v>
      </c>
      <c r="L524" s="39" t="s">
        <v>1404</v>
      </c>
      <c r="M524" s="49" t="s">
        <v>1405</v>
      </c>
      <c r="N524" s="39" t="s">
        <v>778</v>
      </c>
      <c r="O524" s="96" t="s">
        <v>1406</v>
      </c>
      <c r="P524" s="49" t="s">
        <v>157</v>
      </c>
      <c r="Q524" s="96" t="s">
        <v>104</v>
      </c>
      <c r="R524" s="52">
        <v>12.4</v>
      </c>
      <c r="S524" s="52">
        <f>R524-T524</f>
        <v>11.071428571428571</v>
      </c>
      <c r="T524" s="52">
        <f>R524*U524/(U524+100)</f>
        <v>1.3285714285714287</v>
      </c>
      <c r="U524" s="50">
        <v>12</v>
      </c>
      <c r="V524" s="53">
        <v>0</v>
      </c>
      <c r="W524" s="147">
        <v>1</v>
      </c>
      <c r="X524" s="148" t="s">
        <v>163</v>
      </c>
      <c r="Y524" s="54">
        <f>R524*W524</f>
        <v>12.4</v>
      </c>
      <c r="Z524" s="52">
        <f>S524*W524</f>
        <v>11.071428571428571</v>
      </c>
      <c r="AA524" s="52">
        <f>T524*W524</f>
        <v>1.3285714285714287</v>
      </c>
      <c r="AB524" s="52">
        <f>V524*W524</f>
        <v>0</v>
      </c>
      <c r="AC524" s="53">
        <f>(R524+V524)*W524</f>
        <v>12.4</v>
      </c>
      <c r="AD524" s="138">
        <v>12.4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107</v>
      </c>
      <c r="F525" s="96" t="s">
        <v>106</v>
      </c>
      <c r="G525" s="97">
        <v>46132</v>
      </c>
      <c r="H525" s="98">
        <v>0.3567708333333333</v>
      </c>
      <c r="I525" s="50">
        <v>166004557</v>
      </c>
      <c r="J525" s="96" t="s">
        <v>157</v>
      </c>
      <c r="K525" s="49" t="s">
        <v>1407</v>
      </c>
      <c r="L525" s="39" t="s">
        <v>1408</v>
      </c>
      <c r="M525" s="49" t="s">
        <v>1409</v>
      </c>
      <c r="N525" s="39" t="s">
        <v>1410</v>
      </c>
      <c r="O525" s="96" t="s">
        <v>1411</v>
      </c>
      <c r="P525" s="49" t="s">
        <v>157</v>
      </c>
      <c r="Q525" s="96" t="s">
        <v>104</v>
      </c>
      <c r="R525" s="52">
        <v>25.9</v>
      </c>
      <c r="S525" s="52">
        <f>R525-T525</f>
        <v>23.125</v>
      </c>
      <c r="T525" s="52">
        <f>R525*U525/(U525+100)</f>
        <v>2.7749999999999995</v>
      </c>
      <c r="U525" s="50">
        <v>12</v>
      </c>
      <c r="V525" s="53">
        <v>0</v>
      </c>
      <c r="W525" s="147">
        <v>1</v>
      </c>
      <c r="X525" s="148" t="s">
        <v>163</v>
      </c>
      <c r="Y525" s="54">
        <f>R525*W525</f>
        <v>25.9</v>
      </c>
      <c r="Z525" s="52">
        <f>S525*W525</f>
        <v>23.125</v>
      </c>
      <c r="AA525" s="52">
        <f>T525*W525</f>
        <v>2.7749999999999995</v>
      </c>
      <c r="AB525" s="52">
        <f>V525*W525</f>
        <v>0</v>
      </c>
      <c r="AC525" s="53">
        <f>(R525+V525)*W525</f>
        <v>25.9</v>
      </c>
      <c r="AD525" s="138">
        <v>25.9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107</v>
      </c>
      <c r="F526" s="96" t="s">
        <v>106</v>
      </c>
      <c r="G526" s="97">
        <v>46132</v>
      </c>
      <c r="H526" s="98">
        <v>0.3567708333333333</v>
      </c>
      <c r="I526" s="50">
        <v>166004557</v>
      </c>
      <c r="J526" s="96" t="s">
        <v>157</v>
      </c>
      <c r="K526" s="49" t="s">
        <v>714</v>
      </c>
      <c r="L526" s="39" t="s">
        <v>715</v>
      </c>
      <c r="M526" s="49" t="s">
        <v>326</v>
      </c>
      <c r="N526" s="39" t="s">
        <v>327</v>
      </c>
      <c r="O526" s="96" t="s">
        <v>1412</v>
      </c>
      <c r="P526" s="49" t="s">
        <v>157</v>
      </c>
      <c r="Q526" s="96" t="s">
        <v>104</v>
      </c>
      <c r="R526" s="52">
        <v>12.9</v>
      </c>
      <c r="S526" s="52">
        <f>R526-T526</f>
        <v>11.517857142857142</v>
      </c>
      <c r="T526" s="52">
        <f>R526*U526/(U526+100)</f>
        <v>1.3821428571428573</v>
      </c>
      <c r="U526" s="50">
        <v>12</v>
      </c>
      <c r="V526" s="53">
        <v>0</v>
      </c>
      <c r="W526" s="147">
        <v>1</v>
      </c>
      <c r="X526" s="148" t="s">
        <v>163</v>
      </c>
      <c r="Y526" s="54">
        <f>R526*W526</f>
        <v>12.9</v>
      </c>
      <c r="Z526" s="52">
        <f>S526*W526</f>
        <v>11.517857142857142</v>
      </c>
      <c r="AA526" s="52">
        <f>T526*W526</f>
        <v>1.3821428571428573</v>
      </c>
      <c r="AB526" s="52">
        <f>V526*W526</f>
        <v>0</v>
      </c>
      <c r="AC526" s="53">
        <f>(R526+V526)*W526</f>
        <v>12.9</v>
      </c>
      <c r="AD526" s="138">
        <v>12.9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107</v>
      </c>
      <c r="F527" s="96" t="s">
        <v>106</v>
      </c>
      <c r="G527" s="97">
        <v>46132</v>
      </c>
      <c r="H527" s="98">
        <v>0.3567708333333333</v>
      </c>
      <c r="I527" s="50">
        <v>166004557</v>
      </c>
      <c r="J527" s="96" t="s">
        <v>157</v>
      </c>
      <c r="K527" s="49" t="s">
        <v>1164</v>
      </c>
      <c r="L527" s="39" t="s">
        <v>1165</v>
      </c>
      <c r="M527" s="49" t="s">
        <v>277</v>
      </c>
      <c r="N527" s="39" t="s">
        <v>408</v>
      </c>
      <c r="O527" s="96" t="s">
        <v>1166</v>
      </c>
      <c r="P527" s="49" t="s">
        <v>157</v>
      </c>
      <c r="Q527" s="96" t="s">
        <v>104</v>
      </c>
      <c r="R527" s="52">
        <v>159.9</v>
      </c>
      <c r="S527" s="52">
        <f>R527-T527</f>
        <v>142.76785714285714</v>
      </c>
      <c r="T527" s="52">
        <f>R527*U527/(U527+100)</f>
        <v>17.13214285714286</v>
      </c>
      <c r="U527" s="50">
        <v>12</v>
      </c>
      <c r="V527" s="53">
        <v>0</v>
      </c>
      <c r="W527" s="147">
        <v>0.226</v>
      </c>
      <c r="X527" s="148" t="s">
        <v>410</v>
      </c>
      <c r="Y527" s="54">
        <f>R527*W527</f>
        <v>36.1374</v>
      </c>
      <c r="Z527" s="52">
        <f>S527*W527</f>
        <v>32.26553571428571</v>
      </c>
      <c r="AA527" s="52">
        <f>T527*W527</f>
        <v>3.8718642857142864</v>
      </c>
      <c r="AB527" s="52">
        <f>V527*W527</f>
        <v>0</v>
      </c>
      <c r="AC527" s="53">
        <f>(R527+V527)*W527</f>
        <v>36.1374</v>
      </c>
      <c r="AD527" s="138">
        <v>159.9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107</v>
      </c>
      <c r="F528" s="96" t="s">
        <v>106</v>
      </c>
      <c r="G528" s="97">
        <v>46132</v>
      </c>
      <c r="H528" s="98">
        <v>0.35726851851851854</v>
      </c>
      <c r="I528" s="50">
        <v>166004558</v>
      </c>
      <c r="J528" s="96" t="s">
        <v>157</v>
      </c>
      <c r="K528" s="49" t="s">
        <v>1413</v>
      </c>
      <c r="L528" s="39" t="s">
        <v>104</v>
      </c>
      <c r="M528" s="49" t="s">
        <v>190</v>
      </c>
      <c r="N528" s="39" t="s">
        <v>1414</v>
      </c>
      <c r="O528" s="96" t="s">
        <v>1415</v>
      </c>
      <c r="P528" s="49" t="s">
        <v>157</v>
      </c>
      <c r="Q528" s="96" t="s">
        <v>104</v>
      </c>
      <c r="R528" s="52">
        <v>23.9</v>
      </c>
      <c r="S528" s="52">
        <f>R528-T528</f>
        <v>21.33928571428571</v>
      </c>
      <c r="T528" s="52">
        <f>R528*U528/(U528+100)</f>
        <v>2.5607142857142855</v>
      </c>
      <c r="U528" s="50">
        <v>12</v>
      </c>
      <c r="V528" s="53">
        <v>0</v>
      </c>
      <c r="W528" s="147">
        <v>1</v>
      </c>
      <c r="X528" s="148" t="s">
        <v>163</v>
      </c>
      <c r="Y528" s="54">
        <f>R528*W528</f>
        <v>23.9</v>
      </c>
      <c r="Z528" s="52">
        <f>S528*W528</f>
        <v>21.33928571428571</v>
      </c>
      <c r="AA528" s="52">
        <f>T528*W528</f>
        <v>2.5607142857142855</v>
      </c>
      <c r="AB528" s="52">
        <f>V528*W528</f>
        <v>0</v>
      </c>
      <c r="AC528" s="53">
        <f>(R528+V528)*W528</f>
        <v>23.9</v>
      </c>
      <c r="AD528" s="138">
        <v>23.9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107</v>
      </c>
      <c r="F529" s="96" t="s">
        <v>106</v>
      </c>
      <c r="G529" s="97">
        <v>46132</v>
      </c>
      <c r="H529" s="98">
        <v>0.35726851851851854</v>
      </c>
      <c r="I529" s="50">
        <v>166004558</v>
      </c>
      <c r="J529" s="96" t="s">
        <v>157</v>
      </c>
      <c r="K529" s="49" t="s">
        <v>1413</v>
      </c>
      <c r="L529" s="39" t="s">
        <v>104</v>
      </c>
      <c r="M529" s="49" t="s">
        <v>190</v>
      </c>
      <c r="N529" s="39" t="s">
        <v>1414</v>
      </c>
      <c r="O529" s="96" t="s">
        <v>1415</v>
      </c>
      <c r="P529" s="49" t="s">
        <v>157</v>
      </c>
      <c r="Q529" s="96" t="s">
        <v>104</v>
      </c>
      <c r="R529" s="52">
        <v>23.9</v>
      </c>
      <c r="S529" s="52">
        <f>R529-T529</f>
        <v>21.33928571428571</v>
      </c>
      <c r="T529" s="52">
        <f>R529*U529/(U529+100)</f>
        <v>2.5607142857142855</v>
      </c>
      <c r="U529" s="50">
        <v>12</v>
      </c>
      <c r="V529" s="53">
        <v>0</v>
      </c>
      <c r="W529" s="147">
        <v>1</v>
      </c>
      <c r="X529" s="148" t="s">
        <v>163</v>
      </c>
      <c r="Y529" s="54">
        <f>R529*W529</f>
        <v>23.9</v>
      </c>
      <c r="Z529" s="52">
        <f>S529*W529</f>
        <v>21.33928571428571</v>
      </c>
      <c r="AA529" s="52">
        <f>T529*W529</f>
        <v>2.5607142857142855</v>
      </c>
      <c r="AB529" s="52">
        <f>V529*W529</f>
        <v>0</v>
      </c>
      <c r="AC529" s="53">
        <f>(R529+V529)*W529</f>
        <v>23.9</v>
      </c>
      <c r="AD529" s="138">
        <v>23.9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107</v>
      </c>
      <c r="F530" s="96" t="s">
        <v>106</v>
      </c>
      <c r="G530" s="97">
        <v>46132</v>
      </c>
      <c r="H530" s="98">
        <v>0.3625115740740741</v>
      </c>
      <c r="I530" s="50">
        <v>166004559</v>
      </c>
      <c r="J530" s="96" t="s">
        <v>157</v>
      </c>
      <c r="K530" s="49" t="s">
        <v>1416</v>
      </c>
      <c r="L530" s="39" t="s">
        <v>1417</v>
      </c>
      <c r="M530" s="49" t="s">
        <v>196</v>
      </c>
      <c r="N530" s="39" t="s">
        <v>197</v>
      </c>
      <c r="O530" s="96" t="s">
        <v>1418</v>
      </c>
      <c r="P530" s="49" t="s">
        <v>157</v>
      </c>
      <c r="Q530" s="96" t="s">
        <v>104</v>
      </c>
      <c r="R530" s="52">
        <v>17.9</v>
      </c>
      <c r="S530" s="52">
        <f>R530-T530</f>
        <v>15.982142857142856</v>
      </c>
      <c r="T530" s="52">
        <f>R530*U530/(U530+100)</f>
        <v>1.9178571428571427</v>
      </c>
      <c r="U530" s="50">
        <v>12</v>
      </c>
      <c r="V530" s="53">
        <v>0</v>
      </c>
      <c r="W530" s="147">
        <v>1</v>
      </c>
      <c r="X530" s="148" t="s">
        <v>163</v>
      </c>
      <c r="Y530" s="54">
        <f>R530*W530</f>
        <v>17.9</v>
      </c>
      <c r="Z530" s="52">
        <f>S530*W530</f>
        <v>15.982142857142856</v>
      </c>
      <c r="AA530" s="52">
        <f>T530*W530</f>
        <v>1.9178571428571427</v>
      </c>
      <c r="AB530" s="52">
        <f>V530*W530</f>
        <v>0</v>
      </c>
      <c r="AC530" s="53">
        <f>(R530+V530)*W530</f>
        <v>17.9</v>
      </c>
      <c r="AD530" s="138">
        <v>17.9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107</v>
      </c>
      <c r="F531" s="96" t="s">
        <v>106</v>
      </c>
      <c r="G531" s="97">
        <v>46132</v>
      </c>
      <c r="H531" s="98">
        <v>0.3625115740740741</v>
      </c>
      <c r="I531" s="50">
        <v>166004559</v>
      </c>
      <c r="J531" s="96" t="s">
        <v>157</v>
      </c>
      <c r="K531" s="49" t="s">
        <v>280</v>
      </c>
      <c r="L531" s="39" t="s">
        <v>281</v>
      </c>
      <c r="M531" s="49" t="s">
        <v>282</v>
      </c>
      <c r="N531" s="39" t="s">
        <v>210</v>
      </c>
      <c r="O531" s="96" t="s">
        <v>1419</v>
      </c>
      <c r="P531" s="49" t="s">
        <v>157</v>
      </c>
      <c r="Q531" s="96" t="s">
        <v>104</v>
      </c>
      <c r="R531" s="52">
        <v>21.9</v>
      </c>
      <c r="S531" s="52">
        <f>R531-T531</f>
        <v>19.553571428571427</v>
      </c>
      <c r="T531" s="52">
        <f>R531*U531/(U531+100)</f>
        <v>2.346428571428571</v>
      </c>
      <c r="U531" s="50">
        <v>12</v>
      </c>
      <c r="V531" s="53">
        <v>0</v>
      </c>
      <c r="W531" s="147">
        <v>1</v>
      </c>
      <c r="X531" s="148" t="s">
        <v>163</v>
      </c>
      <c r="Y531" s="54">
        <f>R531*W531</f>
        <v>21.9</v>
      </c>
      <c r="Z531" s="52">
        <f>S531*W531</f>
        <v>19.553571428571427</v>
      </c>
      <c r="AA531" s="52">
        <f>T531*W531</f>
        <v>2.346428571428571</v>
      </c>
      <c r="AB531" s="52">
        <f>V531*W531</f>
        <v>0</v>
      </c>
      <c r="AC531" s="53">
        <f>(R531+V531)*W531</f>
        <v>21.9</v>
      </c>
      <c r="AD531" s="138">
        <v>21.9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107</v>
      </c>
      <c r="F532" s="96" t="s">
        <v>106</v>
      </c>
      <c r="G532" s="97">
        <v>46132</v>
      </c>
      <c r="H532" s="98">
        <v>0.36429398148148145</v>
      </c>
      <c r="I532" s="50">
        <v>166004560</v>
      </c>
      <c r="J532" s="96" t="s">
        <v>157</v>
      </c>
      <c r="K532" s="49" t="s">
        <v>1420</v>
      </c>
      <c r="L532" s="39" t="s">
        <v>1421</v>
      </c>
      <c r="M532" s="49" t="s">
        <v>1095</v>
      </c>
      <c r="N532" s="39" t="s">
        <v>793</v>
      </c>
      <c r="O532" s="96" t="s">
        <v>1422</v>
      </c>
      <c r="P532" s="49" t="s">
        <v>157</v>
      </c>
      <c r="Q532" s="96" t="s">
        <v>104</v>
      </c>
      <c r="R532" s="52">
        <v>29.9</v>
      </c>
      <c r="S532" s="52">
        <f>R532-T532</f>
        <v>26.69642857142857</v>
      </c>
      <c r="T532" s="52">
        <f>R532*U532/(U532+100)</f>
        <v>3.2035714285714283</v>
      </c>
      <c r="U532" s="50">
        <v>12</v>
      </c>
      <c r="V532" s="53">
        <v>0</v>
      </c>
      <c r="W532" s="147">
        <v>1</v>
      </c>
      <c r="X532" s="148" t="s">
        <v>163</v>
      </c>
      <c r="Y532" s="54">
        <f>R532*W532</f>
        <v>29.9</v>
      </c>
      <c r="Z532" s="52">
        <f>S532*W532</f>
        <v>26.69642857142857</v>
      </c>
      <c r="AA532" s="52">
        <f>T532*W532</f>
        <v>3.2035714285714283</v>
      </c>
      <c r="AB532" s="52">
        <f>V532*W532</f>
        <v>0</v>
      </c>
      <c r="AC532" s="53">
        <f>(R532+V532)*W532</f>
        <v>29.9</v>
      </c>
      <c r="AD532" s="138">
        <v>29.9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107</v>
      </c>
      <c r="F533" s="96" t="s">
        <v>106</v>
      </c>
      <c r="G533" s="97">
        <v>46132</v>
      </c>
      <c r="H533" s="98">
        <v>0.36429398148148145</v>
      </c>
      <c r="I533" s="50">
        <v>166004560</v>
      </c>
      <c r="J533" s="96" t="s">
        <v>157</v>
      </c>
      <c r="K533" s="49" t="s">
        <v>1423</v>
      </c>
      <c r="L533" s="39" t="s">
        <v>1424</v>
      </c>
      <c r="M533" s="49" t="s">
        <v>1095</v>
      </c>
      <c r="N533" s="39" t="s">
        <v>793</v>
      </c>
      <c r="O533" s="96" t="s">
        <v>1425</v>
      </c>
      <c r="P533" s="49" t="s">
        <v>157</v>
      </c>
      <c r="Q533" s="96" t="s">
        <v>104</v>
      </c>
      <c r="R533" s="52">
        <v>29.9</v>
      </c>
      <c r="S533" s="52">
        <f>R533-T533</f>
        <v>26.69642857142857</v>
      </c>
      <c r="T533" s="52">
        <f>R533*U533/(U533+100)</f>
        <v>3.2035714285714283</v>
      </c>
      <c r="U533" s="50">
        <v>12</v>
      </c>
      <c r="V533" s="53">
        <v>0</v>
      </c>
      <c r="W533" s="147">
        <v>1</v>
      </c>
      <c r="X533" s="148" t="s">
        <v>163</v>
      </c>
      <c r="Y533" s="54">
        <f>R533*W533</f>
        <v>29.9</v>
      </c>
      <c r="Z533" s="52">
        <f>S533*W533</f>
        <v>26.69642857142857</v>
      </c>
      <c r="AA533" s="52">
        <f>T533*W533</f>
        <v>3.2035714285714283</v>
      </c>
      <c r="AB533" s="52">
        <f>V533*W533</f>
        <v>0</v>
      </c>
      <c r="AC533" s="53">
        <f>(R533+V533)*W533</f>
        <v>29.9</v>
      </c>
      <c r="AD533" s="138">
        <v>29.9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107</v>
      </c>
      <c r="F534" s="96" t="s">
        <v>106</v>
      </c>
      <c r="G534" s="97">
        <v>46132</v>
      </c>
      <c r="H534" s="98">
        <v>0.36429398148148145</v>
      </c>
      <c r="I534" s="50">
        <v>166004560</v>
      </c>
      <c r="J534" s="96" t="s">
        <v>157</v>
      </c>
      <c r="K534" s="49" t="s">
        <v>1426</v>
      </c>
      <c r="L534" s="39" t="s">
        <v>1427</v>
      </c>
      <c r="M534" s="49" t="s">
        <v>1428</v>
      </c>
      <c r="N534" s="39" t="s">
        <v>609</v>
      </c>
      <c r="O534" s="96" t="s">
        <v>1429</v>
      </c>
      <c r="P534" s="49" t="s">
        <v>157</v>
      </c>
      <c r="Q534" s="96" t="s">
        <v>104</v>
      </c>
      <c r="R534" s="52">
        <v>22.9</v>
      </c>
      <c r="S534" s="52">
        <f>R534-T534</f>
        <v>20.44642857142857</v>
      </c>
      <c r="T534" s="52">
        <f>R534*U534/(U534+100)</f>
        <v>2.4535714285714283</v>
      </c>
      <c r="U534" s="50">
        <v>12</v>
      </c>
      <c r="V534" s="53">
        <v>0</v>
      </c>
      <c r="W534" s="147">
        <v>1</v>
      </c>
      <c r="X534" s="148" t="s">
        <v>163</v>
      </c>
      <c r="Y534" s="54">
        <f>R534*W534</f>
        <v>22.9</v>
      </c>
      <c r="Z534" s="52">
        <f>S534*W534</f>
        <v>20.44642857142857</v>
      </c>
      <c r="AA534" s="52">
        <f>T534*W534</f>
        <v>2.4535714285714283</v>
      </c>
      <c r="AB534" s="52">
        <f>V534*W534</f>
        <v>0</v>
      </c>
      <c r="AC534" s="53">
        <f>(R534+V534)*W534</f>
        <v>22.9</v>
      </c>
      <c r="AD534" s="138">
        <v>22.9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107</v>
      </c>
      <c r="F535" s="96" t="s">
        <v>106</v>
      </c>
      <c r="G535" s="97">
        <v>46132</v>
      </c>
      <c r="H535" s="98">
        <v>0.36429398148148145</v>
      </c>
      <c r="I535" s="50">
        <v>166004560</v>
      </c>
      <c r="J535" s="96" t="s">
        <v>157</v>
      </c>
      <c r="K535" s="49" t="s">
        <v>1430</v>
      </c>
      <c r="L535" s="39" t="s">
        <v>1431</v>
      </c>
      <c r="M535" s="49" t="s">
        <v>232</v>
      </c>
      <c r="N535" s="39" t="s">
        <v>233</v>
      </c>
      <c r="O535" s="96" t="s">
        <v>1432</v>
      </c>
      <c r="P535" s="49" t="s">
        <v>235</v>
      </c>
      <c r="Q535" s="96" t="s">
        <v>236</v>
      </c>
      <c r="R535" s="52">
        <v>24.9</v>
      </c>
      <c r="S535" s="52">
        <f>R535-T535</f>
        <v>20.578512396694215</v>
      </c>
      <c r="T535" s="52">
        <f>R535*U535/(U535+100)</f>
        <v>4.321487603305785</v>
      </c>
      <c r="U535" s="50">
        <v>21</v>
      </c>
      <c r="V535" s="53">
        <v>0</v>
      </c>
      <c r="W535" s="147">
        <v>1</v>
      </c>
      <c r="X535" s="148" t="s">
        <v>163</v>
      </c>
      <c r="Y535" s="54">
        <f>R535*W535</f>
        <v>24.9</v>
      </c>
      <c r="Z535" s="52">
        <f>S535*W535</f>
        <v>20.578512396694215</v>
      </c>
      <c r="AA535" s="52">
        <f>T535*W535</f>
        <v>4.321487603305785</v>
      </c>
      <c r="AB535" s="52">
        <f>V535*W535</f>
        <v>0</v>
      </c>
      <c r="AC535" s="53">
        <f>(R535+V535)*W535</f>
        <v>24.9</v>
      </c>
      <c r="AD535" s="138">
        <v>24.9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107</v>
      </c>
      <c r="F536" s="96" t="s">
        <v>106</v>
      </c>
      <c r="G536" s="97">
        <v>46132</v>
      </c>
      <c r="H536" s="98">
        <v>0.36429398148148145</v>
      </c>
      <c r="I536" s="50">
        <v>166004560</v>
      </c>
      <c r="J536" s="96" t="s">
        <v>157</v>
      </c>
      <c r="K536" s="49" t="s">
        <v>230</v>
      </c>
      <c r="L536" s="39" t="s">
        <v>231</v>
      </c>
      <c r="M536" s="49" t="s">
        <v>232</v>
      </c>
      <c r="N536" s="39" t="s">
        <v>233</v>
      </c>
      <c r="O536" s="96" t="s">
        <v>1433</v>
      </c>
      <c r="P536" s="49" t="s">
        <v>235</v>
      </c>
      <c r="Q536" s="96" t="s">
        <v>236</v>
      </c>
      <c r="R536" s="52">
        <v>24.9</v>
      </c>
      <c r="S536" s="52">
        <f>R536-T536</f>
        <v>20.578512396694215</v>
      </c>
      <c r="T536" s="52">
        <f>R536*U536/(U536+100)</f>
        <v>4.321487603305785</v>
      </c>
      <c r="U536" s="50">
        <v>21</v>
      </c>
      <c r="V536" s="53">
        <v>0</v>
      </c>
      <c r="W536" s="147">
        <v>1</v>
      </c>
      <c r="X536" s="148" t="s">
        <v>163</v>
      </c>
      <c r="Y536" s="54">
        <f>R536*W536</f>
        <v>24.9</v>
      </c>
      <c r="Z536" s="52">
        <f>S536*W536</f>
        <v>20.578512396694215</v>
      </c>
      <c r="AA536" s="52">
        <f>T536*W536</f>
        <v>4.321487603305785</v>
      </c>
      <c r="AB536" s="52">
        <f>V536*W536</f>
        <v>0</v>
      </c>
      <c r="AC536" s="53">
        <f>(R536+V536)*W536</f>
        <v>24.9</v>
      </c>
      <c r="AD536" s="138">
        <v>24.9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107</v>
      </c>
      <c r="F537" s="96" t="s">
        <v>106</v>
      </c>
      <c r="G537" s="97">
        <v>46132</v>
      </c>
      <c r="H537" s="98">
        <v>0.36429398148148145</v>
      </c>
      <c r="I537" s="50">
        <v>166004560</v>
      </c>
      <c r="J537" s="96" t="s">
        <v>157</v>
      </c>
      <c r="K537" s="49" t="s">
        <v>343</v>
      </c>
      <c r="L537" s="39" t="s">
        <v>344</v>
      </c>
      <c r="M537" s="49" t="s">
        <v>232</v>
      </c>
      <c r="N537" s="39" t="s">
        <v>233</v>
      </c>
      <c r="O537" s="96" t="s">
        <v>1434</v>
      </c>
      <c r="P537" s="49" t="s">
        <v>235</v>
      </c>
      <c r="Q537" s="96" t="s">
        <v>236</v>
      </c>
      <c r="R537" s="52">
        <v>24.9</v>
      </c>
      <c r="S537" s="52">
        <f>R537-T537</f>
        <v>20.578512396694215</v>
      </c>
      <c r="T537" s="52">
        <f>R537*U537/(U537+100)</f>
        <v>4.321487603305785</v>
      </c>
      <c r="U537" s="50">
        <v>21</v>
      </c>
      <c r="V537" s="53">
        <v>0</v>
      </c>
      <c r="W537" s="147">
        <v>1</v>
      </c>
      <c r="X537" s="148" t="s">
        <v>163</v>
      </c>
      <c r="Y537" s="54">
        <f>R537*W537</f>
        <v>24.9</v>
      </c>
      <c r="Z537" s="52">
        <f>S537*W537</f>
        <v>20.578512396694215</v>
      </c>
      <c r="AA537" s="52">
        <f>T537*W537</f>
        <v>4.321487603305785</v>
      </c>
      <c r="AB537" s="52">
        <f>V537*W537</f>
        <v>0</v>
      </c>
      <c r="AC537" s="53">
        <f>(R537+V537)*W537</f>
        <v>24.9</v>
      </c>
      <c r="AD537" s="138">
        <v>24.9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107</v>
      </c>
      <c r="F538" s="96" t="s">
        <v>106</v>
      </c>
      <c r="G538" s="97">
        <v>46132</v>
      </c>
      <c r="H538" s="98">
        <v>0.36429398148148145</v>
      </c>
      <c r="I538" s="50">
        <v>166004560</v>
      </c>
      <c r="J538" s="96" t="s">
        <v>157</v>
      </c>
      <c r="K538" s="49" t="s">
        <v>1435</v>
      </c>
      <c r="L538" s="39" t="s">
        <v>1436</v>
      </c>
      <c r="M538" s="49" t="s">
        <v>166</v>
      </c>
      <c r="N538" s="39" t="s">
        <v>233</v>
      </c>
      <c r="O538" s="96" t="s">
        <v>1437</v>
      </c>
      <c r="P538" s="49" t="s">
        <v>157</v>
      </c>
      <c r="Q538" s="96" t="s">
        <v>104</v>
      </c>
      <c r="R538" s="52">
        <v>24.9</v>
      </c>
      <c r="S538" s="52">
        <f>R538-T538</f>
        <v>20.578512396694215</v>
      </c>
      <c r="T538" s="52">
        <f>R538*U538/(U538+100)</f>
        <v>4.321487603305785</v>
      </c>
      <c r="U538" s="50">
        <v>21</v>
      </c>
      <c r="V538" s="53">
        <v>0</v>
      </c>
      <c r="W538" s="147">
        <v>1</v>
      </c>
      <c r="X538" s="148" t="s">
        <v>163</v>
      </c>
      <c r="Y538" s="54">
        <f>R538*W538</f>
        <v>24.9</v>
      </c>
      <c r="Z538" s="52">
        <f>S538*W538</f>
        <v>20.578512396694215</v>
      </c>
      <c r="AA538" s="52">
        <f>T538*W538</f>
        <v>4.321487603305785</v>
      </c>
      <c r="AB538" s="52">
        <f>V538*W538</f>
        <v>0</v>
      </c>
      <c r="AC538" s="53">
        <f>(R538+V538)*W538</f>
        <v>24.9</v>
      </c>
      <c r="AD538" s="138">
        <v>24.9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107</v>
      </c>
      <c r="F539" s="96" t="s">
        <v>106</v>
      </c>
      <c r="G539" s="97">
        <v>46132</v>
      </c>
      <c r="H539" s="98">
        <v>0.36429398148148145</v>
      </c>
      <c r="I539" s="50">
        <v>166004560</v>
      </c>
      <c r="J539" s="96" t="s">
        <v>157</v>
      </c>
      <c r="K539" s="49" t="s">
        <v>1438</v>
      </c>
      <c r="L539" s="39" t="s">
        <v>104</v>
      </c>
      <c r="M539" s="49" t="s">
        <v>214</v>
      </c>
      <c r="N539" s="39" t="s">
        <v>756</v>
      </c>
      <c r="O539" s="96" t="s">
        <v>1439</v>
      </c>
      <c r="P539" s="49" t="s">
        <v>157</v>
      </c>
      <c r="Q539" s="96" t="s">
        <v>104</v>
      </c>
      <c r="R539" s="52">
        <v>23.9</v>
      </c>
      <c r="S539" s="52">
        <f>R539-T539</f>
        <v>21.33928571428571</v>
      </c>
      <c r="T539" s="52">
        <f>R539*U539/(U539+100)</f>
        <v>2.5607142857142855</v>
      </c>
      <c r="U539" s="50">
        <v>12</v>
      </c>
      <c r="V539" s="53">
        <v>0</v>
      </c>
      <c r="W539" s="147">
        <v>1</v>
      </c>
      <c r="X539" s="148" t="s">
        <v>163</v>
      </c>
      <c r="Y539" s="54">
        <f>R539*W539</f>
        <v>23.9</v>
      </c>
      <c r="Z539" s="52">
        <f>S539*W539</f>
        <v>21.33928571428571</v>
      </c>
      <c r="AA539" s="52">
        <f>T539*W539</f>
        <v>2.5607142857142855</v>
      </c>
      <c r="AB539" s="52">
        <f>V539*W539</f>
        <v>0</v>
      </c>
      <c r="AC539" s="53">
        <f>(R539+V539)*W539</f>
        <v>23.9</v>
      </c>
      <c r="AD539" s="138">
        <v>23.9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107</v>
      </c>
      <c r="F540" s="96" t="s">
        <v>106</v>
      </c>
      <c r="G540" s="97">
        <v>46132</v>
      </c>
      <c r="H540" s="98">
        <v>0.36429398148148145</v>
      </c>
      <c r="I540" s="50">
        <v>166004560</v>
      </c>
      <c r="J540" s="96" t="s">
        <v>157</v>
      </c>
      <c r="K540" s="49" t="s">
        <v>1275</v>
      </c>
      <c r="L540" s="39" t="s">
        <v>1276</v>
      </c>
      <c r="M540" s="49" t="s">
        <v>214</v>
      </c>
      <c r="N540" s="39" t="s">
        <v>501</v>
      </c>
      <c r="O540" s="96" t="s">
        <v>1277</v>
      </c>
      <c r="P540" s="49" t="s">
        <v>157</v>
      </c>
      <c r="Q540" s="96" t="s">
        <v>104</v>
      </c>
      <c r="R540" s="52">
        <v>13.9</v>
      </c>
      <c r="S540" s="52">
        <f>R540-T540</f>
        <v>12.410714285714286</v>
      </c>
      <c r="T540" s="52">
        <f>R540*U540/(U540+100)</f>
        <v>1.4892857142857143</v>
      </c>
      <c r="U540" s="50">
        <v>12</v>
      </c>
      <c r="V540" s="53">
        <v>0</v>
      </c>
      <c r="W540" s="147">
        <v>3</v>
      </c>
      <c r="X540" s="148" t="s">
        <v>163</v>
      </c>
      <c r="Y540" s="54">
        <f>R540*W540</f>
        <v>41.7</v>
      </c>
      <c r="Z540" s="52">
        <f>S540*W540</f>
        <v>37.23214285714286</v>
      </c>
      <c r="AA540" s="52">
        <f>T540*W540</f>
        <v>4.467857142857143</v>
      </c>
      <c r="AB540" s="52">
        <f>V540*W540</f>
        <v>0</v>
      </c>
      <c r="AC540" s="53">
        <f>(R540+V540)*W540</f>
        <v>41.7</v>
      </c>
      <c r="AD540" s="138">
        <v>13.9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107</v>
      </c>
      <c r="F541" s="96" t="s">
        <v>106</v>
      </c>
      <c r="G541" s="97">
        <v>46132</v>
      </c>
      <c r="H541" s="98">
        <v>0.36429398148148145</v>
      </c>
      <c r="I541" s="50">
        <v>166004560</v>
      </c>
      <c r="J541" s="96" t="s">
        <v>157</v>
      </c>
      <c r="K541" s="49" t="s">
        <v>1440</v>
      </c>
      <c r="L541" s="39" t="s">
        <v>1441</v>
      </c>
      <c r="M541" s="49" t="s">
        <v>190</v>
      </c>
      <c r="N541" s="39" t="s">
        <v>191</v>
      </c>
      <c r="O541" s="96" t="s">
        <v>1442</v>
      </c>
      <c r="P541" s="49" t="s">
        <v>157</v>
      </c>
      <c r="Q541" s="96" t="s">
        <v>104</v>
      </c>
      <c r="R541" s="52">
        <v>8.9</v>
      </c>
      <c r="S541" s="52">
        <f>R541-T541</f>
        <v>7.946428571428572</v>
      </c>
      <c r="T541" s="52">
        <f>R541*U541/(U541+100)</f>
        <v>0.9535714285714286</v>
      </c>
      <c r="U541" s="50">
        <v>12</v>
      </c>
      <c r="V541" s="53">
        <v>0</v>
      </c>
      <c r="W541" s="147">
        <v>0.598</v>
      </c>
      <c r="X541" s="148" t="s">
        <v>193</v>
      </c>
      <c r="Y541" s="54">
        <f>R541*W541</f>
        <v>5.3222</v>
      </c>
      <c r="Z541" s="52">
        <f>S541*W541</f>
        <v>4.751964285714286</v>
      </c>
      <c r="AA541" s="52">
        <f>T541*W541</f>
        <v>0.5702357142857143</v>
      </c>
      <c r="AB541" s="52">
        <f>V541*W541</f>
        <v>0</v>
      </c>
      <c r="AC541" s="53">
        <f>(R541+V541)*W541</f>
        <v>5.3222</v>
      </c>
      <c r="AD541" s="138">
        <v>8.9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107</v>
      </c>
      <c r="F542" s="96" t="s">
        <v>106</v>
      </c>
      <c r="G542" s="97">
        <v>46132</v>
      </c>
      <c r="H542" s="98">
        <v>0.36429398148148145</v>
      </c>
      <c r="I542" s="50">
        <v>166004560</v>
      </c>
      <c r="J542" s="96" t="s">
        <v>157</v>
      </c>
      <c r="K542" s="49" t="s">
        <v>683</v>
      </c>
      <c r="L542" s="39" t="s">
        <v>684</v>
      </c>
      <c r="M542" s="49" t="s">
        <v>190</v>
      </c>
      <c r="N542" s="39" t="s">
        <v>191</v>
      </c>
      <c r="O542" s="96" t="s">
        <v>685</v>
      </c>
      <c r="P542" s="49" t="s">
        <v>157</v>
      </c>
      <c r="Q542" s="96" t="s">
        <v>104</v>
      </c>
      <c r="R542" s="52">
        <v>105.9</v>
      </c>
      <c r="S542" s="52">
        <f>R542-T542</f>
        <v>94.55357142857143</v>
      </c>
      <c r="T542" s="52">
        <f>R542*U542/(U542+100)</f>
        <v>11.346428571428573</v>
      </c>
      <c r="U542" s="50">
        <v>12</v>
      </c>
      <c r="V542" s="53">
        <v>0</v>
      </c>
      <c r="W542" s="147">
        <v>0.44</v>
      </c>
      <c r="X542" s="148" t="s">
        <v>193</v>
      </c>
      <c r="Y542" s="54">
        <f>R542*W542</f>
        <v>46.596000000000004</v>
      </c>
      <c r="Z542" s="52">
        <f>S542*W542</f>
        <v>41.60357142857143</v>
      </c>
      <c r="AA542" s="52">
        <f>T542*W542</f>
        <v>4.992428571428572</v>
      </c>
      <c r="AB542" s="52">
        <f>V542*W542</f>
        <v>0</v>
      </c>
      <c r="AC542" s="53">
        <f>(R542+V542)*W542</f>
        <v>46.596000000000004</v>
      </c>
      <c r="AD542" s="138">
        <v>105.9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107</v>
      </c>
      <c r="F543" s="96" t="s">
        <v>106</v>
      </c>
      <c r="G543" s="97">
        <v>46132</v>
      </c>
      <c r="H543" s="98">
        <v>0.36484953703703704</v>
      </c>
      <c r="I543" s="50">
        <v>166004561</v>
      </c>
      <c r="J543" s="96" t="s">
        <v>157</v>
      </c>
      <c r="K543" s="49" t="s">
        <v>1443</v>
      </c>
      <c r="L543" s="39" t="s">
        <v>1444</v>
      </c>
      <c r="M543" s="49" t="s">
        <v>1445</v>
      </c>
      <c r="N543" s="39" t="s">
        <v>319</v>
      </c>
      <c r="O543" s="96" t="s">
        <v>1446</v>
      </c>
      <c r="P543" s="49" t="s">
        <v>157</v>
      </c>
      <c r="Q543" s="96" t="s">
        <v>104</v>
      </c>
      <c r="R543" s="52">
        <v>29.9</v>
      </c>
      <c r="S543" s="52">
        <f>R543-T543</f>
        <v>26.69642857142857</v>
      </c>
      <c r="T543" s="52">
        <f>R543*U543/(U543+100)</f>
        <v>3.2035714285714283</v>
      </c>
      <c r="U543" s="50">
        <v>12</v>
      </c>
      <c r="V543" s="53">
        <v>0</v>
      </c>
      <c r="W543" s="147">
        <v>1</v>
      </c>
      <c r="X543" s="148" t="s">
        <v>163</v>
      </c>
      <c r="Y543" s="54">
        <f>R543*W543</f>
        <v>29.9</v>
      </c>
      <c r="Z543" s="52">
        <f>S543*W543</f>
        <v>26.69642857142857</v>
      </c>
      <c r="AA543" s="52">
        <f>T543*W543</f>
        <v>3.2035714285714283</v>
      </c>
      <c r="AB543" s="52">
        <f>V543*W543</f>
        <v>0</v>
      </c>
      <c r="AC543" s="53">
        <f>(R543+V543)*W543</f>
        <v>29.9</v>
      </c>
      <c r="AD543" s="138">
        <v>29.9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107</v>
      </c>
      <c r="F544" s="96" t="s">
        <v>106</v>
      </c>
      <c r="G544" s="97">
        <v>46132</v>
      </c>
      <c r="H544" s="98">
        <v>0.36484953703703704</v>
      </c>
      <c r="I544" s="50">
        <v>166004561</v>
      </c>
      <c r="J544" s="96" t="s">
        <v>157</v>
      </c>
      <c r="K544" s="49" t="s">
        <v>1447</v>
      </c>
      <c r="L544" s="39" t="s">
        <v>1448</v>
      </c>
      <c r="M544" s="49" t="s">
        <v>201</v>
      </c>
      <c r="N544" s="39" t="s">
        <v>228</v>
      </c>
      <c r="O544" s="96" t="s">
        <v>1449</v>
      </c>
      <c r="P544" s="49" t="s">
        <v>157</v>
      </c>
      <c r="Q544" s="96" t="s">
        <v>104</v>
      </c>
      <c r="R544" s="52">
        <v>29.9</v>
      </c>
      <c r="S544" s="52">
        <f>R544-T544</f>
        <v>26.69642857142857</v>
      </c>
      <c r="T544" s="52">
        <f>R544*U544/(U544+100)</f>
        <v>3.2035714285714283</v>
      </c>
      <c r="U544" s="50">
        <v>12</v>
      </c>
      <c r="V544" s="53">
        <v>0</v>
      </c>
      <c r="W544" s="147">
        <v>1</v>
      </c>
      <c r="X544" s="148" t="s">
        <v>163</v>
      </c>
      <c r="Y544" s="54">
        <f>R544*W544</f>
        <v>29.9</v>
      </c>
      <c r="Z544" s="52">
        <f>S544*W544</f>
        <v>26.69642857142857</v>
      </c>
      <c r="AA544" s="52">
        <f>T544*W544</f>
        <v>3.2035714285714283</v>
      </c>
      <c r="AB544" s="52">
        <f>V544*W544</f>
        <v>0</v>
      </c>
      <c r="AC544" s="53">
        <f>(R544+V544)*W544</f>
        <v>29.9</v>
      </c>
      <c r="AD544" s="138">
        <v>29.9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107</v>
      </c>
      <c r="F545" s="96" t="s">
        <v>106</v>
      </c>
      <c r="G545" s="97">
        <v>46132</v>
      </c>
      <c r="H545" s="98">
        <v>0.36484953703703704</v>
      </c>
      <c r="I545" s="50">
        <v>166004561</v>
      </c>
      <c r="J545" s="96" t="s">
        <v>157</v>
      </c>
      <c r="K545" s="49" t="s">
        <v>164</v>
      </c>
      <c r="L545" s="39" t="s">
        <v>165</v>
      </c>
      <c r="M545" s="49" t="s">
        <v>166</v>
      </c>
      <c r="N545" s="39" t="s">
        <v>167</v>
      </c>
      <c r="O545" s="96" t="s">
        <v>1349</v>
      </c>
      <c r="P545" s="49" t="s">
        <v>157</v>
      </c>
      <c r="Q545" s="96" t="s">
        <v>104</v>
      </c>
      <c r="R545" s="52">
        <v>23.9</v>
      </c>
      <c r="S545" s="52">
        <f>R545-T545</f>
        <v>19.752066115702476</v>
      </c>
      <c r="T545" s="52">
        <f>R545*U545/(U545+100)</f>
        <v>4.147933884297521</v>
      </c>
      <c r="U545" s="50">
        <v>21</v>
      </c>
      <c r="V545" s="53">
        <v>0</v>
      </c>
      <c r="W545" s="147">
        <v>1</v>
      </c>
      <c r="X545" s="148" t="s">
        <v>163</v>
      </c>
      <c r="Y545" s="54">
        <f>R545*W545</f>
        <v>23.9</v>
      </c>
      <c r="Z545" s="52">
        <f>S545*W545</f>
        <v>19.752066115702476</v>
      </c>
      <c r="AA545" s="52">
        <f>T545*W545</f>
        <v>4.147933884297521</v>
      </c>
      <c r="AB545" s="52">
        <f>V545*W545</f>
        <v>0</v>
      </c>
      <c r="AC545" s="53">
        <f>(R545+V545)*W545</f>
        <v>23.9</v>
      </c>
      <c r="AD545" s="138">
        <v>23.9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107</v>
      </c>
      <c r="F546" s="96" t="s">
        <v>106</v>
      </c>
      <c r="G546" s="97">
        <v>46132</v>
      </c>
      <c r="H546" s="98">
        <v>0.36484953703703704</v>
      </c>
      <c r="I546" s="50">
        <v>166004561</v>
      </c>
      <c r="J546" s="96" t="s">
        <v>157</v>
      </c>
      <c r="K546" s="49" t="s">
        <v>1275</v>
      </c>
      <c r="L546" s="39" t="s">
        <v>1276</v>
      </c>
      <c r="M546" s="49" t="s">
        <v>214</v>
      </c>
      <c r="N546" s="39" t="s">
        <v>501</v>
      </c>
      <c r="O546" s="96" t="s">
        <v>1277</v>
      </c>
      <c r="P546" s="49" t="s">
        <v>157</v>
      </c>
      <c r="Q546" s="96" t="s">
        <v>104</v>
      </c>
      <c r="R546" s="52">
        <v>13.9</v>
      </c>
      <c r="S546" s="52">
        <f>R546-T546</f>
        <v>12.410714285714286</v>
      </c>
      <c r="T546" s="52">
        <f>R546*U546/(U546+100)</f>
        <v>1.4892857142857143</v>
      </c>
      <c r="U546" s="50">
        <v>12</v>
      </c>
      <c r="V546" s="53">
        <v>0</v>
      </c>
      <c r="W546" s="147">
        <v>3</v>
      </c>
      <c r="X546" s="148" t="s">
        <v>163</v>
      </c>
      <c r="Y546" s="54">
        <f>R546*W546</f>
        <v>41.7</v>
      </c>
      <c r="Z546" s="52">
        <f>S546*W546</f>
        <v>37.23214285714286</v>
      </c>
      <c r="AA546" s="52">
        <f>T546*W546</f>
        <v>4.467857142857143</v>
      </c>
      <c r="AB546" s="52">
        <f>V546*W546</f>
        <v>0</v>
      </c>
      <c r="AC546" s="53">
        <f>(R546+V546)*W546</f>
        <v>41.7</v>
      </c>
      <c r="AD546" s="138">
        <v>13.9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107</v>
      </c>
      <c r="F547" s="96" t="s">
        <v>106</v>
      </c>
      <c r="G547" s="97">
        <v>46132</v>
      </c>
      <c r="H547" s="98">
        <v>0.36484953703703704</v>
      </c>
      <c r="I547" s="50">
        <v>166004561</v>
      </c>
      <c r="J547" s="96" t="s">
        <v>157</v>
      </c>
      <c r="K547" s="49" t="s">
        <v>1450</v>
      </c>
      <c r="L547" s="39" t="s">
        <v>1451</v>
      </c>
      <c r="M547" s="49" t="s">
        <v>1452</v>
      </c>
      <c r="N547" s="39" t="s">
        <v>1131</v>
      </c>
      <c r="O547" s="96" t="s">
        <v>1453</v>
      </c>
      <c r="P547" s="49" t="s">
        <v>157</v>
      </c>
      <c r="Q547" s="96" t="s">
        <v>104</v>
      </c>
      <c r="R547" s="52">
        <v>37.9</v>
      </c>
      <c r="S547" s="52">
        <f>R547-T547</f>
        <v>31.322314049586776</v>
      </c>
      <c r="T547" s="52">
        <f>R547*U547/(U547+100)</f>
        <v>6.577685950413223</v>
      </c>
      <c r="U547" s="50">
        <v>21</v>
      </c>
      <c r="V547" s="53">
        <v>0</v>
      </c>
      <c r="W547" s="147">
        <v>1</v>
      </c>
      <c r="X547" s="148" t="s">
        <v>163</v>
      </c>
      <c r="Y547" s="54">
        <f>R547*W547</f>
        <v>37.9</v>
      </c>
      <c r="Z547" s="52">
        <f>S547*W547</f>
        <v>31.322314049586776</v>
      </c>
      <c r="AA547" s="52">
        <f>T547*W547</f>
        <v>6.577685950413223</v>
      </c>
      <c r="AB547" s="52">
        <f>V547*W547</f>
        <v>0</v>
      </c>
      <c r="AC547" s="53">
        <f>(R547+V547)*W547</f>
        <v>37.9</v>
      </c>
      <c r="AD547" s="138">
        <v>37.9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107</v>
      </c>
      <c r="F548" s="96" t="s">
        <v>106</v>
      </c>
      <c r="G548" s="97">
        <v>46132</v>
      </c>
      <c r="H548" s="98">
        <v>0.36484953703703704</v>
      </c>
      <c r="I548" s="50">
        <v>166004561</v>
      </c>
      <c r="J548" s="96" t="s">
        <v>157</v>
      </c>
      <c r="K548" s="49" t="s">
        <v>1454</v>
      </c>
      <c r="L548" s="39" t="s">
        <v>1455</v>
      </c>
      <c r="M548" s="49" t="s">
        <v>185</v>
      </c>
      <c r="N548" s="39" t="s">
        <v>653</v>
      </c>
      <c r="O548" s="96" t="s">
        <v>1456</v>
      </c>
      <c r="P548" s="49" t="s">
        <v>157</v>
      </c>
      <c r="Q548" s="96" t="s">
        <v>104</v>
      </c>
      <c r="R548" s="52">
        <v>64.9</v>
      </c>
      <c r="S548" s="52">
        <f>R548-T548</f>
        <v>53.63636363636364</v>
      </c>
      <c r="T548" s="52">
        <f>R548*U548/(U548+100)</f>
        <v>11.263636363636364</v>
      </c>
      <c r="U548" s="50">
        <v>21</v>
      </c>
      <c r="V548" s="53">
        <v>0</v>
      </c>
      <c r="W548" s="147">
        <v>1</v>
      </c>
      <c r="X548" s="148" t="s">
        <v>163</v>
      </c>
      <c r="Y548" s="54">
        <f>R548*W548</f>
        <v>64.9</v>
      </c>
      <c r="Z548" s="52">
        <f>S548*W548</f>
        <v>53.63636363636364</v>
      </c>
      <c r="AA548" s="52">
        <f>T548*W548</f>
        <v>11.263636363636364</v>
      </c>
      <c r="AB548" s="52">
        <f>V548*W548</f>
        <v>0</v>
      </c>
      <c r="AC548" s="53">
        <f>(R548+V548)*W548</f>
        <v>64.9</v>
      </c>
      <c r="AD548" s="138">
        <v>64.9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107</v>
      </c>
      <c r="F549" s="96" t="s">
        <v>106</v>
      </c>
      <c r="G549" s="97">
        <v>46132</v>
      </c>
      <c r="H549" s="98">
        <v>0.36484953703703704</v>
      </c>
      <c r="I549" s="50">
        <v>166004561</v>
      </c>
      <c r="J549" s="96" t="s">
        <v>157</v>
      </c>
      <c r="K549" s="49" t="s">
        <v>183</v>
      </c>
      <c r="L549" s="39" t="s">
        <v>184</v>
      </c>
      <c r="M549" s="49" t="s">
        <v>185</v>
      </c>
      <c r="N549" s="39" t="s">
        <v>186</v>
      </c>
      <c r="O549" s="96" t="s">
        <v>988</v>
      </c>
      <c r="P549" s="49" t="s">
        <v>157</v>
      </c>
      <c r="Q549" s="96" t="s">
        <v>104</v>
      </c>
      <c r="R549" s="52">
        <v>1.9</v>
      </c>
      <c r="S549" s="52">
        <f>R549-T549</f>
        <v>1.5702479338842974</v>
      </c>
      <c r="T549" s="52">
        <f>R549*U549/(U549+100)</f>
        <v>0.32975206611570246</v>
      </c>
      <c r="U549" s="50">
        <v>21</v>
      </c>
      <c r="V549" s="53">
        <v>0</v>
      </c>
      <c r="W549" s="147">
        <v>1</v>
      </c>
      <c r="X549" s="148" t="s">
        <v>163</v>
      </c>
      <c r="Y549" s="54">
        <f>R549*W549</f>
        <v>1.9</v>
      </c>
      <c r="Z549" s="52">
        <f>S549*W549</f>
        <v>1.5702479338842974</v>
      </c>
      <c r="AA549" s="52">
        <f>T549*W549</f>
        <v>0.32975206611570246</v>
      </c>
      <c r="AB549" s="52">
        <f>V549*W549</f>
        <v>0</v>
      </c>
      <c r="AC549" s="53">
        <f>(R549+V549)*W549</f>
        <v>1.9</v>
      </c>
      <c r="AD549" s="138">
        <v>1.9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107</v>
      </c>
      <c r="F550" s="96" t="s">
        <v>106</v>
      </c>
      <c r="G550" s="97">
        <v>46132</v>
      </c>
      <c r="H550" s="98">
        <v>0.36484953703703704</v>
      </c>
      <c r="I550" s="50">
        <v>166004561</v>
      </c>
      <c r="J550" s="96" t="s">
        <v>157</v>
      </c>
      <c r="K550" s="49" t="s">
        <v>1457</v>
      </c>
      <c r="L550" s="39" t="s">
        <v>1458</v>
      </c>
      <c r="M550" s="49" t="s">
        <v>277</v>
      </c>
      <c r="N550" s="39" t="s">
        <v>440</v>
      </c>
      <c r="O550" s="96" t="s">
        <v>1459</v>
      </c>
      <c r="P550" s="49" t="s">
        <v>157</v>
      </c>
      <c r="Q550" s="96" t="s">
        <v>104</v>
      </c>
      <c r="R550" s="52">
        <v>279.9</v>
      </c>
      <c r="S550" s="52">
        <f>R550-T550</f>
        <v>249.91071428571428</v>
      </c>
      <c r="T550" s="52">
        <f>R550*U550/(U550+100)</f>
        <v>29.98928571428571</v>
      </c>
      <c r="U550" s="50">
        <v>12</v>
      </c>
      <c r="V550" s="53">
        <v>0</v>
      </c>
      <c r="W550" s="147">
        <v>0.196</v>
      </c>
      <c r="X550" s="148" t="s">
        <v>193</v>
      </c>
      <c r="Y550" s="54">
        <f>R550*W550</f>
        <v>54.8604</v>
      </c>
      <c r="Z550" s="52">
        <f>S550*W550</f>
        <v>48.9825</v>
      </c>
      <c r="AA550" s="52">
        <f>T550*W550</f>
        <v>5.8778999999999995</v>
      </c>
      <c r="AB550" s="52">
        <f>V550*W550</f>
        <v>0</v>
      </c>
      <c r="AC550" s="53">
        <f>(R550+V550)*W550</f>
        <v>54.8604</v>
      </c>
      <c r="AD550" s="138">
        <v>279.9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107</v>
      </c>
      <c r="F551" s="96" t="s">
        <v>106</v>
      </c>
      <c r="G551" s="97">
        <v>46132</v>
      </c>
      <c r="H551" s="98">
        <v>0.3655787037037037</v>
      </c>
      <c r="I551" s="50">
        <v>166004562</v>
      </c>
      <c r="J551" s="96" t="s">
        <v>157</v>
      </c>
      <c r="K551" s="49" t="s">
        <v>967</v>
      </c>
      <c r="L551" s="39" t="s">
        <v>968</v>
      </c>
      <c r="M551" s="49" t="s">
        <v>444</v>
      </c>
      <c r="N551" s="39" t="s">
        <v>445</v>
      </c>
      <c r="O551" s="96" t="s">
        <v>981</v>
      </c>
      <c r="P551" s="49" t="s">
        <v>157</v>
      </c>
      <c r="Q551" s="96" t="s">
        <v>104</v>
      </c>
      <c r="R551" s="52">
        <v>16.9</v>
      </c>
      <c r="S551" s="52">
        <f>R551-T551</f>
        <v>15.089285714285714</v>
      </c>
      <c r="T551" s="52">
        <f>R551*U551/(U551+100)</f>
        <v>1.8107142857142855</v>
      </c>
      <c r="U551" s="50">
        <v>12</v>
      </c>
      <c r="V551" s="53">
        <v>0</v>
      </c>
      <c r="W551" s="147">
        <v>1</v>
      </c>
      <c r="X551" s="148" t="s">
        <v>163</v>
      </c>
      <c r="Y551" s="54">
        <f>R551*W551</f>
        <v>16.9</v>
      </c>
      <c r="Z551" s="52">
        <f>S551*W551</f>
        <v>15.089285714285714</v>
      </c>
      <c r="AA551" s="52">
        <f>T551*W551</f>
        <v>1.8107142857142855</v>
      </c>
      <c r="AB551" s="52">
        <f>V551*W551</f>
        <v>0</v>
      </c>
      <c r="AC551" s="53">
        <f>(R551+V551)*W551</f>
        <v>16.9</v>
      </c>
      <c r="AD551" s="138">
        <v>16.9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107</v>
      </c>
      <c r="F552" s="96" t="s">
        <v>106</v>
      </c>
      <c r="G552" s="97">
        <v>46132</v>
      </c>
      <c r="H552" s="98">
        <v>0.3655787037037037</v>
      </c>
      <c r="I552" s="50">
        <v>166004562</v>
      </c>
      <c r="J552" s="96" t="s">
        <v>157</v>
      </c>
      <c r="K552" s="49" t="s">
        <v>720</v>
      </c>
      <c r="L552" s="39" t="s">
        <v>721</v>
      </c>
      <c r="M552" s="49" t="s">
        <v>722</v>
      </c>
      <c r="N552" s="39" t="s">
        <v>476</v>
      </c>
      <c r="O552" s="96" t="s">
        <v>1460</v>
      </c>
      <c r="P552" s="49" t="s">
        <v>157</v>
      </c>
      <c r="Q552" s="96" t="s">
        <v>104</v>
      </c>
      <c r="R552" s="52">
        <v>11.9</v>
      </c>
      <c r="S552" s="52">
        <f>R552-T552</f>
        <v>10.625</v>
      </c>
      <c r="T552" s="52">
        <f>R552*U552/(U552+100)</f>
        <v>1.2750000000000001</v>
      </c>
      <c r="U552" s="50">
        <v>12</v>
      </c>
      <c r="V552" s="53">
        <v>0</v>
      </c>
      <c r="W552" s="147">
        <v>1</v>
      </c>
      <c r="X552" s="148" t="s">
        <v>163</v>
      </c>
      <c r="Y552" s="54">
        <f>R552*W552</f>
        <v>11.9</v>
      </c>
      <c r="Z552" s="52">
        <f>S552*W552</f>
        <v>10.625</v>
      </c>
      <c r="AA552" s="52">
        <f>T552*W552</f>
        <v>1.2750000000000001</v>
      </c>
      <c r="AB552" s="52">
        <f>V552*W552</f>
        <v>0</v>
      </c>
      <c r="AC552" s="53">
        <f>(R552+V552)*W552</f>
        <v>11.9</v>
      </c>
      <c r="AD552" s="138">
        <v>11.9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107</v>
      </c>
      <c r="F553" s="96" t="s">
        <v>106</v>
      </c>
      <c r="G553" s="97">
        <v>46132</v>
      </c>
      <c r="H553" s="98">
        <v>0.366087962962963</v>
      </c>
      <c r="I553" s="50">
        <v>166004563</v>
      </c>
      <c r="J553" s="96" t="s">
        <v>157</v>
      </c>
      <c r="K553" s="49" t="s">
        <v>1461</v>
      </c>
      <c r="L553" s="39" t="s">
        <v>1462</v>
      </c>
      <c r="M553" s="49" t="s">
        <v>893</v>
      </c>
      <c r="N553" s="39" t="s">
        <v>291</v>
      </c>
      <c r="O553" s="96" t="s">
        <v>1463</v>
      </c>
      <c r="P553" s="49" t="s">
        <v>157</v>
      </c>
      <c r="Q553" s="96" t="s">
        <v>104</v>
      </c>
      <c r="R553" s="52">
        <v>34.9</v>
      </c>
      <c r="S553" s="52">
        <f>R553-T553</f>
        <v>31.160714285714285</v>
      </c>
      <c r="T553" s="52">
        <f>R553*U553/(U553+100)</f>
        <v>3.739285714285714</v>
      </c>
      <c r="U553" s="50">
        <v>12</v>
      </c>
      <c r="V553" s="53">
        <v>0</v>
      </c>
      <c r="W553" s="147">
        <v>1</v>
      </c>
      <c r="X553" s="148" t="s">
        <v>163</v>
      </c>
      <c r="Y553" s="54">
        <f>R553*W553</f>
        <v>34.9</v>
      </c>
      <c r="Z553" s="52">
        <f>S553*W553</f>
        <v>31.160714285714285</v>
      </c>
      <c r="AA553" s="52">
        <f>T553*W553</f>
        <v>3.739285714285714</v>
      </c>
      <c r="AB553" s="52">
        <f>V553*W553</f>
        <v>0</v>
      </c>
      <c r="AC553" s="53">
        <f>(R553+V553)*W553</f>
        <v>34.9</v>
      </c>
      <c r="AD553" s="138">
        <v>34.9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107</v>
      </c>
      <c r="F554" s="96" t="s">
        <v>106</v>
      </c>
      <c r="G554" s="97">
        <v>46132</v>
      </c>
      <c r="H554" s="98">
        <v>0.366087962962963</v>
      </c>
      <c r="I554" s="50">
        <v>166004563</v>
      </c>
      <c r="J554" s="96" t="s">
        <v>157</v>
      </c>
      <c r="K554" s="49" t="s">
        <v>1015</v>
      </c>
      <c r="L554" s="39" t="s">
        <v>1016</v>
      </c>
      <c r="M554" s="49" t="s">
        <v>232</v>
      </c>
      <c r="N554" s="39" t="s">
        <v>233</v>
      </c>
      <c r="O554" s="96" t="s">
        <v>1017</v>
      </c>
      <c r="P554" s="49" t="s">
        <v>157</v>
      </c>
      <c r="Q554" s="96" t="s">
        <v>104</v>
      </c>
      <c r="R554" s="52">
        <v>15.9</v>
      </c>
      <c r="S554" s="52">
        <f>R554-T554</f>
        <v>13.140495867768596</v>
      </c>
      <c r="T554" s="52">
        <f>R554*U554/(U554+100)</f>
        <v>2.759504132231405</v>
      </c>
      <c r="U554" s="50">
        <v>21</v>
      </c>
      <c r="V554" s="53">
        <v>0</v>
      </c>
      <c r="W554" s="147">
        <v>1</v>
      </c>
      <c r="X554" s="148" t="s">
        <v>163</v>
      </c>
      <c r="Y554" s="54">
        <f>R554*W554</f>
        <v>15.9</v>
      </c>
      <c r="Z554" s="52">
        <f>S554*W554</f>
        <v>13.140495867768596</v>
      </c>
      <c r="AA554" s="52">
        <f>T554*W554</f>
        <v>2.759504132231405</v>
      </c>
      <c r="AB554" s="52">
        <f>V554*W554</f>
        <v>0</v>
      </c>
      <c r="AC554" s="53">
        <f>(R554+V554)*W554</f>
        <v>15.9</v>
      </c>
      <c r="AD554" s="138">
        <v>15.9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107</v>
      </c>
      <c r="F555" s="96" t="s">
        <v>106</v>
      </c>
      <c r="G555" s="97">
        <v>46132</v>
      </c>
      <c r="H555" s="98">
        <v>0.3671527777777778</v>
      </c>
      <c r="I555" s="50">
        <v>166004564</v>
      </c>
      <c r="J555" s="96" t="s">
        <v>157</v>
      </c>
      <c r="K555" s="49" t="s">
        <v>293</v>
      </c>
      <c r="L555" s="39" t="s">
        <v>294</v>
      </c>
      <c r="M555" s="49" t="s">
        <v>295</v>
      </c>
      <c r="N555" s="39" t="s">
        <v>296</v>
      </c>
      <c r="O555" s="96" t="s">
        <v>297</v>
      </c>
      <c r="P555" s="49" t="s">
        <v>157</v>
      </c>
      <c r="Q555" s="96" t="s">
        <v>104</v>
      </c>
      <c r="R555" s="52">
        <v>2.9</v>
      </c>
      <c r="S555" s="52">
        <f>R555-T555</f>
        <v>2.5892857142857144</v>
      </c>
      <c r="T555" s="52">
        <f>R555*U555/(U555+100)</f>
        <v>0.31071428571428567</v>
      </c>
      <c r="U555" s="50">
        <v>12</v>
      </c>
      <c r="V555" s="53">
        <v>0</v>
      </c>
      <c r="W555" s="147">
        <v>10</v>
      </c>
      <c r="X555" s="148" t="s">
        <v>163</v>
      </c>
      <c r="Y555" s="54">
        <f>R555*W555</f>
        <v>29</v>
      </c>
      <c r="Z555" s="52">
        <f>S555*W555</f>
        <v>25.892857142857146</v>
      </c>
      <c r="AA555" s="52">
        <f>T555*W555</f>
        <v>3.1071428571428568</v>
      </c>
      <c r="AB555" s="52">
        <f>V555*W555</f>
        <v>0</v>
      </c>
      <c r="AC555" s="53">
        <f>(R555+V555)*W555</f>
        <v>29</v>
      </c>
      <c r="AD555" s="138">
        <v>2.9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107</v>
      </c>
      <c r="F556" s="96" t="s">
        <v>106</v>
      </c>
      <c r="G556" s="97">
        <v>46132</v>
      </c>
      <c r="H556" s="98">
        <v>0.3680439814814815</v>
      </c>
      <c r="I556" s="50">
        <v>166004565</v>
      </c>
      <c r="J556" s="96" t="s">
        <v>157</v>
      </c>
      <c r="K556" s="49" t="s">
        <v>1464</v>
      </c>
      <c r="L556" s="39" t="s">
        <v>1465</v>
      </c>
      <c r="M556" s="49" t="s">
        <v>1466</v>
      </c>
      <c r="N556" s="39" t="s">
        <v>1467</v>
      </c>
      <c r="O556" s="96" t="s">
        <v>1468</v>
      </c>
      <c r="P556" s="49" t="s">
        <v>157</v>
      </c>
      <c r="Q556" s="96" t="s">
        <v>104</v>
      </c>
      <c r="R556" s="52">
        <v>13.9</v>
      </c>
      <c r="S556" s="52">
        <f>R556-T556</f>
        <v>12.410714285714286</v>
      </c>
      <c r="T556" s="52">
        <f>R556*U556/(U556+100)</f>
        <v>1.4892857142857143</v>
      </c>
      <c r="U556" s="50">
        <v>12</v>
      </c>
      <c r="V556" s="53">
        <v>0</v>
      </c>
      <c r="W556" s="147">
        <v>1</v>
      </c>
      <c r="X556" s="148" t="s">
        <v>163</v>
      </c>
      <c r="Y556" s="54">
        <f>R556*W556</f>
        <v>13.9</v>
      </c>
      <c r="Z556" s="52">
        <f>S556*W556</f>
        <v>12.410714285714286</v>
      </c>
      <c r="AA556" s="52">
        <f>T556*W556</f>
        <v>1.4892857142857143</v>
      </c>
      <c r="AB556" s="52">
        <f>V556*W556</f>
        <v>0</v>
      </c>
      <c r="AC556" s="53">
        <f>(R556+V556)*W556</f>
        <v>13.9</v>
      </c>
      <c r="AD556" s="138">
        <v>13.9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107</v>
      </c>
      <c r="F557" s="96" t="s">
        <v>106</v>
      </c>
      <c r="G557" s="97">
        <v>46132</v>
      </c>
      <c r="H557" s="98">
        <v>0.3680439814814815</v>
      </c>
      <c r="I557" s="50">
        <v>166004565</v>
      </c>
      <c r="J557" s="96" t="s">
        <v>157</v>
      </c>
      <c r="K557" s="49" t="s">
        <v>1469</v>
      </c>
      <c r="L557" s="39" t="s">
        <v>1470</v>
      </c>
      <c r="M557" s="49" t="s">
        <v>1466</v>
      </c>
      <c r="N557" s="39" t="s">
        <v>1467</v>
      </c>
      <c r="O557" s="96" t="s">
        <v>1471</v>
      </c>
      <c r="P557" s="49" t="s">
        <v>157</v>
      </c>
      <c r="Q557" s="96" t="s">
        <v>104</v>
      </c>
      <c r="R557" s="52">
        <v>13.9</v>
      </c>
      <c r="S557" s="52">
        <f>R557-T557</f>
        <v>12.410714285714286</v>
      </c>
      <c r="T557" s="52">
        <f>R557*U557/(U557+100)</f>
        <v>1.4892857142857143</v>
      </c>
      <c r="U557" s="50">
        <v>12</v>
      </c>
      <c r="V557" s="53">
        <v>0</v>
      </c>
      <c r="W557" s="147">
        <v>1</v>
      </c>
      <c r="X557" s="148" t="s">
        <v>163</v>
      </c>
      <c r="Y557" s="54">
        <f>R557*W557</f>
        <v>13.9</v>
      </c>
      <c r="Z557" s="52">
        <f>S557*W557</f>
        <v>12.410714285714286</v>
      </c>
      <c r="AA557" s="52">
        <f>T557*W557</f>
        <v>1.4892857142857143</v>
      </c>
      <c r="AB557" s="52">
        <f>V557*W557</f>
        <v>0</v>
      </c>
      <c r="AC557" s="53">
        <f>(R557+V557)*W557</f>
        <v>13.9</v>
      </c>
      <c r="AD557" s="138">
        <v>13.9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107</v>
      </c>
      <c r="F558" s="96" t="s">
        <v>106</v>
      </c>
      <c r="G558" s="97">
        <v>46132</v>
      </c>
      <c r="H558" s="98">
        <v>0.3680439814814815</v>
      </c>
      <c r="I558" s="50">
        <v>166004565</v>
      </c>
      <c r="J558" s="96" t="s">
        <v>157</v>
      </c>
      <c r="K558" s="49" t="s">
        <v>932</v>
      </c>
      <c r="L558" s="39" t="s">
        <v>933</v>
      </c>
      <c r="M558" s="49" t="s">
        <v>823</v>
      </c>
      <c r="N558" s="39" t="s">
        <v>609</v>
      </c>
      <c r="O558" s="96" t="s">
        <v>1472</v>
      </c>
      <c r="P558" s="49" t="s">
        <v>157</v>
      </c>
      <c r="Q558" s="96" t="s">
        <v>104</v>
      </c>
      <c r="R558" s="52">
        <v>16.9</v>
      </c>
      <c r="S558" s="52">
        <f>R558-T558</f>
        <v>15.089285714285714</v>
      </c>
      <c r="T558" s="52">
        <f>R558*U558/(U558+100)</f>
        <v>1.8107142857142855</v>
      </c>
      <c r="U558" s="50">
        <v>12</v>
      </c>
      <c r="V558" s="53">
        <v>0</v>
      </c>
      <c r="W558" s="147">
        <v>2</v>
      </c>
      <c r="X558" s="148" t="s">
        <v>163</v>
      </c>
      <c r="Y558" s="54">
        <f>R558*W558</f>
        <v>33.8</v>
      </c>
      <c r="Z558" s="52">
        <f>S558*W558</f>
        <v>30.178571428571427</v>
      </c>
      <c r="AA558" s="52">
        <f>T558*W558</f>
        <v>3.621428571428571</v>
      </c>
      <c r="AB558" s="52">
        <f>V558*W558</f>
        <v>0</v>
      </c>
      <c r="AC558" s="53">
        <f>(R558+V558)*W558</f>
        <v>33.8</v>
      </c>
      <c r="AD558" s="138">
        <v>16.9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107</v>
      </c>
      <c r="F559" s="96" t="s">
        <v>106</v>
      </c>
      <c r="G559" s="97">
        <v>46132</v>
      </c>
      <c r="H559" s="98">
        <v>0.3680439814814815</v>
      </c>
      <c r="I559" s="50">
        <v>166004565</v>
      </c>
      <c r="J559" s="96" t="s">
        <v>157</v>
      </c>
      <c r="K559" s="49" t="s">
        <v>949</v>
      </c>
      <c r="L559" s="39" t="s">
        <v>950</v>
      </c>
      <c r="M559" s="49" t="s">
        <v>185</v>
      </c>
      <c r="N559" s="39" t="s">
        <v>874</v>
      </c>
      <c r="O559" s="96" t="s">
        <v>1296</v>
      </c>
      <c r="P559" s="49" t="s">
        <v>157</v>
      </c>
      <c r="Q559" s="96" t="s">
        <v>104</v>
      </c>
      <c r="R559" s="52">
        <v>24.9</v>
      </c>
      <c r="S559" s="52">
        <f>R559-T559</f>
        <v>22.232142857142858</v>
      </c>
      <c r="T559" s="52">
        <f>R559*U559/(U559+100)</f>
        <v>2.6678571428571423</v>
      </c>
      <c r="U559" s="50">
        <v>12</v>
      </c>
      <c r="V559" s="53">
        <v>0</v>
      </c>
      <c r="W559" s="147">
        <v>1</v>
      </c>
      <c r="X559" s="148" t="s">
        <v>163</v>
      </c>
      <c r="Y559" s="54">
        <f>R559*W559</f>
        <v>24.9</v>
      </c>
      <c r="Z559" s="52">
        <f>S559*W559</f>
        <v>22.232142857142858</v>
      </c>
      <c r="AA559" s="52">
        <f>T559*W559</f>
        <v>2.6678571428571423</v>
      </c>
      <c r="AB559" s="52">
        <f>V559*W559</f>
        <v>0</v>
      </c>
      <c r="AC559" s="53">
        <f>(R559+V559)*W559</f>
        <v>24.9</v>
      </c>
      <c r="AD559" s="138">
        <v>24.9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107</v>
      </c>
      <c r="F560" s="96" t="s">
        <v>106</v>
      </c>
      <c r="G560" s="97">
        <v>46132</v>
      </c>
      <c r="H560" s="98">
        <v>0.3680439814814815</v>
      </c>
      <c r="I560" s="50">
        <v>166004565</v>
      </c>
      <c r="J560" s="96" t="s">
        <v>157</v>
      </c>
      <c r="K560" s="49" t="s">
        <v>1473</v>
      </c>
      <c r="L560" s="39" t="s">
        <v>1474</v>
      </c>
      <c r="M560" s="49" t="s">
        <v>475</v>
      </c>
      <c r="N560" s="39" t="s">
        <v>1475</v>
      </c>
      <c r="O560" s="96" t="s">
        <v>1476</v>
      </c>
      <c r="P560" s="49" t="s">
        <v>157</v>
      </c>
      <c r="Q560" s="96" t="s">
        <v>104</v>
      </c>
      <c r="R560" s="52">
        <v>33.9</v>
      </c>
      <c r="S560" s="52">
        <f>R560-T560</f>
        <v>30.267857142857142</v>
      </c>
      <c r="T560" s="52">
        <f>R560*U560/(U560+100)</f>
        <v>3.6321428571428567</v>
      </c>
      <c r="U560" s="50">
        <v>12</v>
      </c>
      <c r="V560" s="53">
        <v>0</v>
      </c>
      <c r="W560" s="147">
        <v>1</v>
      </c>
      <c r="X560" s="148" t="s">
        <v>163</v>
      </c>
      <c r="Y560" s="54">
        <f>R560*W560</f>
        <v>33.9</v>
      </c>
      <c r="Z560" s="52">
        <f>S560*W560</f>
        <v>30.267857142857142</v>
      </c>
      <c r="AA560" s="52">
        <f>T560*W560</f>
        <v>3.6321428571428567</v>
      </c>
      <c r="AB560" s="52">
        <f>V560*W560</f>
        <v>0</v>
      </c>
      <c r="AC560" s="53">
        <f>(R560+V560)*W560</f>
        <v>33.9</v>
      </c>
      <c r="AD560" s="138">
        <v>33.9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107</v>
      </c>
      <c r="F561" s="96" t="s">
        <v>106</v>
      </c>
      <c r="G561" s="97">
        <v>46132</v>
      </c>
      <c r="H561" s="98">
        <v>0.3680439814814815</v>
      </c>
      <c r="I561" s="50">
        <v>166004565</v>
      </c>
      <c r="J561" s="96" t="s">
        <v>157</v>
      </c>
      <c r="K561" s="49" t="s">
        <v>1477</v>
      </c>
      <c r="L561" s="39" t="s">
        <v>1478</v>
      </c>
      <c r="M561" s="49" t="s">
        <v>185</v>
      </c>
      <c r="N561" s="39" t="s">
        <v>843</v>
      </c>
      <c r="O561" s="96" t="s">
        <v>1479</v>
      </c>
      <c r="P561" s="49" t="s">
        <v>157</v>
      </c>
      <c r="Q561" s="96" t="s">
        <v>104</v>
      </c>
      <c r="R561" s="52">
        <v>31.9</v>
      </c>
      <c r="S561" s="52">
        <f>R561-T561</f>
        <v>28.482142857142858</v>
      </c>
      <c r="T561" s="52">
        <f>R561*U561/(U561+100)</f>
        <v>3.4178571428571423</v>
      </c>
      <c r="U561" s="50">
        <v>12</v>
      </c>
      <c r="V561" s="53">
        <v>0</v>
      </c>
      <c r="W561" s="147">
        <v>1</v>
      </c>
      <c r="X561" s="148" t="s">
        <v>163</v>
      </c>
      <c r="Y561" s="54">
        <f>R561*W561</f>
        <v>31.9</v>
      </c>
      <c r="Z561" s="52">
        <f>S561*W561</f>
        <v>28.482142857142858</v>
      </c>
      <c r="AA561" s="52">
        <f>T561*W561</f>
        <v>3.4178571428571423</v>
      </c>
      <c r="AB561" s="52">
        <f>V561*W561</f>
        <v>0</v>
      </c>
      <c r="AC561" s="53">
        <f>(R561+V561)*W561</f>
        <v>31.9</v>
      </c>
      <c r="AD561" s="138">
        <v>31.9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107</v>
      </c>
      <c r="F562" s="96" t="s">
        <v>106</v>
      </c>
      <c r="G562" s="97">
        <v>46132</v>
      </c>
      <c r="H562" s="98">
        <v>0.3680439814814815</v>
      </c>
      <c r="I562" s="50">
        <v>166004565</v>
      </c>
      <c r="J562" s="96" t="s">
        <v>157</v>
      </c>
      <c r="K562" s="49" t="s">
        <v>183</v>
      </c>
      <c r="L562" s="39" t="s">
        <v>184</v>
      </c>
      <c r="M562" s="49" t="s">
        <v>185</v>
      </c>
      <c r="N562" s="39" t="s">
        <v>186</v>
      </c>
      <c r="O562" s="96" t="s">
        <v>988</v>
      </c>
      <c r="P562" s="49" t="s">
        <v>157</v>
      </c>
      <c r="Q562" s="96" t="s">
        <v>104</v>
      </c>
      <c r="R562" s="52">
        <v>1.9</v>
      </c>
      <c r="S562" s="52">
        <f>R562-T562</f>
        <v>1.5702479338842974</v>
      </c>
      <c r="T562" s="52">
        <f>R562*U562/(U562+100)</f>
        <v>0.32975206611570246</v>
      </c>
      <c r="U562" s="50">
        <v>21</v>
      </c>
      <c r="V562" s="53">
        <v>0</v>
      </c>
      <c r="W562" s="147">
        <v>1</v>
      </c>
      <c r="X562" s="148" t="s">
        <v>163</v>
      </c>
      <c r="Y562" s="54">
        <f>R562*W562</f>
        <v>1.9</v>
      </c>
      <c r="Z562" s="52">
        <f>S562*W562</f>
        <v>1.5702479338842974</v>
      </c>
      <c r="AA562" s="52">
        <f>T562*W562</f>
        <v>0.32975206611570246</v>
      </c>
      <c r="AB562" s="52">
        <f>V562*W562</f>
        <v>0</v>
      </c>
      <c r="AC562" s="53">
        <f>(R562+V562)*W562</f>
        <v>1.9</v>
      </c>
      <c r="AD562" s="138">
        <v>1.9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107</v>
      </c>
      <c r="F563" s="96" t="s">
        <v>106</v>
      </c>
      <c r="G563" s="97">
        <v>46132</v>
      </c>
      <c r="H563" s="98">
        <v>0.3680439814814815</v>
      </c>
      <c r="I563" s="50">
        <v>166004565</v>
      </c>
      <c r="J563" s="96" t="s">
        <v>157</v>
      </c>
      <c r="K563" s="49" t="s">
        <v>188</v>
      </c>
      <c r="L563" s="39" t="s">
        <v>189</v>
      </c>
      <c r="M563" s="49" t="s">
        <v>190</v>
      </c>
      <c r="N563" s="39" t="s">
        <v>191</v>
      </c>
      <c r="O563" s="96" t="s">
        <v>192</v>
      </c>
      <c r="P563" s="49" t="s">
        <v>157</v>
      </c>
      <c r="Q563" s="96" t="s">
        <v>104</v>
      </c>
      <c r="R563" s="52">
        <v>33.9</v>
      </c>
      <c r="S563" s="52">
        <f>R563-T563</f>
        <v>30.267857142857142</v>
      </c>
      <c r="T563" s="52">
        <f>R563*U563/(U563+100)</f>
        <v>3.6321428571428567</v>
      </c>
      <c r="U563" s="50">
        <v>12</v>
      </c>
      <c r="V563" s="53">
        <v>0</v>
      </c>
      <c r="W563" s="147">
        <v>0.262</v>
      </c>
      <c r="X563" s="148" t="s">
        <v>193</v>
      </c>
      <c r="Y563" s="54">
        <f>R563*W563</f>
        <v>8.8818</v>
      </c>
      <c r="Z563" s="52">
        <f>S563*W563</f>
        <v>7.930178571428572</v>
      </c>
      <c r="AA563" s="52">
        <f>T563*W563</f>
        <v>0.9516214285714285</v>
      </c>
      <c r="AB563" s="52">
        <f>V563*W563</f>
        <v>0</v>
      </c>
      <c r="AC563" s="53">
        <f>(R563+V563)*W563</f>
        <v>8.8818</v>
      </c>
      <c r="AD563" s="138">
        <v>33.9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107</v>
      </c>
      <c r="F564" s="96" t="s">
        <v>106</v>
      </c>
      <c r="G564" s="97">
        <v>46132</v>
      </c>
      <c r="H564" s="98">
        <v>0.3680439814814815</v>
      </c>
      <c r="I564" s="50">
        <v>166004565</v>
      </c>
      <c r="J564" s="96" t="s">
        <v>157</v>
      </c>
      <c r="K564" s="49" t="s">
        <v>188</v>
      </c>
      <c r="L564" s="39" t="s">
        <v>189</v>
      </c>
      <c r="M564" s="49" t="s">
        <v>190</v>
      </c>
      <c r="N564" s="39" t="s">
        <v>191</v>
      </c>
      <c r="O564" s="96" t="s">
        <v>192</v>
      </c>
      <c r="P564" s="49" t="s">
        <v>157</v>
      </c>
      <c r="Q564" s="96" t="s">
        <v>104</v>
      </c>
      <c r="R564" s="52">
        <v>33.9</v>
      </c>
      <c r="S564" s="52">
        <f>R564-T564</f>
        <v>30.267857142857142</v>
      </c>
      <c r="T564" s="52">
        <f>R564*U564/(U564+100)</f>
        <v>3.6321428571428567</v>
      </c>
      <c r="U564" s="50">
        <v>12</v>
      </c>
      <c r="V564" s="53">
        <v>0</v>
      </c>
      <c r="W564" s="147">
        <v>0.258</v>
      </c>
      <c r="X564" s="148" t="s">
        <v>193</v>
      </c>
      <c r="Y564" s="54">
        <f>R564*W564</f>
        <v>8.7462</v>
      </c>
      <c r="Z564" s="52">
        <f>S564*W564</f>
        <v>7.809107142857143</v>
      </c>
      <c r="AA564" s="52">
        <f>T564*W564</f>
        <v>0.9370928571428571</v>
      </c>
      <c r="AB564" s="52">
        <f>V564*W564</f>
        <v>0</v>
      </c>
      <c r="AC564" s="53">
        <f>(R564+V564)*W564</f>
        <v>8.7462</v>
      </c>
      <c r="AD564" s="138">
        <v>33.9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107</v>
      </c>
      <c r="F565" s="96" t="s">
        <v>106</v>
      </c>
      <c r="G565" s="97">
        <v>46132</v>
      </c>
      <c r="H565" s="98">
        <v>0.3680439814814815</v>
      </c>
      <c r="I565" s="50">
        <v>166004565</v>
      </c>
      <c r="J565" s="96" t="s">
        <v>157</v>
      </c>
      <c r="K565" s="49" t="s">
        <v>628</v>
      </c>
      <c r="L565" s="39" t="s">
        <v>629</v>
      </c>
      <c r="M565" s="49" t="s">
        <v>214</v>
      </c>
      <c r="N565" s="39" t="s">
        <v>296</v>
      </c>
      <c r="O565" s="96" t="s">
        <v>630</v>
      </c>
      <c r="P565" s="49" t="s">
        <v>157</v>
      </c>
      <c r="Q565" s="96" t="s">
        <v>104</v>
      </c>
      <c r="R565" s="52">
        <v>9.9</v>
      </c>
      <c r="S565" s="52">
        <f>R565-T565</f>
        <v>8.839285714285715</v>
      </c>
      <c r="T565" s="52">
        <f>R565*U565/(U565+100)</f>
        <v>1.0607142857142857</v>
      </c>
      <c r="U565" s="50">
        <v>12</v>
      </c>
      <c r="V565" s="53">
        <v>0</v>
      </c>
      <c r="W565" s="147">
        <v>2</v>
      </c>
      <c r="X565" s="148" t="s">
        <v>163</v>
      </c>
      <c r="Y565" s="54">
        <f>R565*W565</f>
        <v>19.8</v>
      </c>
      <c r="Z565" s="52">
        <f>S565*W565</f>
        <v>17.67857142857143</v>
      </c>
      <c r="AA565" s="52">
        <f>T565*W565</f>
        <v>2.1214285714285714</v>
      </c>
      <c r="AB565" s="52">
        <f>V565*W565</f>
        <v>0</v>
      </c>
      <c r="AC565" s="53">
        <f>(R565+V565)*W565</f>
        <v>19.8</v>
      </c>
      <c r="AD565" s="138">
        <v>9.9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107</v>
      </c>
      <c r="F566" s="96" t="s">
        <v>106</v>
      </c>
      <c r="G566" s="97">
        <v>46132</v>
      </c>
      <c r="H566" s="98">
        <v>0.3680439814814815</v>
      </c>
      <c r="I566" s="50">
        <v>166004565</v>
      </c>
      <c r="J566" s="96" t="s">
        <v>157</v>
      </c>
      <c r="K566" s="49" t="s">
        <v>1480</v>
      </c>
      <c r="L566" s="39" t="s">
        <v>1481</v>
      </c>
      <c r="M566" s="49" t="s">
        <v>649</v>
      </c>
      <c r="N566" s="39" t="s">
        <v>440</v>
      </c>
      <c r="O566" s="96" t="s">
        <v>1482</v>
      </c>
      <c r="P566" s="49" t="s">
        <v>157</v>
      </c>
      <c r="Q566" s="96" t="s">
        <v>104</v>
      </c>
      <c r="R566" s="52">
        <v>257.9</v>
      </c>
      <c r="S566" s="52">
        <f>R566-T566</f>
        <v>230.2678571428571</v>
      </c>
      <c r="T566" s="52">
        <f>R566*U566/(U566+100)</f>
        <v>27.632142857142856</v>
      </c>
      <c r="U566" s="50">
        <v>12</v>
      </c>
      <c r="V566" s="53">
        <v>0</v>
      </c>
      <c r="W566" s="147">
        <v>0.12</v>
      </c>
      <c r="X566" s="148" t="s">
        <v>193</v>
      </c>
      <c r="Y566" s="54">
        <f>R566*W566</f>
        <v>30.947999999999997</v>
      </c>
      <c r="Z566" s="52">
        <f>S566*W566</f>
        <v>27.632142857142853</v>
      </c>
      <c r="AA566" s="52">
        <f>T566*W566</f>
        <v>3.315857142857143</v>
      </c>
      <c r="AB566" s="52">
        <f>V566*W566</f>
        <v>0</v>
      </c>
      <c r="AC566" s="53">
        <f>(R566+V566)*W566</f>
        <v>30.947999999999997</v>
      </c>
      <c r="AD566" s="138">
        <v>257.9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107</v>
      </c>
      <c r="F567" s="96" t="s">
        <v>106</v>
      </c>
      <c r="G567" s="97">
        <v>46132</v>
      </c>
      <c r="H567" s="98">
        <v>0.3680439814814815</v>
      </c>
      <c r="I567" s="50">
        <v>166004565</v>
      </c>
      <c r="J567" s="96" t="s">
        <v>157</v>
      </c>
      <c r="K567" s="49" t="s">
        <v>942</v>
      </c>
      <c r="L567" s="39"/>
      <c r="M567" s="49" t="s">
        <v>295</v>
      </c>
      <c r="N567" s="39" t="s">
        <v>433</v>
      </c>
      <c r="O567" s="96" t="s">
        <v>1332</v>
      </c>
      <c r="P567" s="49" t="s">
        <v>235</v>
      </c>
      <c r="Q567" s="96" t="s">
        <v>944</v>
      </c>
      <c r="R567" s="52">
        <v>9.9</v>
      </c>
      <c r="S567" s="52">
        <f>R567-T567</f>
        <v>8.839285714285715</v>
      </c>
      <c r="T567" s="52">
        <f>R567*U567/(U567+100)</f>
        <v>1.0607142857142857</v>
      </c>
      <c r="U567" s="50">
        <v>12</v>
      </c>
      <c r="V567" s="53">
        <v>0</v>
      </c>
      <c r="W567" s="147">
        <v>1</v>
      </c>
      <c r="X567" s="148" t="s">
        <v>945</v>
      </c>
      <c r="Y567" s="54">
        <f>R567*W567</f>
        <v>9.9</v>
      </c>
      <c r="Z567" s="52">
        <f>S567*W567</f>
        <v>8.839285714285715</v>
      </c>
      <c r="AA567" s="52">
        <f>T567*W567</f>
        <v>1.0607142857142857</v>
      </c>
      <c r="AB567" s="52">
        <f>V567*W567</f>
        <v>0</v>
      </c>
      <c r="AC567" s="53">
        <f>(R567+V567)*W567</f>
        <v>9.9</v>
      </c>
      <c r="AD567" s="138">
        <v>9.9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107</v>
      </c>
      <c r="F568" s="96" t="s">
        <v>106</v>
      </c>
      <c r="G568" s="97">
        <v>46132</v>
      </c>
      <c r="H568" s="98">
        <v>0.36876157407407406</v>
      </c>
      <c r="I568" s="50">
        <v>166004566</v>
      </c>
      <c r="J568" s="96" t="s">
        <v>157</v>
      </c>
      <c r="K568" s="49" t="s">
        <v>1483</v>
      </c>
      <c r="L568" s="39" t="s">
        <v>1484</v>
      </c>
      <c r="M568" s="49" t="s">
        <v>429</v>
      </c>
      <c r="N568" s="39" t="s">
        <v>1485</v>
      </c>
      <c r="O568" s="96" t="s">
        <v>1486</v>
      </c>
      <c r="P568" s="49" t="s">
        <v>157</v>
      </c>
      <c r="Q568" s="96" t="s">
        <v>104</v>
      </c>
      <c r="R568" s="52">
        <v>19.9</v>
      </c>
      <c r="S568" s="52">
        <f>R568-T568</f>
        <v>17.767857142857142</v>
      </c>
      <c r="T568" s="52">
        <f>R568*U568/(U568+100)</f>
        <v>2.132142857142857</v>
      </c>
      <c r="U568" s="50">
        <v>12</v>
      </c>
      <c r="V568" s="53">
        <v>0</v>
      </c>
      <c r="W568" s="147">
        <v>1</v>
      </c>
      <c r="X568" s="148" t="s">
        <v>163</v>
      </c>
      <c r="Y568" s="54">
        <f>R568*W568</f>
        <v>19.9</v>
      </c>
      <c r="Z568" s="52">
        <f>S568*W568</f>
        <v>17.767857142857142</v>
      </c>
      <c r="AA568" s="52">
        <f>T568*W568</f>
        <v>2.132142857142857</v>
      </c>
      <c r="AB568" s="52">
        <f>V568*W568</f>
        <v>0</v>
      </c>
      <c r="AC568" s="53">
        <f>(R568+V568)*W568</f>
        <v>19.9</v>
      </c>
      <c r="AD568" s="138">
        <v>19.9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107</v>
      </c>
      <c r="F569" s="96" t="s">
        <v>106</v>
      </c>
      <c r="G569" s="97">
        <v>46132</v>
      </c>
      <c r="H569" s="98">
        <v>0.36876157407407406</v>
      </c>
      <c r="I569" s="50">
        <v>166004566</v>
      </c>
      <c r="J569" s="96" t="s">
        <v>157</v>
      </c>
      <c r="K569" s="49" t="s">
        <v>1487</v>
      </c>
      <c r="L569" s="39" t="s">
        <v>1488</v>
      </c>
      <c r="M569" s="49" t="s">
        <v>429</v>
      </c>
      <c r="N569" s="39" t="s">
        <v>1485</v>
      </c>
      <c r="O569" s="96" t="s">
        <v>1489</v>
      </c>
      <c r="P569" s="49" t="s">
        <v>157</v>
      </c>
      <c r="Q569" s="96" t="s">
        <v>104</v>
      </c>
      <c r="R569" s="52">
        <v>19.9</v>
      </c>
      <c r="S569" s="52">
        <f>R569-T569</f>
        <v>17.767857142857142</v>
      </c>
      <c r="T569" s="52">
        <f>R569*U569/(U569+100)</f>
        <v>2.132142857142857</v>
      </c>
      <c r="U569" s="50">
        <v>12</v>
      </c>
      <c r="V569" s="53">
        <v>0</v>
      </c>
      <c r="W569" s="147">
        <v>1</v>
      </c>
      <c r="X569" s="148" t="s">
        <v>163</v>
      </c>
      <c r="Y569" s="54">
        <f>R569*W569</f>
        <v>19.9</v>
      </c>
      <c r="Z569" s="52">
        <f>S569*W569</f>
        <v>17.767857142857142</v>
      </c>
      <c r="AA569" s="52">
        <f>T569*W569</f>
        <v>2.132142857142857</v>
      </c>
      <c r="AB569" s="52">
        <f>V569*W569</f>
        <v>0</v>
      </c>
      <c r="AC569" s="53">
        <f>(R569+V569)*W569</f>
        <v>19.9</v>
      </c>
      <c r="AD569" s="138">
        <v>19.9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107</v>
      </c>
      <c r="F570" s="96" t="s">
        <v>106</v>
      </c>
      <c r="G570" s="97">
        <v>46132</v>
      </c>
      <c r="H570" s="98">
        <v>0.36876157407407406</v>
      </c>
      <c r="I570" s="50">
        <v>166004566</v>
      </c>
      <c r="J570" s="96" t="s">
        <v>157</v>
      </c>
      <c r="K570" s="49" t="s">
        <v>932</v>
      </c>
      <c r="L570" s="39" t="s">
        <v>933</v>
      </c>
      <c r="M570" s="49" t="s">
        <v>823</v>
      </c>
      <c r="N570" s="39" t="s">
        <v>609</v>
      </c>
      <c r="O570" s="96" t="s">
        <v>1472</v>
      </c>
      <c r="P570" s="49" t="s">
        <v>157</v>
      </c>
      <c r="Q570" s="96" t="s">
        <v>104</v>
      </c>
      <c r="R570" s="52">
        <v>16.9</v>
      </c>
      <c r="S570" s="52">
        <f>R570-T570</f>
        <v>15.089285714285714</v>
      </c>
      <c r="T570" s="52">
        <f>R570*U570/(U570+100)</f>
        <v>1.8107142857142855</v>
      </c>
      <c r="U570" s="50">
        <v>12</v>
      </c>
      <c r="V570" s="53">
        <v>0</v>
      </c>
      <c r="W570" s="147">
        <v>1</v>
      </c>
      <c r="X570" s="148" t="s">
        <v>163</v>
      </c>
      <c r="Y570" s="54">
        <f>R570*W570</f>
        <v>16.9</v>
      </c>
      <c r="Z570" s="52">
        <f>S570*W570</f>
        <v>15.089285714285714</v>
      </c>
      <c r="AA570" s="52">
        <f>T570*W570</f>
        <v>1.8107142857142855</v>
      </c>
      <c r="AB570" s="52">
        <f>V570*W570</f>
        <v>0</v>
      </c>
      <c r="AC570" s="53">
        <f>(R570+V570)*W570</f>
        <v>16.9</v>
      </c>
      <c r="AD570" s="138">
        <v>16.9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107</v>
      </c>
      <c r="F571" s="96" t="s">
        <v>106</v>
      </c>
      <c r="G571" s="97">
        <v>46132</v>
      </c>
      <c r="H571" s="98">
        <v>0.36876157407407406</v>
      </c>
      <c r="I571" s="50">
        <v>166004566</v>
      </c>
      <c r="J571" s="96" t="s">
        <v>157</v>
      </c>
      <c r="K571" s="49" t="s">
        <v>199</v>
      </c>
      <c r="L571" s="39" t="s">
        <v>200</v>
      </c>
      <c r="M571" s="49" t="s">
        <v>201</v>
      </c>
      <c r="N571" s="39" t="s">
        <v>202</v>
      </c>
      <c r="O571" s="96" t="s">
        <v>1490</v>
      </c>
      <c r="P571" s="49" t="s">
        <v>157</v>
      </c>
      <c r="Q571" s="96" t="s">
        <v>104</v>
      </c>
      <c r="R571" s="52">
        <v>11.9</v>
      </c>
      <c r="S571" s="52">
        <f>R571-T571</f>
        <v>10.625</v>
      </c>
      <c r="T571" s="52">
        <f>R571*U571/(U571+100)</f>
        <v>1.2750000000000001</v>
      </c>
      <c r="U571" s="50">
        <v>12</v>
      </c>
      <c r="V571" s="53">
        <v>0</v>
      </c>
      <c r="W571" s="147">
        <v>1</v>
      </c>
      <c r="X571" s="148" t="s">
        <v>163</v>
      </c>
      <c r="Y571" s="54">
        <f>R571*W571</f>
        <v>11.9</v>
      </c>
      <c r="Z571" s="52">
        <f>S571*W571</f>
        <v>10.625</v>
      </c>
      <c r="AA571" s="52">
        <f>T571*W571</f>
        <v>1.2750000000000001</v>
      </c>
      <c r="AB571" s="52">
        <f>V571*W571</f>
        <v>0</v>
      </c>
      <c r="AC571" s="53">
        <f>(R571+V571)*W571</f>
        <v>11.9</v>
      </c>
      <c r="AD571" s="138">
        <v>11.9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107</v>
      </c>
      <c r="F572" s="96" t="s">
        <v>106</v>
      </c>
      <c r="G572" s="97">
        <v>46132</v>
      </c>
      <c r="H572" s="98">
        <v>0.36876157407407406</v>
      </c>
      <c r="I572" s="50">
        <v>166004566</v>
      </c>
      <c r="J572" s="96" t="s">
        <v>157</v>
      </c>
      <c r="K572" s="49" t="s">
        <v>199</v>
      </c>
      <c r="L572" s="39" t="s">
        <v>200</v>
      </c>
      <c r="M572" s="49" t="s">
        <v>201</v>
      </c>
      <c r="N572" s="39" t="s">
        <v>202</v>
      </c>
      <c r="O572" s="96" t="s">
        <v>1490</v>
      </c>
      <c r="P572" s="49" t="s">
        <v>157</v>
      </c>
      <c r="Q572" s="96" t="s">
        <v>104</v>
      </c>
      <c r="R572" s="52">
        <v>11.9</v>
      </c>
      <c r="S572" s="52">
        <f>R572-T572</f>
        <v>10.625</v>
      </c>
      <c r="T572" s="52">
        <f>R572*U572/(U572+100)</f>
        <v>1.2750000000000001</v>
      </c>
      <c r="U572" s="50">
        <v>12</v>
      </c>
      <c r="V572" s="53">
        <v>0</v>
      </c>
      <c r="W572" s="147">
        <v>1</v>
      </c>
      <c r="X572" s="148" t="s">
        <v>163</v>
      </c>
      <c r="Y572" s="54">
        <f>R572*W572</f>
        <v>11.9</v>
      </c>
      <c r="Z572" s="52">
        <f>S572*W572</f>
        <v>10.625</v>
      </c>
      <c r="AA572" s="52">
        <f>T572*W572</f>
        <v>1.2750000000000001</v>
      </c>
      <c r="AB572" s="52">
        <f>V572*W572</f>
        <v>0</v>
      </c>
      <c r="AC572" s="53">
        <f>(R572+V572)*W572</f>
        <v>11.9</v>
      </c>
      <c r="AD572" s="138">
        <v>11.9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107</v>
      </c>
      <c r="F573" s="96" t="s">
        <v>106</v>
      </c>
      <c r="G573" s="97">
        <v>46132</v>
      </c>
      <c r="H573" s="98">
        <v>0.36876157407407406</v>
      </c>
      <c r="I573" s="50">
        <v>166004566</v>
      </c>
      <c r="J573" s="96" t="s">
        <v>157</v>
      </c>
      <c r="K573" s="49" t="s">
        <v>1491</v>
      </c>
      <c r="L573" s="39" t="s">
        <v>1492</v>
      </c>
      <c r="M573" s="49" t="s">
        <v>480</v>
      </c>
      <c r="N573" s="39" t="s">
        <v>481</v>
      </c>
      <c r="O573" s="96" t="s">
        <v>1493</v>
      </c>
      <c r="P573" s="49" t="s">
        <v>157</v>
      </c>
      <c r="Q573" s="96" t="s">
        <v>104</v>
      </c>
      <c r="R573" s="52">
        <v>33.9</v>
      </c>
      <c r="S573" s="52">
        <f>R573-T573</f>
        <v>30.267857142857142</v>
      </c>
      <c r="T573" s="52">
        <f>R573*U573/(U573+100)</f>
        <v>3.6321428571428567</v>
      </c>
      <c r="U573" s="50">
        <v>12</v>
      </c>
      <c r="V573" s="53">
        <v>0</v>
      </c>
      <c r="W573" s="147">
        <v>1</v>
      </c>
      <c r="X573" s="148" t="s">
        <v>163</v>
      </c>
      <c r="Y573" s="54">
        <f>R573*W573</f>
        <v>33.9</v>
      </c>
      <c r="Z573" s="52">
        <f>S573*W573</f>
        <v>30.267857142857142</v>
      </c>
      <c r="AA573" s="52">
        <f>T573*W573</f>
        <v>3.6321428571428567</v>
      </c>
      <c r="AB573" s="52">
        <f>V573*W573</f>
        <v>0</v>
      </c>
      <c r="AC573" s="53">
        <f>(R573+V573)*W573</f>
        <v>33.9</v>
      </c>
      <c r="AD573" s="138">
        <v>33.9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107</v>
      </c>
      <c r="F574" s="96" t="s">
        <v>106</v>
      </c>
      <c r="G574" s="97">
        <v>46132</v>
      </c>
      <c r="H574" s="98">
        <v>0.36876157407407406</v>
      </c>
      <c r="I574" s="50">
        <v>166004566</v>
      </c>
      <c r="J574" s="96" t="s">
        <v>157</v>
      </c>
      <c r="K574" s="49" t="s">
        <v>992</v>
      </c>
      <c r="L574" s="39" t="s">
        <v>993</v>
      </c>
      <c r="M574" s="49" t="s">
        <v>214</v>
      </c>
      <c r="N574" s="39" t="s">
        <v>501</v>
      </c>
      <c r="O574" s="96" t="s">
        <v>994</v>
      </c>
      <c r="P574" s="49" t="s">
        <v>157</v>
      </c>
      <c r="Q574" s="96" t="s">
        <v>104</v>
      </c>
      <c r="R574" s="52">
        <v>6.9</v>
      </c>
      <c r="S574" s="52">
        <f>R574-T574</f>
        <v>6.160714285714286</v>
      </c>
      <c r="T574" s="52">
        <f>R574*U574/(U574+100)</f>
        <v>0.7392857142857144</v>
      </c>
      <c r="U574" s="50">
        <v>12</v>
      </c>
      <c r="V574" s="53">
        <v>0</v>
      </c>
      <c r="W574" s="147">
        <v>2</v>
      </c>
      <c r="X574" s="148" t="s">
        <v>163</v>
      </c>
      <c r="Y574" s="54">
        <f>R574*W574</f>
        <v>13.8</v>
      </c>
      <c r="Z574" s="52">
        <f>S574*W574</f>
        <v>12.321428571428571</v>
      </c>
      <c r="AA574" s="52">
        <f>T574*W574</f>
        <v>1.4785714285714289</v>
      </c>
      <c r="AB574" s="52">
        <f>V574*W574</f>
        <v>0</v>
      </c>
      <c r="AC574" s="53">
        <f>(R574+V574)*W574</f>
        <v>13.8</v>
      </c>
      <c r="AD574" s="138">
        <v>6.9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107</v>
      </c>
      <c r="F575" s="96" t="s">
        <v>106</v>
      </c>
      <c r="G575" s="97">
        <v>46132</v>
      </c>
      <c r="H575" s="98">
        <v>0.36876157407407406</v>
      </c>
      <c r="I575" s="50">
        <v>166004566</v>
      </c>
      <c r="J575" s="96" t="s">
        <v>157</v>
      </c>
      <c r="K575" s="49" t="s">
        <v>680</v>
      </c>
      <c r="L575" s="39" t="s">
        <v>681</v>
      </c>
      <c r="M575" s="49" t="s">
        <v>190</v>
      </c>
      <c r="N575" s="39" t="s">
        <v>532</v>
      </c>
      <c r="O575" s="96" t="s">
        <v>682</v>
      </c>
      <c r="P575" s="49" t="s">
        <v>157</v>
      </c>
      <c r="Q575" s="96" t="s">
        <v>104</v>
      </c>
      <c r="R575" s="52">
        <v>24.9</v>
      </c>
      <c r="S575" s="52">
        <f>R575-T575</f>
        <v>22.232142857142858</v>
      </c>
      <c r="T575" s="52">
        <f>R575*U575/(U575+100)</f>
        <v>2.6678571428571423</v>
      </c>
      <c r="U575" s="50">
        <v>12</v>
      </c>
      <c r="V575" s="53">
        <v>0</v>
      </c>
      <c r="W575" s="147">
        <v>0.372</v>
      </c>
      <c r="X575" s="148" t="s">
        <v>193</v>
      </c>
      <c r="Y575" s="54">
        <f>R575*W575</f>
        <v>9.262799999999999</v>
      </c>
      <c r="Z575" s="52">
        <f>S575*W575</f>
        <v>8.270357142857144</v>
      </c>
      <c r="AA575" s="52">
        <f>T575*W575</f>
        <v>0.992442857142857</v>
      </c>
      <c r="AB575" s="52">
        <f>V575*W575</f>
        <v>0</v>
      </c>
      <c r="AC575" s="53">
        <f>(R575+V575)*W575</f>
        <v>9.262799999999999</v>
      </c>
      <c r="AD575" s="138">
        <v>24.9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107</v>
      </c>
      <c r="F576" s="96" t="s">
        <v>106</v>
      </c>
      <c r="G576" s="97">
        <v>46132</v>
      </c>
      <c r="H576" s="98">
        <v>0.36876157407407406</v>
      </c>
      <c r="I576" s="50">
        <v>166004566</v>
      </c>
      <c r="J576" s="96" t="s">
        <v>157</v>
      </c>
      <c r="K576" s="49" t="s">
        <v>266</v>
      </c>
      <c r="L576" s="39" t="s">
        <v>267</v>
      </c>
      <c r="M576" s="49" t="s">
        <v>268</v>
      </c>
      <c r="N576" s="39" t="s">
        <v>269</v>
      </c>
      <c r="O576" s="96" t="s">
        <v>1249</v>
      </c>
      <c r="P576" s="49" t="s">
        <v>235</v>
      </c>
      <c r="Q576" s="96" t="s">
        <v>236</v>
      </c>
      <c r="R576" s="52">
        <v>11.9</v>
      </c>
      <c r="S576" s="52">
        <f>R576-T576</f>
        <v>10.625</v>
      </c>
      <c r="T576" s="52">
        <f>R576*U576/(U576+100)</f>
        <v>1.2750000000000001</v>
      </c>
      <c r="U576" s="50">
        <v>12</v>
      </c>
      <c r="V576" s="53">
        <v>0</v>
      </c>
      <c r="W576" s="147">
        <v>1</v>
      </c>
      <c r="X576" s="148" t="s">
        <v>163</v>
      </c>
      <c r="Y576" s="54">
        <f>R576*W576</f>
        <v>11.9</v>
      </c>
      <c r="Z576" s="52">
        <f>S576*W576</f>
        <v>10.625</v>
      </c>
      <c r="AA576" s="52">
        <f>T576*W576</f>
        <v>1.2750000000000001</v>
      </c>
      <c r="AB576" s="52">
        <f>V576*W576</f>
        <v>0</v>
      </c>
      <c r="AC576" s="53">
        <f>(R576+V576)*W576</f>
        <v>11.9</v>
      </c>
      <c r="AD576" s="138">
        <v>11.9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107</v>
      </c>
      <c r="F577" s="96" t="s">
        <v>106</v>
      </c>
      <c r="G577" s="97">
        <v>46132</v>
      </c>
      <c r="H577" s="98">
        <v>0.36876157407407406</v>
      </c>
      <c r="I577" s="50">
        <v>166004566</v>
      </c>
      <c r="J577" s="96" t="s">
        <v>157</v>
      </c>
      <c r="K577" s="49" t="s">
        <v>628</v>
      </c>
      <c r="L577" s="39" t="s">
        <v>629</v>
      </c>
      <c r="M577" s="49" t="s">
        <v>214</v>
      </c>
      <c r="N577" s="39" t="s">
        <v>296</v>
      </c>
      <c r="O577" s="96" t="s">
        <v>630</v>
      </c>
      <c r="P577" s="49" t="s">
        <v>157</v>
      </c>
      <c r="Q577" s="96" t="s">
        <v>104</v>
      </c>
      <c r="R577" s="52">
        <v>9.9</v>
      </c>
      <c r="S577" s="52">
        <f>R577-T577</f>
        <v>8.839285714285715</v>
      </c>
      <c r="T577" s="52">
        <f>R577*U577/(U577+100)</f>
        <v>1.0607142857142857</v>
      </c>
      <c r="U577" s="50">
        <v>12</v>
      </c>
      <c r="V577" s="53">
        <v>0</v>
      </c>
      <c r="W577" s="147">
        <v>1</v>
      </c>
      <c r="X577" s="148" t="s">
        <v>163</v>
      </c>
      <c r="Y577" s="54">
        <f>R577*W577</f>
        <v>9.9</v>
      </c>
      <c r="Z577" s="52">
        <f>S577*W577</f>
        <v>8.839285714285715</v>
      </c>
      <c r="AA577" s="52">
        <f>T577*W577</f>
        <v>1.0607142857142857</v>
      </c>
      <c r="AB577" s="52">
        <f>V577*W577</f>
        <v>0</v>
      </c>
      <c r="AC577" s="53">
        <f>(R577+V577)*W577</f>
        <v>9.9</v>
      </c>
      <c r="AD577" s="138">
        <v>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107</v>
      </c>
      <c r="F578" s="96" t="s">
        <v>106</v>
      </c>
      <c r="G578" s="97">
        <v>46132</v>
      </c>
      <c r="H578" s="98">
        <v>0.36918981481481483</v>
      </c>
      <c r="I578" s="50">
        <v>166004567</v>
      </c>
      <c r="J578" s="96" t="s">
        <v>157</v>
      </c>
      <c r="K578" s="49" t="s">
        <v>1494</v>
      </c>
      <c r="L578" s="39" t="s">
        <v>1495</v>
      </c>
      <c r="M578" s="49" t="s">
        <v>190</v>
      </c>
      <c r="N578" s="39" t="s">
        <v>191</v>
      </c>
      <c r="O578" s="96" t="s">
        <v>1496</v>
      </c>
      <c r="P578" s="49" t="s">
        <v>157</v>
      </c>
      <c r="Q578" s="96" t="s">
        <v>104</v>
      </c>
      <c r="R578" s="52">
        <v>52.9</v>
      </c>
      <c r="S578" s="52">
        <f>R578-T578</f>
        <v>47.232142857142854</v>
      </c>
      <c r="T578" s="52">
        <f>R578*U578/(U578+100)</f>
        <v>5.667857142857143</v>
      </c>
      <c r="U578" s="50">
        <v>12</v>
      </c>
      <c r="V578" s="53">
        <v>0</v>
      </c>
      <c r="W578" s="147">
        <v>1.302</v>
      </c>
      <c r="X578" s="148" t="s">
        <v>193</v>
      </c>
      <c r="Y578" s="54">
        <f>R578*W578</f>
        <v>68.8758</v>
      </c>
      <c r="Z578" s="52">
        <f>S578*W578</f>
        <v>61.496249999999996</v>
      </c>
      <c r="AA578" s="52">
        <f>T578*W578</f>
        <v>7.37955</v>
      </c>
      <c r="AB578" s="52">
        <f>V578*W578</f>
        <v>0</v>
      </c>
      <c r="AC578" s="53">
        <f>(R578+V578)*W578</f>
        <v>68.8758</v>
      </c>
      <c r="AD578" s="138">
        <v>52.9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107</v>
      </c>
      <c r="F579" s="96" t="s">
        <v>106</v>
      </c>
      <c r="G579" s="97">
        <v>46132</v>
      </c>
      <c r="H579" s="98">
        <v>0.37015046296296295</v>
      </c>
      <c r="I579" s="50">
        <v>166004568</v>
      </c>
      <c r="J579" s="96" t="s">
        <v>157</v>
      </c>
      <c r="K579" s="49" t="s">
        <v>1126</v>
      </c>
      <c r="L579" s="39" t="s">
        <v>1127</v>
      </c>
      <c r="M579" s="49" t="s">
        <v>862</v>
      </c>
      <c r="N579" s="39" t="s">
        <v>863</v>
      </c>
      <c r="O579" s="96" t="s">
        <v>1128</v>
      </c>
      <c r="P579" s="49" t="s">
        <v>157</v>
      </c>
      <c r="Q579" s="96" t="s">
        <v>104</v>
      </c>
      <c r="R579" s="52">
        <v>161</v>
      </c>
      <c r="S579" s="52">
        <f>R579-T579</f>
        <v>133.05785123966942</v>
      </c>
      <c r="T579" s="52">
        <f>R579*U579/(U579+100)</f>
        <v>27.94214876033058</v>
      </c>
      <c r="U579" s="50">
        <v>21</v>
      </c>
      <c r="V579" s="53">
        <v>0</v>
      </c>
      <c r="W579" s="147">
        <v>1</v>
      </c>
      <c r="X579" s="148" t="s">
        <v>163</v>
      </c>
      <c r="Y579" s="54">
        <f>R579*W579</f>
        <v>161</v>
      </c>
      <c r="Z579" s="52">
        <f>S579*W579</f>
        <v>133.05785123966942</v>
      </c>
      <c r="AA579" s="52">
        <f>T579*W579</f>
        <v>27.94214876033058</v>
      </c>
      <c r="AB579" s="52">
        <f>V579*W579</f>
        <v>0</v>
      </c>
      <c r="AC579" s="53">
        <f>(R579+V579)*W579</f>
        <v>161</v>
      </c>
      <c r="AD579" s="138">
        <v>161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107</v>
      </c>
      <c r="F580" s="96" t="s">
        <v>106</v>
      </c>
      <c r="G580" s="97">
        <v>46132</v>
      </c>
      <c r="H580" s="98">
        <v>0.37015046296296295</v>
      </c>
      <c r="I580" s="50">
        <v>166004568</v>
      </c>
      <c r="J580" s="96" t="s">
        <v>157</v>
      </c>
      <c r="K580" s="49" t="s">
        <v>1497</v>
      </c>
      <c r="L580" s="39" t="s">
        <v>1498</v>
      </c>
      <c r="M580" s="49" t="s">
        <v>862</v>
      </c>
      <c r="N580" s="39" t="s">
        <v>863</v>
      </c>
      <c r="O580" s="96" t="s">
        <v>1499</v>
      </c>
      <c r="P580" s="49" t="s">
        <v>157</v>
      </c>
      <c r="Q580" s="96" t="s">
        <v>104</v>
      </c>
      <c r="R580" s="52">
        <v>161</v>
      </c>
      <c r="S580" s="52">
        <f>R580-T580</f>
        <v>133.05785123966942</v>
      </c>
      <c r="T580" s="52">
        <f>R580*U580/(U580+100)</f>
        <v>27.94214876033058</v>
      </c>
      <c r="U580" s="50">
        <v>21</v>
      </c>
      <c r="V580" s="53">
        <v>0</v>
      </c>
      <c r="W580" s="147">
        <v>1</v>
      </c>
      <c r="X580" s="148" t="s">
        <v>163</v>
      </c>
      <c r="Y580" s="54">
        <f>R580*W580</f>
        <v>161</v>
      </c>
      <c r="Z580" s="52">
        <f>S580*W580</f>
        <v>133.05785123966942</v>
      </c>
      <c r="AA580" s="52">
        <f>T580*W580</f>
        <v>27.94214876033058</v>
      </c>
      <c r="AB580" s="52">
        <f>V580*W580</f>
        <v>0</v>
      </c>
      <c r="AC580" s="53">
        <f>(R580+V580)*W580</f>
        <v>161</v>
      </c>
      <c r="AD580" s="138">
        <v>161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107</v>
      </c>
      <c r="F581" s="96" t="s">
        <v>106</v>
      </c>
      <c r="G581" s="97">
        <v>46132</v>
      </c>
      <c r="H581" s="98">
        <v>0.37015046296296295</v>
      </c>
      <c r="I581" s="50">
        <v>166004568</v>
      </c>
      <c r="J581" s="96" t="s">
        <v>157</v>
      </c>
      <c r="K581" s="49" t="s">
        <v>1497</v>
      </c>
      <c r="L581" s="39" t="s">
        <v>1498</v>
      </c>
      <c r="M581" s="49" t="s">
        <v>862</v>
      </c>
      <c r="N581" s="39" t="s">
        <v>863</v>
      </c>
      <c r="O581" s="96" t="s">
        <v>1499</v>
      </c>
      <c r="P581" s="49" t="s">
        <v>157</v>
      </c>
      <c r="Q581" s="96" t="s">
        <v>104</v>
      </c>
      <c r="R581" s="52">
        <v>161</v>
      </c>
      <c r="S581" s="52">
        <f>R581-T581</f>
        <v>133.05785123966942</v>
      </c>
      <c r="T581" s="52">
        <f>R581*U581/(U581+100)</f>
        <v>27.94214876033058</v>
      </c>
      <c r="U581" s="50">
        <v>21</v>
      </c>
      <c r="V581" s="53">
        <v>0</v>
      </c>
      <c r="W581" s="147">
        <v>1</v>
      </c>
      <c r="X581" s="148" t="s">
        <v>163</v>
      </c>
      <c r="Y581" s="54">
        <f>R581*W581</f>
        <v>161</v>
      </c>
      <c r="Z581" s="52">
        <f>S581*W581</f>
        <v>133.05785123966942</v>
      </c>
      <c r="AA581" s="52">
        <f>T581*W581</f>
        <v>27.94214876033058</v>
      </c>
      <c r="AB581" s="52">
        <f>V581*W581</f>
        <v>0</v>
      </c>
      <c r="AC581" s="53">
        <f>(R581+V581)*W581</f>
        <v>161</v>
      </c>
      <c r="AD581" s="138">
        <v>161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107</v>
      </c>
      <c r="F582" s="96" t="s">
        <v>106</v>
      </c>
      <c r="G582" s="97">
        <v>46132</v>
      </c>
      <c r="H582" s="98">
        <v>0.3713888888888889</v>
      </c>
      <c r="I582" s="50">
        <v>166004569</v>
      </c>
      <c r="J582" s="96" t="s">
        <v>157</v>
      </c>
      <c r="K582" s="49" t="s">
        <v>655</v>
      </c>
      <c r="L582" s="39" t="s">
        <v>656</v>
      </c>
      <c r="M582" s="49" t="s">
        <v>190</v>
      </c>
      <c r="N582" s="39" t="s">
        <v>532</v>
      </c>
      <c r="O582" s="96" t="s">
        <v>657</v>
      </c>
      <c r="P582" s="49" t="s">
        <v>157</v>
      </c>
      <c r="Q582" s="96" t="s">
        <v>104</v>
      </c>
      <c r="R582" s="52">
        <v>25.13</v>
      </c>
      <c r="S582" s="52">
        <f>R582-T582</f>
        <v>22.4375</v>
      </c>
      <c r="T582" s="52">
        <f>R582*U582/(U582+100)</f>
        <v>2.6925</v>
      </c>
      <c r="U582" s="50">
        <v>12</v>
      </c>
      <c r="V582" s="53">
        <v>0</v>
      </c>
      <c r="W582" s="147">
        <v>0.246</v>
      </c>
      <c r="X582" s="148" t="s">
        <v>193</v>
      </c>
      <c r="Y582" s="54">
        <f>R582*W582</f>
        <v>6.181979999999999</v>
      </c>
      <c r="Z582" s="52">
        <f>S582*W582</f>
        <v>5.519625</v>
      </c>
      <c r="AA582" s="52">
        <f>T582*W582</f>
        <v>0.6623549999999999</v>
      </c>
      <c r="AB582" s="52">
        <f>V582*W582</f>
        <v>0</v>
      </c>
      <c r="AC582" s="53">
        <f>(R582+V582)*W582</f>
        <v>6.181979999999999</v>
      </c>
      <c r="AD582" s="138">
        <v>25.13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107</v>
      </c>
      <c r="F583" s="96" t="s">
        <v>106</v>
      </c>
      <c r="G583" s="97">
        <v>46132</v>
      </c>
      <c r="H583" s="98">
        <v>0.3713888888888889</v>
      </c>
      <c r="I583" s="50">
        <v>166004569</v>
      </c>
      <c r="J583" s="96" t="s">
        <v>157</v>
      </c>
      <c r="K583" s="49" t="s">
        <v>1191</v>
      </c>
      <c r="L583" s="39" t="s">
        <v>1192</v>
      </c>
      <c r="M583" s="49" t="s">
        <v>1193</v>
      </c>
      <c r="N583" s="39" t="s">
        <v>1194</v>
      </c>
      <c r="O583" s="96" t="s">
        <v>1195</v>
      </c>
      <c r="P583" s="49" t="s">
        <v>235</v>
      </c>
      <c r="Q583" s="96" t="s">
        <v>236</v>
      </c>
      <c r="R583" s="52">
        <v>79.9</v>
      </c>
      <c r="S583" s="52">
        <f>R583-T583</f>
        <v>71.33928571428572</v>
      </c>
      <c r="T583" s="52">
        <f>R583*U583/(U583+100)</f>
        <v>8.560714285714287</v>
      </c>
      <c r="U583" s="50">
        <v>12</v>
      </c>
      <c r="V583" s="53">
        <v>0</v>
      </c>
      <c r="W583" s="147">
        <v>1</v>
      </c>
      <c r="X583" s="148" t="s">
        <v>163</v>
      </c>
      <c r="Y583" s="54">
        <f>R583*W583</f>
        <v>79.9</v>
      </c>
      <c r="Z583" s="52">
        <f>S583*W583</f>
        <v>71.33928571428572</v>
      </c>
      <c r="AA583" s="52">
        <f>T583*W583</f>
        <v>8.560714285714287</v>
      </c>
      <c r="AB583" s="52">
        <f>V583*W583</f>
        <v>0</v>
      </c>
      <c r="AC583" s="53">
        <f>(R583+V583)*W583</f>
        <v>79.9</v>
      </c>
      <c r="AD583" s="138">
        <v>79.9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107</v>
      </c>
      <c r="F584" s="96" t="s">
        <v>106</v>
      </c>
      <c r="G584" s="97">
        <v>46132</v>
      </c>
      <c r="H584" s="98">
        <v>0.3713888888888889</v>
      </c>
      <c r="I584" s="50">
        <v>166004569</v>
      </c>
      <c r="J584" s="96" t="s">
        <v>157</v>
      </c>
      <c r="K584" s="49" t="s">
        <v>1300</v>
      </c>
      <c r="L584" s="39" t="s">
        <v>1301</v>
      </c>
      <c r="M584" s="49" t="s">
        <v>997</v>
      </c>
      <c r="N584" s="39" t="s">
        <v>998</v>
      </c>
      <c r="O584" s="96" t="s">
        <v>1302</v>
      </c>
      <c r="P584" s="49" t="s">
        <v>157</v>
      </c>
      <c r="Q584" s="96" t="s">
        <v>104</v>
      </c>
      <c r="R584" s="52">
        <v>24</v>
      </c>
      <c r="S584" s="52">
        <f>R584-T584</f>
        <v>21.428571428571427</v>
      </c>
      <c r="T584" s="52">
        <f>R584*U584/(U584+100)</f>
        <v>2.5714285714285716</v>
      </c>
      <c r="U584" s="50">
        <v>12</v>
      </c>
      <c r="V584" s="53">
        <v>0</v>
      </c>
      <c r="W584" s="147">
        <v>1</v>
      </c>
      <c r="X584" s="148" t="s">
        <v>945</v>
      </c>
      <c r="Y584" s="54">
        <f>R584*W584</f>
        <v>24</v>
      </c>
      <c r="Z584" s="52">
        <f>S584*W584</f>
        <v>21.428571428571427</v>
      </c>
      <c r="AA584" s="52">
        <f>T584*W584</f>
        <v>2.5714285714285716</v>
      </c>
      <c r="AB584" s="52">
        <f>V584*W584</f>
        <v>0</v>
      </c>
      <c r="AC584" s="53">
        <f>(R584+V584)*W584</f>
        <v>24</v>
      </c>
      <c r="AD584" s="138">
        <v>24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107</v>
      </c>
      <c r="F585" s="96" t="s">
        <v>106</v>
      </c>
      <c r="G585" s="97">
        <v>46132</v>
      </c>
      <c r="H585" s="98">
        <v>0.3719791666666667</v>
      </c>
      <c r="I585" s="50">
        <v>166004570</v>
      </c>
      <c r="J585" s="96" t="s">
        <v>157</v>
      </c>
      <c r="K585" s="49" t="s">
        <v>606</v>
      </c>
      <c r="L585" s="39" t="s">
        <v>607</v>
      </c>
      <c r="M585" s="49" t="s">
        <v>608</v>
      </c>
      <c r="N585" s="39" t="s">
        <v>609</v>
      </c>
      <c r="O585" s="96" t="s">
        <v>1500</v>
      </c>
      <c r="P585" s="49" t="s">
        <v>235</v>
      </c>
      <c r="Q585" s="96" t="s">
        <v>236</v>
      </c>
      <c r="R585" s="52">
        <v>16.9</v>
      </c>
      <c r="S585" s="52">
        <f>R585-T585</f>
        <v>15.089285714285714</v>
      </c>
      <c r="T585" s="52">
        <f>R585*U585/(U585+100)</f>
        <v>1.8107142857142855</v>
      </c>
      <c r="U585" s="50">
        <v>12</v>
      </c>
      <c r="V585" s="53">
        <v>0</v>
      </c>
      <c r="W585" s="147">
        <v>1</v>
      </c>
      <c r="X585" s="148" t="s">
        <v>163</v>
      </c>
      <c r="Y585" s="54">
        <f>R585*W585</f>
        <v>16.9</v>
      </c>
      <c r="Z585" s="52">
        <f>S585*W585</f>
        <v>15.089285714285714</v>
      </c>
      <c r="AA585" s="52">
        <f>T585*W585</f>
        <v>1.8107142857142855</v>
      </c>
      <c r="AB585" s="52">
        <f>V585*W585</f>
        <v>0</v>
      </c>
      <c r="AC585" s="53">
        <f>(R585+V585)*W585</f>
        <v>16.9</v>
      </c>
      <c r="AD585" s="138">
        <v>16.9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107</v>
      </c>
      <c r="F586" s="96" t="s">
        <v>106</v>
      </c>
      <c r="G586" s="97">
        <v>46132</v>
      </c>
      <c r="H586" s="98">
        <v>0.3719791666666667</v>
      </c>
      <c r="I586" s="50">
        <v>166004570</v>
      </c>
      <c r="J586" s="96" t="s">
        <v>157</v>
      </c>
      <c r="K586" s="49" t="s">
        <v>606</v>
      </c>
      <c r="L586" s="39" t="s">
        <v>607</v>
      </c>
      <c r="M586" s="49" t="s">
        <v>608</v>
      </c>
      <c r="N586" s="39" t="s">
        <v>609</v>
      </c>
      <c r="O586" s="96" t="s">
        <v>1500</v>
      </c>
      <c r="P586" s="49" t="s">
        <v>235</v>
      </c>
      <c r="Q586" s="96" t="s">
        <v>236</v>
      </c>
      <c r="R586" s="52">
        <v>16.9</v>
      </c>
      <c r="S586" s="52">
        <f>R586-T586</f>
        <v>15.089285714285714</v>
      </c>
      <c r="T586" s="52">
        <f>R586*U586/(U586+100)</f>
        <v>1.8107142857142855</v>
      </c>
      <c r="U586" s="50">
        <v>12</v>
      </c>
      <c r="V586" s="53">
        <v>0</v>
      </c>
      <c r="W586" s="147">
        <v>1</v>
      </c>
      <c r="X586" s="148" t="s">
        <v>163</v>
      </c>
      <c r="Y586" s="54">
        <f>R586*W586</f>
        <v>16.9</v>
      </c>
      <c r="Z586" s="52">
        <f>S586*W586</f>
        <v>15.089285714285714</v>
      </c>
      <c r="AA586" s="52">
        <f>T586*W586</f>
        <v>1.8107142857142855</v>
      </c>
      <c r="AB586" s="52">
        <f>V586*W586</f>
        <v>0</v>
      </c>
      <c r="AC586" s="53">
        <f>(R586+V586)*W586</f>
        <v>16.9</v>
      </c>
      <c r="AD586" s="138">
        <v>16.9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107</v>
      </c>
      <c r="F587" s="96" t="s">
        <v>106</v>
      </c>
      <c r="G587" s="97">
        <v>46132</v>
      </c>
      <c r="H587" s="98">
        <v>0.3719791666666667</v>
      </c>
      <c r="I587" s="50">
        <v>166004570</v>
      </c>
      <c r="J587" s="96" t="s">
        <v>157</v>
      </c>
      <c r="K587" s="49" t="s">
        <v>1501</v>
      </c>
      <c r="L587" s="39" t="s">
        <v>1502</v>
      </c>
      <c r="M587" s="49" t="s">
        <v>466</v>
      </c>
      <c r="N587" s="39" t="s">
        <v>609</v>
      </c>
      <c r="O587" s="96" t="s">
        <v>1503</v>
      </c>
      <c r="P587" s="49" t="s">
        <v>157</v>
      </c>
      <c r="Q587" s="96" t="s">
        <v>104</v>
      </c>
      <c r="R587" s="52">
        <v>14.9</v>
      </c>
      <c r="S587" s="52">
        <f>R587-T587</f>
        <v>13.303571428571429</v>
      </c>
      <c r="T587" s="52">
        <f>R587*U587/(U587+100)</f>
        <v>1.5964285714285715</v>
      </c>
      <c r="U587" s="50">
        <v>12</v>
      </c>
      <c r="V587" s="53">
        <v>0</v>
      </c>
      <c r="W587" s="147">
        <v>1</v>
      </c>
      <c r="X587" s="148" t="s">
        <v>163</v>
      </c>
      <c r="Y587" s="54">
        <f>R587*W587</f>
        <v>14.9</v>
      </c>
      <c r="Z587" s="52">
        <f>S587*W587</f>
        <v>13.303571428571429</v>
      </c>
      <c r="AA587" s="52">
        <f>T587*W587</f>
        <v>1.5964285714285715</v>
      </c>
      <c r="AB587" s="52">
        <f>V587*W587</f>
        <v>0</v>
      </c>
      <c r="AC587" s="53">
        <f>(R587+V587)*W587</f>
        <v>14.9</v>
      </c>
      <c r="AD587" s="138">
        <v>14.9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107</v>
      </c>
      <c r="F588" s="96" t="s">
        <v>106</v>
      </c>
      <c r="G588" s="97">
        <v>46132</v>
      </c>
      <c r="H588" s="98">
        <v>0.3719791666666667</v>
      </c>
      <c r="I588" s="50">
        <v>166004570</v>
      </c>
      <c r="J588" s="96" t="s">
        <v>157</v>
      </c>
      <c r="K588" s="49" t="s">
        <v>1501</v>
      </c>
      <c r="L588" s="39" t="s">
        <v>1502</v>
      </c>
      <c r="M588" s="49" t="s">
        <v>466</v>
      </c>
      <c r="N588" s="39" t="s">
        <v>609</v>
      </c>
      <c r="O588" s="96" t="s">
        <v>1503</v>
      </c>
      <c r="P588" s="49" t="s">
        <v>157</v>
      </c>
      <c r="Q588" s="96" t="s">
        <v>104</v>
      </c>
      <c r="R588" s="52">
        <v>14.9</v>
      </c>
      <c r="S588" s="52">
        <f>R588-T588</f>
        <v>13.303571428571429</v>
      </c>
      <c r="T588" s="52">
        <f>R588*U588/(U588+100)</f>
        <v>1.5964285714285715</v>
      </c>
      <c r="U588" s="50">
        <v>12</v>
      </c>
      <c r="V588" s="53">
        <v>0</v>
      </c>
      <c r="W588" s="147">
        <v>1</v>
      </c>
      <c r="X588" s="148" t="s">
        <v>163</v>
      </c>
      <c r="Y588" s="54">
        <f>R588*W588</f>
        <v>14.9</v>
      </c>
      <c r="Z588" s="52">
        <f>S588*W588</f>
        <v>13.303571428571429</v>
      </c>
      <c r="AA588" s="52">
        <f>T588*W588</f>
        <v>1.5964285714285715</v>
      </c>
      <c r="AB588" s="52">
        <f>V588*W588</f>
        <v>0</v>
      </c>
      <c r="AC588" s="53">
        <f>(R588+V588)*W588</f>
        <v>14.9</v>
      </c>
      <c r="AD588" s="138">
        <v>14.9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107</v>
      </c>
      <c r="F589" s="96" t="s">
        <v>106</v>
      </c>
      <c r="G589" s="97">
        <v>46132</v>
      </c>
      <c r="H589" s="98">
        <v>0.3719791666666667</v>
      </c>
      <c r="I589" s="50">
        <v>166004570</v>
      </c>
      <c r="J589" s="96" t="s">
        <v>157</v>
      </c>
      <c r="K589" s="49" t="s">
        <v>707</v>
      </c>
      <c r="L589" s="39" t="s">
        <v>708</v>
      </c>
      <c r="M589" s="49" t="s">
        <v>709</v>
      </c>
      <c r="N589" s="39" t="s">
        <v>319</v>
      </c>
      <c r="O589" s="96" t="s">
        <v>1504</v>
      </c>
      <c r="P589" s="49" t="s">
        <v>235</v>
      </c>
      <c r="Q589" s="96" t="s">
        <v>236</v>
      </c>
      <c r="R589" s="52">
        <v>19.9</v>
      </c>
      <c r="S589" s="52">
        <f>R589-T589</f>
        <v>17.767857142857142</v>
      </c>
      <c r="T589" s="52">
        <f>R589*U589/(U589+100)</f>
        <v>2.132142857142857</v>
      </c>
      <c r="U589" s="50">
        <v>12</v>
      </c>
      <c r="V589" s="53">
        <v>0</v>
      </c>
      <c r="W589" s="147">
        <v>1</v>
      </c>
      <c r="X589" s="148" t="s">
        <v>163</v>
      </c>
      <c r="Y589" s="54">
        <f>R589*W589</f>
        <v>19.9</v>
      </c>
      <c r="Z589" s="52">
        <f>S589*W589</f>
        <v>17.767857142857142</v>
      </c>
      <c r="AA589" s="52">
        <f>T589*W589</f>
        <v>2.132142857142857</v>
      </c>
      <c r="AB589" s="52">
        <f>V589*W589</f>
        <v>0</v>
      </c>
      <c r="AC589" s="53">
        <f>(R589+V589)*W589</f>
        <v>19.9</v>
      </c>
      <c r="AD589" s="138">
        <v>19.9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107</v>
      </c>
      <c r="F590" s="96" t="s">
        <v>106</v>
      </c>
      <c r="G590" s="97">
        <v>46132</v>
      </c>
      <c r="H590" s="98">
        <v>0.3719791666666667</v>
      </c>
      <c r="I590" s="50">
        <v>166004570</v>
      </c>
      <c r="J590" s="96" t="s">
        <v>157</v>
      </c>
      <c r="K590" s="49" t="s">
        <v>293</v>
      </c>
      <c r="L590" s="39" t="s">
        <v>294</v>
      </c>
      <c r="M590" s="49" t="s">
        <v>295</v>
      </c>
      <c r="N590" s="39" t="s">
        <v>296</v>
      </c>
      <c r="O590" s="96" t="s">
        <v>297</v>
      </c>
      <c r="P590" s="49" t="s">
        <v>157</v>
      </c>
      <c r="Q590" s="96" t="s">
        <v>104</v>
      </c>
      <c r="R590" s="52">
        <v>2.9</v>
      </c>
      <c r="S590" s="52">
        <f>R590-T590</f>
        <v>2.5892857142857144</v>
      </c>
      <c r="T590" s="52">
        <f>R590*U590/(U590+100)</f>
        <v>0.31071428571428567</v>
      </c>
      <c r="U590" s="50">
        <v>12</v>
      </c>
      <c r="V590" s="53">
        <v>0</v>
      </c>
      <c r="W590" s="147">
        <v>8</v>
      </c>
      <c r="X590" s="148" t="s">
        <v>163</v>
      </c>
      <c r="Y590" s="54">
        <f>R590*W590</f>
        <v>23.2</v>
      </c>
      <c r="Z590" s="52">
        <f>S590*W590</f>
        <v>20.714285714285715</v>
      </c>
      <c r="AA590" s="52">
        <f>T590*W590</f>
        <v>2.4857142857142853</v>
      </c>
      <c r="AB590" s="52">
        <f>V590*W590</f>
        <v>0</v>
      </c>
      <c r="AC590" s="53">
        <f>(R590+V590)*W590</f>
        <v>23.2</v>
      </c>
      <c r="AD590" s="138">
        <v>2.9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107</v>
      </c>
      <c r="F591" s="96" t="s">
        <v>106</v>
      </c>
      <c r="G591" s="97">
        <v>46132</v>
      </c>
      <c r="H591" s="98">
        <v>0.3719791666666667</v>
      </c>
      <c r="I591" s="50">
        <v>166004570</v>
      </c>
      <c r="J591" s="96" t="s">
        <v>157</v>
      </c>
      <c r="K591" s="49" t="s">
        <v>553</v>
      </c>
      <c r="L591" s="39" t="s">
        <v>104</v>
      </c>
      <c r="M591" s="49" t="s">
        <v>554</v>
      </c>
      <c r="N591" s="39" t="s">
        <v>296</v>
      </c>
      <c r="O591" s="96" t="s">
        <v>555</v>
      </c>
      <c r="P591" s="49" t="s">
        <v>157</v>
      </c>
      <c r="Q591" s="96" t="s">
        <v>104</v>
      </c>
      <c r="R591" s="52">
        <v>8.9</v>
      </c>
      <c r="S591" s="52">
        <f>R591-T591</f>
        <v>7.946428571428572</v>
      </c>
      <c r="T591" s="52">
        <f>R591*U591/(U591+100)</f>
        <v>0.9535714285714286</v>
      </c>
      <c r="U591" s="50">
        <v>12</v>
      </c>
      <c r="V591" s="53">
        <v>0</v>
      </c>
      <c r="W591" s="147">
        <v>4</v>
      </c>
      <c r="X591" s="148" t="s">
        <v>163</v>
      </c>
      <c r="Y591" s="54">
        <f>R591*W591</f>
        <v>35.6</v>
      </c>
      <c r="Z591" s="52">
        <f>S591*W591</f>
        <v>31.78571428571429</v>
      </c>
      <c r="AA591" s="52">
        <f>T591*W591</f>
        <v>3.8142857142857145</v>
      </c>
      <c r="AB591" s="52">
        <f>V591*W591</f>
        <v>0</v>
      </c>
      <c r="AC591" s="53">
        <f>(R591+V591)*W591</f>
        <v>35.6</v>
      </c>
      <c r="AD591" s="138">
        <v>8.9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107</v>
      </c>
      <c r="F592" s="96" t="s">
        <v>106</v>
      </c>
      <c r="G592" s="97">
        <v>46132</v>
      </c>
      <c r="H592" s="98">
        <v>0.3729398148148148</v>
      </c>
      <c r="I592" s="50">
        <v>166004571</v>
      </c>
      <c r="J592" s="96" t="s">
        <v>157</v>
      </c>
      <c r="K592" s="49" t="s">
        <v>1505</v>
      </c>
      <c r="L592" s="39" t="s">
        <v>1506</v>
      </c>
      <c r="M592" s="49" t="s">
        <v>1507</v>
      </c>
      <c r="N592" s="39" t="s">
        <v>601</v>
      </c>
      <c r="O592" s="96" t="s">
        <v>1508</v>
      </c>
      <c r="P592" s="49" t="s">
        <v>157</v>
      </c>
      <c r="Q592" s="96" t="s">
        <v>104</v>
      </c>
      <c r="R592" s="52">
        <v>31.9</v>
      </c>
      <c r="S592" s="52">
        <f>R592-T592</f>
        <v>28.482142857142858</v>
      </c>
      <c r="T592" s="52">
        <f>R592*U592/(U592+100)</f>
        <v>3.4178571428571423</v>
      </c>
      <c r="U592" s="50">
        <v>12</v>
      </c>
      <c r="V592" s="53">
        <v>0</v>
      </c>
      <c r="W592" s="147">
        <v>1</v>
      </c>
      <c r="X592" s="148" t="s">
        <v>163</v>
      </c>
      <c r="Y592" s="54">
        <f>R592*W592</f>
        <v>31.9</v>
      </c>
      <c r="Z592" s="52">
        <f>S592*W592</f>
        <v>28.482142857142858</v>
      </c>
      <c r="AA592" s="52">
        <f>T592*W592</f>
        <v>3.4178571428571423</v>
      </c>
      <c r="AB592" s="52">
        <f>V592*W592</f>
        <v>0</v>
      </c>
      <c r="AC592" s="53">
        <f>(R592+V592)*W592</f>
        <v>31.9</v>
      </c>
      <c r="AD592" s="138">
        <v>31.9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107</v>
      </c>
      <c r="F593" s="96" t="s">
        <v>106</v>
      </c>
      <c r="G593" s="97">
        <v>46132</v>
      </c>
      <c r="H593" s="98">
        <v>0.3729398148148148</v>
      </c>
      <c r="I593" s="50">
        <v>166004571</v>
      </c>
      <c r="J593" s="96" t="s">
        <v>157</v>
      </c>
      <c r="K593" s="49" t="s">
        <v>1509</v>
      </c>
      <c r="L593" s="39" t="s">
        <v>1510</v>
      </c>
      <c r="M593" s="49" t="s">
        <v>893</v>
      </c>
      <c r="N593" s="39" t="s">
        <v>319</v>
      </c>
      <c r="O593" s="96" t="s">
        <v>1511</v>
      </c>
      <c r="P593" s="49" t="s">
        <v>235</v>
      </c>
      <c r="Q593" s="96" t="s">
        <v>236</v>
      </c>
      <c r="R593" s="52">
        <v>24.9</v>
      </c>
      <c r="S593" s="52">
        <f>R593-T593</f>
        <v>22.232142857142858</v>
      </c>
      <c r="T593" s="52">
        <f>R593*U593/(U593+100)</f>
        <v>2.6678571428571423</v>
      </c>
      <c r="U593" s="50">
        <v>12</v>
      </c>
      <c r="V593" s="53">
        <v>0</v>
      </c>
      <c r="W593" s="147">
        <v>1</v>
      </c>
      <c r="X593" s="148" t="s">
        <v>163</v>
      </c>
      <c r="Y593" s="54">
        <f>R593*W593</f>
        <v>24.9</v>
      </c>
      <c r="Z593" s="52">
        <f>S593*W593</f>
        <v>22.232142857142858</v>
      </c>
      <c r="AA593" s="52">
        <f>T593*W593</f>
        <v>2.6678571428571423</v>
      </c>
      <c r="AB593" s="52">
        <f>V593*W593</f>
        <v>0</v>
      </c>
      <c r="AC593" s="53">
        <f>(R593+V593)*W593</f>
        <v>24.9</v>
      </c>
      <c r="AD593" s="138">
        <v>24.9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107</v>
      </c>
      <c r="F594" s="96" t="s">
        <v>106</v>
      </c>
      <c r="G594" s="97">
        <v>46132</v>
      </c>
      <c r="H594" s="98">
        <v>0.3729398148148148</v>
      </c>
      <c r="I594" s="50">
        <v>166004571</v>
      </c>
      <c r="J594" s="96" t="s">
        <v>157</v>
      </c>
      <c r="K594" s="49" t="s">
        <v>1232</v>
      </c>
      <c r="L594" s="39" t="s">
        <v>1233</v>
      </c>
      <c r="M594" s="49" t="s">
        <v>466</v>
      </c>
      <c r="N594" s="39" t="s">
        <v>291</v>
      </c>
      <c r="O594" s="96" t="s">
        <v>1234</v>
      </c>
      <c r="P594" s="49" t="s">
        <v>235</v>
      </c>
      <c r="Q594" s="96" t="s">
        <v>236</v>
      </c>
      <c r="R594" s="52">
        <v>26.9</v>
      </c>
      <c r="S594" s="52">
        <f>R594-T594</f>
        <v>24.017857142857142</v>
      </c>
      <c r="T594" s="52">
        <f>R594*U594/(U594+100)</f>
        <v>2.8821428571428567</v>
      </c>
      <c r="U594" s="50">
        <v>12</v>
      </c>
      <c r="V594" s="53">
        <v>0</v>
      </c>
      <c r="W594" s="147">
        <v>1</v>
      </c>
      <c r="X594" s="148" t="s">
        <v>163</v>
      </c>
      <c r="Y594" s="54">
        <f>R594*W594</f>
        <v>26.9</v>
      </c>
      <c r="Z594" s="52">
        <f>S594*W594</f>
        <v>24.017857142857142</v>
      </c>
      <c r="AA594" s="52">
        <f>T594*W594</f>
        <v>2.8821428571428567</v>
      </c>
      <c r="AB594" s="52">
        <f>V594*W594</f>
        <v>0</v>
      </c>
      <c r="AC594" s="53">
        <f>(R594+V594)*W594</f>
        <v>26.9</v>
      </c>
      <c r="AD594" s="138">
        <v>26.9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107</v>
      </c>
      <c r="F595" s="96" t="s">
        <v>106</v>
      </c>
      <c r="G595" s="97">
        <v>46132</v>
      </c>
      <c r="H595" s="98">
        <v>0.3729398148148148</v>
      </c>
      <c r="I595" s="50">
        <v>166004571</v>
      </c>
      <c r="J595" s="96" t="s">
        <v>157</v>
      </c>
      <c r="K595" s="49" t="s">
        <v>1232</v>
      </c>
      <c r="L595" s="39" t="s">
        <v>1233</v>
      </c>
      <c r="M595" s="49" t="s">
        <v>466</v>
      </c>
      <c r="N595" s="39" t="s">
        <v>291</v>
      </c>
      <c r="O595" s="96" t="s">
        <v>1234</v>
      </c>
      <c r="P595" s="49" t="s">
        <v>235</v>
      </c>
      <c r="Q595" s="96" t="s">
        <v>236</v>
      </c>
      <c r="R595" s="52">
        <v>26.9</v>
      </c>
      <c r="S595" s="52">
        <f>R595-T595</f>
        <v>24.017857142857142</v>
      </c>
      <c r="T595" s="52">
        <f>R595*U595/(U595+100)</f>
        <v>2.8821428571428567</v>
      </c>
      <c r="U595" s="50">
        <v>12</v>
      </c>
      <c r="V595" s="53">
        <v>0</v>
      </c>
      <c r="W595" s="147">
        <v>1</v>
      </c>
      <c r="X595" s="148" t="s">
        <v>163</v>
      </c>
      <c r="Y595" s="54">
        <f>R595*W595</f>
        <v>26.9</v>
      </c>
      <c r="Z595" s="52">
        <f>S595*W595</f>
        <v>24.017857142857142</v>
      </c>
      <c r="AA595" s="52">
        <f>T595*W595</f>
        <v>2.8821428571428567</v>
      </c>
      <c r="AB595" s="52">
        <f>V595*W595</f>
        <v>0</v>
      </c>
      <c r="AC595" s="53">
        <f>(R595+V595)*W595</f>
        <v>26.9</v>
      </c>
      <c r="AD595" s="138">
        <v>26.9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107</v>
      </c>
      <c r="F596" s="96" t="s">
        <v>106</v>
      </c>
      <c r="G596" s="97">
        <v>46132</v>
      </c>
      <c r="H596" s="98">
        <v>0.3729398148148148</v>
      </c>
      <c r="I596" s="50">
        <v>166004571</v>
      </c>
      <c r="J596" s="96" t="s">
        <v>157</v>
      </c>
      <c r="K596" s="49" t="s">
        <v>946</v>
      </c>
      <c r="L596" s="39" t="s">
        <v>947</v>
      </c>
      <c r="M596" s="49" t="s">
        <v>318</v>
      </c>
      <c r="N596" s="39" t="s">
        <v>319</v>
      </c>
      <c r="O596" s="96" t="s">
        <v>1512</v>
      </c>
      <c r="P596" s="49" t="s">
        <v>235</v>
      </c>
      <c r="Q596" s="96" t="s">
        <v>236</v>
      </c>
      <c r="R596" s="52">
        <v>16.9</v>
      </c>
      <c r="S596" s="52">
        <f>R596-T596</f>
        <v>15.089285714285714</v>
      </c>
      <c r="T596" s="52">
        <f>R596*U596/(U596+100)</f>
        <v>1.8107142857142855</v>
      </c>
      <c r="U596" s="50">
        <v>12</v>
      </c>
      <c r="V596" s="53">
        <v>0</v>
      </c>
      <c r="W596" s="147">
        <v>1</v>
      </c>
      <c r="X596" s="148" t="s">
        <v>163</v>
      </c>
      <c r="Y596" s="54">
        <f>R596*W596</f>
        <v>16.9</v>
      </c>
      <c r="Z596" s="52">
        <f>S596*W596</f>
        <v>15.089285714285714</v>
      </c>
      <c r="AA596" s="52">
        <f>T596*W596</f>
        <v>1.8107142857142855</v>
      </c>
      <c r="AB596" s="52">
        <f>V596*W596</f>
        <v>0</v>
      </c>
      <c r="AC596" s="53">
        <f>(R596+V596)*W596</f>
        <v>16.9</v>
      </c>
      <c r="AD596" s="138">
        <v>16.9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107</v>
      </c>
      <c r="F597" s="96" t="s">
        <v>106</v>
      </c>
      <c r="G597" s="97">
        <v>46132</v>
      </c>
      <c r="H597" s="98">
        <v>0.3729398148148148</v>
      </c>
      <c r="I597" s="50">
        <v>166004571</v>
      </c>
      <c r="J597" s="96" t="s">
        <v>157</v>
      </c>
      <c r="K597" s="49" t="s">
        <v>1494</v>
      </c>
      <c r="L597" s="39" t="s">
        <v>1495</v>
      </c>
      <c r="M597" s="49" t="s">
        <v>190</v>
      </c>
      <c r="N597" s="39" t="s">
        <v>191</v>
      </c>
      <c r="O597" s="96" t="s">
        <v>1496</v>
      </c>
      <c r="P597" s="49" t="s">
        <v>157</v>
      </c>
      <c r="Q597" s="96" t="s">
        <v>104</v>
      </c>
      <c r="R597" s="52">
        <v>52.9</v>
      </c>
      <c r="S597" s="52">
        <f>R597-T597</f>
        <v>47.232142857142854</v>
      </c>
      <c r="T597" s="52">
        <f>R597*U597/(U597+100)</f>
        <v>5.667857142857143</v>
      </c>
      <c r="U597" s="50">
        <v>12</v>
      </c>
      <c r="V597" s="53">
        <v>0</v>
      </c>
      <c r="W597" s="147">
        <v>0.306</v>
      </c>
      <c r="X597" s="148" t="s">
        <v>193</v>
      </c>
      <c r="Y597" s="54">
        <f>R597*W597</f>
        <v>16.1874</v>
      </c>
      <c r="Z597" s="52">
        <f>S597*W597</f>
        <v>14.453035714285713</v>
      </c>
      <c r="AA597" s="52">
        <f>T597*W597</f>
        <v>1.7343642857142856</v>
      </c>
      <c r="AB597" s="52">
        <f>V597*W597</f>
        <v>0</v>
      </c>
      <c r="AC597" s="53">
        <f>(R597+V597)*W597</f>
        <v>16.1874</v>
      </c>
      <c r="AD597" s="138">
        <v>52.9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107</v>
      </c>
      <c r="F598" s="96" t="s">
        <v>106</v>
      </c>
      <c r="G598" s="97">
        <v>46132</v>
      </c>
      <c r="H598" s="98">
        <v>0.3729398148148148</v>
      </c>
      <c r="I598" s="50">
        <v>166004571</v>
      </c>
      <c r="J598" s="96" t="s">
        <v>157</v>
      </c>
      <c r="K598" s="49" t="s">
        <v>1513</v>
      </c>
      <c r="L598" s="39" t="s">
        <v>104</v>
      </c>
      <c r="M598" s="49" t="s">
        <v>190</v>
      </c>
      <c r="N598" s="39" t="s">
        <v>462</v>
      </c>
      <c r="O598" s="96" t="s">
        <v>1514</v>
      </c>
      <c r="P598" s="49" t="s">
        <v>157</v>
      </c>
      <c r="Q598" s="96" t="s">
        <v>104</v>
      </c>
      <c r="R598" s="52">
        <v>12.4</v>
      </c>
      <c r="S598" s="52">
        <f>R598-T598</f>
        <v>11.071428571428571</v>
      </c>
      <c r="T598" s="52">
        <f>R598*U598/(U598+100)</f>
        <v>1.3285714285714287</v>
      </c>
      <c r="U598" s="50">
        <v>12</v>
      </c>
      <c r="V598" s="53">
        <v>0</v>
      </c>
      <c r="W598" s="147">
        <v>1</v>
      </c>
      <c r="X598" s="148" t="s">
        <v>163</v>
      </c>
      <c r="Y598" s="54">
        <f>R598*W598</f>
        <v>12.4</v>
      </c>
      <c r="Z598" s="52">
        <f>S598*W598</f>
        <v>11.071428571428571</v>
      </c>
      <c r="AA598" s="52">
        <f>T598*W598</f>
        <v>1.3285714285714287</v>
      </c>
      <c r="AB598" s="52">
        <f>V598*W598</f>
        <v>0</v>
      </c>
      <c r="AC598" s="53">
        <f>(R598+V598)*W598</f>
        <v>12.4</v>
      </c>
      <c r="AD598" s="138">
        <v>12.4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107</v>
      </c>
      <c r="F599" s="96" t="s">
        <v>106</v>
      </c>
      <c r="G599" s="97">
        <v>46132</v>
      </c>
      <c r="H599" s="98">
        <v>0.3729398148148148</v>
      </c>
      <c r="I599" s="50">
        <v>166004571</v>
      </c>
      <c r="J599" s="96" t="s">
        <v>157</v>
      </c>
      <c r="K599" s="49" t="s">
        <v>690</v>
      </c>
      <c r="L599" s="39" t="s">
        <v>104</v>
      </c>
      <c r="M599" s="49" t="s">
        <v>554</v>
      </c>
      <c r="N599" s="39" t="s">
        <v>513</v>
      </c>
      <c r="O599" s="96" t="s">
        <v>1515</v>
      </c>
      <c r="P599" s="49" t="s">
        <v>157</v>
      </c>
      <c r="Q599" s="96" t="s">
        <v>104</v>
      </c>
      <c r="R599" s="52">
        <v>39.9</v>
      </c>
      <c r="S599" s="52">
        <f>R599-T599</f>
        <v>35.625</v>
      </c>
      <c r="T599" s="52">
        <f>R599*U599/(U599+100)</f>
        <v>4.2749999999999995</v>
      </c>
      <c r="U599" s="50">
        <v>12</v>
      </c>
      <c r="V599" s="53">
        <v>0</v>
      </c>
      <c r="W599" s="147">
        <v>1</v>
      </c>
      <c r="X599" s="148" t="s">
        <v>163</v>
      </c>
      <c r="Y599" s="54">
        <f>R599*W599</f>
        <v>39.9</v>
      </c>
      <c r="Z599" s="52">
        <f>S599*W599</f>
        <v>35.625</v>
      </c>
      <c r="AA599" s="52">
        <f>T599*W599</f>
        <v>4.2749999999999995</v>
      </c>
      <c r="AB599" s="52">
        <f>V599*W599</f>
        <v>0</v>
      </c>
      <c r="AC599" s="53">
        <f>(R599+V599)*W599</f>
        <v>39.9</v>
      </c>
      <c r="AD599" s="138">
        <v>39.9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107</v>
      </c>
      <c r="F600" s="96" t="s">
        <v>106</v>
      </c>
      <c r="G600" s="97">
        <v>46132</v>
      </c>
      <c r="H600" s="98">
        <v>0.37332175925925926</v>
      </c>
      <c r="I600" s="50">
        <v>166004572</v>
      </c>
      <c r="J600" s="96" t="s">
        <v>157</v>
      </c>
      <c r="K600" s="49" t="s">
        <v>1516</v>
      </c>
      <c r="L600" s="39" t="s">
        <v>1517</v>
      </c>
      <c r="M600" s="49" t="s">
        <v>282</v>
      </c>
      <c r="N600" s="39" t="s">
        <v>1518</v>
      </c>
      <c r="O600" s="96" t="s">
        <v>1519</v>
      </c>
      <c r="P600" s="49" t="s">
        <v>157</v>
      </c>
      <c r="Q600" s="96" t="s">
        <v>104</v>
      </c>
      <c r="R600" s="52">
        <v>7.4</v>
      </c>
      <c r="S600" s="52">
        <f>R600-T600</f>
        <v>6.607142857142858</v>
      </c>
      <c r="T600" s="52">
        <f>R600*U600/(U600+100)</f>
        <v>0.7928571428571429</v>
      </c>
      <c r="U600" s="50">
        <v>12</v>
      </c>
      <c r="V600" s="53">
        <v>0</v>
      </c>
      <c r="W600" s="147">
        <v>1</v>
      </c>
      <c r="X600" s="148" t="s">
        <v>163</v>
      </c>
      <c r="Y600" s="54">
        <f>R600*W600</f>
        <v>7.4</v>
      </c>
      <c r="Z600" s="52">
        <f>S600*W600</f>
        <v>6.607142857142858</v>
      </c>
      <c r="AA600" s="52">
        <f>T600*W600</f>
        <v>0.7928571428571429</v>
      </c>
      <c r="AB600" s="52">
        <f>V600*W600</f>
        <v>0</v>
      </c>
      <c r="AC600" s="53">
        <f>(R600+V600)*W600</f>
        <v>7.4</v>
      </c>
      <c r="AD600" s="138">
        <v>7.4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107</v>
      </c>
      <c r="F601" s="96" t="s">
        <v>106</v>
      </c>
      <c r="G601" s="97">
        <v>46132</v>
      </c>
      <c r="H601" s="98">
        <v>0.37332175925925926</v>
      </c>
      <c r="I601" s="50">
        <v>166004572</v>
      </c>
      <c r="J601" s="96" t="s">
        <v>157</v>
      </c>
      <c r="K601" s="49" t="s">
        <v>1520</v>
      </c>
      <c r="L601" s="39" t="s">
        <v>1521</v>
      </c>
      <c r="M601" s="49" t="s">
        <v>466</v>
      </c>
      <c r="N601" s="39" t="s">
        <v>609</v>
      </c>
      <c r="O601" s="96" t="s">
        <v>1522</v>
      </c>
      <c r="P601" s="49" t="s">
        <v>157</v>
      </c>
      <c r="Q601" s="96" t="s">
        <v>104</v>
      </c>
      <c r="R601" s="52">
        <v>17.9</v>
      </c>
      <c r="S601" s="52">
        <f>R601-T601</f>
        <v>15.982142857142856</v>
      </c>
      <c r="T601" s="52">
        <f>R601*U601/(U601+100)</f>
        <v>1.9178571428571427</v>
      </c>
      <c r="U601" s="50">
        <v>12</v>
      </c>
      <c r="V601" s="53">
        <v>0</v>
      </c>
      <c r="W601" s="147">
        <v>1</v>
      </c>
      <c r="X601" s="148" t="s">
        <v>163</v>
      </c>
      <c r="Y601" s="54">
        <f>R601*W601</f>
        <v>17.9</v>
      </c>
      <c r="Z601" s="52">
        <f>S601*W601</f>
        <v>15.982142857142856</v>
      </c>
      <c r="AA601" s="52">
        <f>T601*W601</f>
        <v>1.9178571428571427</v>
      </c>
      <c r="AB601" s="52">
        <f>V601*W601</f>
        <v>0</v>
      </c>
      <c r="AC601" s="53">
        <f>(R601+V601)*W601</f>
        <v>17.9</v>
      </c>
      <c r="AD601" s="138">
        <v>17.9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107</v>
      </c>
      <c r="F602" s="96" t="s">
        <v>106</v>
      </c>
      <c r="G602" s="97">
        <v>46132</v>
      </c>
      <c r="H602" s="98">
        <v>0.3750462962962963</v>
      </c>
      <c r="I602" s="50">
        <v>166004573</v>
      </c>
      <c r="J602" s="96" t="s">
        <v>157</v>
      </c>
      <c r="K602" s="49" t="s">
        <v>1523</v>
      </c>
      <c r="L602" s="39" t="s">
        <v>1524</v>
      </c>
      <c r="M602" s="49" t="s">
        <v>1525</v>
      </c>
      <c r="N602" s="39" t="s">
        <v>1230</v>
      </c>
      <c r="O602" s="96" t="s">
        <v>1526</v>
      </c>
      <c r="P602" s="49" t="s">
        <v>157</v>
      </c>
      <c r="Q602" s="96" t="s">
        <v>104</v>
      </c>
      <c r="R602" s="52">
        <v>25.9</v>
      </c>
      <c r="S602" s="52">
        <f>R602-T602</f>
        <v>23.125</v>
      </c>
      <c r="T602" s="52">
        <f>R602*U602/(U602+100)</f>
        <v>2.7749999999999995</v>
      </c>
      <c r="U602" s="50">
        <v>12</v>
      </c>
      <c r="V602" s="53">
        <v>0</v>
      </c>
      <c r="W602" s="147">
        <v>1</v>
      </c>
      <c r="X602" s="148" t="s">
        <v>163</v>
      </c>
      <c r="Y602" s="54">
        <f>R602*W602</f>
        <v>25.9</v>
      </c>
      <c r="Z602" s="52">
        <f>S602*W602</f>
        <v>23.125</v>
      </c>
      <c r="AA602" s="52">
        <f>T602*W602</f>
        <v>2.7749999999999995</v>
      </c>
      <c r="AB602" s="52">
        <f>V602*W602</f>
        <v>0</v>
      </c>
      <c r="AC602" s="53">
        <f>(R602+V602)*W602</f>
        <v>25.9</v>
      </c>
      <c r="AD602" s="138">
        <v>25.9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107</v>
      </c>
      <c r="F603" s="96" t="s">
        <v>106</v>
      </c>
      <c r="G603" s="97">
        <v>46132</v>
      </c>
      <c r="H603" s="98">
        <v>0.3750462962962963</v>
      </c>
      <c r="I603" s="50">
        <v>166004573</v>
      </c>
      <c r="J603" s="96" t="s">
        <v>157</v>
      </c>
      <c r="K603" s="49" t="s">
        <v>884</v>
      </c>
      <c r="L603" s="39" t="s">
        <v>885</v>
      </c>
      <c r="M603" s="49" t="s">
        <v>886</v>
      </c>
      <c r="N603" s="39" t="s">
        <v>309</v>
      </c>
      <c r="O603" s="96" t="s">
        <v>1527</v>
      </c>
      <c r="P603" s="49" t="s">
        <v>157</v>
      </c>
      <c r="Q603" s="96" t="s">
        <v>104</v>
      </c>
      <c r="R603" s="52">
        <v>16.9</v>
      </c>
      <c r="S603" s="52">
        <f>R603-T603</f>
        <v>15.089285714285714</v>
      </c>
      <c r="T603" s="52">
        <f>R603*U603/(U603+100)</f>
        <v>1.8107142857142855</v>
      </c>
      <c r="U603" s="50">
        <v>12</v>
      </c>
      <c r="V603" s="53">
        <v>0</v>
      </c>
      <c r="W603" s="147">
        <v>1</v>
      </c>
      <c r="X603" s="148" t="s">
        <v>163</v>
      </c>
      <c r="Y603" s="54">
        <f>R603*W603</f>
        <v>16.9</v>
      </c>
      <c r="Z603" s="52">
        <f>S603*W603</f>
        <v>15.089285714285714</v>
      </c>
      <c r="AA603" s="52">
        <f>T603*W603</f>
        <v>1.8107142857142855</v>
      </c>
      <c r="AB603" s="52">
        <f>V603*W603</f>
        <v>0</v>
      </c>
      <c r="AC603" s="53">
        <f>(R603+V603)*W603</f>
        <v>16.9</v>
      </c>
      <c r="AD603" s="138">
        <v>16.9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107</v>
      </c>
      <c r="F604" s="96" t="s">
        <v>106</v>
      </c>
      <c r="G604" s="97">
        <v>46132</v>
      </c>
      <c r="H604" s="98">
        <v>0.3750462962962963</v>
      </c>
      <c r="I604" s="50">
        <v>166004573</v>
      </c>
      <c r="J604" s="96" t="s">
        <v>157</v>
      </c>
      <c r="K604" s="49" t="s">
        <v>1528</v>
      </c>
      <c r="L604" s="39" t="s">
        <v>1529</v>
      </c>
      <c r="M604" s="49" t="s">
        <v>300</v>
      </c>
      <c r="N604" s="39" t="s">
        <v>1485</v>
      </c>
      <c r="O604" s="96" t="s">
        <v>1530</v>
      </c>
      <c r="P604" s="49" t="s">
        <v>157</v>
      </c>
      <c r="Q604" s="96" t="s">
        <v>104</v>
      </c>
      <c r="R604" s="52">
        <v>27.9</v>
      </c>
      <c r="S604" s="52">
        <f>R604-T604</f>
        <v>24.910714285714285</v>
      </c>
      <c r="T604" s="52">
        <f>R604*U604/(U604+100)</f>
        <v>2.989285714285714</v>
      </c>
      <c r="U604" s="50">
        <v>12</v>
      </c>
      <c r="V604" s="53">
        <v>0</v>
      </c>
      <c r="W604" s="147">
        <v>1</v>
      </c>
      <c r="X604" s="148" t="s">
        <v>163</v>
      </c>
      <c r="Y604" s="54">
        <f>R604*W604</f>
        <v>27.9</v>
      </c>
      <c r="Z604" s="52">
        <f>S604*W604</f>
        <v>24.910714285714285</v>
      </c>
      <c r="AA604" s="52">
        <f>T604*W604</f>
        <v>2.989285714285714</v>
      </c>
      <c r="AB604" s="52">
        <f>V604*W604</f>
        <v>0</v>
      </c>
      <c r="AC604" s="53">
        <f>(R604+V604)*W604</f>
        <v>27.9</v>
      </c>
      <c r="AD604" s="138">
        <v>27.9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107</v>
      </c>
      <c r="F605" s="96" t="s">
        <v>106</v>
      </c>
      <c r="G605" s="97">
        <v>46132</v>
      </c>
      <c r="H605" s="98">
        <v>0.3750462962962963</v>
      </c>
      <c r="I605" s="50">
        <v>166004573</v>
      </c>
      <c r="J605" s="96" t="s">
        <v>157</v>
      </c>
      <c r="K605" s="49" t="s">
        <v>967</v>
      </c>
      <c r="L605" s="39" t="s">
        <v>968</v>
      </c>
      <c r="M605" s="49" t="s">
        <v>444</v>
      </c>
      <c r="N605" s="39" t="s">
        <v>445</v>
      </c>
      <c r="O605" s="96" t="s">
        <v>981</v>
      </c>
      <c r="P605" s="49" t="s">
        <v>157</v>
      </c>
      <c r="Q605" s="96" t="s">
        <v>104</v>
      </c>
      <c r="R605" s="52">
        <v>16.9</v>
      </c>
      <c r="S605" s="52">
        <f>R605-T605</f>
        <v>15.089285714285714</v>
      </c>
      <c r="T605" s="52">
        <f>R605*U605/(U605+100)</f>
        <v>1.8107142857142855</v>
      </c>
      <c r="U605" s="50">
        <v>12</v>
      </c>
      <c r="V605" s="53">
        <v>0</v>
      </c>
      <c r="W605" s="147">
        <v>1</v>
      </c>
      <c r="X605" s="148" t="s">
        <v>163</v>
      </c>
      <c r="Y605" s="54">
        <f>R605*W605</f>
        <v>16.9</v>
      </c>
      <c r="Z605" s="52">
        <f>S605*W605</f>
        <v>15.089285714285714</v>
      </c>
      <c r="AA605" s="52">
        <f>T605*W605</f>
        <v>1.8107142857142855</v>
      </c>
      <c r="AB605" s="52">
        <f>V605*W605</f>
        <v>0</v>
      </c>
      <c r="AC605" s="53">
        <f>(R605+V605)*W605</f>
        <v>16.9</v>
      </c>
      <c r="AD605" s="138">
        <v>16.9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107</v>
      </c>
      <c r="F606" s="96" t="s">
        <v>106</v>
      </c>
      <c r="G606" s="97">
        <v>46132</v>
      </c>
      <c r="H606" s="98">
        <v>0.3750462962962963</v>
      </c>
      <c r="I606" s="50">
        <v>166004573</v>
      </c>
      <c r="J606" s="96" t="s">
        <v>157</v>
      </c>
      <c r="K606" s="49" t="s">
        <v>507</v>
      </c>
      <c r="L606" s="39" t="s">
        <v>508</v>
      </c>
      <c r="M606" s="49" t="s">
        <v>509</v>
      </c>
      <c r="N606" s="39" t="s">
        <v>256</v>
      </c>
      <c r="O606" s="96" t="s">
        <v>1024</v>
      </c>
      <c r="P606" s="49" t="s">
        <v>235</v>
      </c>
      <c r="Q606" s="96" t="s">
        <v>236</v>
      </c>
      <c r="R606" s="52">
        <v>15.9</v>
      </c>
      <c r="S606" s="52">
        <f>R606-T606</f>
        <v>13.140495867768596</v>
      </c>
      <c r="T606" s="52">
        <f>R606*U606/(U606+100)</f>
        <v>2.759504132231405</v>
      </c>
      <c r="U606" s="50">
        <v>21</v>
      </c>
      <c r="V606" s="53">
        <v>0</v>
      </c>
      <c r="W606" s="147">
        <v>1</v>
      </c>
      <c r="X606" s="148" t="s">
        <v>163</v>
      </c>
      <c r="Y606" s="54">
        <f>R606*W606</f>
        <v>15.9</v>
      </c>
      <c r="Z606" s="52">
        <f>S606*W606</f>
        <v>13.140495867768596</v>
      </c>
      <c r="AA606" s="52">
        <f>T606*W606</f>
        <v>2.759504132231405</v>
      </c>
      <c r="AB606" s="52">
        <f>V606*W606</f>
        <v>0</v>
      </c>
      <c r="AC606" s="53">
        <f>(R606+V606)*W606</f>
        <v>15.9</v>
      </c>
      <c r="AD606" s="138">
        <v>15.9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107</v>
      </c>
      <c r="F607" s="96" t="s">
        <v>106</v>
      </c>
      <c r="G607" s="97">
        <v>46132</v>
      </c>
      <c r="H607" s="98">
        <v>0.3750462962962963</v>
      </c>
      <c r="I607" s="50">
        <v>166004573</v>
      </c>
      <c r="J607" s="96" t="s">
        <v>157</v>
      </c>
      <c r="K607" s="49" t="s">
        <v>507</v>
      </c>
      <c r="L607" s="39" t="s">
        <v>508</v>
      </c>
      <c r="M607" s="49" t="s">
        <v>509</v>
      </c>
      <c r="N607" s="39" t="s">
        <v>256</v>
      </c>
      <c r="O607" s="96" t="s">
        <v>1024</v>
      </c>
      <c r="P607" s="49" t="s">
        <v>235</v>
      </c>
      <c r="Q607" s="96" t="s">
        <v>236</v>
      </c>
      <c r="R607" s="52">
        <v>15.9</v>
      </c>
      <c r="S607" s="52">
        <f>R607-T607</f>
        <v>13.140495867768596</v>
      </c>
      <c r="T607" s="52">
        <f>R607*U607/(U607+100)</f>
        <v>2.759504132231405</v>
      </c>
      <c r="U607" s="50">
        <v>21</v>
      </c>
      <c r="V607" s="53">
        <v>0</v>
      </c>
      <c r="W607" s="147">
        <v>1</v>
      </c>
      <c r="X607" s="148" t="s">
        <v>163</v>
      </c>
      <c r="Y607" s="54">
        <f>R607*W607</f>
        <v>15.9</v>
      </c>
      <c r="Z607" s="52">
        <f>S607*W607</f>
        <v>13.140495867768596</v>
      </c>
      <c r="AA607" s="52">
        <f>T607*W607</f>
        <v>2.759504132231405</v>
      </c>
      <c r="AB607" s="52">
        <f>V607*W607</f>
        <v>0</v>
      </c>
      <c r="AC607" s="53">
        <f>(R607+V607)*W607</f>
        <v>15.9</v>
      </c>
      <c r="AD607" s="138">
        <v>15.9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107</v>
      </c>
      <c r="F608" s="96" t="s">
        <v>106</v>
      </c>
      <c r="G608" s="97">
        <v>46132</v>
      </c>
      <c r="H608" s="98">
        <v>0.3750462962962963</v>
      </c>
      <c r="I608" s="50">
        <v>166004573</v>
      </c>
      <c r="J608" s="96" t="s">
        <v>157</v>
      </c>
      <c r="K608" s="49" t="s">
        <v>680</v>
      </c>
      <c r="L608" s="39" t="s">
        <v>681</v>
      </c>
      <c r="M608" s="49" t="s">
        <v>190</v>
      </c>
      <c r="N608" s="39" t="s">
        <v>532</v>
      </c>
      <c r="O608" s="96" t="s">
        <v>682</v>
      </c>
      <c r="P608" s="49" t="s">
        <v>157</v>
      </c>
      <c r="Q608" s="96" t="s">
        <v>104</v>
      </c>
      <c r="R608" s="52">
        <v>24.9</v>
      </c>
      <c r="S608" s="52">
        <f>R608-T608</f>
        <v>22.232142857142858</v>
      </c>
      <c r="T608" s="52">
        <f>R608*U608/(U608+100)</f>
        <v>2.6678571428571423</v>
      </c>
      <c r="U608" s="50">
        <v>12</v>
      </c>
      <c r="V608" s="53">
        <v>0</v>
      </c>
      <c r="W608" s="147">
        <v>0.892</v>
      </c>
      <c r="X608" s="148" t="s">
        <v>193</v>
      </c>
      <c r="Y608" s="54">
        <f>R608*W608</f>
        <v>22.2108</v>
      </c>
      <c r="Z608" s="52">
        <f>S608*W608</f>
        <v>19.83107142857143</v>
      </c>
      <c r="AA608" s="52">
        <f>T608*W608</f>
        <v>2.3797285714285707</v>
      </c>
      <c r="AB608" s="52">
        <f>V608*W608</f>
        <v>0</v>
      </c>
      <c r="AC608" s="53">
        <f>(R608+V608)*W608</f>
        <v>22.2108</v>
      </c>
      <c r="AD608" s="138">
        <v>24.9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107</v>
      </c>
      <c r="F609" s="96" t="s">
        <v>106</v>
      </c>
      <c r="G609" s="97">
        <v>46132</v>
      </c>
      <c r="H609" s="98">
        <v>0.3750462962962963</v>
      </c>
      <c r="I609" s="50">
        <v>166004573</v>
      </c>
      <c r="J609" s="96" t="s">
        <v>157</v>
      </c>
      <c r="K609" s="49" t="s">
        <v>1531</v>
      </c>
      <c r="L609" s="39"/>
      <c r="M609" s="49" t="s">
        <v>295</v>
      </c>
      <c r="N609" s="39" t="s">
        <v>433</v>
      </c>
      <c r="O609" s="96" t="s">
        <v>1532</v>
      </c>
      <c r="P609" s="49" t="s">
        <v>235</v>
      </c>
      <c r="Q609" s="96" t="s">
        <v>1533</v>
      </c>
      <c r="R609" s="52">
        <v>19.9</v>
      </c>
      <c r="S609" s="52">
        <f>R609-T609</f>
        <v>17.767857142857142</v>
      </c>
      <c r="T609" s="52">
        <f>R609*U609/(U609+100)</f>
        <v>2.132142857142857</v>
      </c>
      <c r="U609" s="50">
        <v>12</v>
      </c>
      <c r="V609" s="53">
        <v>0</v>
      </c>
      <c r="W609" s="147">
        <v>1</v>
      </c>
      <c r="X609" s="148" t="s">
        <v>945</v>
      </c>
      <c r="Y609" s="54">
        <f>R609*W609</f>
        <v>19.9</v>
      </c>
      <c r="Z609" s="52">
        <f>S609*W609</f>
        <v>17.767857142857142</v>
      </c>
      <c r="AA609" s="52">
        <f>T609*W609</f>
        <v>2.132142857142857</v>
      </c>
      <c r="AB609" s="52">
        <f>V609*W609</f>
        <v>0</v>
      </c>
      <c r="AC609" s="53">
        <f>(R609+V609)*W609</f>
        <v>19.9</v>
      </c>
      <c r="AD609" s="138">
        <v>19.9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107</v>
      </c>
      <c r="F610" s="96" t="s">
        <v>106</v>
      </c>
      <c r="G610" s="97">
        <v>46132</v>
      </c>
      <c r="H610" s="98">
        <v>0.37550925925925926</v>
      </c>
      <c r="I610" s="50">
        <v>166004574</v>
      </c>
      <c r="J610" s="96" t="s">
        <v>157</v>
      </c>
      <c r="K610" s="49" t="s">
        <v>1534</v>
      </c>
      <c r="L610" s="39" t="s">
        <v>1535</v>
      </c>
      <c r="M610" s="49" t="s">
        <v>1536</v>
      </c>
      <c r="N610" s="39" t="s">
        <v>1537</v>
      </c>
      <c r="O610" s="96" t="s">
        <v>1538</v>
      </c>
      <c r="P610" s="49" t="s">
        <v>157</v>
      </c>
      <c r="Q610" s="96" t="s">
        <v>104</v>
      </c>
      <c r="R610" s="52">
        <v>24.9</v>
      </c>
      <c r="S610" s="52">
        <f>R610-T610</f>
        <v>22.232142857142858</v>
      </c>
      <c r="T610" s="52">
        <f>R610*U610/(U610+100)</f>
        <v>2.6678571428571423</v>
      </c>
      <c r="U610" s="50">
        <v>12</v>
      </c>
      <c r="V610" s="53">
        <v>0</v>
      </c>
      <c r="W610" s="147">
        <v>1</v>
      </c>
      <c r="X610" s="148" t="s">
        <v>163</v>
      </c>
      <c r="Y610" s="54">
        <f>R610*W610</f>
        <v>24.9</v>
      </c>
      <c r="Z610" s="52">
        <f>S610*W610</f>
        <v>22.232142857142858</v>
      </c>
      <c r="AA610" s="52">
        <f>T610*W610</f>
        <v>2.6678571428571423</v>
      </c>
      <c r="AB610" s="52">
        <f>V610*W610</f>
        <v>0</v>
      </c>
      <c r="AC610" s="53">
        <f>(R610+V610)*W610</f>
        <v>24.9</v>
      </c>
      <c r="AD610" s="138">
        <v>24.9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107</v>
      </c>
      <c r="F611" s="96" t="s">
        <v>106</v>
      </c>
      <c r="G611" s="97">
        <v>46132</v>
      </c>
      <c r="H611" s="98">
        <v>0.37550925925925926</v>
      </c>
      <c r="I611" s="50">
        <v>166004574</v>
      </c>
      <c r="J611" s="96" t="s">
        <v>157</v>
      </c>
      <c r="K611" s="49" t="s">
        <v>1534</v>
      </c>
      <c r="L611" s="39" t="s">
        <v>1535</v>
      </c>
      <c r="M611" s="49" t="s">
        <v>1536</v>
      </c>
      <c r="N611" s="39" t="s">
        <v>1537</v>
      </c>
      <c r="O611" s="96" t="s">
        <v>1538</v>
      </c>
      <c r="P611" s="49" t="s">
        <v>157</v>
      </c>
      <c r="Q611" s="96" t="s">
        <v>104</v>
      </c>
      <c r="R611" s="52">
        <v>24.9</v>
      </c>
      <c r="S611" s="52">
        <f>R611-T611</f>
        <v>22.232142857142858</v>
      </c>
      <c r="T611" s="52">
        <f>R611*U611/(U611+100)</f>
        <v>2.6678571428571423</v>
      </c>
      <c r="U611" s="50">
        <v>12</v>
      </c>
      <c r="V611" s="53">
        <v>0</v>
      </c>
      <c r="W611" s="147">
        <v>1</v>
      </c>
      <c r="X611" s="148" t="s">
        <v>163</v>
      </c>
      <c r="Y611" s="54">
        <f>R611*W611</f>
        <v>24.9</v>
      </c>
      <c r="Z611" s="52">
        <f>S611*W611</f>
        <v>22.232142857142858</v>
      </c>
      <c r="AA611" s="52">
        <f>T611*W611</f>
        <v>2.6678571428571423</v>
      </c>
      <c r="AB611" s="52">
        <f>V611*W611</f>
        <v>0</v>
      </c>
      <c r="AC611" s="53">
        <f>(R611+V611)*W611</f>
        <v>24.9</v>
      </c>
      <c r="AD611" s="138">
        <v>24.9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107</v>
      </c>
      <c r="F612" s="96" t="s">
        <v>106</v>
      </c>
      <c r="G612" s="97">
        <v>46132</v>
      </c>
      <c r="H612" s="98">
        <v>0.37550925925925926</v>
      </c>
      <c r="I612" s="50">
        <v>166004574</v>
      </c>
      <c r="J612" s="96" t="s">
        <v>157</v>
      </c>
      <c r="K612" s="49" t="s">
        <v>717</v>
      </c>
      <c r="L612" s="39" t="s">
        <v>718</v>
      </c>
      <c r="M612" s="49" t="s">
        <v>480</v>
      </c>
      <c r="N612" s="39" t="s">
        <v>476</v>
      </c>
      <c r="O612" s="96" t="s">
        <v>1539</v>
      </c>
      <c r="P612" s="49" t="s">
        <v>235</v>
      </c>
      <c r="Q612" s="96" t="s">
        <v>236</v>
      </c>
      <c r="R612" s="52">
        <v>19.9</v>
      </c>
      <c r="S612" s="52">
        <f>R612-T612</f>
        <v>17.767857142857142</v>
      </c>
      <c r="T612" s="52">
        <f>R612*U612/(U612+100)</f>
        <v>2.132142857142857</v>
      </c>
      <c r="U612" s="50">
        <v>12</v>
      </c>
      <c r="V612" s="53">
        <v>0</v>
      </c>
      <c r="W612" s="147">
        <v>1</v>
      </c>
      <c r="X612" s="148" t="s">
        <v>163</v>
      </c>
      <c r="Y612" s="54">
        <f>R612*W612</f>
        <v>19.9</v>
      </c>
      <c r="Z612" s="52">
        <f>S612*W612</f>
        <v>17.767857142857142</v>
      </c>
      <c r="AA612" s="52">
        <f>T612*W612</f>
        <v>2.132142857142857</v>
      </c>
      <c r="AB612" s="52">
        <f>V612*W612</f>
        <v>0</v>
      </c>
      <c r="AC612" s="53">
        <f>(R612+V612)*W612</f>
        <v>19.9</v>
      </c>
      <c r="AD612" s="138">
        <v>19.9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107</v>
      </c>
      <c r="F613" s="96" t="s">
        <v>106</v>
      </c>
      <c r="G613" s="97">
        <v>46132</v>
      </c>
      <c r="H613" s="98">
        <v>0.37550925925925926</v>
      </c>
      <c r="I613" s="50">
        <v>166004574</v>
      </c>
      <c r="J613" s="96" t="s">
        <v>157</v>
      </c>
      <c r="K613" s="49" t="s">
        <v>717</v>
      </c>
      <c r="L613" s="39" t="s">
        <v>718</v>
      </c>
      <c r="M613" s="49" t="s">
        <v>480</v>
      </c>
      <c r="N613" s="39" t="s">
        <v>476</v>
      </c>
      <c r="O613" s="96" t="s">
        <v>1539</v>
      </c>
      <c r="P613" s="49" t="s">
        <v>235</v>
      </c>
      <c r="Q613" s="96" t="s">
        <v>236</v>
      </c>
      <c r="R613" s="52">
        <v>19.9</v>
      </c>
      <c r="S613" s="52">
        <f>R613-T613</f>
        <v>17.767857142857142</v>
      </c>
      <c r="T613" s="52">
        <f>R613*U613/(U613+100)</f>
        <v>2.132142857142857</v>
      </c>
      <c r="U613" s="50">
        <v>12</v>
      </c>
      <c r="V613" s="53">
        <v>0</v>
      </c>
      <c r="W613" s="147">
        <v>1</v>
      </c>
      <c r="X613" s="148" t="s">
        <v>163</v>
      </c>
      <c r="Y613" s="54">
        <f>R613*W613</f>
        <v>19.9</v>
      </c>
      <c r="Z613" s="52">
        <f>S613*W613</f>
        <v>17.767857142857142</v>
      </c>
      <c r="AA613" s="52">
        <f>T613*W613</f>
        <v>2.132142857142857</v>
      </c>
      <c r="AB613" s="52">
        <f>V613*W613</f>
        <v>0</v>
      </c>
      <c r="AC613" s="53">
        <f>(R613+V613)*W613</f>
        <v>19.9</v>
      </c>
      <c r="AD613" s="138">
        <v>19.9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107</v>
      </c>
      <c r="F614" s="96" t="s">
        <v>106</v>
      </c>
      <c r="G614" s="97">
        <v>46132</v>
      </c>
      <c r="H614" s="98">
        <v>0.37550925925925926</v>
      </c>
      <c r="I614" s="50">
        <v>166004574</v>
      </c>
      <c r="J614" s="96" t="s">
        <v>157</v>
      </c>
      <c r="K614" s="49" t="s">
        <v>1540</v>
      </c>
      <c r="L614" s="39" t="s">
        <v>1541</v>
      </c>
      <c r="M614" s="49" t="s">
        <v>997</v>
      </c>
      <c r="N614" s="39" t="s">
        <v>1542</v>
      </c>
      <c r="O614" s="96" t="s">
        <v>1543</v>
      </c>
      <c r="P614" s="49" t="s">
        <v>157</v>
      </c>
      <c r="Q614" s="96" t="s">
        <v>104</v>
      </c>
      <c r="R614" s="52">
        <v>17.9</v>
      </c>
      <c r="S614" s="52">
        <f>R614-T614</f>
        <v>15.982142857142856</v>
      </c>
      <c r="T614" s="52">
        <f>R614*U614/(U614+100)</f>
        <v>1.9178571428571427</v>
      </c>
      <c r="U614" s="50">
        <v>12</v>
      </c>
      <c r="V614" s="53">
        <v>0</v>
      </c>
      <c r="W614" s="147">
        <v>1</v>
      </c>
      <c r="X614" s="148" t="s">
        <v>945</v>
      </c>
      <c r="Y614" s="54">
        <f>R614*W614</f>
        <v>17.9</v>
      </c>
      <c r="Z614" s="52">
        <f>S614*W614</f>
        <v>15.982142857142856</v>
      </c>
      <c r="AA614" s="52">
        <f>T614*W614</f>
        <v>1.9178571428571427</v>
      </c>
      <c r="AB614" s="52">
        <f>V614*W614</f>
        <v>0</v>
      </c>
      <c r="AC614" s="53">
        <f>(R614+V614)*W614</f>
        <v>17.9</v>
      </c>
      <c r="AD614" s="138">
        <v>17.9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107</v>
      </c>
      <c r="F615" s="96" t="s">
        <v>106</v>
      </c>
      <c r="G615" s="97">
        <v>46132</v>
      </c>
      <c r="H615" s="98">
        <v>0.37655092592592593</v>
      </c>
      <c r="I615" s="50">
        <v>166004575</v>
      </c>
      <c r="J615" s="96" t="s">
        <v>157</v>
      </c>
      <c r="K615" s="49" t="s">
        <v>261</v>
      </c>
      <c r="L615" s="39" t="s">
        <v>262</v>
      </c>
      <c r="M615" s="49" t="s">
        <v>263</v>
      </c>
      <c r="N615" s="39" t="s">
        <v>264</v>
      </c>
      <c r="O615" s="96" t="s">
        <v>1544</v>
      </c>
      <c r="P615" s="49" t="s">
        <v>157</v>
      </c>
      <c r="Q615" s="96" t="s">
        <v>104</v>
      </c>
      <c r="R615" s="52">
        <v>37.9</v>
      </c>
      <c r="S615" s="52">
        <f>R615-T615</f>
        <v>33.839285714285715</v>
      </c>
      <c r="T615" s="52">
        <f>R615*U615/(U615+100)</f>
        <v>4.060714285714285</v>
      </c>
      <c r="U615" s="50">
        <v>12</v>
      </c>
      <c r="V615" s="53">
        <v>0</v>
      </c>
      <c r="W615" s="147">
        <v>1</v>
      </c>
      <c r="X615" s="148" t="s">
        <v>163</v>
      </c>
      <c r="Y615" s="54">
        <f>R615*W615</f>
        <v>37.9</v>
      </c>
      <c r="Z615" s="52">
        <f>S615*W615</f>
        <v>33.839285714285715</v>
      </c>
      <c r="AA615" s="52">
        <f>T615*W615</f>
        <v>4.060714285714285</v>
      </c>
      <c r="AB615" s="52">
        <f>V615*W615</f>
        <v>0</v>
      </c>
      <c r="AC615" s="53">
        <f>(R615+V615)*W615</f>
        <v>37.9</v>
      </c>
      <c r="AD615" s="138">
        <v>37.9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107</v>
      </c>
      <c r="F616" s="96" t="s">
        <v>106</v>
      </c>
      <c r="G616" s="97">
        <v>46132</v>
      </c>
      <c r="H616" s="98">
        <v>0.37655092592592593</v>
      </c>
      <c r="I616" s="50">
        <v>166004575</v>
      </c>
      <c r="J616" s="96" t="s">
        <v>157</v>
      </c>
      <c r="K616" s="49" t="s">
        <v>786</v>
      </c>
      <c r="L616" s="39" t="s">
        <v>787</v>
      </c>
      <c r="M616" s="49" t="s">
        <v>788</v>
      </c>
      <c r="N616" s="39" t="s">
        <v>244</v>
      </c>
      <c r="O616" s="96" t="s">
        <v>1545</v>
      </c>
      <c r="P616" s="49" t="s">
        <v>157</v>
      </c>
      <c r="Q616" s="96" t="s">
        <v>104</v>
      </c>
      <c r="R616" s="52">
        <v>14.9</v>
      </c>
      <c r="S616" s="52">
        <f>R616-T616</f>
        <v>13.303571428571429</v>
      </c>
      <c r="T616" s="52">
        <f>R616*U616/(U616+100)</f>
        <v>1.5964285714285715</v>
      </c>
      <c r="U616" s="50">
        <v>12</v>
      </c>
      <c r="V616" s="53">
        <v>0</v>
      </c>
      <c r="W616" s="147">
        <v>1</v>
      </c>
      <c r="X616" s="148" t="s">
        <v>163</v>
      </c>
      <c r="Y616" s="54">
        <f>R616*W616</f>
        <v>14.9</v>
      </c>
      <c r="Z616" s="52">
        <f>S616*W616</f>
        <v>13.303571428571429</v>
      </c>
      <c r="AA616" s="52">
        <f>T616*W616</f>
        <v>1.5964285714285715</v>
      </c>
      <c r="AB616" s="52">
        <f>V616*W616</f>
        <v>0</v>
      </c>
      <c r="AC616" s="53">
        <f>(R616+V616)*W616</f>
        <v>14.9</v>
      </c>
      <c r="AD616" s="138">
        <v>14.9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107</v>
      </c>
      <c r="F617" s="96" t="s">
        <v>106</v>
      </c>
      <c r="G617" s="97">
        <v>46132</v>
      </c>
      <c r="H617" s="98">
        <v>0.37655092592592593</v>
      </c>
      <c r="I617" s="50">
        <v>166004575</v>
      </c>
      <c r="J617" s="96" t="s">
        <v>157</v>
      </c>
      <c r="K617" s="49" t="s">
        <v>1546</v>
      </c>
      <c r="L617" s="39" t="s">
        <v>1547</v>
      </c>
      <c r="M617" s="49" t="s">
        <v>788</v>
      </c>
      <c r="N617" s="39" t="s">
        <v>244</v>
      </c>
      <c r="O617" s="96" t="s">
        <v>1548</v>
      </c>
      <c r="P617" s="49" t="s">
        <v>157</v>
      </c>
      <c r="Q617" s="96" t="s">
        <v>104</v>
      </c>
      <c r="R617" s="52">
        <v>14.9</v>
      </c>
      <c r="S617" s="52">
        <f>R617-T617</f>
        <v>13.303571428571429</v>
      </c>
      <c r="T617" s="52">
        <f>R617*U617/(U617+100)</f>
        <v>1.5964285714285715</v>
      </c>
      <c r="U617" s="50">
        <v>12</v>
      </c>
      <c r="V617" s="53">
        <v>0</v>
      </c>
      <c r="W617" s="147">
        <v>1</v>
      </c>
      <c r="X617" s="148" t="s">
        <v>163</v>
      </c>
      <c r="Y617" s="54">
        <f>R617*W617</f>
        <v>14.9</v>
      </c>
      <c r="Z617" s="52">
        <f>S617*W617</f>
        <v>13.303571428571429</v>
      </c>
      <c r="AA617" s="52">
        <f>T617*W617</f>
        <v>1.5964285714285715</v>
      </c>
      <c r="AB617" s="52">
        <f>V617*W617</f>
        <v>0</v>
      </c>
      <c r="AC617" s="53">
        <f>(R617+V617)*W617</f>
        <v>14.9</v>
      </c>
      <c r="AD617" s="138">
        <v>14.9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107</v>
      </c>
      <c r="F618" s="96" t="s">
        <v>106</v>
      </c>
      <c r="G618" s="97">
        <v>46132</v>
      </c>
      <c r="H618" s="98">
        <v>0.37655092592592593</v>
      </c>
      <c r="I618" s="50">
        <v>166004575</v>
      </c>
      <c r="J618" s="96" t="s">
        <v>157</v>
      </c>
      <c r="K618" s="49" t="s">
        <v>1549</v>
      </c>
      <c r="L618" s="39" t="s">
        <v>1550</v>
      </c>
      <c r="M618" s="49" t="s">
        <v>466</v>
      </c>
      <c r="N618" s="39" t="s">
        <v>609</v>
      </c>
      <c r="O618" s="96" t="s">
        <v>1551</v>
      </c>
      <c r="P618" s="49" t="s">
        <v>157</v>
      </c>
      <c r="Q618" s="96" t="s">
        <v>104</v>
      </c>
      <c r="R618" s="52">
        <v>14.9</v>
      </c>
      <c r="S618" s="52">
        <f>R618-T618</f>
        <v>13.303571428571429</v>
      </c>
      <c r="T618" s="52">
        <f>R618*U618/(U618+100)</f>
        <v>1.5964285714285715</v>
      </c>
      <c r="U618" s="50">
        <v>12</v>
      </c>
      <c r="V618" s="53">
        <v>0</v>
      </c>
      <c r="W618" s="147">
        <v>1</v>
      </c>
      <c r="X618" s="148" t="s">
        <v>163</v>
      </c>
      <c r="Y618" s="54">
        <f>R618*W618</f>
        <v>14.9</v>
      </c>
      <c r="Z618" s="52">
        <f>S618*W618</f>
        <v>13.303571428571429</v>
      </c>
      <c r="AA618" s="52">
        <f>T618*W618</f>
        <v>1.5964285714285715</v>
      </c>
      <c r="AB618" s="52">
        <f>V618*W618</f>
        <v>0</v>
      </c>
      <c r="AC618" s="53">
        <f>(R618+V618)*W618</f>
        <v>14.9</v>
      </c>
      <c r="AD618" s="138">
        <v>14.9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107</v>
      </c>
      <c r="F619" s="96" t="s">
        <v>106</v>
      </c>
      <c r="G619" s="97">
        <v>46132</v>
      </c>
      <c r="H619" s="98">
        <v>0.37655092592592593</v>
      </c>
      <c r="I619" s="50">
        <v>166004575</v>
      </c>
      <c r="J619" s="96" t="s">
        <v>157</v>
      </c>
      <c r="K619" s="49" t="s">
        <v>1549</v>
      </c>
      <c r="L619" s="39" t="s">
        <v>1550</v>
      </c>
      <c r="M619" s="49" t="s">
        <v>466</v>
      </c>
      <c r="N619" s="39" t="s">
        <v>609</v>
      </c>
      <c r="O619" s="96" t="s">
        <v>1551</v>
      </c>
      <c r="P619" s="49" t="s">
        <v>157</v>
      </c>
      <c r="Q619" s="96" t="s">
        <v>104</v>
      </c>
      <c r="R619" s="52">
        <v>14.9</v>
      </c>
      <c r="S619" s="52">
        <f>R619-T619</f>
        <v>13.303571428571429</v>
      </c>
      <c r="T619" s="52">
        <f>R619*U619/(U619+100)</f>
        <v>1.5964285714285715</v>
      </c>
      <c r="U619" s="50">
        <v>12</v>
      </c>
      <c r="V619" s="53">
        <v>0</v>
      </c>
      <c r="W619" s="147">
        <v>1</v>
      </c>
      <c r="X619" s="148" t="s">
        <v>163</v>
      </c>
      <c r="Y619" s="54">
        <f>R619*W619</f>
        <v>14.9</v>
      </c>
      <c r="Z619" s="52">
        <f>S619*W619</f>
        <v>13.303571428571429</v>
      </c>
      <c r="AA619" s="52">
        <f>T619*W619</f>
        <v>1.5964285714285715</v>
      </c>
      <c r="AB619" s="52">
        <f>V619*W619</f>
        <v>0</v>
      </c>
      <c r="AC619" s="53">
        <f>(R619+V619)*W619</f>
        <v>14.9</v>
      </c>
      <c r="AD619" s="138">
        <v>14.9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107</v>
      </c>
      <c r="F620" s="96" t="s">
        <v>106</v>
      </c>
      <c r="G620" s="97">
        <v>46132</v>
      </c>
      <c r="H620" s="98">
        <v>0.37655092592592593</v>
      </c>
      <c r="I620" s="50">
        <v>166004575</v>
      </c>
      <c r="J620" s="96" t="s">
        <v>157</v>
      </c>
      <c r="K620" s="49" t="s">
        <v>1552</v>
      </c>
      <c r="L620" s="39" t="s">
        <v>1553</v>
      </c>
      <c r="M620" s="49" t="s">
        <v>645</v>
      </c>
      <c r="N620" s="39" t="s">
        <v>319</v>
      </c>
      <c r="O620" s="96" t="s">
        <v>1554</v>
      </c>
      <c r="P620" s="49" t="s">
        <v>157</v>
      </c>
      <c r="Q620" s="96" t="s">
        <v>104</v>
      </c>
      <c r="R620" s="52">
        <v>37.9</v>
      </c>
      <c r="S620" s="52">
        <f>R620-T620</f>
        <v>33.839285714285715</v>
      </c>
      <c r="T620" s="52">
        <f>R620*U620/(U620+100)</f>
        <v>4.060714285714285</v>
      </c>
      <c r="U620" s="50">
        <v>12</v>
      </c>
      <c r="V620" s="53">
        <v>0</v>
      </c>
      <c r="W620" s="147">
        <v>1</v>
      </c>
      <c r="X620" s="148" t="s">
        <v>163</v>
      </c>
      <c r="Y620" s="54">
        <f>R620*W620</f>
        <v>37.9</v>
      </c>
      <c r="Z620" s="52">
        <f>S620*W620</f>
        <v>33.839285714285715</v>
      </c>
      <c r="AA620" s="52">
        <f>T620*W620</f>
        <v>4.060714285714285</v>
      </c>
      <c r="AB620" s="52">
        <f>V620*W620</f>
        <v>0</v>
      </c>
      <c r="AC620" s="53">
        <f>(R620+V620)*W620</f>
        <v>37.9</v>
      </c>
      <c r="AD620" s="138">
        <v>37.9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107</v>
      </c>
      <c r="F621" s="96" t="s">
        <v>106</v>
      </c>
      <c r="G621" s="97">
        <v>46132</v>
      </c>
      <c r="H621" s="98">
        <v>0.37655092592592593</v>
      </c>
      <c r="I621" s="50">
        <v>166004575</v>
      </c>
      <c r="J621" s="96" t="s">
        <v>157</v>
      </c>
      <c r="K621" s="49" t="s">
        <v>1371</v>
      </c>
      <c r="L621" s="39" t="s">
        <v>1372</v>
      </c>
      <c r="M621" s="49" t="s">
        <v>1373</v>
      </c>
      <c r="N621" s="39" t="s">
        <v>481</v>
      </c>
      <c r="O621" s="96" t="s">
        <v>1374</v>
      </c>
      <c r="P621" s="49" t="s">
        <v>157</v>
      </c>
      <c r="Q621" s="96" t="s">
        <v>104</v>
      </c>
      <c r="R621" s="52">
        <v>39.9</v>
      </c>
      <c r="S621" s="52">
        <f>R621-T621</f>
        <v>35.625</v>
      </c>
      <c r="T621" s="52">
        <f>R621*U621/(U621+100)</f>
        <v>4.2749999999999995</v>
      </c>
      <c r="U621" s="50">
        <v>12</v>
      </c>
      <c r="V621" s="53">
        <v>0</v>
      </c>
      <c r="W621" s="147">
        <v>1</v>
      </c>
      <c r="X621" s="148" t="s">
        <v>163</v>
      </c>
      <c r="Y621" s="54">
        <f>R621*W621</f>
        <v>39.9</v>
      </c>
      <c r="Z621" s="52">
        <f>S621*W621</f>
        <v>35.625</v>
      </c>
      <c r="AA621" s="52">
        <f>T621*W621</f>
        <v>4.2749999999999995</v>
      </c>
      <c r="AB621" s="52">
        <f>V621*W621</f>
        <v>0</v>
      </c>
      <c r="AC621" s="53">
        <f>(R621+V621)*W621</f>
        <v>39.9</v>
      </c>
      <c r="AD621" s="138">
        <v>39.9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107</v>
      </c>
      <c r="F622" s="96" t="s">
        <v>106</v>
      </c>
      <c r="G622" s="97">
        <v>46132</v>
      </c>
      <c r="H622" s="98">
        <v>0.37655092592592593</v>
      </c>
      <c r="I622" s="50">
        <v>166004575</v>
      </c>
      <c r="J622" s="96" t="s">
        <v>157</v>
      </c>
      <c r="K622" s="49" t="s">
        <v>625</v>
      </c>
      <c r="L622" s="39" t="s">
        <v>626</v>
      </c>
      <c r="M622" s="49" t="s">
        <v>190</v>
      </c>
      <c r="N622" s="39" t="s">
        <v>191</v>
      </c>
      <c r="O622" s="96" t="s">
        <v>627</v>
      </c>
      <c r="P622" s="49" t="s">
        <v>157</v>
      </c>
      <c r="Q622" s="96" t="s">
        <v>104</v>
      </c>
      <c r="R622" s="52">
        <v>99.9</v>
      </c>
      <c r="S622" s="52">
        <f>R622-T622</f>
        <v>89.19642857142857</v>
      </c>
      <c r="T622" s="52">
        <f>R622*U622/(U622+100)</f>
        <v>10.703571428571431</v>
      </c>
      <c r="U622" s="50">
        <v>12</v>
      </c>
      <c r="V622" s="53">
        <v>0</v>
      </c>
      <c r="W622" s="147">
        <v>0.136</v>
      </c>
      <c r="X622" s="148" t="s">
        <v>193</v>
      </c>
      <c r="Y622" s="54">
        <f>R622*W622</f>
        <v>13.586400000000001</v>
      </c>
      <c r="Z622" s="52">
        <f>S622*W622</f>
        <v>12.130714285714287</v>
      </c>
      <c r="AA622" s="52">
        <f>T622*W622</f>
        <v>1.4556857142857147</v>
      </c>
      <c r="AB622" s="52">
        <f>V622*W622</f>
        <v>0</v>
      </c>
      <c r="AC622" s="53">
        <f>(R622+V622)*W622</f>
        <v>13.586400000000001</v>
      </c>
      <c r="AD622" s="138">
        <v>99.9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107</v>
      </c>
      <c r="F623" s="96" t="s">
        <v>106</v>
      </c>
      <c r="G623" s="97">
        <v>46132</v>
      </c>
      <c r="H623" s="98">
        <v>0.37655092592592593</v>
      </c>
      <c r="I623" s="50">
        <v>166004575</v>
      </c>
      <c r="J623" s="96" t="s">
        <v>157</v>
      </c>
      <c r="K623" s="49" t="s">
        <v>188</v>
      </c>
      <c r="L623" s="39" t="s">
        <v>189</v>
      </c>
      <c r="M623" s="49" t="s">
        <v>190</v>
      </c>
      <c r="N623" s="39" t="s">
        <v>191</v>
      </c>
      <c r="O623" s="96" t="s">
        <v>192</v>
      </c>
      <c r="P623" s="49" t="s">
        <v>157</v>
      </c>
      <c r="Q623" s="96" t="s">
        <v>104</v>
      </c>
      <c r="R623" s="52">
        <v>33.9</v>
      </c>
      <c r="S623" s="52">
        <f>R623-T623</f>
        <v>30.267857142857142</v>
      </c>
      <c r="T623" s="52">
        <f>R623*U623/(U623+100)</f>
        <v>3.6321428571428567</v>
      </c>
      <c r="U623" s="50">
        <v>12</v>
      </c>
      <c r="V623" s="53">
        <v>0</v>
      </c>
      <c r="W623" s="147">
        <v>0.286</v>
      </c>
      <c r="X623" s="148" t="s">
        <v>193</v>
      </c>
      <c r="Y623" s="54">
        <f>R623*W623</f>
        <v>9.6954</v>
      </c>
      <c r="Z623" s="52">
        <f>S623*W623</f>
        <v>8.656607142857142</v>
      </c>
      <c r="AA623" s="52">
        <f>T623*W623</f>
        <v>1.0387928571428569</v>
      </c>
      <c r="AB623" s="52">
        <f>V623*W623</f>
        <v>0</v>
      </c>
      <c r="AC623" s="53">
        <f>(R623+V623)*W623</f>
        <v>9.6954</v>
      </c>
      <c r="AD623" s="138">
        <v>33.9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107</v>
      </c>
      <c r="F624" s="96" t="s">
        <v>106</v>
      </c>
      <c r="G624" s="97">
        <v>46132</v>
      </c>
      <c r="H624" s="98">
        <v>0.37655092592592593</v>
      </c>
      <c r="I624" s="50">
        <v>166004575</v>
      </c>
      <c r="J624" s="96" t="s">
        <v>157</v>
      </c>
      <c r="K624" s="49" t="s">
        <v>293</v>
      </c>
      <c r="L624" s="39" t="s">
        <v>294</v>
      </c>
      <c r="M624" s="49" t="s">
        <v>295</v>
      </c>
      <c r="N624" s="39" t="s">
        <v>296</v>
      </c>
      <c r="O624" s="96" t="s">
        <v>297</v>
      </c>
      <c r="P624" s="49" t="s">
        <v>157</v>
      </c>
      <c r="Q624" s="96" t="s">
        <v>104</v>
      </c>
      <c r="R624" s="52">
        <v>2.9</v>
      </c>
      <c r="S624" s="52">
        <f>R624-T624</f>
        <v>2.5892857142857144</v>
      </c>
      <c r="T624" s="52">
        <f>R624*U624/(U624+100)</f>
        <v>0.31071428571428567</v>
      </c>
      <c r="U624" s="50">
        <v>12</v>
      </c>
      <c r="V624" s="53">
        <v>0</v>
      </c>
      <c r="W624" s="147">
        <v>2</v>
      </c>
      <c r="X624" s="148" t="s">
        <v>163</v>
      </c>
      <c r="Y624" s="54">
        <f>R624*W624</f>
        <v>5.8</v>
      </c>
      <c r="Z624" s="52">
        <f>S624*W624</f>
        <v>5.178571428571429</v>
      </c>
      <c r="AA624" s="52">
        <f>T624*W624</f>
        <v>0.6214285714285713</v>
      </c>
      <c r="AB624" s="52">
        <f>V624*W624</f>
        <v>0</v>
      </c>
      <c r="AC624" s="53">
        <f>(R624+V624)*W624</f>
        <v>5.8</v>
      </c>
      <c r="AD624" s="138">
        <v>2.9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107</v>
      </c>
      <c r="F625" s="96" t="s">
        <v>106</v>
      </c>
      <c r="G625" s="97">
        <v>46132</v>
      </c>
      <c r="H625" s="98">
        <v>0.37655092592592593</v>
      </c>
      <c r="I625" s="50">
        <v>166004575</v>
      </c>
      <c r="J625" s="96" t="s">
        <v>157</v>
      </c>
      <c r="K625" s="49" t="s">
        <v>293</v>
      </c>
      <c r="L625" s="39" t="s">
        <v>294</v>
      </c>
      <c r="M625" s="49" t="s">
        <v>295</v>
      </c>
      <c r="N625" s="39" t="s">
        <v>296</v>
      </c>
      <c r="O625" s="96" t="s">
        <v>297</v>
      </c>
      <c r="P625" s="49" t="s">
        <v>157</v>
      </c>
      <c r="Q625" s="96" t="s">
        <v>104</v>
      </c>
      <c r="R625" s="52">
        <v>2.9</v>
      </c>
      <c r="S625" s="52">
        <f>R625-T625</f>
        <v>2.5892857142857144</v>
      </c>
      <c r="T625" s="52">
        <f>R625*U625/(U625+100)</f>
        <v>0.31071428571428567</v>
      </c>
      <c r="U625" s="50">
        <v>12</v>
      </c>
      <c r="V625" s="53">
        <v>0</v>
      </c>
      <c r="W625" s="147">
        <v>3</v>
      </c>
      <c r="X625" s="148" t="s">
        <v>163</v>
      </c>
      <c r="Y625" s="54">
        <f>R625*W625</f>
        <v>8.7</v>
      </c>
      <c r="Z625" s="52">
        <f>S625*W625</f>
        <v>7.767857142857143</v>
      </c>
      <c r="AA625" s="52">
        <f>T625*W625</f>
        <v>0.9321428571428569</v>
      </c>
      <c r="AB625" s="52">
        <f>V625*W625</f>
        <v>0</v>
      </c>
      <c r="AC625" s="53">
        <f>(R625+V625)*W625</f>
        <v>8.7</v>
      </c>
      <c r="AD625" s="138">
        <v>2.9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107</v>
      </c>
      <c r="F626" s="96" t="s">
        <v>106</v>
      </c>
      <c r="G626" s="97">
        <v>46132</v>
      </c>
      <c r="H626" s="98">
        <v>0.3770949074074074</v>
      </c>
      <c r="I626" s="50">
        <v>166004576</v>
      </c>
      <c r="J626" s="96" t="s">
        <v>157</v>
      </c>
      <c r="K626" s="49" t="s">
        <v>1555</v>
      </c>
      <c r="L626" s="39" t="s">
        <v>1556</v>
      </c>
      <c r="M626" s="49" t="s">
        <v>425</v>
      </c>
      <c r="N626" s="39" t="s">
        <v>197</v>
      </c>
      <c r="O626" s="96" t="s">
        <v>1557</v>
      </c>
      <c r="P626" s="49" t="s">
        <v>235</v>
      </c>
      <c r="Q626" s="96" t="s">
        <v>236</v>
      </c>
      <c r="R626" s="52">
        <v>5.9</v>
      </c>
      <c r="S626" s="52">
        <f>R626-T626</f>
        <v>5.267857142857143</v>
      </c>
      <c r="T626" s="52">
        <f>R626*U626/(U626+100)</f>
        <v>0.6321428571428572</v>
      </c>
      <c r="U626" s="50">
        <v>12</v>
      </c>
      <c r="V626" s="53">
        <v>0</v>
      </c>
      <c r="W626" s="147">
        <v>1</v>
      </c>
      <c r="X626" s="148" t="s">
        <v>163</v>
      </c>
      <c r="Y626" s="54">
        <f>R626*W626</f>
        <v>5.9</v>
      </c>
      <c r="Z626" s="52">
        <f>S626*W626</f>
        <v>5.267857142857143</v>
      </c>
      <c r="AA626" s="52">
        <f>T626*W626</f>
        <v>0.6321428571428572</v>
      </c>
      <c r="AB626" s="52">
        <f>V626*W626</f>
        <v>0</v>
      </c>
      <c r="AC626" s="53">
        <f>(R626+V626)*W626</f>
        <v>5.9</v>
      </c>
      <c r="AD626" s="138">
        <v>5.9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107</v>
      </c>
      <c r="F627" s="96" t="s">
        <v>106</v>
      </c>
      <c r="G627" s="97">
        <v>46132</v>
      </c>
      <c r="H627" s="98">
        <v>0.3770949074074074</v>
      </c>
      <c r="I627" s="50">
        <v>166004576</v>
      </c>
      <c r="J627" s="96" t="s">
        <v>157</v>
      </c>
      <c r="K627" s="49" t="s">
        <v>1555</v>
      </c>
      <c r="L627" s="39" t="s">
        <v>1556</v>
      </c>
      <c r="M627" s="49" t="s">
        <v>425</v>
      </c>
      <c r="N627" s="39" t="s">
        <v>197</v>
      </c>
      <c r="O627" s="96" t="s">
        <v>1557</v>
      </c>
      <c r="P627" s="49" t="s">
        <v>235</v>
      </c>
      <c r="Q627" s="96" t="s">
        <v>236</v>
      </c>
      <c r="R627" s="52">
        <v>5.9</v>
      </c>
      <c r="S627" s="52">
        <f>R627-T627</f>
        <v>5.267857142857143</v>
      </c>
      <c r="T627" s="52">
        <f>R627*U627/(U627+100)</f>
        <v>0.6321428571428572</v>
      </c>
      <c r="U627" s="50">
        <v>12</v>
      </c>
      <c r="V627" s="53">
        <v>0</v>
      </c>
      <c r="W627" s="147">
        <v>1</v>
      </c>
      <c r="X627" s="148" t="s">
        <v>163</v>
      </c>
      <c r="Y627" s="54">
        <f>R627*W627</f>
        <v>5.9</v>
      </c>
      <c r="Z627" s="52">
        <f>S627*W627</f>
        <v>5.267857142857143</v>
      </c>
      <c r="AA627" s="52">
        <f>T627*W627</f>
        <v>0.6321428571428572</v>
      </c>
      <c r="AB627" s="52">
        <f>V627*W627</f>
        <v>0</v>
      </c>
      <c r="AC627" s="53">
        <f>(R627+V627)*W627</f>
        <v>5.9</v>
      </c>
      <c r="AD627" s="138">
        <v>5.9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107</v>
      </c>
      <c r="F628" s="96" t="s">
        <v>106</v>
      </c>
      <c r="G628" s="97">
        <v>46132</v>
      </c>
      <c r="H628" s="98">
        <v>0.3770949074074074</v>
      </c>
      <c r="I628" s="50">
        <v>166004576</v>
      </c>
      <c r="J628" s="96" t="s">
        <v>157</v>
      </c>
      <c r="K628" s="49" t="s">
        <v>1555</v>
      </c>
      <c r="L628" s="39" t="s">
        <v>1556</v>
      </c>
      <c r="M628" s="49" t="s">
        <v>425</v>
      </c>
      <c r="N628" s="39" t="s">
        <v>197</v>
      </c>
      <c r="O628" s="96" t="s">
        <v>1557</v>
      </c>
      <c r="P628" s="49" t="s">
        <v>235</v>
      </c>
      <c r="Q628" s="96" t="s">
        <v>236</v>
      </c>
      <c r="R628" s="52">
        <v>5.9</v>
      </c>
      <c r="S628" s="52">
        <f>R628-T628</f>
        <v>5.267857142857143</v>
      </c>
      <c r="T628" s="52">
        <f>R628*U628/(U628+100)</f>
        <v>0.6321428571428572</v>
      </c>
      <c r="U628" s="50">
        <v>12</v>
      </c>
      <c r="V628" s="53">
        <v>0</v>
      </c>
      <c r="W628" s="147">
        <v>1</v>
      </c>
      <c r="X628" s="148" t="s">
        <v>163</v>
      </c>
      <c r="Y628" s="54">
        <f>R628*W628</f>
        <v>5.9</v>
      </c>
      <c r="Z628" s="52">
        <f>S628*W628</f>
        <v>5.267857142857143</v>
      </c>
      <c r="AA628" s="52">
        <f>T628*W628</f>
        <v>0.6321428571428572</v>
      </c>
      <c r="AB628" s="52">
        <f>V628*W628</f>
        <v>0</v>
      </c>
      <c r="AC628" s="53">
        <f>(R628+V628)*W628</f>
        <v>5.9</v>
      </c>
      <c r="AD628" s="138">
        <v>5.9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107</v>
      </c>
      <c r="F629" s="96" t="s">
        <v>106</v>
      </c>
      <c r="G629" s="97">
        <v>46132</v>
      </c>
      <c r="H629" s="98">
        <v>0.3770949074074074</v>
      </c>
      <c r="I629" s="50">
        <v>166004576</v>
      </c>
      <c r="J629" s="96" t="s">
        <v>157</v>
      </c>
      <c r="K629" s="49" t="s">
        <v>1555</v>
      </c>
      <c r="L629" s="39" t="s">
        <v>1556</v>
      </c>
      <c r="M629" s="49" t="s">
        <v>425</v>
      </c>
      <c r="N629" s="39" t="s">
        <v>197</v>
      </c>
      <c r="O629" s="96" t="s">
        <v>1557</v>
      </c>
      <c r="P629" s="49" t="s">
        <v>235</v>
      </c>
      <c r="Q629" s="96" t="s">
        <v>236</v>
      </c>
      <c r="R629" s="52">
        <v>5.9</v>
      </c>
      <c r="S629" s="52">
        <f>R629-T629</f>
        <v>5.267857142857143</v>
      </c>
      <c r="T629" s="52">
        <f>R629*U629/(U629+100)</f>
        <v>0.6321428571428572</v>
      </c>
      <c r="U629" s="50">
        <v>12</v>
      </c>
      <c r="V629" s="53">
        <v>0</v>
      </c>
      <c r="W629" s="147">
        <v>1</v>
      </c>
      <c r="X629" s="148" t="s">
        <v>163</v>
      </c>
      <c r="Y629" s="54">
        <f>R629*W629</f>
        <v>5.9</v>
      </c>
      <c r="Z629" s="52">
        <f>S629*W629</f>
        <v>5.267857142857143</v>
      </c>
      <c r="AA629" s="52">
        <f>T629*W629</f>
        <v>0.6321428571428572</v>
      </c>
      <c r="AB629" s="52">
        <f>V629*W629</f>
        <v>0</v>
      </c>
      <c r="AC629" s="53">
        <f>(R629+V629)*W629</f>
        <v>5.9</v>
      </c>
      <c r="AD629" s="138">
        <v>5.9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107</v>
      </c>
      <c r="F630" s="96" t="s">
        <v>106</v>
      </c>
      <c r="G630" s="97">
        <v>46132</v>
      </c>
      <c r="H630" s="98">
        <v>0.3770949074074074</v>
      </c>
      <c r="I630" s="50">
        <v>166004576</v>
      </c>
      <c r="J630" s="96" t="s">
        <v>157</v>
      </c>
      <c r="K630" s="49" t="s">
        <v>1555</v>
      </c>
      <c r="L630" s="39" t="s">
        <v>1556</v>
      </c>
      <c r="M630" s="49" t="s">
        <v>425</v>
      </c>
      <c r="N630" s="39" t="s">
        <v>197</v>
      </c>
      <c r="O630" s="96" t="s">
        <v>1557</v>
      </c>
      <c r="P630" s="49" t="s">
        <v>235</v>
      </c>
      <c r="Q630" s="96" t="s">
        <v>236</v>
      </c>
      <c r="R630" s="52">
        <v>5.9</v>
      </c>
      <c r="S630" s="52">
        <f>R630-T630</f>
        <v>5.267857142857143</v>
      </c>
      <c r="T630" s="52">
        <f>R630*U630/(U630+100)</f>
        <v>0.6321428571428572</v>
      </c>
      <c r="U630" s="50">
        <v>12</v>
      </c>
      <c r="V630" s="53">
        <v>0</v>
      </c>
      <c r="W630" s="147">
        <v>1</v>
      </c>
      <c r="X630" s="148" t="s">
        <v>163</v>
      </c>
      <c r="Y630" s="54">
        <f>R630*W630</f>
        <v>5.9</v>
      </c>
      <c r="Z630" s="52">
        <f>S630*W630</f>
        <v>5.267857142857143</v>
      </c>
      <c r="AA630" s="52">
        <f>T630*W630</f>
        <v>0.6321428571428572</v>
      </c>
      <c r="AB630" s="52">
        <f>V630*W630</f>
        <v>0</v>
      </c>
      <c r="AC630" s="53">
        <f>(R630+V630)*W630</f>
        <v>5.9</v>
      </c>
      <c r="AD630" s="138">
        <v>5.9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107</v>
      </c>
      <c r="F631" s="96" t="s">
        <v>106</v>
      </c>
      <c r="G631" s="97">
        <v>46132</v>
      </c>
      <c r="H631" s="98">
        <v>0.3770949074074074</v>
      </c>
      <c r="I631" s="50">
        <v>166004576</v>
      </c>
      <c r="J631" s="96" t="s">
        <v>157</v>
      </c>
      <c r="K631" s="49" t="s">
        <v>795</v>
      </c>
      <c r="L631" s="39" t="s">
        <v>796</v>
      </c>
      <c r="M631" s="49" t="s">
        <v>425</v>
      </c>
      <c r="N631" s="39" t="s">
        <v>197</v>
      </c>
      <c r="O631" s="96" t="s">
        <v>1558</v>
      </c>
      <c r="P631" s="49" t="s">
        <v>235</v>
      </c>
      <c r="Q631" s="96" t="s">
        <v>236</v>
      </c>
      <c r="R631" s="52">
        <v>5.9</v>
      </c>
      <c r="S631" s="52">
        <f>R631-T631</f>
        <v>5.267857142857143</v>
      </c>
      <c r="T631" s="52">
        <f>R631*U631/(U631+100)</f>
        <v>0.6321428571428572</v>
      </c>
      <c r="U631" s="50">
        <v>12</v>
      </c>
      <c r="V631" s="53">
        <v>0</v>
      </c>
      <c r="W631" s="147">
        <v>1</v>
      </c>
      <c r="X631" s="148" t="s">
        <v>163</v>
      </c>
      <c r="Y631" s="54">
        <f>R631*W631</f>
        <v>5.9</v>
      </c>
      <c r="Z631" s="52">
        <f>S631*W631</f>
        <v>5.267857142857143</v>
      </c>
      <c r="AA631" s="52">
        <f>T631*W631</f>
        <v>0.6321428571428572</v>
      </c>
      <c r="AB631" s="52">
        <f>V631*W631</f>
        <v>0</v>
      </c>
      <c r="AC631" s="53">
        <f>(R631+V631)*W631</f>
        <v>5.9</v>
      </c>
      <c r="AD631" s="138">
        <v>5.9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107</v>
      </c>
      <c r="F632" s="96" t="s">
        <v>106</v>
      </c>
      <c r="G632" s="97">
        <v>46132</v>
      </c>
      <c r="H632" s="98">
        <v>0.3770949074074074</v>
      </c>
      <c r="I632" s="50">
        <v>166004576</v>
      </c>
      <c r="J632" s="96" t="s">
        <v>157</v>
      </c>
      <c r="K632" s="49" t="s">
        <v>795</v>
      </c>
      <c r="L632" s="39" t="s">
        <v>796</v>
      </c>
      <c r="M632" s="49" t="s">
        <v>425</v>
      </c>
      <c r="N632" s="39" t="s">
        <v>197</v>
      </c>
      <c r="O632" s="96" t="s">
        <v>1558</v>
      </c>
      <c r="P632" s="49" t="s">
        <v>235</v>
      </c>
      <c r="Q632" s="96" t="s">
        <v>236</v>
      </c>
      <c r="R632" s="52">
        <v>5.9</v>
      </c>
      <c r="S632" s="52">
        <f>R632-T632</f>
        <v>5.267857142857143</v>
      </c>
      <c r="T632" s="52">
        <f>R632*U632/(U632+100)</f>
        <v>0.6321428571428572</v>
      </c>
      <c r="U632" s="50">
        <v>12</v>
      </c>
      <c r="V632" s="53">
        <v>0</v>
      </c>
      <c r="W632" s="147">
        <v>1</v>
      </c>
      <c r="X632" s="148" t="s">
        <v>163</v>
      </c>
      <c r="Y632" s="54">
        <f>R632*W632</f>
        <v>5.9</v>
      </c>
      <c r="Z632" s="52">
        <f>S632*W632</f>
        <v>5.267857142857143</v>
      </c>
      <c r="AA632" s="52">
        <f>T632*W632</f>
        <v>0.6321428571428572</v>
      </c>
      <c r="AB632" s="52">
        <f>V632*W632</f>
        <v>0</v>
      </c>
      <c r="AC632" s="53">
        <f>(R632+V632)*W632</f>
        <v>5.9</v>
      </c>
      <c r="AD632" s="138">
        <v>5.9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107</v>
      </c>
      <c r="F633" s="96" t="s">
        <v>106</v>
      </c>
      <c r="G633" s="97">
        <v>46132</v>
      </c>
      <c r="H633" s="98">
        <v>0.37899305555555557</v>
      </c>
      <c r="I633" s="50">
        <v>166004577</v>
      </c>
      <c r="J633" s="96" t="s">
        <v>157</v>
      </c>
      <c r="K633" s="49" t="s">
        <v>293</v>
      </c>
      <c r="L633" s="39" t="s">
        <v>294</v>
      </c>
      <c r="M633" s="49" t="s">
        <v>295</v>
      </c>
      <c r="N633" s="39" t="s">
        <v>296</v>
      </c>
      <c r="O633" s="96" t="s">
        <v>297</v>
      </c>
      <c r="P633" s="49" t="s">
        <v>157</v>
      </c>
      <c r="Q633" s="96" t="s">
        <v>104</v>
      </c>
      <c r="R633" s="52">
        <v>2.9</v>
      </c>
      <c r="S633" s="52">
        <f>R633-T633</f>
        <v>2.5892857142857144</v>
      </c>
      <c r="T633" s="52">
        <f>R633*U633/(U633+100)</f>
        <v>0.31071428571428567</v>
      </c>
      <c r="U633" s="50">
        <v>12</v>
      </c>
      <c r="V633" s="53">
        <v>0</v>
      </c>
      <c r="W633" s="147">
        <v>8</v>
      </c>
      <c r="X633" s="148" t="s">
        <v>163</v>
      </c>
      <c r="Y633" s="54">
        <f>R633*W633</f>
        <v>23.2</v>
      </c>
      <c r="Z633" s="52">
        <f>S633*W633</f>
        <v>20.714285714285715</v>
      </c>
      <c r="AA633" s="52">
        <f>T633*W633</f>
        <v>2.4857142857142853</v>
      </c>
      <c r="AB633" s="52">
        <f>V633*W633</f>
        <v>0</v>
      </c>
      <c r="AC633" s="53">
        <f>(R633+V633)*W633</f>
        <v>23.2</v>
      </c>
      <c r="AD633" s="138">
        <v>2.9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107</v>
      </c>
      <c r="F634" s="96" t="s">
        <v>106</v>
      </c>
      <c r="G634" s="97">
        <v>46132</v>
      </c>
      <c r="H634" s="98">
        <v>0.3805439814814815</v>
      </c>
      <c r="I634" s="50">
        <v>166004578</v>
      </c>
      <c r="J634" s="96" t="s">
        <v>157</v>
      </c>
      <c r="K634" s="49" t="s">
        <v>1559</v>
      </c>
      <c r="L634" s="39" t="s">
        <v>1560</v>
      </c>
      <c r="M634" s="49" t="s">
        <v>954</v>
      </c>
      <c r="N634" s="39" t="s">
        <v>1561</v>
      </c>
      <c r="O634" s="96" t="s">
        <v>1562</v>
      </c>
      <c r="P634" s="49" t="s">
        <v>157</v>
      </c>
      <c r="Q634" s="96" t="s">
        <v>104</v>
      </c>
      <c r="R634" s="52">
        <v>14.4</v>
      </c>
      <c r="S634" s="52">
        <f>R634-T634</f>
        <v>12.857142857142858</v>
      </c>
      <c r="T634" s="52">
        <f>R634*U634/(U634+100)</f>
        <v>1.542857142857143</v>
      </c>
      <c r="U634" s="50">
        <v>12</v>
      </c>
      <c r="V634" s="53">
        <v>0</v>
      </c>
      <c r="W634" s="147">
        <v>1</v>
      </c>
      <c r="X634" s="148" t="s">
        <v>163</v>
      </c>
      <c r="Y634" s="54">
        <f>R634*W634</f>
        <v>14.4</v>
      </c>
      <c r="Z634" s="52">
        <f>S634*W634</f>
        <v>12.857142857142858</v>
      </c>
      <c r="AA634" s="52">
        <f>T634*W634</f>
        <v>1.542857142857143</v>
      </c>
      <c r="AB634" s="52">
        <f>V634*W634</f>
        <v>0</v>
      </c>
      <c r="AC634" s="53">
        <f>(R634+V634)*W634</f>
        <v>14.4</v>
      </c>
      <c r="AD634" s="138">
        <v>14.4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107</v>
      </c>
      <c r="F635" s="96" t="s">
        <v>106</v>
      </c>
      <c r="G635" s="97">
        <v>46132</v>
      </c>
      <c r="H635" s="98">
        <v>0.3805439814814815</v>
      </c>
      <c r="I635" s="50">
        <v>166004578</v>
      </c>
      <c r="J635" s="96" t="s">
        <v>157</v>
      </c>
      <c r="K635" s="49" t="s">
        <v>1563</v>
      </c>
      <c r="L635" s="39" t="s">
        <v>1564</v>
      </c>
      <c r="M635" s="49" t="s">
        <v>893</v>
      </c>
      <c r="N635" s="39" t="s">
        <v>319</v>
      </c>
      <c r="O635" s="96" t="s">
        <v>1565</v>
      </c>
      <c r="P635" s="49" t="s">
        <v>157</v>
      </c>
      <c r="Q635" s="96" t="s">
        <v>104</v>
      </c>
      <c r="R635" s="52">
        <v>37.9</v>
      </c>
      <c r="S635" s="52">
        <f>R635-T635</f>
        <v>33.839285714285715</v>
      </c>
      <c r="T635" s="52">
        <f>R635*U635/(U635+100)</f>
        <v>4.060714285714285</v>
      </c>
      <c r="U635" s="50">
        <v>12</v>
      </c>
      <c r="V635" s="53">
        <v>0</v>
      </c>
      <c r="W635" s="147">
        <v>1</v>
      </c>
      <c r="X635" s="148" t="s">
        <v>163</v>
      </c>
      <c r="Y635" s="54">
        <f>R635*W635</f>
        <v>37.9</v>
      </c>
      <c r="Z635" s="52">
        <f>S635*W635</f>
        <v>33.839285714285715</v>
      </c>
      <c r="AA635" s="52">
        <f>T635*W635</f>
        <v>4.060714285714285</v>
      </c>
      <c r="AB635" s="52">
        <f>V635*W635</f>
        <v>0</v>
      </c>
      <c r="AC635" s="53">
        <f>(R635+V635)*W635</f>
        <v>37.9</v>
      </c>
      <c r="AD635" s="138">
        <v>37.9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107</v>
      </c>
      <c r="F636" s="96" t="s">
        <v>106</v>
      </c>
      <c r="G636" s="97">
        <v>46132</v>
      </c>
      <c r="H636" s="98">
        <v>0.3805439814814815</v>
      </c>
      <c r="I636" s="50">
        <v>166004578</v>
      </c>
      <c r="J636" s="96" t="s">
        <v>157</v>
      </c>
      <c r="K636" s="49" t="s">
        <v>1566</v>
      </c>
      <c r="L636" s="39" t="s">
        <v>1567</v>
      </c>
      <c r="M636" s="49" t="s">
        <v>318</v>
      </c>
      <c r="N636" s="39" t="s">
        <v>202</v>
      </c>
      <c r="O636" s="96" t="s">
        <v>1568</v>
      </c>
      <c r="P636" s="49" t="s">
        <v>157</v>
      </c>
      <c r="Q636" s="96" t="s">
        <v>104</v>
      </c>
      <c r="R636" s="52">
        <v>29.9</v>
      </c>
      <c r="S636" s="52">
        <f>R636-T636</f>
        <v>26.69642857142857</v>
      </c>
      <c r="T636" s="52">
        <f>R636*U636/(U636+100)</f>
        <v>3.2035714285714283</v>
      </c>
      <c r="U636" s="50">
        <v>12</v>
      </c>
      <c r="V636" s="53">
        <v>0</v>
      </c>
      <c r="W636" s="147">
        <v>1</v>
      </c>
      <c r="X636" s="148" t="s">
        <v>163</v>
      </c>
      <c r="Y636" s="54">
        <f>R636*W636</f>
        <v>29.9</v>
      </c>
      <c r="Z636" s="52">
        <f>S636*W636</f>
        <v>26.69642857142857</v>
      </c>
      <c r="AA636" s="52">
        <f>T636*W636</f>
        <v>3.2035714285714283</v>
      </c>
      <c r="AB636" s="52">
        <f>V636*W636</f>
        <v>0</v>
      </c>
      <c r="AC636" s="53">
        <f>(R636+V636)*W636</f>
        <v>29.9</v>
      </c>
      <c r="AD636" s="138">
        <v>29.9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107</v>
      </c>
      <c r="F637" s="96" t="s">
        <v>106</v>
      </c>
      <c r="G637" s="97">
        <v>46132</v>
      </c>
      <c r="H637" s="98">
        <v>0.3805439814814815</v>
      </c>
      <c r="I637" s="50">
        <v>166004578</v>
      </c>
      <c r="J637" s="96" t="s">
        <v>157</v>
      </c>
      <c r="K637" s="49" t="s">
        <v>1566</v>
      </c>
      <c r="L637" s="39" t="s">
        <v>1567</v>
      </c>
      <c r="M637" s="49" t="s">
        <v>318</v>
      </c>
      <c r="N637" s="39" t="s">
        <v>202</v>
      </c>
      <c r="O637" s="96" t="s">
        <v>1568</v>
      </c>
      <c r="P637" s="49" t="s">
        <v>157</v>
      </c>
      <c r="Q637" s="96" t="s">
        <v>104</v>
      </c>
      <c r="R637" s="52">
        <v>29.9</v>
      </c>
      <c r="S637" s="52">
        <f>R637-T637</f>
        <v>26.69642857142857</v>
      </c>
      <c r="T637" s="52">
        <f>R637*U637/(U637+100)</f>
        <v>3.2035714285714283</v>
      </c>
      <c r="U637" s="50">
        <v>12</v>
      </c>
      <c r="V637" s="53">
        <v>0</v>
      </c>
      <c r="W637" s="147">
        <v>1</v>
      </c>
      <c r="X637" s="148" t="s">
        <v>163</v>
      </c>
      <c r="Y637" s="54">
        <f>R637*W637</f>
        <v>29.9</v>
      </c>
      <c r="Z637" s="52">
        <f>S637*W637</f>
        <v>26.69642857142857</v>
      </c>
      <c r="AA637" s="52">
        <f>T637*W637</f>
        <v>3.2035714285714283</v>
      </c>
      <c r="AB637" s="52">
        <f>V637*W637</f>
        <v>0</v>
      </c>
      <c r="AC637" s="53">
        <f>(R637+V637)*W637</f>
        <v>29.9</v>
      </c>
      <c r="AD637" s="138">
        <v>29.9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107</v>
      </c>
      <c r="F638" s="96" t="s">
        <v>106</v>
      </c>
      <c r="G638" s="97">
        <v>46132</v>
      </c>
      <c r="H638" s="98">
        <v>0.3805439814814815</v>
      </c>
      <c r="I638" s="50">
        <v>166004578</v>
      </c>
      <c r="J638" s="96" t="s">
        <v>157</v>
      </c>
      <c r="K638" s="49" t="s">
        <v>316</v>
      </c>
      <c r="L638" s="39" t="s">
        <v>317</v>
      </c>
      <c r="M638" s="49" t="s">
        <v>318</v>
      </c>
      <c r="N638" s="39" t="s">
        <v>319</v>
      </c>
      <c r="O638" s="96" t="s">
        <v>1569</v>
      </c>
      <c r="P638" s="49" t="s">
        <v>157</v>
      </c>
      <c r="Q638" s="96" t="s">
        <v>104</v>
      </c>
      <c r="R638" s="52">
        <v>39.9</v>
      </c>
      <c r="S638" s="52">
        <f>R638-T638</f>
        <v>35.625</v>
      </c>
      <c r="T638" s="52">
        <f>R638*U638/(U638+100)</f>
        <v>4.2749999999999995</v>
      </c>
      <c r="U638" s="50">
        <v>12</v>
      </c>
      <c r="V638" s="53">
        <v>0</v>
      </c>
      <c r="W638" s="147">
        <v>1</v>
      </c>
      <c r="X638" s="148" t="s">
        <v>163</v>
      </c>
      <c r="Y638" s="54">
        <f>R638*W638</f>
        <v>39.9</v>
      </c>
      <c r="Z638" s="52">
        <f>S638*W638</f>
        <v>35.625</v>
      </c>
      <c r="AA638" s="52">
        <f>T638*W638</f>
        <v>4.2749999999999995</v>
      </c>
      <c r="AB638" s="52">
        <f>V638*W638</f>
        <v>0</v>
      </c>
      <c r="AC638" s="53">
        <f>(R638+V638)*W638</f>
        <v>39.9</v>
      </c>
      <c r="AD638" s="138">
        <v>39.9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107</v>
      </c>
      <c r="F639" s="96" t="s">
        <v>106</v>
      </c>
      <c r="G639" s="97">
        <v>46132</v>
      </c>
      <c r="H639" s="98">
        <v>0.3805439814814815</v>
      </c>
      <c r="I639" s="50">
        <v>166004578</v>
      </c>
      <c r="J639" s="96" t="s">
        <v>157</v>
      </c>
      <c r="K639" s="49" t="s">
        <v>316</v>
      </c>
      <c r="L639" s="39" t="s">
        <v>317</v>
      </c>
      <c r="M639" s="49" t="s">
        <v>318</v>
      </c>
      <c r="N639" s="39" t="s">
        <v>319</v>
      </c>
      <c r="O639" s="96" t="s">
        <v>1569</v>
      </c>
      <c r="P639" s="49" t="s">
        <v>157</v>
      </c>
      <c r="Q639" s="96" t="s">
        <v>104</v>
      </c>
      <c r="R639" s="52">
        <v>39.9</v>
      </c>
      <c r="S639" s="52">
        <f>R639-T639</f>
        <v>35.625</v>
      </c>
      <c r="T639" s="52">
        <f>R639*U639/(U639+100)</f>
        <v>4.2749999999999995</v>
      </c>
      <c r="U639" s="50">
        <v>12</v>
      </c>
      <c r="V639" s="53">
        <v>0</v>
      </c>
      <c r="W639" s="147">
        <v>1</v>
      </c>
      <c r="X639" s="148" t="s">
        <v>163</v>
      </c>
      <c r="Y639" s="54">
        <f>R639*W639</f>
        <v>39.9</v>
      </c>
      <c r="Z639" s="52">
        <f>S639*W639</f>
        <v>35.625</v>
      </c>
      <c r="AA639" s="52">
        <f>T639*W639</f>
        <v>4.2749999999999995</v>
      </c>
      <c r="AB639" s="52">
        <f>V639*W639</f>
        <v>0</v>
      </c>
      <c r="AC639" s="53">
        <f>(R639+V639)*W639</f>
        <v>39.9</v>
      </c>
      <c r="AD639" s="138">
        <v>39.9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107</v>
      </c>
      <c r="F640" s="96" t="s">
        <v>106</v>
      </c>
      <c r="G640" s="97">
        <v>46132</v>
      </c>
      <c r="H640" s="98">
        <v>0.3805439814814815</v>
      </c>
      <c r="I640" s="50">
        <v>166004578</v>
      </c>
      <c r="J640" s="96" t="s">
        <v>157</v>
      </c>
      <c r="K640" s="49" t="s">
        <v>758</v>
      </c>
      <c r="L640" s="39" t="s">
        <v>759</v>
      </c>
      <c r="M640" s="49" t="s">
        <v>201</v>
      </c>
      <c r="N640" s="39" t="s">
        <v>202</v>
      </c>
      <c r="O640" s="96" t="s">
        <v>1235</v>
      </c>
      <c r="P640" s="49" t="s">
        <v>235</v>
      </c>
      <c r="Q640" s="96" t="s">
        <v>236</v>
      </c>
      <c r="R640" s="52">
        <v>19.9</v>
      </c>
      <c r="S640" s="52">
        <f>R640-T640</f>
        <v>17.767857142857142</v>
      </c>
      <c r="T640" s="52">
        <f>R640*U640/(U640+100)</f>
        <v>2.132142857142857</v>
      </c>
      <c r="U640" s="50">
        <v>12</v>
      </c>
      <c r="V640" s="53">
        <v>0</v>
      </c>
      <c r="W640" s="147">
        <v>1</v>
      </c>
      <c r="X640" s="148" t="s">
        <v>163</v>
      </c>
      <c r="Y640" s="54">
        <f>R640*W640</f>
        <v>19.9</v>
      </c>
      <c r="Z640" s="52">
        <f>S640*W640</f>
        <v>17.767857142857142</v>
      </c>
      <c r="AA640" s="52">
        <f>T640*W640</f>
        <v>2.132142857142857</v>
      </c>
      <c r="AB640" s="52">
        <f>V640*W640</f>
        <v>0</v>
      </c>
      <c r="AC640" s="53">
        <f>(R640+V640)*W640</f>
        <v>19.9</v>
      </c>
      <c r="AD640" s="138">
        <v>19.9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107</v>
      </c>
      <c r="F641" s="96" t="s">
        <v>106</v>
      </c>
      <c r="G641" s="97">
        <v>46132</v>
      </c>
      <c r="H641" s="98">
        <v>0.3805439814814815</v>
      </c>
      <c r="I641" s="50">
        <v>166004578</v>
      </c>
      <c r="J641" s="96" t="s">
        <v>157</v>
      </c>
      <c r="K641" s="49" t="s">
        <v>758</v>
      </c>
      <c r="L641" s="39" t="s">
        <v>759</v>
      </c>
      <c r="M641" s="49" t="s">
        <v>201</v>
      </c>
      <c r="N641" s="39" t="s">
        <v>202</v>
      </c>
      <c r="O641" s="96" t="s">
        <v>1235</v>
      </c>
      <c r="P641" s="49" t="s">
        <v>235</v>
      </c>
      <c r="Q641" s="96" t="s">
        <v>236</v>
      </c>
      <c r="R641" s="52">
        <v>19.9</v>
      </c>
      <c r="S641" s="52">
        <f>R641-T641</f>
        <v>17.767857142857142</v>
      </c>
      <c r="T641" s="52">
        <f>R641*U641/(U641+100)</f>
        <v>2.132142857142857</v>
      </c>
      <c r="U641" s="50">
        <v>12</v>
      </c>
      <c r="V641" s="53">
        <v>0</v>
      </c>
      <c r="W641" s="147">
        <v>1</v>
      </c>
      <c r="X641" s="148" t="s">
        <v>163</v>
      </c>
      <c r="Y641" s="54">
        <f>R641*W641</f>
        <v>19.9</v>
      </c>
      <c r="Z641" s="52">
        <f>S641*W641</f>
        <v>17.767857142857142</v>
      </c>
      <c r="AA641" s="52">
        <f>T641*W641</f>
        <v>2.132142857142857</v>
      </c>
      <c r="AB641" s="52">
        <f>V641*W641</f>
        <v>0</v>
      </c>
      <c r="AC641" s="53">
        <f>(R641+V641)*W641</f>
        <v>19.9</v>
      </c>
      <c r="AD641" s="138">
        <v>19.9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107</v>
      </c>
      <c r="F642" s="96" t="s">
        <v>106</v>
      </c>
      <c r="G642" s="97">
        <v>46132</v>
      </c>
      <c r="H642" s="98">
        <v>0.3805439814814815</v>
      </c>
      <c r="I642" s="50">
        <v>166004578</v>
      </c>
      <c r="J642" s="96" t="s">
        <v>157</v>
      </c>
      <c r="K642" s="49" t="s">
        <v>707</v>
      </c>
      <c r="L642" s="39" t="s">
        <v>708</v>
      </c>
      <c r="M642" s="49" t="s">
        <v>709</v>
      </c>
      <c r="N642" s="39" t="s">
        <v>319</v>
      </c>
      <c r="O642" s="96" t="s">
        <v>1504</v>
      </c>
      <c r="P642" s="49" t="s">
        <v>235</v>
      </c>
      <c r="Q642" s="96" t="s">
        <v>236</v>
      </c>
      <c r="R642" s="52">
        <v>19.9</v>
      </c>
      <c r="S642" s="52">
        <f>R642-T642</f>
        <v>17.767857142857142</v>
      </c>
      <c r="T642" s="52">
        <f>R642*U642/(U642+100)</f>
        <v>2.132142857142857</v>
      </c>
      <c r="U642" s="50">
        <v>12</v>
      </c>
      <c r="V642" s="53">
        <v>0</v>
      </c>
      <c r="W642" s="147">
        <v>1</v>
      </c>
      <c r="X642" s="148" t="s">
        <v>163</v>
      </c>
      <c r="Y642" s="54">
        <f>R642*W642</f>
        <v>19.9</v>
      </c>
      <c r="Z642" s="52">
        <f>S642*W642</f>
        <v>17.767857142857142</v>
      </c>
      <c r="AA642" s="52">
        <f>T642*W642</f>
        <v>2.132142857142857</v>
      </c>
      <c r="AB642" s="52">
        <f>V642*W642</f>
        <v>0</v>
      </c>
      <c r="AC642" s="53">
        <f>(R642+V642)*W642</f>
        <v>19.9</v>
      </c>
      <c r="AD642" s="138">
        <v>19.9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107</v>
      </c>
      <c r="F643" s="96" t="s">
        <v>106</v>
      </c>
      <c r="G643" s="97">
        <v>46132</v>
      </c>
      <c r="H643" s="98">
        <v>0.3805439814814815</v>
      </c>
      <c r="I643" s="50">
        <v>166004578</v>
      </c>
      <c r="J643" s="96" t="s">
        <v>157</v>
      </c>
      <c r="K643" s="49" t="s">
        <v>1570</v>
      </c>
      <c r="L643" s="39" t="s">
        <v>1571</v>
      </c>
      <c r="M643" s="49" t="s">
        <v>1572</v>
      </c>
      <c r="N643" s="39" t="s">
        <v>1573</v>
      </c>
      <c r="O643" s="96" t="s">
        <v>1574</v>
      </c>
      <c r="P643" s="49" t="s">
        <v>157</v>
      </c>
      <c r="Q643" s="96" t="s">
        <v>104</v>
      </c>
      <c r="R643" s="52">
        <v>49.9</v>
      </c>
      <c r="S643" s="52">
        <f>R643-T643</f>
        <v>44.55357142857143</v>
      </c>
      <c r="T643" s="52">
        <f>R643*U643/(U643+100)</f>
        <v>5.346428571428571</v>
      </c>
      <c r="U643" s="50">
        <v>12</v>
      </c>
      <c r="V643" s="53">
        <v>0</v>
      </c>
      <c r="W643" s="147">
        <v>1</v>
      </c>
      <c r="X643" s="148" t="s">
        <v>163</v>
      </c>
      <c r="Y643" s="54">
        <f>R643*W643</f>
        <v>49.9</v>
      </c>
      <c r="Z643" s="52">
        <f>S643*W643</f>
        <v>44.55357142857143</v>
      </c>
      <c r="AA643" s="52">
        <f>T643*W643</f>
        <v>5.346428571428571</v>
      </c>
      <c r="AB643" s="52">
        <f>V643*W643</f>
        <v>0</v>
      </c>
      <c r="AC643" s="53">
        <f>(R643+V643)*W643</f>
        <v>49.9</v>
      </c>
      <c r="AD643" s="138">
        <v>49.9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107</v>
      </c>
      <c r="F644" s="96" t="s">
        <v>106</v>
      </c>
      <c r="G644" s="97">
        <v>46132</v>
      </c>
      <c r="H644" s="98">
        <v>0.3805439814814815</v>
      </c>
      <c r="I644" s="50">
        <v>166004578</v>
      </c>
      <c r="J644" s="96" t="s">
        <v>157</v>
      </c>
      <c r="K644" s="49" t="s">
        <v>1575</v>
      </c>
      <c r="L644" s="39" t="s">
        <v>1576</v>
      </c>
      <c r="M644" s="49" t="s">
        <v>837</v>
      </c>
      <c r="N644" s="39" t="s">
        <v>838</v>
      </c>
      <c r="O644" s="96" t="s">
        <v>1577</v>
      </c>
      <c r="P644" s="49" t="s">
        <v>157</v>
      </c>
      <c r="Q644" s="96" t="s">
        <v>104</v>
      </c>
      <c r="R644" s="52">
        <v>99.9</v>
      </c>
      <c r="S644" s="52">
        <f>R644-T644</f>
        <v>89.19642857142857</v>
      </c>
      <c r="T644" s="52">
        <f>R644*U644/(U644+100)</f>
        <v>10.703571428571431</v>
      </c>
      <c r="U644" s="50">
        <v>12</v>
      </c>
      <c r="V644" s="53">
        <v>0</v>
      </c>
      <c r="W644" s="147">
        <v>1</v>
      </c>
      <c r="X644" s="148" t="s">
        <v>163</v>
      </c>
      <c r="Y644" s="54">
        <f>R644*W644</f>
        <v>99.9</v>
      </c>
      <c r="Z644" s="52">
        <f>S644*W644</f>
        <v>89.19642857142857</v>
      </c>
      <c r="AA644" s="52">
        <f>T644*W644</f>
        <v>10.703571428571431</v>
      </c>
      <c r="AB644" s="52">
        <f>V644*W644</f>
        <v>0</v>
      </c>
      <c r="AC644" s="53">
        <f>(R644+V644)*W644</f>
        <v>99.9</v>
      </c>
      <c r="AD644" s="138">
        <v>99.9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107</v>
      </c>
      <c r="F645" s="96" t="s">
        <v>106</v>
      </c>
      <c r="G645" s="97">
        <v>46132</v>
      </c>
      <c r="H645" s="98">
        <v>0.3805439814814815</v>
      </c>
      <c r="I645" s="50">
        <v>166004578</v>
      </c>
      <c r="J645" s="96" t="s">
        <v>157</v>
      </c>
      <c r="K645" s="49" t="s">
        <v>1578</v>
      </c>
      <c r="L645" s="39" t="s">
        <v>1579</v>
      </c>
      <c r="M645" s="49" t="s">
        <v>300</v>
      </c>
      <c r="N645" s="39" t="s">
        <v>1377</v>
      </c>
      <c r="O645" s="96" t="s">
        <v>1580</v>
      </c>
      <c r="P645" s="49" t="s">
        <v>157</v>
      </c>
      <c r="Q645" s="96" t="s">
        <v>104</v>
      </c>
      <c r="R645" s="52">
        <v>29.9</v>
      </c>
      <c r="S645" s="52">
        <f>R645-T645</f>
        <v>26.69642857142857</v>
      </c>
      <c r="T645" s="52">
        <f>R645*U645/(U645+100)</f>
        <v>3.2035714285714283</v>
      </c>
      <c r="U645" s="50">
        <v>12</v>
      </c>
      <c r="V645" s="53">
        <v>0</v>
      </c>
      <c r="W645" s="147">
        <v>1</v>
      </c>
      <c r="X645" s="148" t="s">
        <v>163</v>
      </c>
      <c r="Y645" s="54">
        <f>R645*W645</f>
        <v>29.9</v>
      </c>
      <c r="Z645" s="52">
        <f>S645*W645</f>
        <v>26.69642857142857</v>
      </c>
      <c r="AA645" s="52">
        <f>T645*W645</f>
        <v>3.2035714285714283</v>
      </c>
      <c r="AB645" s="52">
        <f>V645*W645</f>
        <v>0</v>
      </c>
      <c r="AC645" s="53">
        <f>(R645+V645)*W645</f>
        <v>29.9</v>
      </c>
      <c r="AD645" s="138">
        <v>29.9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107</v>
      </c>
      <c r="F646" s="96" t="s">
        <v>106</v>
      </c>
      <c r="G646" s="97">
        <v>46132</v>
      </c>
      <c r="H646" s="98">
        <v>0.3805439814814815</v>
      </c>
      <c r="I646" s="50">
        <v>166004578</v>
      </c>
      <c r="J646" s="96" t="s">
        <v>157</v>
      </c>
      <c r="K646" s="49" t="s">
        <v>1581</v>
      </c>
      <c r="L646" s="39" t="s">
        <v>1582</v>
      </c>
      <c r="M646" s="49" t="s">
        <v>547</v>
      </c>
      <c r="N646" s="39" t="s">
        <v>548</v>
      </c>
      <c r="O646" s="96" t="s">
        <v>1583</v>
      </c>
      <c r="P646" s="49" t="s">
        <v>157</v>
      </c>
      <c r="Q646" s="96" t="s">
        <v>104</v>
      </c>
      <c r="R646" s="52">
        <v>15.9</v>
      </c>
      <c r="S646" s="52">
        <f>R646-T646</f>
        <v>14.196428571428571</v>
      </c>
      <c r="T646" s="52">
        <f>R646*U646/(U646+100)</f>
        <v>1.7035714285714287</v>
      </c>
      <c r="U646" s="50">
        <v>12</v>
      </c>
      <c r="V646" s="53">
        <v>0</v>
      </c>
      <c r="W646" s="147">
        <v>1</v>
      </c>
      <c r="X646" s="148" t="s">
        <v>163</v>
      </c>
      <c r="Y646" s="54">
        <f>R646*W646</f>
        <v>15.9</v>
      </c>
      <c r="Z646" s="52">
        <f>S646*W646</f>
        <v>14.196428571428571</v>
      </c>
      <c r="AA646" s="52">
        <f>T646*W646</f>
        <v>1.7035714285714287</v>
      </c>
      <c r="AB646" s="52">
        <f>V646*W646</f>
        <v>0</v>
      </c>
      <c r="AC646" s="53">
        <f>(R646+V646)*W646</f>
        <v>15.9</v>
      </c>
      <c r="AD646" s="138">
        <v>15.9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107</v>
      </c>
      <c r="F647" s="96" t="s">
        <v>106</v>
      </c>
      <c r="G647" s="97">
        <v>46132</v>
      </c>
      <c r="H647" s="98">
        <v>0.3805439814814815</v>
      </c>
      <c r="I647" s="50">
        <v>166004578</v>
      </c>
      <c r="J647" s="96" t="s">
        <v>157</v>
      </c>
      <c r="K647" s="49" t="s">
        <v>1581</v>
      </c>
      <c r="L647" s="39" t="s">
        <v>1582</v>
      </c>
      <c r="M647" s="49" t="s">
        <v>547</v>
      </c>
      <c r="N647" s="39" t="s">
        <v>548</v>
      </c>
      <c r="O647" s="96" t="s">
        <v>1583</v>
      </c>
      <c r="P647" s="49" t="s">
        <v>157</v>
      </c>
      <c r="Q647" s="96" t="s">
        <v>104</v>
      </c>
      <c r="R647" s="52">
        <v>15.9</v>
      </c>
      <c r="S647" s="52">
        <f>R647-T647</f>
        <v>14.196428571428571</v>
      </c>
      <c r="T647" s="52">
        <f>R647*U647/(U647+100)</f>
        <v>1.7035714285714287</v>
      </c>
      <c r="U647" s="50">
        <v>12</v>
      </c>
      <c r="V647" s="53">
        <v>0</v>
      </c>
      <c r="W647" s="147">
        <v>1</v>
      </c>
      <c r="X647" s="148" t="s">
        <v>163</v>
      </c>
      <c r="Y647" s="54">
        <f>R647*W647</f>
        <v>15.9</v>
      </c>
      <c r="Z647" s="52">
        <f>S647*W647</f>
        <v>14.196428571428571</v>
      </c>
      <c r="AA647" s="52">
        <f>T647*W647</f>
        <v>1.7035714285714287</v>
      </c>
      <c r="AB647" s="52">
        <f>V647*W647</f>
        <v>0</v>
      </c>
      <c r="AC647" s="53">
        <f>(R647+V647)*W647</f>
        <v>15.9</v>
      </c>
      <c r="AD647" s="138">
        <v>15.9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107</v>
      </c>
      <c r="F648" s="96" t="s">
        <v>106</v>
      </c>
      <c r="G648" s="97">
        <v>46132</v>
      </c>
      <c r="H648" s="98">
        <v>0.3805439814814815</v>
      </c>
      <c r="I648" s="50">
        <v>166004578</v>
      </c>
      <c r="J648" s="96" t="s">
        <v>157</v>
      </c>
      <c r="K648" s="49" t="s">
        <v>1584</v>
      </c>
      <c r="L648" s="39" t="s">
        <v>1585</v>
      </c>
      <c r="M648" s="49" t="s">
        <v>547</v>
      </c>
      <c r="N648" s="39" t="s">
        <v>548</v>
      </c>
      <c r="O648" s="96" t="s">
        <v>1586</v>
      </c>
      <c r="P648" s="49" t="s">
        <v>157</v>
      </c>
      <c r="Q648" s="96" t="s">
        <v>104</v>
      </c>
      <c r="R648" s="52">
        <v>15.9</v>
      </c>
      <c r="S648" s="52">
        <f>R648-T648</f>
        <v>14.196428571428571</v>
      </c>
      <c r="T648" s="52">
        <f>R648*U648/(U648+100)</f>
        <v>1.7035714285714287</v>
      </c>
      <c r="U648" s="50">
        <v>12</v>
      </c>
      <c r="V648" s="53">
        <v>0</v>
      </c>
      <c r="W648" s="147">
        <v>1</v>
      </c>
      <c r="X648" s="148" t="s">
        <v>163</v>
      </c>
      <c r="Y648" s="54">
        <f>R648*W648</f>
        <v>15.9</v>
      </c>
      <c r="Z648" s="52">
        <f>S648*W648</f>
        <v>14.196428571428571</v>
      </c>
      <c r="AA648" s="52">
        <f>T648*W648</f>
        <v>1.7035714285714287</v>
      </c>
      <c r="AB648" s="52">
        <f>V648*W648</f>
        <v>0</v>
      </c>
      <c r="AC648" s="53">
        <f>(R648+V648)*W648</f>
        <v>15.9</v>
      </c>
      <c r="AD648" s="138">
        <v>15.9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107</v>
      </c>
      <c r="F649" s="96" t="s">
        <v>106</v>
      </c>
      <c r="G649" s="97">
        <v>46132</v>
      </c>
      <c r="H649" s="98">
        <v>0.3805439814814815</v>
      </c>
      <c r="I649" s="50">
        <v>166004578</v>
      </c>
      <c r="J649" s="96" t="s">
        <v>157</v>
      </c>
      <c r="K649" s="49" t="s">
        <v>1584</v>
      </c>
      <c r="L649" s="39" t="s">
        <v>1585</v>
      </c>
      <c r="M649" s="49" t="s">
        <v>547</v>
      </c>
      <c r="N649" s="39" t="s">
        <v>548</v>
      </c>
      <c r="O649" s="96" t="s">
        <v>1586</v>
      </c>
      <c r="P649" s="49" t="s">
        <v>157</v>
      </c>
      <c r="Q649" s="96" t="s">
        <v>104</v>
      </c>
      <c r="R649" s="52">
        <v>15.9</v>
      </c>
      <c r="S649" s="52">
        <f>R649-T649</f>
        <v>14.196428571428571</v>
      </c>
      <c r="T649" s="52">
        <f>R649*U649/(U649+100)</f>
        <v>1.7035714285714287</v>
      </c>
      <c r="U649" s="50">
        <v>12</v>
      </c>
      <c r="V649" s="53">
        <v>0</v>
      </c>
      <c r="W649" s="147">
        <v>1</v>
      </c>
      <c r="X649" s="148" t="s">
        <v>163</v>
      </c>
      <c r="Y649" s="54">
        <f>R649*W649</f>
        <v>15.9</v>
      </c>
      <c r="Z649" s="52">
        <f>S649*W649</f>
        <v>14.196428571428571</v>
      </c>
      <c r="AA649" s="52">
        <f>T649*W649</f>
        <v>1.7035714285714287</v>
      </c>
      <c r="AB649" s="52">
        <f>V649*W649</f>
        <v>0</v>
      </c>
      <c r="AC649" s="53">
        <f>(R649+V649)*W649</f>
        <v>15.9</v>
      </c>
      <c r="AD649" s="138">
        <v>15.9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107</v>
      </c>
      <c r="F650" s="96" t="s">
        <v>106</v>
      </c>
      <c r="G650" s="97">
        <v>46132</v>
      </c>
      <c r="H650" s="98">
        <v>0.3805439814814815</v>
      </c>
      <c r="I650" s="50">
        <v>166004578</v>
      </c>
      <c r="J650" s="96" t="s">
        <v>157</v>
      </c>
      <c r="K650" s="49" t="s">
        <v>1587</v>
      </c>
      <c r="L650" s="39" t="s">
        <v>1588</v>
      </c>
      <c r="M650" s="49" t="s">
        <v>547</v>
      </c>
      <c r="N650" s="39" t="s">
        <v>548</v>
      </c>
      <c r="O650" s="96" t="s">
        <v>1589</v>
      </c>
      <c r="P650" s="49" t="s">
        <v>157</v>
      </c>
      <c r="Q650" s="96" t="s">
        <v>104</v>
      </c>
      <c r="R650" s="52">
        <v>19.9</v>
      </c>
      <c r="S650" s="52">
        <f>R650-T650</f>
        <v>17.767857142857142</v>
      </c>
      <c r="T650" s="52">
        <f>R650*U650/(U650+100)</f>
        <v>2.132142857142857</v>
      </c>
      <c r="U650" s="50">
        <v>12</v>
      </c>
      <c r="V650" s="53">
        <v>0</v>
      </c>
      <c r="W650" s="147">
        <v>1</v>
      </c>
      <c r="X650" s="148" t="s">
        <v>163</v>
      </c>
      <c r="Y650" s="54">
        <f>R650*W650</f>
        <v>19.9</v>
      </c>
      <c r="Z650" s="52">
        <f>S650*W650</f>
        <v>17.767857142857142</v>
      </c>
      <c r="AA650" s="52">
        <f>T650*W650</f>
        <v>2.132142857142857</v>
      </c>
      <c r="AB650" s="52">
        <f>V650*W650</f>
        <v>0</v>
      </c>
      <c r="AC650" s="53">
        <f>(R650+V650)*W650</f>
        <v>19.9</v>
      </c>
      <c r="AD650" s="138">
        <v>19.9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107</v>
      </c>
      <c r="F651" s="96" t="s">
        <v>106</v>
      </c>
      <c r="G651" s="97">
        <v>46132</v>
      </c>
      <c r="H651" s="98">
        <v>0.3805439814814815</v>
      </c>
      <c r="I651" s="50">
        <v>166004578</v>
      </c>
      <c r="J651" s="96" t="s">
        <v>157</v>
      </c>
      <c r="K651" s="49" t="s">
        <v>1587</v>
      </c>
      <c r="L651" s="39" t="s">
        <v>1588</v>
      </c>
      <c r="M651" s="49" t="s">
        <v>547</v>
      </c>
      <c r="N651" s="39" t="s">
        <v>548</v>
      </c>
      <c r="O651" s="96" t="s">
        <v>1589</v>
      </c>
      <c r="P651" s="49" t="s">
        <v>157</v>
      </c>
      <c r="Q651" s="96" t="s">
        <v>104</v>
      </c>
      <c r="R651" s="52">
        <v>19.9</v>
      </c>
      <c r="S651" s="52">
        <f>R651-T651</f>
        <v>17.767857142857142</v>
      </c>
      <c r="T651" s="52">
        <f>R651*U651/(U651+100)</f>
        <v>2.132142857142857</v>
      </c>
      <c r="U651" s="50">
        <v>12</v>
      </c>
      <c r="V651" s="53">
        <v>0</v>
      </c>
      <c r="W651" s="147">
        <v>1</v>
      </c>
      <c r="X651" s="148" t="s">
        <v>163</v>
      </c>
      <c r="Y651" s="54">
        <f>R651*W651</f>
        <v>19.9</v>
      </c>
      <c r="Z651" s="52">
        <f>S651*W651</f>
        <v>17.767857142857142</v>
      </c>
      <c r="AA651" s="52">
        <f>T651*W651</f>
        <v>2.132142857142857</v>
      </c>
      <c r="AB651" s="52">
        <f>V651*W651</f>
        <v>0</v>
      </c>
      <c r="AC651" s="53">
        <f>(R651+V651)*W651</f>
        <v>19.9</v>
      </c>
      <c r="AD651" s="138">
        <v>19.9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107</v>
      </c>
      <c r="F652" s="96" t="s">
        <v>106</v>
      </c>
      <c r="G652" s="97">
        <v>46132</v>
      </c>
      <c r="H652" s="98">
        <v>0.3805439814814815</v>
      </c>
      <c r="I652" s="50">
        <v>166004578</v>
      </c>
      <c r="J652" s="96" t="s">
        <v>157</v>
      </c>
      <c r="K652" s="49" t="s">
        <v>1590</v>
      </c>
      <c r="L652" s="39" t="s">
        <v>1591</v>
      </c>
      <c r="M652" s="49" t="s">
        <v>547</v>
      </c>
      <c r="N652" s="39" t="s">
        <v>548</v>
      </c>
      <c r="O652" s="96" t="s">
        <v>1592</v>
      </c>
      <c r="P652" s="49" t="s">
        <v>157</v>
      </c>
      <c r="Q652" s="96" t="s">
        <v>104</v>
      </c>
      <c r="R652" s="52">
        <v>37.9</v>
      </c>
      <c r="S652" s="52">
        <f>R652-T652</f>
        <v>33.839285714285715</v>
      </c>
      <c r="T652" s="52">
        <f>R652*U652/(U652+100)</f>
        <v>4.060714285714285</v>
      </c>
      <c r="U652" s="50">
        <v>12</v>
      </c>
      <c r="V652" s="53">
        <v>0</v>
      </c>
      <c r="W652" s="147">
        <v>1</v>
      </c>
      <c r="X652" s="148" t="s">
        <v>163</v>
      </c>
      <c r="Y652" s="54">
        <f>R652*W652</f>
        <v>37.9</v>
      </c>
      <c r="Z652" s="52">
        <f>S652*W652</f>
        <v>33.839285714285715</v>
      </c>
      <c r="AA652" s="52">
        <f>T652*W652</f>
        <v>4.060714285714285</v>
      </c>
      <c r="AB652" s="52">
        <f>V652*W652</f>
        <v>0</v>
      </c>
      <c r="AC652" s="53">
        <f>(R652+V652)*W652</f>
        <v>37.9</v>
      </c>
      <c r="AD652" s="138">
        <v>37.9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107</v>
      </c>
      <c r="F653" s="96" t="s">
        <v>106</v>
      </c>
      <c r="G653" s="97">
        <v>46132</v>
      </c>
      <c r="H653" s="98">
        <v>0.3805439814814815</v>
      </c>
      <c r="I653" s="50">
        <v>166004578</v>
      </c>
      <c r="J653" s="96" t="s">
        <v>157</v>
      </c>
      <c r="K653" s="49" t="s">
        <v>1593</v>
      </c>
      <c r="L653" s="39" t="s">
        <v>1594</v>
      </c>
      <c r="M653" s="49" t="s">
        <v>214</v>
      </c>
      <c r="N653" s="39" t="s">
        <v>1595</v>
      </c>
      <c r="O653" s="96" t="s">
        <v>1596</v>
      </c>
      <c r="P653" s="49" t="s">
        <v>157</v>
      </c>
      <c r="Q653" s="96" t="s">
        <v>104</v>
      </c>
      <c r="R653" s="52">
        <v>29.9</v>
      </c>
      <c r="S653" s="52">
        <f>R653-T653</f>
        <v>26.69642857142857</v>
      </c>
      <c r="T653" s="52">
        <f>R653*U653/(U653+100)</f>
        <v>3.2035714285714283</v>
      </c>
      <c r="U653" s="50">
        <v>12</v>
      </c>
      <c r="V653" s="53">
        <v>0</v>
      </c>
      <c r="W653" s="147">
        <v>1</v>
      </c>
      <c r="X653" s="148" t="s">
        <v>163</v>
      </c>
      <c r="Y653" s="54">
        <f>R653*W653</f>
        <v>29.9</v>
      </c>
      <c r="Z653" s="52">
        <f>S653*W653</f>
        <v>26.69642857142857</v>
      </c>
      <c r="AA653" s="52">
        <f>T653*W653</f>
        <v>3.2035714285714283</v>
      </c>
      <c r="AB653" s="52">
        <f>V653*W653</f>
        <v>0</v>
      </c>
      <c r="AC653" s="53">
        <f>(R653+V653)*W653</f>
        <v>29.9</v>
      </c>
      <c r="AD653" s="138">
        <v>29.9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107</v>
      </c>
      <c r="F654" s="96" t="s">
        <v>106</v>
      </c>
      <c r="G654" s="97">
        <v>46132</v>
      </c>
      <c r="H654" s="98">
        <v>0.3805439814814815</v>
      </c>
      <c r="I654" s="50">
        <v>166004578</v>
      </c>
      <c r="J654" s="96" t="s">
        <v>157</v>
      </c>
      <c r="K654" s="49" t="s">
        <v>1438</v>
      </c>
      <c r="L654" s="39" t="s">
        <v>104</v>
      </c>
      <c r="M654" s="49" t="s">
        <v>214</v>
      </c>
      <c r="N654" s="39" t="s">
        <v>756</v>
      </c>
      <c r="O654" s="96" t="s">
        <v>1439</v>
      </c>
      <c r="P654" s="49" t="s">
        <v>157</v>
      </c>
      <c r="Q654" s="96" t="s">
        <v>104</v>
      </c>
      <c r="R654" s="52">
        <v>23.9</v>
      </c>
      <c r="S654" s="52">
        <f>R654-T654</f>
        <v>21.33928571428571</v>
      </c>
      <c r="T654" s="52">
        <f>R654*U654/(U654+100)</f>
        <v>2.5607142857142855</v>
      </c>
      <c r="U654" s="50">
        <v>12</v>
      </c>
      <c r="V654" s="53">
        <v>0</v>
      </c>
      <c r="W654" s="147">
        <v>3</v>
      </c>
      <c r="X654" s="148" t="s">
        <v>163</v>
      </c>
      <c r="Y654" s="54">
        <f>R654*W654</f>
        <v>71.69999999999999</v>
      </c>
      <c r="Z654" s="52">
        <f>S654*W654</f>
        <v>64.01785714285714</v>
      </c>
      <c r="AA654" s="52">
        <f>T654*W654</f>
        <v>7.682142857142857</v>
      </c>
      <c r="AB654" s="52">
        <f>V654*W654</f>
        <v>0</v>
      </c>
      <c r="AC654" s="53">
        <f>(R654+V654)*W654</f>
        <v>71.69999999999999</v>
      </c>
      <c r="AD654" s="138">
        <v>23.9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107</v>
      </c>
      <c r="F655" s="96" t="s">
        <v>106</v>
      </c>
      <c r="G655" s="97">
        <v>46132</v>
      </c>
      <c r="H655" s="98">
        <v>0.3805439814814815</v>
      </c>
      <c r="I655" s="50">
        <v>166004578</v>
      </c>
      <c r="J655" s="96" t="s">
        <v>157</v>
      </c>
      <c r="K655" s="49" t="s">
        <v>1597</v>
      </c>
      <c r="L655" s="39" t="s">
        <v>1598</v>
      </c>
      <c r="M655" s="49" t="s">
        <v>214</v>
      </c>
      <c r="N655" s="39" t="s">
        <v>548</v>
      </c>
      <c r="O655" s="96" t="s">
        <v>1599</v>
      </c>
      <c r="P655" s="49" t="s">
        <v>157</v>
      </c>
      <c r="Q655" s="96" t="s">
        <v>104</v>
      </c>
      <c r="R655" s="52">
        <v>27.9</v>
      </c>
      <c r="S655" s="52">
        <f>R655-T655</f>
        <v>24.910714285714285</v>
      </c>
      <c r="T655" s="52">
        <f>R655*U655/(U655+100)</f>
        <v>2.989285714285714</v>
      </c>
      <c r="U655" s="50">
        <v>12</v>
      </c>
      <c r="V655" s="53">
        <v>0</v>
      </c>
      <c r="W655" s="147">
        <v>1</v>
      </c>
      <c r="X655" s="148" t="s">
        <v>163</v>
      </c>
      <c r="Y655" s="54">
        <f>R655*W655</f>
        <v>27.9</v>
      </c>
      <c r="Z655" s="52">
        <f>S655*W655</f>
        <v>24.910714285714285</v>
      </c>
      <c r="AA655" s="52">
        <f>T655*W655</f>
        <v>2.989285714285714</v>
      </c>
      <c r="AB655" s="52">
        <f>V655*W655</f>
        <v>0</v>
      </c>
      <c r="AC655" s="53">
        <f>(R655+V655)*W655</f>
        <v>27.9</v>
      </c>
      <c r="AD655" s="138">
        <v>27.9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107</v>
      </c>
      <c r="F656" s="96" t="s">
        <v>106</v>
      </c>
      <c r="G656" s="97">
        <v>46132</v>
      </c>
      <c r="H656" s="98">
        <v>0.3805439814814815</v>
      </c>
      <c r="I656" s="50">
        <v>166004578</v>
      </c>
      <c r="J656" s="96" t="s">
        <v>157</v>
      </c>
      <c r="K656" s="49" t="s">
        <v>1021</v>
      </c>
      <c r="L656" s="39" t="s">
        <v>1022</v>
      </c>
      <c r="M656" s="49" t="s">
        <v>190</v>
      </c>
      <c r="N656" s="39" t="s">
        <v>532</v>
      </c>
      <c r="O656" s="96" t="s">
        <v>1023</v>
      </c>
      <c r="P656" s="49" t="s">
        <v>157</v>
      </c>
      <c r="Q656" s="96" t="s">
        <v>104</v>
      </c>
      <c r="R656" s="52">
        <v>48.9</v>
      </c>
      <c r="S656" s="52">
        <f>R656-T656</f>
        <v>43.660714285714285</v>
      </c>
      <c r="T656" s="52">
        <f>R656*U656/(U656+100)</f>
        <v>5.239285714285714</v>
      </c>
      <c r="U656" s="50">
        <v>12</v>
      </c>
      <c r="V656" s="53">
        <v>0</v>
      </c>
      <c r="W656" s="147">
        <v>0.77</v>
      </c>
      <c r="X656" s="148" t="s">
        <v>193</v>
      </c>
      <c r="Y656" s="54">
        <f>R656*W656</f>
        <v>37.653</v>
      </c>
      <c r="Z656" s="52">
        <f>S656*W656</f>
        <v>33.61875</v>
      </c>
      <c r="AA656" s="52">
        <f>T656*W656</f>
        <v>4.03425</v>
      </c>
      <c r="AB656" s="52">
        <f>V656*W656</f>
        <v>0</v>
      </c>
      <c r="AC656" s="53">
        <f>(R656+V656)*W656</f>
        <v>37.653</v>
      </c>
      <c r="AD656" s="138">
        <v>48.9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107</v>
      </c>
      <c r="F657" s="96" t="s">
        <v>106</v>
      </c>
      <c r="G657" s="97">
        <v>46132</v>
      </c>
      <c r="H657" s="98">
        <v>0.3805439814814815</v>
      </c>
      <c r="I657" s="50">
        <v>166004578</v>
      </c>
      <c r="J657" s="96" t="s">
        <v>157</v>
      </c>
      <c r="K657" s="49" t="s">
        <v>266</v>
      </c>
      <c r="L657" s="39" t="s">
        <v>267</v>
      </c>
      <c r="M657" s="49" t="s">
        <v>268</v>
      </c>
      <c r="N657" s="39" t="s">
        <v>269</v>
      </c>
      <c r="O657" s="96" t="s">
        <v>1249</v>
      </c>
      <c r="P657" s="49" t="s">
        <v>235</v>
      </c>
      <c r="Q657" s="96" t="s">
        <v>236</v>
      </c>
      <c r="R657" s="52">
        <v>11.9</v>
      </c>
      <c r="S657" s="52">
        <f>R657-T657</f>
        <v>10.625</v>
      </c>
      <c r="T657" s="52">
        <f>R657*U657/(U657+100)</f>
        <v>1.2750000000000001</v>
      </c>
      <c r="U657" s="50">
        <v>12</v>
      </c>
      <c r="V657" s="53">
        <v>0</v>
      </c>
      <c r="W657" s="147">
        <v>4</v>
      </c>
      <c r="X657" s="148" t="s">
        <v>163</v>
      </c>
      <c r="Y657" s="54">
        <f>R657*W657</f>
        <v>47.6</v>
      </c>
      <c r="Z657" s="52">
        <f>S657*W657</f>
        <v>42.5</v>
      </c>
      <c r="AA657" s="52">
        <f>T657*W657</f>
        <v>5.1000000000000005</v>
      </c>
      <c r="AB657" s="52">
        <f>V657*W657</f>
        <v>0</v>
      </c>
      <c r="AC657" s="53">
        <f>(R657+V657)*W657</f>
        <v>47.6</v>
      </c>
      <c r="AD657" s="138">
        <v>11.9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107</v>
      </c>
      <c r="F658" s="96" t="s">
        <v>106</v>
      </c>
      <c r="G658" s="97">
        <v>46132</v>
      </c>
      <c r="H658" s="98">
        <v>0.3816087962962963</v>
      </c>
      <c r="I658" s="50">
        <v>166004579</v>
      </c>
      <c r="J658" s="96" t="s">
        <v>157</v>
      </c>
      <c r="K658" s="49" t="s">
        <v>1600</v>
      </c>
      <c r="L658" s="39" t="s">
        <v>1601</v>
      </c>
      <c r="M658" s="49" t="s">
        <v>160</v>
      </c>
      <c r="N658" s="39" t="s">
        <v>239</v>
      </c>
      <c r="O658" s="96" t="s">
        <v>1602</v>
      </c>
      <c r="P658" s="49" t="s">
        <v>157</v>
      </c>
      <c r="Q658" s="96" t="s">
        <v>104</v>
      </c>
      <c r="R658" s="52">
        <v>13.4</v>
      </c>
      <c r="S658" s="52">
        <f>R658-T658</f>
        <v>11.964285714285715</v>
      </c>
      <c r="T658" s="52">
        <f>R658*U658/(U658+100)</f>
        <v>1.4357142857142857</v>
      </c>
      <c r="U658" s="50">
        <v>12</v>
      </c>
      <c r="V658" s="53">
        <v>0</v>
      </c>
      <c r="W658" s="147">
        <v>1</v>
      </c>
      <c r="X658" s="148" t="s">
        <v>163</v>
      </c>
      <c r="Y658" s="54">
        <f>R658*W658</f>
        <v>13.4</v>
      </c>
      <c r="Z658" s="52">
        <f>S658*W658</f>
        <v>11.964285714285715</v>
      </c>
      <c r="AA658" s="52">
        <f>T658*W658</f>
        <v>1.4357142857142857</v>
      </c>
      <c r="AB658" s="52">
        <f>V658*W658</f>
        <v>0</v>
      </c>
      <c r="AC658" s="53">
        <f>(R658+V658)*W658</f>
        <v>13.4</v>
      </c>
      <c r="AD658" s="138">
        <v>13.4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107</v>
      </c>
      <c r="F659" s="96" t="s">
        <v>106</v>
      </c>
      <c r="G659" s="97">
        <v>46132</v>
      </c>
      <c r="H659" s="98">
        <v>0.3816087962962963</v>
      </c>
      <c r="I659" s="50">
        <v>166004579</v>
      </c>
      <c r="J659" s="96" t="s">
        <v>157</v>
      </c>
      <c r="K659" s="49" t="s">
        <v>1600</v>
      </c>
      <c r="L659" s="39" t="s">
        <v>1601</v>
      </c>
      <c r="M659" s="49" t="s">
        <v>160</v>
      </c>
      <c r="N659" s="39" t="s">
        <v>239</v>
      </c>
      <c r="O659" s="96" t="s">
        <v>1602</v>
      </c>
      <c r="P659" s="49" t="s">
        <v>157</v>
      </c>
      <c r="Q659" s="96" t="s">
        <v>104</v>
      </c>
      <c r="R659" s="52">
        <v>13.4</v>
      </c>
      <c r="S659" s="52">
        <f>R659-T659</f>
        <v>11.964285714285715</v>
      </c>
      <c r="T659" s="52">
        <f>R659*U659/(U659+100)</f>
        <v>1.4357142857142857</v>
      </c>
      <c r="U659" s="50">
        <v>12</v>
      </c>
      <c r="V659" s="53">
        <v>0</v>
      </c>
      <c r="W659" s="147">
        <v>1</v>
      </c>
      <c r="X659" s="148" t="s">
        <v>163</v>
      </c>
      <c r="Y659" s="54">
        <f>R659*W659</f>
        <v>13.4</v>
      </c>
      <c r="Z659" s="52">
        <f>S659*W659</f>
        <v>11.964285714285715</v>
      </c>
      <c r="AA659" s="52">
        <f>T659*W659</f>
        <v>1.4357142857142857</v>
      </c>
      <c r="AB659" s="52">
        <f>V659*W659</f>
        <v>0</v>
      </c>
      <c r="AC659" s="53">
        <f>(R659+V659)*W659</f>
        <v>13.4</v>
      </c>
      <c r="AD659" s="138">
        <v>13.4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107</v>
      </c>
      <c r="F660" s="96" t="s">
        <v>106</v>
      </c>
      <c r="G660" s="97">
        <v>46132</v>
      </c>
      <c r="H660" s="98">
        <v>0.3816087962962963</v>
      </c>
      <c r="I660" s="50">
        <v>166004579</v>
      </c>
      <c r="J660" s="96" t="s">
        <v>157</v>
      </c>
      <c r="K660" s="49" t="s">
        <v>1603</v>
      </c>
      <c r="L660" s="39" t="s">
        <v>1604</v>
      </c>
      <c r="M660" s="49" t="s">
        <v>232</v>
      </c>
      <c r="N660" s="39" t="s">
        <v>167</v>
      </c>
      <c r="O660" s="96" t="s">
        <v>1605</v>
      </c>
      <c r="P660" s="49" t="s">
        <v>157</v>
      </c>
      <c r="Q660" s="96" t="s">
        <v>104</v>
      </c>
      <c r="R660" s="52">
        <v>32.9</v>
      </c>
      <c r="S660" s="52">
        <f>R660-T660</f>
        <v>27.1900826446281</v>
      </c>
      <c r="T660" s="52">
        <f>R660*U660/(U660+100)</f>
        <v>5.709917355371901</v>
      </c>
      <c r="U660" s="50">
        <v>21</v>
      </c>
      <c r="V660" s="53">
        <v>0</v>
      </c>
      <c r="W660" s="147">
        <v>1</v>
      </c>
      <c r="X660" s="148" t="s">
        <v>163</v>
      </c>
      <c r="Y660" s="54">
        <f>R660*W660</f>
        <v>32.9</v>
      </c>
      <c r="Z660" s="52">
        <f>S660*W660</f>
        <v>27.1900826446281</v>
      </c>
      <c r="AA660" s="52">
        <f>T660*W660</f>
        <v>5.709917355371901</v>
      </c>
      <c r="AB660" s="52">
        <f>V660*W660</f>
        <v>0</v>
      </c>
      <c r="AC660" s="53">
        <f>(R660+V660)*W660</f>
        <v>32.9</v>
      </c>
      <c r="AD660" s="138">
        <v>32.9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107</v>
      </c>
      <c r="F661" s="96" t="s">
        <v>106</v>
      </c>
      <c r="G661" s="97">
        <v>46132</v>
      </c>
      <c r="H661" s="98">
        <v>0.3816087962962963</v>
      </c>
      <c r="I661" s="50">
        <v>166004579</v>
      </c>
      <c r="J661" s="96" t="s">
        <v>157</v>
      </c>
      <c r="K661" s="49" t="s">
        <v>1606</v>
      </c>
      <c r="L661" s="39" t="s">
        <v>1607</v>
      </c>
      <c r="M661" s="49" t="s">
        <v>620</v>
      </c>
      <c r="N661" s="39" t="s">
        <v>167</v>
      </c>
      <c r="O661" s="96" t="s">
        <v>1608</v>
      </c>
      <c r="P661" s="49" t="s">
        <v>157</v>
      </c>
      <c r="Q661" s="96" t="s">
        <v>104</v>
      </c>
      <c r="R661" s="52">
        <v>14.9</v>
      </c>
      <c r="S661" s="52">
        <f>R661-T661</f>
        <v>12.31404958677686</v>
      </c>
      <c r="T661" s="52">
        <f>R661*U661/(U661+100)</f>
        <v>2.5859504132231406</v>
      </c>
      <c r="U661" s="50">
        <v>21</v>
      </c>
      <c r="V661" s="53">
        <v>0</v>
      </c>
      <c r="W661" s="147">
        <v>1</v>
      </c>
      <c r="X661" s="148" t="s">
        <v>163</v>
      </c>
      <c r="Y661" s="54">
        <f>R661*W661</f>
        <v>14.9</v>
      </c>
      <c r="Z661" s="52">
        <f>S661*W661</f>
        <v>12.31404958677686</v>
      </c>
      <c r="AA661" s="52">
        <f>T661*W661</f>
        <v>2.5859504132231406</v>
      </c>
      <c r="AB661" s="52">
        <f>V661*W661</f>
        <v>0</v>
      </c>
      <c r="AC661" s="53">
        <f>(R661+V661)*W661</f>
        <v>14.9</v>
      </c>
      <c r="AD661" s="138">
        <v>14.9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107</v>
      </c>
      <c r="F662" s="96" t="s">
        <v>106</v>
      </c>
      <c r="G662" s="97">
        <v>46132</v>
      </c>
      <c r="H662" s="98">
        <v>0.3816087962962963</v>
      </c>
      <c r="I662" s="50">
        <v>166004579</v>
      </c>
      <c r="J662" s="96" t="s">
        <v>157</v>
      </c>
      <c r="K662" s="49" t="s">
        <v>1609</v>
      </c>
      <c r="L662" s="39" t="s">
        <v>1610</v>
      </c>
      <c r="M662" s="49" t="s">
        <v>862</v>
      </c>
      <c r="N662" s="39" t="s">
        <v>863</v>
      </c>
      <c r="O662" s="96" t="s">
        <v>1611</v>
      </c>
      <c r="P662" s="49" t="s">
        <v>157</v>
      </c>
      <c r="Q662" s="96" t="s">
        <v>104</v>
      </c>
      <c r="R662" s="52">
        <v>162</v>
      </c>
      <c r="S662" s="52">
        <f>R662-T662</f>
        <v>133.88429752066116</v>
      </c>
      <c r="T662" s="52">
        <f>R662*U662/(U662+100)</f>
        <v>28.115702479338843</v>
      </c>
      <c r="U662" s="50">
        <v>21</v>
      </c>
      <c r="V662" s="53">
        <v>0</v>
      </c>
      <c r="W662" s="147">
        <v>1</v>
      </c>
      <c r="X662" s="148" t="s">
        <v>163</v>
      </c>
      <c r="Y662" s="54">
        <f>R662*W662</f>
        <v>162</v>
      </c>
      <c r="Z662" s="52">
        <f>S662*W662</f>
        <v>133.88429752066116</v>
      </c>
      <c r="AA662" s="52">
        <f>T662*W662</f>
        <v>28.115702479338843</v>
      </c>
      <c r="AB662" s="52">
        <f>V662*W662</f>
        <v>0</v>
      </c>
      <c r="AC662" s="53">
        <f>(R662+V662)*W662</f>
        <v>162</v>
      </c>
      <c r="AD662" s="138">
        <v>162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107</v>
      </c>
      <c r="F663" s="96" t="s">
        <v>106</v>
      </c>
      <c r="G663" s="97">
        <v>46132</v>
      </c>
      <c r="H663" s="98">
        <v>0.3816087962962963</v>
      </c>
      <c r="I663" s="50">
        <v>166004579</v>
      </c>
      <c r="J663" s="96" t="s">
        <v>157</v>
      </c>
      <c r="K663" s="49" t="s">
        <v>183</v>
      </c>
      <c r="L663" s="39" t="s">
        <v>184</v>
      </c>
      <c r="M663" s="49" t="s">
        <v>185</v>
      </c>
      <c r="N663" s="39" t="s">
        <v>186</v>
      </c>
      <c r="O663" s="96" t="s">
        <v>988</v>
      </c>
      <c r="P663" s="49" t="s">
        <v>157</v>
      </c>
      <c r="Q663" s="96" t="s">
        <v>104</v>
      </c>
      <c r="R663" s="52">
        <v>1.9</v>
      </c>
      <c r="S663" s="52">
        <f>R663-T663</f>
        <v>1.5702479338842974</v>
      </c>
      <c r="T663" s="52">
        <f>R663*U663/(U663+100)</f>
        <v>0.32975206611570246</v>
      </c>
      <c r="U663" s="50">
        <v>21</v>
      </c>
      <c r="V663" s="53">
        <v>0</v>
      </c>
      <c r="W663" s="147">
        <v>1</v>
      </c>
      <c r="X663" s="148" t="s">
        <v>163</v>
      </c>
      <c r="Y663" s="54">
        <f>R663*W663</f>
        <v>1.9</v>
      </c>
      <c r="Z663" s="52">
        <f>S663*W663</f>
        <v>1.5702479338842974</v>
      </c>
      <c r="AA663" s="52">
        <f>T663*W663</f>
        <v>0.32975206611570246</v>
      </c>
      <c r="AB663" s="52">
        <f>V663*W663</f>
        <v>0</v>
      </c>
      <c r="AC663" s="53">
        <f>(R663+V663)*W663</f>
        <v>1.9</v>
      </c>
      <c r="AD663" s="138">
        <v>1.9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107</v>
      </c>
      <c r="F664" s="96" t="s">
        <v>106</v>
      </c>
      <c r="G664" s="97">
        <v>46132</v>
      </c>
      <c r="H664" s="98">
        <v>0.3816087962962963</v>
      </c>
      <c r="I664" s="50">
        <v>166004579</v>
      </c>
      <c r="J664" s="96" t="s">
        <v>157</v>
      </c>
      <c r="K664" s="49" t="s">
        <v>1612</v>
      </c>
      <c r="L664" s="39" t="s">
        <v>1613</v>
      </c>
      <c r="M664" s="49" t="s">
        <v>190</v>
      </c>
      <c r="N664" s="39" t="s">
        <v>462</v>
      </c>
      <c r="O664" s="96" t="s">
        <v>1614</v>
      </c>
      <c r="P664" s="49" t="s">
        <v>157</v>
      </c>
      <c r="Q664" s="96" t="s">
        <v>104</v>
      </c>
      <c r="R664" s="52">
        <v>33.9</v>
      </c>
      <c r="S664" s="52">
        <f>R664-T664</f>
        <v>30.267857142857142</v>
      </c>
      <c r="T664" s="52">
        <f>R664*U664/(U664+100)</f>
        <v>3.6321428571428567</v>
      </c>
      <c r="U664" s="50">
        <v>12</v>
      </c>
      <c r="V664" s="53">
        <v>0</v>
      </c>
      <c r="W664" s="147">
        <v>1</v>
      </c>
      <c r="X664" s="148" t="s">
        <v>163</v>
      </c>
      <c r="Y664" s="54">
        <f>R664*W664</f>
        <v>33.9</v>
      </c>
      <c r="Z664" s="52">
        <f>S664*W664</f>
        <v>30.267857142857142</v>
      </c>
      <c r="AA664" s="52">
        <f>T664*W664</f>
        <v>3.6321428571428567</v>
      </c>
      <c r="AB664" s="52">
        <f>V664*W664</f>
        <v>0</v>
      </c>
      <c r="AC664" s="53">
        <f>(R664+V664)*W664</f>
        <v>33.9</v>
      </c>
      <c r="AD664" s="138">
        <v>33.9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107</v>
      </c>
      <c r="F665" s="96" t="s">
        <v>106</v>
      </c>
      <c r="G665" s="97">
        <v>46132</v>
      </c>
      <c r="H665" s="98">
        <v>0.3816087962962963</v>
      </c>
      <c r="I665" s="50">
        <v>166004579</v>
      </c>
      <c r="J665" s="96" t="s">
        <v>157</v>
      </c>
      <c r="K665" s="49" t="s">
        <v>517</v>
      </c>
      <c r="L665" s="39" t="s">
        <v>518</v>
      </c>
      <c r="M665" s="49" t="s">
        <v>214</v>
      </c>
      <c r="N665" s="39" t="s">
        <v>273</v>
      </c>
      <c r="O665" s="96" t="s">
        <v>1111</v>
      </c>
      <c r="P665" s="49" t="s">
        <v>157</v>
      </c>
      <c r="Q665" s="96" t="s">
        <v>104</v>
      </c>
      <c r="R665" s="52">
        <v>15.9</v>
      </c>
      <c r="S665" s="52">
        <f>R665-T665</f>
        <v>14.196428571428571</v>
      </c>
      <c r="T665" s="52">
        <f>R665*U665/(U665+100)</f>
        <v>1.7035714285714287</v>
      </c>
      <c r="U665" s="50">
        <v>12</v>
      </c>
      <c r="V665" s="53">
        <v>0</v>
      </c>
      <c r="W665" s="147">
        <v>2</v>
      </c>
      <c r="X665" s="148" t="s">
        <v>163</v>
      </c>
      <c r="Y665" s="54">
        <f>R665*W665</f>
        <v>31.8</v>
      </c>
      <c r="Z665" s="52">
        <f>S665*W665</f>
        <v>28.392857142857142</v>
      </c>
      <c r="AA665" s="52">
        <f>T665*W665</f>
        <v>3.4071428571428575</v>
      </c>
      <c r="AB665" s="52">
        <f>V665*W665</f>
        <v>0</v>
      </c>
      <c r="AC665" s="53">
        <f>(R665+V665)*W665</f>
        <v>31.8</v>
      </c>
      <c r="AD665" s="138">
        <v>15.9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107</v>
      </c>
      <c r="F666" s="96" t="s">
        <v>106</v>
      </c>
      <c r="G666" s="97">
        <v>46132</v>
      </c>
      <c r="H666" s="98">
        <v>0.3816087962962963</v>
      </c>
      <c r="I666" s="50">
        <v>166004579</v>
      </c>
      <c r="J666" s="96" t="s">
        <v>157</v>
      </c>
      <c r="K666" s="49" t="s">
        <v>438</v>
      </c>
      <c r="L666" s="39" t="s">
        <v>439</v>
      </c>
      <c r="M666" s="49" t="s">
        <v>185</v>
      </c>
      <c r="N666" s="39" t="s">
        <v>440</v>
      </c>
      <c r="O666" s="96" t="s">
        <v>1615</v>
      </c>
      <c r="P666" s="49" t="s">
        <v>157</v>
      </c>
      <c r="Q666" s="96" t="s">
        <v>104</v>
      </c>
      <c r="R666" s="52">
        <v>27.9</v>
      </c>
      <c r="S666" s="52">
        <f>R666-T666</f>
        <v>24.910714285714285</v>
      </c>
      <c r="T666" s="52">
        <f>R666*U666/(U666+100)</f>
        <v>2.989285714285714</v>
      </c>
      <c r="U666" s="50">
        <v>12</v>
      </c>
      <c r="V666" s="53">
        <v>0</v>
      </c>
      <c r="W666" s="147">
        <v>1</v>
      </c>
      <c r="X666" s="148" t="s">
        <v>163</v>
      </c>
      <c r="Y666" s="54">
        <f>R666*W666</f>
        <v>27.9</v>
      </c>
      <c r="Z666" s="52">
        <f>S666*W666</f>
        <v>24.910714285714285</v>
      </c>
      <c r="AA666" s="52">
        <f>T666*W666</f>
        <v>2.989285714285714</v>
      </c>
      <c r="AB666" s="52">
        <f>V666*W666</f>
        <v>0</v>
      </c>
      <c r="AC666" s="53">
        <f>(R666+V666)*W666</f>
        <v>27.9</v>
      </c>
      <c r="AD666" s="138">
        <v>27.9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107</v>
      </c>
      <c r="F667" s="96" t="s">
        <v>106</v>
      </c>
      <c r="G667" s="97">
        <v>46132</v>
      </c>
      <c r="H667" s="98">
        <v>0.3816087962962963</v>
      </c>
      <c r="I667" s="50">
        <v>166004579</v>
      </c>
      <c r="J667" s="96" t="s">
        <v>157</v>
      </c>
      <c r="K667" s="49" t="s">
        <v>293</v>
      </c>
      <c r="L667" s="39" t="s">
        <v>294</v>
      </c>
      <c r="M667" s="49" t="s">
        <v>295</v>
      </c>
      <c r="N667" s="39" t="s">
        <v>296</v>
      </c>
      <c r="O667" s="96" t="s">
        <v>297</v>
      </c>
      <c r="P667" s="49" t="s">
        <v>157</v>
      </c>
      <c r="Q667" s="96" t="s">
        <v>104</v>
      </c>
      <c r="R667" s="52">
        <v>2.9</v>
      </c>
      <c r="S667" s="52">
        <f>R667-T667</f>
        <v>2.5892857142857144</v>
      </c>
      <c r="T667" s="52">
        <f>R667*U667/(U667+100)</f>
        <v>0.31071428571428567</v>
      </c>
      <c r="U667" s="50">
        <v>12</v>
      </c>
      <c r="V667" s="53">
        <v>0</v>
      </c>
      <c r="W667" s="147">
        <v>7</v>
      </c>
      <c r="X667" s="148" t="s">
        <v>163</v>
      </c>
      <c r="Y667" s="54">
        <f>R667*W667</f>
        <v>20.3</v>
      </c>
      <c r="Z667" s="52">
        <f>S667*W667</f>
        <v>18.125</v>
      </c>
      <c r="AA667" s="52">
        <f>T667*W667</f>
        <v>2.175</v>
      </c>
      <c r="AB667" s="52">
        <f>V667*W667</f>
        <v>0</v>
      </c>
      <c r="AC667" s="53">
        <f>(R667+V667)*W667</f>
        <v>20.3</v>
      </c>
      <c r="AD667" s="138">
        <v>2.9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107</v>
      </c>
      <c r="F668" s="96" t="s">
        <v>106</v>
      </c>
      <c r="G668" s="97">
        <v>46132</v>
      </c>
      <c r="H668" s="98">
        <v>0.3816087962962963</v>
      </c>
      <c r="I668" s="50">
        <v>166004579</v>
      </c>
      <c r="J668" s="96" t="s">
        <v>157</v>
      </c>
      <c r="K668" s="49" t="s">
        <v>553</v>
      </c>
      <c r="L668" s="39" t="s">
        <v>104</v>
      </c>
      <c r="M668" s="49" t="s">
        <v>554</v>
      </c>
      <c r="N668" s="39" t="s">
        <v>296</v>
      </c>
      <c r="O668" s="96" t="s">
        <v>555</v>
      </c>
      <c r="P668" s="49" t="s">
        <v>157</v>
      </c>
      <c r="Q668" s="96" t="s">
        <v>104</v>
      </c>
      <c r="R668" s="52">
        <v>8.9</v>
      </c>
      <c r="S668" s="52">
        <f>R668-T668</f>
        <v>7.946428571428572</v>
      </c>
      <c r="T668" s="52">
        <f>R668*U668/(U668+100)</f>
        <v>0.9535714285714286</v>
      </c>
      <c r="U668" s="50">
        <v>12</v>
      </c>
      <c r="V668" s="53">
        <v>0</v>
      </c>
      <c r="W668" s="147">
        <v>4</v>
      </c>
      <c r="X668" s="148" t="s">
        <v>163</v>
      </c>
      <c r="Y668" s="54">
        <f>R668*W668</f>
        <v>35.6</v>
      </c>
      <c r="Z668" s="52">
        <f>S668*W668</f>
        <v>31.78571428571429</v>
      </c>
      <c r="AA668" s="52">
        <f>T668*W668</f>
        <v>3.8142857142857145</v>
      </c>
      <c r="AB668" s="52">
        <f>V668*W668</f>
        <v>0</v>
      </c>
      <c r="AC668" s="53">
        <f>(R668+V668)*W668</f>
        <v>35.6</v>
      </c>
      <c r="AD668" s="138">
        <v>8.9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107</v>
      </c>
      <c r="F669" s="96" t="s">
        <v>106</v>
      </c>
      <c r="G669" s="97">
        <v>46132</v>
      </c>
      <c r="H669" s="98">
        <v>0.3833564814814815</v>
      </c>
      <c r="I669" s="50">
        <v>166004580</v>
      </c>
      <c r="J669" s="96" t="s">
        <v>157</v>
      </c>
      <c r="K669" s="49" t="s">
        <v>946</v>
      </c>
      <c r="L669" s="39" t="s">
        <v>947</v>
      </c>
      <c r="M669" s="49" t="s">
        <v>318</v>
      </c>
      <c r="N669" s="39" t="s">
        <v>319</v>
      </c>
      <c r="O669" s="96" t="s">
        <v>1512</v>
      </c>
      <c r="P669" s="49" t="s">
        <v>235</v>
      </c>
      <c r="Q669" s="96" t="s">
        <v>236</v>
      </c>
      <c r="R669" s="52">
        <v>16.9</v>
      </c>
      <c r="S669" s="52">
        <f>R669-T669</f>
        <v>15.089285714285714</v>
      </c>
      <c r="T669" s="52">
        <f>R669*U669/(U669+100)</f>
        <v>1.8107142857142855</v>
      </c>
      <c r="U669" s="50">
        <v>12</v>
      </c>
      <c r="V669" s="53">
        <v>0</v>
      </c>
      <c r="W669" s="147">
        <v>1</v>
      </c>
      <c r="X669" s="148" t="s">
        <v>163</v>
      </c>
      <c r="Y669" s="54">
        <f>R669*W669</f>
        <v>16.9</v>
      </c>
      <c r="Z669" s="52">
        <f>S669*W669</f>
        <v>15.089285714285714</v>
      </c>
      <c r="AA669" s="52">
        <f>T669*W669</f>
        <v>1.8107142857142855</v>
      </c>
      <c r="AB669" s="52">
        <f>V669*W669</f>
        <v>0</v>
      </c>
      <c r="AC669" s="53">
        <f>(R669+V669)*W669</f>
        <v>16.9</v>
      </c>
      <c r="AD669" s="138">
        <v>16.9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107</v>
      </c>
      <c r="F670" s="96" t="s">
        <v>106</v>
      </c>
      <c r="G670" s="97">
        <v>46132</v>
      </c>
      <c r="H670" s="98">
        <v>0.3833564814814815</v>
      </c>
      <c r="I670" s="50">
        <v>166004580</v>
      </c>
      <c r="J670" s="96" t="s">
        <v>157</v>
      </c>
      <c r="K670" s="49" t="s">
        <v>250</v>
      </c>
      <c r="L670" s="39" t="s">
        <v>251</v>
      </c>
      <c r="M670" s="49" t="s">
        <v>209</v>
      </c>
      <c r="N670" s="39" t="s">
        <v>228</v>
      </c>
      <c r="O670" s="96" t="s">
        <v>981</v>
      </c>
      <c r="P670" s="49" t="s">
        <v>157</v>
      </c>
      <c r="Q670" s="96" t="s">
        <v>104</v>
      </c>
      <c r="R670" s="52">
        <v>27.9</v>
      </c>
      <c r="S670" s="52">
        <f>R670-T670</f>
        <v>24.910714285714285</v>
      </c>
      <c r="T670" s="52">
        <f>R670*U670/(U670+100)</f>
        <v>2.989285714285714</v>
      </c>
      <c r="U670" s="50">
        <v>12</v>
      </c>
      <c r="V670" s="53">
        <v>0</v>
      </c>
      <c r="W670" s="147">
        <v>1</v>
      </c>
      <c r="X670" s="148" t="s">
        <v>163</v>
      </c>
      <c r="Y670" s="54">
        <f>R670*W670</f>
        <v>27.9</v>
      </c>
      <c r="Z670" s="52">
        <f>S670*W670</f>
        <v>24.910714285714285</v>
      </c>
      <c r="AA670" s="52">
        <f>T670*W670</f>
        <v>2.989285714285714</v>
      </c>
      <c r="AB670" s="52">
        <f>V670*W670</f>
        <v>0</v>
      </c>
      <c r="AC670" s="53">
        <f>(R670+V670)*W670</f>
        <v>27.9</v>
      </c>
      <c r="AD670" s="138">
        <v>27.9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107</v>
      </c>
      <c r="F671" s="96" t="s">
        <v>106</v>
      </c>
      <c r="G671" s="97">
        <v>46132</v>
      </c>
      <c r="H671" s="98">
        <v>0.3833564814814815</v>
      </c>
      <c r="I671" s="50">
        <v>166004580</v>
      </c>
      <c r="J671" s="96" t="s">
        <v>157</v>
      </c>
      <c r="K671" s="49" t="s">
        <v>1616</v>
      </c>
      <c r="L671" s="39" t="s">
        <v>1617</v>
      </c>
      <c r="M671" s="49" t="s">
        <v>649</v>
      </c>
      <c r="N671" s="39" t="s">
        <v>1618</v>
      </c>
      <c r="O671" s="96" t="s">
        <v>1619</v>
      </c>
      <c r="P671" s="49" t="s">
        <v>157</v>
      </c>
      <c r="Q671" s="96" t="s">
        <v>104</v>
      </c>
      <c r="R671" s="52">
        <v>27.9</v>
      </c>
      <c r="S671" s="52">
        <f>R671-T671</f>
        <v>24.910714285714285</v>
      </c>
      <c r="T671" s="52">
        <f>R671*U671/(U671+100)</f>
        <v>2.989285714285714</v>
      </c>
      <c r="U671" s="50">
        <v>12</v>
      </c>
      <c r="V671" s="53">
        <v>0</v>
      </c>
      <c r="W671" s="147">
        <v>1</v>
      </c>
      <c r="X671" s="148" t="s">
        <v>163</v>
      </c>
      <c r="Y671" s="54">
        <f>R671*W671</f>
        <v>27.9</v>
      </c>
      <c r="Z671" s="52">
        <f>S671*W671</f>
        <v>24.910714285714285</v>
      </c>
      <c r="AA671" s="52">
        <f>T671*W671</f>
        <v>2.989285714285714</v>
      </c>
      <c r="AB671" s="52">
        <f>V671*W671</f>
        <v>0</v>
      </c>
      <c r="AC671" s="53">
        <f>(R671+V671)*W671</f>
        <v>27.9</v>
      </c>
      <c r="AD671" s="138">
        <v>27.9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107</v>
      </c>
      <c r="F672" s="96" t="s">
        <v>106</v>
      </c>
      <c r="G672" s="97">
        <v>46132</v>
      </c>
      <c r="H672" s="98">
        <v>0.3833564814814815</v>
      </c>
      <c r="I672" s="50">
        <v>166004580</v>
      </c>
      <c r="J672" s="96" t="s">
        <v>157</v>
      </c>
      <c r="K672" s="49" t="s">
        <v>303</v>
      </c>
      <c r="L672" s="39" t="s">
        <v>304</v>
      </c>
      <c r="M672" s="49" t="s">
        <v>214</v>
      </c>
      <c r="N672" s="39" t="s">
        <v>296</v>
      </c>
      <c r="O672" s="96" t="s">
        <v>305</v>
      </c>
      <c r="P672" s="49" t="s">
        <v>157</v>
      </c>
      <c r="Q672" s="96" t="s">
        <v>104</v>
      </c>
      <c r="R672" s="52">
        <v>11.9</v>
      </c>
      <c r="S672" s="52">
        <f>R672-T672</f>
        <v>10.625</v>
      </c>
      <c r="T672" s="52">
        <f>R672*U672/(U672+100)</f>
        <v>1.2750000000000001</v>
      </c>
      <c r="U672" s="50">
        <v>12</v>
      </c>
      <c r="V672" s="53">
        <v>0</v>
      </c>
      <c r="W672" s="147">
        <v>1</v>
      </c>
      <c r="X672" s="148" t="s">
        <v>163</v>
      </c>
      <c r="Y672" s="54">
        <f>R672*W672</f>
        <v>11.9</v>
      </c>
      <c r="Z672" s="52">
        <f>S672*W672</f>
        <v>10.625</v>
      </c>
      <c r="AA672" s="52">
        <f>T672*W672</f>
        <v>1.2750000000000001</v>
      </c>
      <c r="AB672" s="52">
        <f>V672*W672</f>
        <v>0</v>
      </c>
      <c r="AC672" s="53">
        <f>(R672+V672)*W672</f>
        <v>11.9</v>
      </c>
      <c r="AD672" s="138">
        <v>11.9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107</v>
      </c>
      <c r="F673" s="96" t="s">
        <v>106</v>
      </c>
      <c r="G673" s="97">
        <v>46132</v>
      </c>
      <c r="H673" s="98">
        <v>0.3833564814814815</v>
      </c>
      <c r="I673" s="50">
        <v>166004580</v>
      </c>
      <c r="J673" s="96" t="s">
        <v>157</v>
      </c>
      <c r="K673" s="49" t="s">
        <v>1164</v>
      </c>
      <c r="L673" s="39" t="s">
        <v>1165</v>
      </c>
      <c r="M673" s="49" t="s">
        <v>277</v>
      </c>
      <c r="N673" s="39" t="s">
        <v>408</v>
      </c>
      <c r="O673" s="96" t="s">
        <v>1166</v>
      </c>
      <c r="P673" s="49" t="s">
        <v>157</v>
      </c>
      <c r="Q673" s="96" t="s">
        <v>104</v>
      </c>
      <c r="R673" s="52">
        <v>159.9</v>
      </c>
      <c r="S673" s="52">
        <f>R673-T673</f>
        <v>142.76785714285714</v>
      </c>
      <c r="T673" s="52">
        <f>R673*U673/(U673+100)</f>
        <v>17.13214285714286</v>
      </c>
      <c r="U673" s="50">
        <v>12</v>
      </c>
      <c r="V673" s="53">
        <v>0</v>
      </c>
      <c r="W673" s="147">
        <v>0.186</v>
      </c>
      <c r="X673" s="148" t="s">
        <v>410</v>
      </c>
      <c r="Y673" s="54">
        <f>R673*W673</f>
        <v>29.741400000000002</v>
      </c>
      <c r="Z673" s="52">
        <f>S673*W673</f>
        <v>26.554821428571426</v>
      </c>
      <c r="AA673" s="52">
        <f>T673*W673</f>
        <v>3.186578571428572</v>
      </c>
      <c r="AB673" s="52">
        <f>V673*W673</f>
        <v>0</v>
      </c>
      <c r="AC673" s="53">
        <f>(R673+V673)*W673</f>
        <v>29.741400000000002</v>
      </c>
      <c r="AD673" s="138">
        <v>159.9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107</v>
      </c>
      <c r="F674" s="96" t="s">
        <v>106</v>
      </c>
      <c r="G674" s="97">
        <v>46132</v>
      </c>
      <c r="H674" s="98">
        <v>0.38515046296296296</v>
      </c>
      <c r="I674" s="50">
        <v>166004581</v>
      </c>
      <c r="J674" s="96" t="s">
        <v>157</v>
      </c>
      <c r="K674" s="49" t="s">
        <v>1620</v>
      </c>
      <c r="L674" s="39" t="s">
        <v>1621</v>
      </c>
      <c r="M674" s="49" t="s">
        <v>527</v>
      </c>
      <c r="N674" s="39" t="s">
        <v>1622</v>
      </c>
      <c r="O674" s="96" t="s">
        <v>1623</v>
      </c>
      <c r="P674" s="49" t="s">
        <v>235</v>
      </c>
      <c r="Q674" s="96" t="s">
        <v>236</v>
      </c>
      <c r="R674" s="52">
        <v>24.9</v>
      </c>
      <c r="S674" s="52">
        <f>R674-T674</f>
        <v>22.232142857142858</v>
      </c>
      <c r="T674" s="52">
        <f>R674*U674/(U674+100)</f>
        <v>2.6678571428571423</v>
      </c>
      <c r="U674" s="50">
        <v>12</v>
      </c>
      <c r="V674" s="53">
        <v>0</v>
      </c>
      <c r="W674" s="147">
        <v>1</v>
      </c>
      <c r="X674" s="148" t="s">
        <v>163</v>
      </c>
      <c r="Y674" s="54">
        <f>R674*W674</f>
        <v>24.9</v>
      </c>
      <c r="Z674" s="52">
        <f>S674*W674</f>
        <v>22.232142857142858</v>
      </c>
      <c r="AA674" s="52">
        <f>T674*W674</f>
        <v>2.6678571428571423</v>
      </c>
      <c r="AB674" s="52">
        <f>V674*W674</f>
        <v>0</v>
      </c>
      <c r="AC674" s="53">
        <f>(R674+V674)*W674</f>
        <v>24.9</v>
      </c>
      <c r="AD674" s="138">
        <v>24.9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107</v>
      </c>
      <c r="F675" s="96" t="s">
        <v>106</v>
      </c>
      <c r="G675" s="97">
        <v>46132</v>
      </c>
      <c r="H675" s="98">
        <v>0.38515046296296296</v>
      </c>
      <c r="I675" s="50">
        <v>166004581</v>
      </c>
      <c r="J675" s="96" t="s">
        <v>157</v>
      </c>
      <c r="K675" s="49" t="s">
        <v>1624</v>
      </c>
      <c r="L675" s="39" t="s">
        <v>1625</v>
      </c>
      <c r="M675" s="49" t="s">
        <v>1626</v>
      </c>
      <c r="N675" s="39" t="s">
        <v>291</v>
      </c>
      <c r="O675" s="96" t="s">
        <v>1627</v>
      </c>
      <c r="P675" s="49" t="s">
        <v>157</v>
      </c>
      <c r="Q675" s="96" t="s">
        <v>104</v>
      </c>
      <c r="R675" s="52">
        <v>43.9</v>
      </c>
      <c r="S675" s="52">
        <f>R675-T675</f>
        <v>39.19642857142857</v>
      </c>
      <c r="T675" s="52">
        <f>R675*U675/(U675+100)</f>
        <v>4.703571428571428</v>
      </c>
      <c r="U675" s="50">
        <v>12</v>
      </c>
      <c r="V675" s="53">
        <v>0</v>
      </c>
      <c r="W675" s="147">
        <v>1</v>
      </c>
      <c r="X675" s="148" t="s">
        <v>163</v>
      </c>
      <c r="Y675" s="54">
        <f>R675*W675</f>
        <v>43.9</v>
      </c>
      <c r="Z675" s="52">
        <f>S675*W675</f>
        <v>39.19642857142857</v>
      </c>
      <c r="AA675" s="52">
        <f>T675*W675</f>
        <v>4.703571428571428</v>
      </c>
      <c r="AB675" s="52">
        <f>V675*W675</f>
        <v>0</v>
      </c>
      <c r="AC675" s="53">
        <f>(R675+V675)*W675</f>
        <v>43.9</v>
      </c>
      <c r="AD675" s="138">
        <v>43.9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107</v>
      </c>
      <c r="F676" s="96" t="s">
        <v>106</v>
      </c>
      <c r="G676" s="97">
        <v>46132</v>
      </c>
      <c r="H676" s="98">
        <v>0.38515046296296296</v>
      </c>
      <c r="I676" s="50">
        <v>166004581</v>
      </c>
      <c r="J676" s="96" t="s">
        <v>157</v>
      </c>
      <c r="K676" s="49" t="s">
        <v>1628</v>
      </c>
      <c r="L676" s="39" t="s">
        <v>1629</v>
      </c>
      <c r="M676" s="49" t="s">
        <v>466</v>
      </c>
      <c r="N676" s="39" t="s">
        <v>609</v>
      </c>
      <c r="O676" s="96" t="s">
        <v>1630</v>
      </c>
      <c r="P676" s="49" t="s">
        <v>157</v>
      </c>
      <c r="Q676" s="96" t="s">
        <v>104</v>
      </c>
      <c r="R676" s="52">
        <v>17.9</v>
      </c>
      <c r="S676" s="52">
        <f>R676-T676</f>
        <v>15.982142857142856</v>
      </c>
      <c r="T676" s="52">
        <f>R676*U676/(U676+100)</f>
        <v>1.9178571428571427</v>
      </c>
      <c r="U676" s="50">
        <v>12</v>
      </c>
      <c r="V676" s="53">
        <v>0</v>
      </c>
      <c r="W676" s="147">
        <v>1</v>
      </c>
      <c r="X676" s="148" t="s">
        <v>163</v>
      </c>
      <c r="Y676" s="54">
        <f>R676*W676</f>
        <v>17.9</v>
      </c>
      <c r="Z676" s="52">
        <f>S676*W676</f>
        <v>15.982142857142856</v>
      </c>
      <c r="AA676" s="52">
        <f>T676*W676</f>
        <v>1.9178571428571427</v>
      </c>
      <c r="AB676" s="52">
        <f>V676*W676</f>
        <v>0</v>
      </c>
      <c r="AC676" s="53">
        <f>(R676+V676)*W676</f>
        <v>17.9</v>
      </c>
      <c r="AD676" s="138">
        <v>17.9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107</v>
      </c>
      <c r="F677" s="96" t="s">
        <v>106</v>
      </c>
      <c r="G677" s="97">
        <v>46132</v>
      </c>
      <c r="H677" s="98">
        <v>0.38515046296296296</v>
      </c>
      <c r="I677" s="50">
        <v>166004581</v>
      </c>
      <c r="J677" s="96" t="s">
        <v>157</v>
      </c>
      <c r="K677" s="49" t="s">
        <v>1628</v>
      </c>
      <c r="L677" s="39" t="s">
        <v>1629</v>
      </c>
      <c r="M677" s="49" t="s">
        <v>466</v>
      </c>
      <c r="N677" s="39" t="s">
        <v>609</v>
      </c>
      <c r="O677" s="96" t="s">
        <v>1630</v>
      </c>
      <c r="P677" s="49" t="s">
        <v>157</v>
      </c>
      <c r="Q677" s="96" t="s">
        <v>104</v>
      </c>
      <c r="R677" s="52">
        <v>17.9</v>
      </c>
      <c r="S677" s="52">
        <f>R677-T677</f>
        <v>15.982142857142856</v>
      </c>
      <c r="T677" s="52">
        <f>R677*U677/(U677+100)</f>
        <v>1.9178571428571427</v>
      </c>
      <c r="U677" s="50">
        <v>12</v>
      </c>
      <c r="V677" s="53">
        <v>0</v>
      </c>
      <c r="W677" s="147">
        <v>1</v>
      </c>
      <c r="X677" s="148" t="s">
        <v>163</v>
      </c>
      <c r="Y677" s="54">
        <f>R677*W677</f>
        <v>17.9</v>
      </c>
      <c r="Z677" s="52">
        <f>S677*W677</f>
        <v>15.982142857142856</v>
      </c>
      <c r="AA677" s="52">
        <f>T677*W677</f>
        <v>1.9178571428571427</v>
      </c>
      <c r="AB677" s="52">
        <f>V677*W677</f>
        <v>0</v>
      </c>
      <c r="AC677" s="53">
        <f>(R677+V677)*W677</f>
        <v>17.9</v>
      </c>
      <c r="AD677" s="138">
        <v>17.9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107</v>
      </c>
      <c r="F678" s="96" t="s">
        <v>106</v>
      </c>
      <c r="G678" s="97">
        <v>46132</v>
      </c>
      <c r="H678" s="98">
        <v>0.38515046296296296</v>
      </c>
      <c r="I678" s="50">
        <v>166004581</v>
      </c>
      <c r="J678" s="96" t="s">
        <v>157</v>
      </c>
      <c r="K678" s="49" t="s">
        <v>1631</v>
      </c>
      <c r="L678" s="39" t="s">
        <v>1632</v>
      </c>
      <c r="M678" s="49" t="s">
        <v>466</v>
      </c>
      <c r="N678" s="39" t="s">
        <v>609</v>
      </c>
      <c r="O678" s="96" t="s">
        <v>1633</v>
      </c>
      <c r="P678" s="49" t="s">
        <v>157</v>
      </c>
      <c r="Q678" s="96" t="s">
        <v>104</v>
      </c>
      <c r="R678" s="52">
        <v>17.9</v>
      </c>
      <c r="S678" s="52">
        <f>R678-T678</f>
        <v>15.982142857142856</v>
      </c>
      <c r="T678" s="52">
        <f>R678*U678/(U678+100)</f>
        <v>1.9178571428571427</v>
      </c>
      <c r="U678" s="50">
        <v>12</v>
      </c>
      <c r="V678" s="53">
        <v>0</v>
      </c>
      <c r="W678" s="147">
        <v>1</v>
      </c>
      <c r="X678" s="148" t="s">
        <v>163</v>
      </c>
      <c r="Y678" s="54">
        <f>R678*W678</f>
        <v>17.9</v>
      </c>
      <c r="Z678" s="52">
        <f>S678*W678</f>
        <v>15.982142857142856</v>
      </c>
      <c r="AA678" s="52">
        <f>T678*W678</f>
        <v>1.9178571428571427</v>
      </c>
      <c r="AB678" s="52">
        <f>V678*W678</f>
        <v>0</v>
      </c>
      <c r="AC678" s="53">
        <f>(R678+V678)*W678</f>
        <v>17.9</v>
      </c>
      <c r="AD678" s="138">
        <v>17.9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107</v>
      </c>
      <c r="F679" s="96" t="s">
        <v>106</v>
      </c>
      <c r="G679" s="97">
        <v>46132</v>
      </c>
      <c r="H679" s="98">
        <v>0.38515046296296296</v>
      </c>
      <c r="I679" s="50">
        <v>166004581</v>
      </c>
      <c r="J679" s="96" t="s">
        <v>157</v>
      </c>
      <c r="K679" s="49" t="s">
        <v>1631</v>
      </c>
      <c r="L679" s="39" t="s">
        <v>1632</v>
      </c>
      <c r="M679" s="49" t="s">
        <v>466</v>
      </c>
      <c r="N679" s="39" t="s">
        <v>609</v>
      </c>
      <c r="O679" s="96" t="s">
        <v>1633</v>
      </c>
      <c r="P679" s="49" t="s">
        <v>157</v>
      </c>
      <c r="Q679" s="96" t="s">
        <v>104</v>
      </c>
      <c r="R679" s="52">
        <v>17.9</v>
      </c>
      <c r="S679" s="52">
        <f>R679-T679</f>
        <v>15.982142857142856</v>
      </c>
      <c r="T679" s="52">
        <f>R679*U679/(U679+100)</f>
        <v>1.9178571428571427</v>
      </c>
      <c r="U679" s="50">
        <v>12</v>
      </c>
      <c r="V679" s="53">
        <v>0</v>
      </c>
      <c r="W679" s="147">
        <v>1</v>
      </c>
      <c r="X679" s="148" t="s">
        <v>163</v>
      </c>
      <c r="Y679" s="54">
        <f>R679*W679</f>
        <v>17.9</v>
      </c>
      <c r="Z679" s="52">
        <f>S679*W679</f>
        <v>15.982142857142856</v>
      </c>
      <c r="AA679" s="52">
        <f>T679*W679</f>
        <v>1.9178571428571427</v>
      </c>
      <c r="AB679" s="52">
        <f>V679*W679</f>
        <v>0</v>
      </c>
      <c r="AC679" s="53">
        <f>(R679+V679)*W679</f>
        <v>17.9</v>
      </c>
      <c r="AD679" s="138">
        <v>17.9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107</v>
      </c>
      <c r="F680" s="96" t="s">
        <v>106</v>
      </c>
      <c r="G680" s="97">
        <v>46132</v>
      </c>
      <c r="H680" s="98">
        <v>0.38515046296296296</v>
      </c>
      <c r="I680" s="50">
        <v>166004581</v>
      </c>
      <c r="J680" s="96" t="s">
        <v>157</v>
      </c>
      <c r="K680" s="49" t="s">
        <v>1634</v>
      </c>
      <c r="L680" s="39" t="s">
        <v>1635</v>
      </c>
      <c r="M680" s="49" t="s">
        <v>185</v>
      </c>
      <c r="N680" s="39" t="s">
        <v>476</v>
      </c>
      <c r="O680" s="96" t="s">
        <v>1636</v>
      </c>
      <c r="P680" s="49" t="s">
        <v>157</v>
      </c>
      <c r="Q680" s="96" t="s">
        <v>104</v>
      </c>
      <c r="R680" s="52">
        <v>27.9</v>
      </c>
      <c r="S680" s="52">
        <f>R680-T680</f>
        <v>24.910714285714285</v>
      </c>
      <c r="T680" s="52">
        <f>R680*U680/(U680+100)</f>
        <v>2.989285714285714</v>
      </c>
      <c r="U680" s="50">
        <v>12</v>
      </c>
      <c r="V680" s="53">
        <v>0</v>
      </c>
      <c r="W680" s="147">
        <v>1</v>
      </c>
      <c r="X680" s="148" t="s">
        <v>163</v>
      </c>
      <c r="Y680" s="54">
        <f>R680*W680</f>
        <v>27.9</v>
      </c>
      <c r="Z680" s="52">
        <f>S680*W680</f>
        <v>24.910714285714285</v>
      </c>
      <c r="AA680" s="52">
        <f>T680*W680</f>
        <v>2.989285714285714</v>
      </c>
      <c r="AB680" s="52">
        <f>V680*W680</f>
        <v>0</v>
      </c>
      <c r="AC680" s="53">
        <f>(R680+V680)*W680</f>
        <v>27.9</v>
      </c>
      <c r="AD680" s="138">
        <v>27.9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107</v>
      </c>
      <c r="F681" s="96" t="s">
        <v>106</v>
      </c>
      <c r="G681" s="97">
        <v>46132</v>
      </c>
      <c r="H681" s="98">
        <v>0.38515046296296296</v>
      </c>
      <c r="I681" s="50">
        <v>166004581</v>
      </c>
      <c r="J681" s="96" t="s">
        <v>157</v>
      </c>
      <c r="K681" s="49" t="s">
        <v>1494</v>
      </c>
      <c r="L681" s="39" t="s">
        <v>1495</v>
      </c>
      <c r="M681" s="49" t="s">
        <v>190</v>
      </c>
      <c r="N681" s="39" t="s">
        <v>191</v>
      </c>
      <c r="O681" s="96" t="s">
        <v>1496</v>
      </c>
      <c r="P681" s="49" t="s">
        <v>157</v>
      </c>
      <c r="Q681" s="96" t="s">
        <v>104</v>
      </c>
      <c r="R681" s="52">
        <v>52.9</v>
      </c>
      <c r="S681" s="52">
        <f>R681-T681</f>
        <v>47.232142857142854</v>
      </c>
      <c r="T681" s="52">
        <f>R681*U681/(U681+100)</f>
        <v>5.667857142857143</v>
      </c>
      <c r="U681" s="50">
        <v>12</v>
      </c>
      <c r="V681" s="53">
        <v>0</v>
      </c>
      <c r="W681" s="147">
        <v>0.252</v>
      </c>
      <c r="X681" s="148" t="s">
        <v>193</v>
      </c>
      <c r="Y681" s="54">
        <f>R681*W681</f>
        <v>13.3308</v>
      </c>
      <c r="Z681" s="52">
        <f>S681*W681</f>
        <v>11.9025</v>
      </c>
      <c r="AA681" s="52">
        <f>T681*W681</f>
        <v>1.4283</v>
      </c>
      <c r="AB681" s="52">
        <f>V681*W681</f>
        <v>0</v>
      </c>
      <c r="AC681" s="53">
        <f>(R681+V681)*W681</f>
        <v>13.3308</v>
      </c>
      <c r="AD681" s="138">
        <v>52.9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107</v>
      </c>
      <c r="F682" s="96" t="s">
        <v>106</v>
      </c>
      <c r="G682" s="97">
        <v>46132</v>
      </c>
      <c r="H682" s="98">
        <v>0.38709490740740743</v>
      </c>
      <c r="I682" s="50">
        <v>166004582</v>
      </c>
      <c r="J682" s="96" t="s">
        <v>157</v>
      </c>
      <c r="K682" s="49" t="s">
        <v>1403</v>
      </c>
      <c r="L682" s="39" t="s">
        <v>1404</v>
      </c>
      <c r="M682" s="49" t="s">
        <v>1405</v>
      </c>
      <c r="N682" s="39" t="s">
        <v>778</v>
      </c>
      <c r="O682" s="96" t="s">
        <v>1406</v>
      </c>
      <c r="P682" s="49" t="s">
        <v>157</v>
      </c>
      <c r="Q682" s="96" t="s">
        <v>104</v>
      </c>
      <c r="R682" s="52">
        <v>12.4</v>
      </c>
      <c r="S682" s="52">
        <f>R682-T682</f>
        <v>11.071428571428571</v>
      </c>
      <c r="T682" s="52">
        <f>R682*U682/(U682+100)</f>
        <v>1.3285714285714287</v>
      </c>
      <c r="U682" s="50">
        <v>12</v>
      </c>
      <c r="V682" s="53">
        <v>0</v>
      </c>
      <c r="W682" s="147">
        <v>1</v>
      </c>
      <c r="X682" s="148" t="s">
        <v>163</v>
      </c>
      <c r="Y682" s="54">
        <f>R682*W682</f>
        <v>12.4</v>
      </c>
      <c r="Z682" s="52">
        <f>S682*W682</f>
        <v>11.071428571428571</v>
      </c>
      <c r="AA682" s="52">
        <f>T682*W682</f>
        <v>1.3285714285714287</v>
      </c>
      <c r="AB682" s="52">
        <f>V682*W682</f>
        <v>0</v>
      </c>
      <c r="AC682" s="53">
        <f>(R682+V682)*W682</f>
        <v>12.4</v>
      </c>
      <c r="AD682" s="138">
        <v>12.4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107</v>
      </c>
      <c r="F683" s="96" t="s">
        <v>106</v>
      </c>
      <c r="G683" s="97">
        <v>46132</v>
      </c>
      <c r="H683" s="98">
        <v>0.38709490740740743</v>
      </c>
      <c r="I683" s="50">
        <v>166004582</v>
      </c>
      <c r="J683" s="96" t="s">
        <v>157</v>
      </c>
      <c r="K683" s="49" t="s">
        <v>1637</v>
      </c>
      <c r="L683" s="39" t="s">
        <v>1638</v>
      </c>
      <c r="M683" s="49" t="s">
        <v>1445</v>
      </c>
      <c r="N683" s="39" t="s">
        <v>202</v>
      </c>
      <c r="O683" s="96" t="s">
        <v>1639</v>
      </c>
      <c r="P683" s="49" t="s">
        <v>157</v>
      </c>
      <c r="Q683" s="96" t="s">
        <v>104</v>
      </c>
      <c r="R683" s="52">
        <v>19.9</v>
      </c>
      <c r="S683" s="52">
        <f>R683-T683</f>
        <v>17.767857142857142</v>
      </c>
      <c r="T683" s="52">
        <f>R683*U683/(U683+100)</f>
        <v>2.132142857142857</v>
      </c>
      <c r="U683" s="50">
        <v>12</v>
      </c>
      <c r="V683" s="53">
        <v>0</v>
      </c>
      <c r="W683" s="147">
        <v>1</v>
      </c>
      <c r="X683" s="148" t="s">
        <v>163</v>
      </c>
      <c r="Y683" s="54">
        <f>R683*W683</f>
        <v>19.9</v>
      </c>
      <c r="Z683" s="52">
        <f>S683*W683</f>
        <v>17.767857142857142</v>
      </c>
      <c r="AA683" s="52">
        <f>T683*W683</f>
        <v>2.132142857142857</v>
      </c>
      <c r="AB683" s="52">
        <f>V683*W683</f>
        <v>0</v>
      </c>
      <c r="AC683" s="53">
        <f>(R683+V683)*W683</f>
        <v>19.9</v>
      </c>
      <c r="AD683" s="138">
        <v>19.9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107</v>
      </c>
      <c r="F684" s="96" t="s">
        <v>106</v>
      </c>
      <c r="G684" s="97">
        <v>46132</v>
      </c>
      <c r="H684" s="98">
        <v>0.38709490740740743</v>
      </c>
      <c r="I684" s="50">
        <v>166004582</v>
      </c>
      <c r="J684" s="96" t="s">
        <v>157</v>
      </c>
      <c r="K684" s="49" t="s">
        <v>946</v>
      </c>
      <c r="L684" s="39" t="s">
        <v>947</v>
      </c>
      <c r="M684" s="49" t="s">
        <v>318</v>
      </c>
      <c r="N684" s="39" t="s">
        <v>319</v>
      </c>
      <c r="O684" s="96" t="s">
        <v>1512</v>
      </c>
      <c r="P684" s="49" t="s">
        <v>235</v>
      </c>
      <c r="Q684" s="96" t="s">
        <v>236</v>
      </c>
      <c r="R684" s="52">
        <v>16.9</v>
      </c>
      <c r="S684" s="52">
        <f>R684-T684</f>
        <v>15.089285714285714</v>
      </c>
      <c r="T684" s="52">
        <f>R684*U684/(U684+100)</f>
        <v>1.8107142857142855</v>
      </c>
      <c r="U684" s="50">
        <v>12</v>
      </c>
      <c r="V684" s="53">
        <v>0</v>
      </c>
      <c r="W684" s="147">
        <v>1</v>
      </c>
      <c r="X684" s="148" t="s">
        <v>163</v>
      </c>
      <c r="Y684" s="54">
        <f>R684*W684</f>
        <v>16.9</v>
      </c>
      <c r="Z684" s="52">
        <f>S684*W684</f>
        <v>15.089285714285714</v>
      </c>
      <c r="AA684" s="52">
        <f>T684*W684</f>
        <v>1.8107142857142855</v>
      </c>
      <c r="AB684" s="52">
        <f>V684*W684</f>
        <v>0</v>
      </c>
      <c r="AC684" s="53">
        <f>(R684+V684)*W684</f>
        <v>16.9</v>
      </c>
      <c r="AD684" s="138">
        <v>16.9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107</v>
      </c>
      <c r="F685" s="96" t="s">
        <v>106</v>
      </c>
      <c r="G685" s="97">
        <v>46132</v>
      </c>
      <c r="H685" s="98">
        <v>0.38709490740740743</v>
      </c>
      <c r="I685" s="50">
        <v>166004582</v>
      </c>
      <c r="J685" s="96" t="s">
        <v>157</v>
      </c>
      <c r="K685" s="49" t="s">
        <v>329</v>
      </c>
      <c r="L685" s="39" t="s">
        <v>330</v>
      </c>
      <c r="M685" s="49" t="s">
        <v>185</v>
      </c>
      <c r="N685" s="39" t="s">
        <v>331</v>
      </c>
      <c r="O685" s="96" t="s">
        <v>1640</v>
      </c>
      <c r="P685" s="49" t="s">
        <v>157</v>
      </c>
      <c r="Q685" s="96" t="s">
        <v>104</v>
      </c>
      <c r="R685" s="52">
        <v>49.9</v>
      </c>
      <c r="S685" s="52">
        <f>R685-T685</f>
        <v>44.55357142857143</v>
      </c>
      <c r="T685" s="52">
        <f>R685*U685/(U685+100)</f>
        <v>5.346428571428571</v>
      </c>
      <c r="U685" s="50">
        <v>12</v>
      </c>
      <c r="V685" s="53">
        <v>0</v>
      </c>
      <c r="W685" s="147">
        <v>1</v>
      </c>
      <c r="X685" s="148" t="s">
        <v>163</v>
      </c>
      <c r="Y685" s="54">
        <f>R685*W685</f>
        <v>49.9</v>
      </c>
      <c r="Z685" s="52">
        <f>S685*W685</f>
        <v>44.55357142857143</v>
      </c>
      <c r="AA685" s="52">
        <f>T685*W685</f>
        <v>5.346428571428571</v>
      </c>
      <c r="AB685" s="52">
        <f>V685*W685</f>
        <v>0</v>
      </c>
      <c r="AC685" s="53">
        <f>(R685+V685)*W685</f>
        <v>49.9</v>
      </c>
      <c r="AD685" s="138">
        <v>49.9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107</v>
      </c>
      <c r="F686" s="96" t="s">
        <v>106</v>
      </c>
      <c r="G686" s="97">
        <v>46132</v>
      </c>
      <c r="H686" s="98">
        <v>0.38709490740740743</v>
      </c>
      <c r="I686" s="50">
        <v>166004582</v>
      </c>
      <c r="J686" s="96" t="s">
        <v>157</v>
      </c>
      <c r="K686" s="49" t="s">
        <v>1641</v>
      </c>
      <c r="L686" s="39" t="s">
        <v>1642</v>
      </c>
      <c r="M686" s="49" t="s">
        <v>1205</v>
      </c>
      <c r="N686" s="39" t="s">
        <v>1643</v>
      </c>
      <c r="O686" s="96" t="s">
        <v>1644</v>
      </c>
      <c r="P686" s="49" t="s">
        <v>157</v>
      </c>
      <c r="Q686" s="96" t="s">
        <v>104</v>
      </c>
      <c r="R686" s="52">
        <v>31.9</v>
      </c>
      <c r="S686" s="52">
        <f>R686-T686</f>
        <v>28.482142857142858</v>
      </c>
      <c r="T686" s="52">
        <f>R686*U686/(U686+100)</f>
        <v>3.4178571428571423</v>
      </c>
      <c r="U686" s="50">
        <v>12</v>
      </c>
      <c r="V686" s="53">
        <v>0</v>
      </c>
      <c r="W686" s="147">
        <v>1</v>
      </c>
      <c r="X686" s="148" t="s">
        <v>163</v>
      </c>
      <c r="Y686" s="54">
        <f>R686*W686</f>
        <v>31.9</v>
      </c>
      <c r="Z686" s="52">
        <f>S686*W686</f>
        <v>28.482142857142858</v>
      </c>
      <c r="AA686" s="52">
        <f>T686*W686</f>
        <v>3.4178571428571423</v>
      </c>
      <c r="AB686" s="52">
        <f>V686*W686</f>
        <v>0</v>
      </c>
      <c r="AC686" s="53">
        <f>(R686+V686)*W686</f>
        <v>31.9</v>
      </c>
      <c r="AD686" s="138">
        <v>31.9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107</v>
      </c>
      <c r="F687" s="96" t="s">
        <v>106</v>
      </c>
      <c r="G687" s="97">
        <v>46132</v>
      </c>
      <c r="H687" s="98">
        <v>0.38709490740740743</v>
      </c>
      <c r="I687" s="50">
        <v>166004582</v>
      </c>
      <c r="J687" s="96" t="s">
        <v>157</v>
      </c>
      <c r="K687" s="49" t="s">
        <v>1645</v>
      </c>
      <c r="L687" s="39" t="s">
        <v>1646</v>
      </c>
      <c r="M687" s="49" t="s">
        <v>1647</v>
      </c>
      <c r="N687" s="39" t="s">
        <v>373</v>
      </c>
      <c r="O687" s="96" t="s">
        <v>1648</v>
      </c>
      <c r="P687" s="49" t="s">
        <v>157</v>
      </c>
      <c r="Q687" s="96" t="s">
        <v>104</v>
      </c>
      <c r="R687" s="52">
        <v>38.43</v>
      </c>
      <c r="S687" s="52">
        <f>R687-T687</f>
        <v>34.3125</v>
      </c>
      <c r="T687" s="52">
        <f>R687*U687/(U687+100)</f>
        <v>4.1175</v>
      </c>
      <c r="U687" s="50">
        <v>12</v>
      </c>
      <c r="V687" s="53">
        <v>0</v>
      </c>
      <c r="W687" s="147">
        <v>1</v>
      </c>
      <c r="X687" s="148" t="s">
        <v>163</v>
      </c>
      <c r="Y687" s="54">
        <f>R687*W687</f>
        <v>38.43</v>
      </c>
      <c r="Z687" s="52">
        <f>S687*W687</f>
        <v>34.3125</v>
      </c>
      <c r="AA687" s="52">
        <f>T687*W687</f>
        <v>4.1175</v>
      </c>
      <c r="AB687" s="52">
        <f>V687*W687</f>
        <v>0</v>
      </c>
      <c r="AC687" s="53">
        <f>(R687+V687)*W687</f>
        <v>38.43</v>
      </c>
      <c r="AD687" s="138">
        <v>54.9</v>
      </c>
      <c r="AE687" s="137">
        <v>16.47</v>
      </c>
      <c r="AF687" s="139">
        <v>16.47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107</v>
      </c>
      <c r="F688" s="96" t="s">
        <v>106</v>
      </c>
      <c r="G688" s="97">
        <v>46132</v>
      </c>
      <c r="H688" s="98">
        <v>0.38709490740740743</v>
      </c>
      <c r="I688" s="50">
        <v>166004582</v>
      </c>
      <c r="J688" s="96" t="s">
        <v>157</v>
      </c>
      <c r="K688" s="49" t="s">
        <v>1649</v>
      </c>
      <c r="L688" s="39" t="s">
        <v>1650</v>
      </c>
      <c r="M688" s="49" t="s">
        <v>1205</v>
      </c>
      <c r="N688" s="39" t="s">
        <v>1643</v>
      </c>
      <c r="O688" s="96" t="s">
        <v>1651</v>
      </c>
      <c r="P688" s="49" t="s">
        <v>157</v>
      </c>
      <c r="Q688" s="96" t="s">
        <v>104</v>
      </c>
      <c r="R688" s="52">
        <v>29.9</v>
      </c>
      <c r="S688" s="52">
        <f>R688-T688</f>
        <v>26.69642857142857</v>
      </c>
      <c r="T688" s="52">
        <f>R688*U688/(U688+100)</f>
        <v>3.2035714285714283</v>
      </c>
      <c r="U688" s="50">
        <v>12</v>
      </c>
      <c r="V688" s="53">
        <v>0</v>
      </c>
      <c r="W688" s="147">
        <v>1</v>
      </c>
      <c r="X688" s="148" t="s">
        <v>163</v>
      </c>
      <c r="Y688" s="54">
        <f>R688*W688</f>
        <v>29.9</v>
      </c>
      <c r="Z688" s="52">
        <f>S688*W688</f>
        <v>26.69642857142857</v>
      </c>
      <c r="AA688" s="52">
        <f>T688*W688</f>
        <v>3.2035714285714283</v>
      </c>
      <c r="AB688" s="52">
        <f>V688*W688</f>
        <v>0</v>
      </c>
      <c r="AC688" s="53">
        <f>(R688+V688)*W688</f>
        <v>29.9</v>
      </c>
      <c r="AD688" s="138">
        <v>29.9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107</v>
      </c>
      <c r="F689" s="96" t="s">
        <v>106</v>
      </c>
      <c r="G689" s="97">
        <v>46132</v>
      </c>
      <c r="H689" s="98">
        <v>0.38709490740740743</v>
      </c>
      <c r="I689" s="50">
        <v>166004582</v>
      </c>
      <c r="J689" s="96" t="s">
        <v>157</v>
      </c>
      <c r="K689" s="49" t="s">
        <v>992</v>
      </c>
      <c r="L689" s="39" t="s">
        <v>993</v>
      </c>
      <c r="M689" s="49" t="s">
        <v>214</v>
      </c>
      <c r="N689" s="39" t="s">
        <v>501</v>
      </c>
      <c r="O689" s="96" t="s">
        <v>994</v>
      </c>
      <c r="P689" s="49" t="s">
        <v>157</v>
      </c>
      <c r="Q689" s="96" t="s">
        <v>104</v>
      </c>
      <c r="R689" s="52">
        <v>6.9</v>
      </c>
      <c r="S689" s="52">
        <f>R689-T689</f>
        <v>6.160714285714286</v>
      </c>
      <c r="T689" s="52">
        <f>R689*U689/(U689+100)</f>
        <v>0.7392857142857144</v>
      </c>
      <c r="U689" s="50">
        <v>12</v>
      </c>
      <c r="V689" s="53">
        <v>0</v>
      </c>
      <c r="W689" s="147">
        <v>1</v>
      </c>
      <c r="X689" s="148" t="s">
        <v>163</v>
      </c>
      <c r="Y689" s="54">
        <f>R689*W689</f>
        <v>6.9</v>
      </c>
      <c r="Z689" s="52">
        <f>S689*W689</f>
        <v>6.160714285714286</v>
      </c>
      <c r="AA689" s="52">
        <f>T689*W689</f>
        <v>0.7392857142857144</v>
      </c>
      <c r="AB689" s="52">
        <f>V689*W689</f>
        <v>0</v>
      </c>
      <c r="AC689" s="53">
        <f>(R689+V689)*W689</f>
        <v>6.9</v>
      </c>
      <c r="AD689" s="138">
        <v>6.9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107</v>
      </c>
      <c r="F690" s="96" t="s">
        <v>106</v>
      </c>
      <c r="G690" s="97">
        <v>46132</v>
      </c>
      <c r="H690" s="98">
        <v>0.38709490740740743</v>
      </c>
      <c r="I690" s="50">
        <v>166004582</v>
      </c>
      <c r="J690" s="96" t="s">
        <v>157</v>
      </c>
      <c r="K690" s="49" t="s">
        <v>655</v>
      </c>
      <c r="L690" s="39" t="s">
        <v>656</v>
      </c>
      <c r="M690" s="49" t="s">
        <v>190</v>
      </c>
      <c r="N690" s="39" t="s">
        <v>532</v>
      </c>
      <c r="O690" s="96" t="s">
        <v>657</v>
      </c>
      <c r="P690" s="49" t="s">
        <v>157</v>
      </c>
      <c r="Q690" s="96" t="s">
        <v>104</v>
      </c>
      <c r="R690" s="52">
        <v>25.13</v>
      </c>
      <c r="S690" s="52">
        <f>R690-T690</f>
        <v>22.4375</v>
      </c>
      <c r="T690" s="52">
        <f>R690*U690/(U690+100)</f>
        <v>2.6925</v>
      </c>
      <c r="U690" s="50">
        <v>12</v>
      </c>
      <c r="V690" s="53">
        <v>0</v>
      </c>
      <c r="W690" s="147">
        <v>0.25</v>
      </c>
      <c r="X690" s="148" t="s">
        <v>193</v>
      </c>
      <c r="Y690" s="54">
        <f>R690*W690</f>
        <v>6.2825</v>
      </c>
      <c r="Z690" s="52">
        <f>S690*W690</f>
        <v>5.609375</v>
      </c>
      <c r="AA690" s="52">
        <f>T690*W690</f>
        <v>0.673125</v>
      </c>
      <c r="AB690" s="52">
        <f>V690*W690</f>
        <v>0</v>
      </c>
      <c r="AC690" s="53">
        <f>(R690+V690)*W690</f>
        <v>6.2825</v>
      </c>
      <c r="AD690" s="138">
        <v>25.13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107</v>
      </c>
      <c r="F691" s="96" t="s">
        <v>106</v>
      </c>
      <c r="G691" s="97">
        <v>46132</v>
      </c>
      <c r="H691" s="98">
        <v>0.38709490740740743</v>
      </c>
      <c r="I691" s="50">
        <v>166004582</v>
      </c>
      <c r="J691" s="96" t="s">
        <v>157</v>
      </c>
      <c r="K691" s="49" t="s">
        <v>1440</v>
      </c>
      <c r="L691" s="39" t="s">
        <v>1441</v>
      </c>
      <c r="M691" s="49" t="s">
        <v>190</v>
      </c>
      <c r="N691" s="39" t="s">
        <v>191</v>
      </c>
      <c r="O691" s="96" t="s">
        <v>1442</v>
      </c>
      <c r="P691" s="49" t="s">
        <v>157</v>
      </c>
      <c r="Q691" s="96" t="s">
        <v>104</v>
      </c>
      <c r="R691" s="52">
        <v>8.9</v>
      </c>
      <c r="S691" s="52">
        <f>R691-T691</f>
        <v>7.946428571428572</v>
      </c>
      <c r="T691" s="52">
        <f>R691*U691/(U691+100)</f>
        <v>0.9535714285714286</v>
      </c>
      <c r="U691" s="50">
        <v>12</v>
      </c>
      <c r="V691" s="53">
        <v>0</v>
      </c>
      <c r="W691" s="147">
        <v>0.814</v>
      </c>
      <c r="X691" s="148" t="s">
        <v>193</v>
      </c>
      <c r="Y691" s="54">
        <f>R691*W691</f>
        <v>7.2446</v>
      </c>
      <c r="Z691" s="52">
        <f>S691*W691</f>
        <v>6.468392857142857</v>
      </c>
      <c r="AA691" s="52">
        <f>T691*W691</f>
        <v>0.7762071428571429</v>
      </c>
      <c r="AB691" s="52">
        <f>V691*W691</f>
        <v>0</v>
      </c>
      <c r="AC691" s="53">
        <f>(R691+V691)*W691</f>
        <v>7.2446</v>
      </c>
      <c r="AD691" s="138">
        <v>8.9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107</v>
      </c>
      <c r="F692" s="96" t="s">
        <v>106</v>
      </c>
      <c r="G692" s="97">
        <v>46132</v>
      </c>
      <c r="H692" s="98">
        <v>0.38709490740740743</v>
      </c>
      <c r="I692" s="50">
        <v>166004582</v>
      </c>
      <c r="J692" s="96" t="s">
        <v>157</v>
      </c>
      <c r="K692" s="49" t="s">
        <v>1494</v>
      </c>
      <c r="L692" s="39" t="s">
        <v>1495</v>
      </c>
      <c r="M692" s="49" t="s">
        <v>190</v>
      </c>
      <c r="N692" s="39" t="s">
        <v>191</v>
      </c>
      <c r="O692" s="96" t="s">
        <v>1496</v>
      </c>
      <c r="P692" s="49" t="s">
        <v>157</v>
      </c>
      <c r="Q692" s="96" t="s">
        <v>104</v>
      </c>
      <c r="R692" s="52">
        <v>52.9</v>
      </c>
      <c r="S692" s="52">
        <f>R692-T692</f>
        <v>47.232142857142854</v>
      </c>
      <c r="T692" s="52">
        <f>R692*U692/(U692+100)</f>
        <v>5.667857142857143</v>
      </c>
      <c r="U692" s="50">
        <v>12</v>
      </c>
      <c r="V692" s="53">
        <v>0</v>
      </c>
      <c r="W692" s="147">
        <v>0.132</v>
      </c>
      <c r="X692" s="148" t="s">
        <v>193</v>
      </c>
      <c r="Y692" s="54">
        <f>R692*W692</f>
        <v>6.9828</v>
      </c>
      <c r="Z692" s="52">
        <f>S692*W692</f>
        <v>6.234642857142857</v>
      </c>
      <c r="AA692" s="52">
        <f>T692*W692</f>
        <v>0.7481571428571429</v>
      </c>
      <c r="AB692" s="52">
        <f>V692*W692</f>
        <v>0</v>
      </c>
      <c r="AC692" s="53">
        <f>(R692+V692)*W692</f>
        <v>6.9828</v>
      </c>
      <c r="AD692" s="138">
        <v>52.9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107</v>
      </c>
      <c r="F693" s="96" t="s">
        <v>106</v>
      </c>
      <c r="G693" s="97">
        <v>46132</v>
      </c>
      <c r="H693" s="98">
        <v>0.38709490740740743</v>
      </c>
      <c r="I693" s="50">
        <v>166004582</v>
      </c>
      <c r="J693" s="96" t="s">
        <v>157</v>
      </c>
      <c r="K693" s="49" t="s">
        <v>1224</v>
      </c>
      <c r="L693" s="39" t="s">
        <v>1225</v>
      </c>
      <c r="M693" s="49" t="s">
        <v>190</v>
      </c>
      <c r="N693" s="39" t="s">
        <v>532</v>
      </c>
      <c r="O693" s="96" t="s">
        <v>1226</v>
      </c>
      <c r="P693" s="49" t="s">
        <v>157</v>
      </c>
      <c r="Q693" s="96" t="s">
        <v>104</v>
      </c>
      <c r="R693" s="52">
        <v>44.9</v>
      </c>
      <c r="S693" s="52">
        <f>R693-T693</f>
        <v>40.089285714285715</v>
      </c>
      <c r="T693" s="52">
        <f>R693*U693/(U693+100)</f>
        <v>4.810714285714285</v>
      </c>
      <c r="U693" s="50">
        <v>12</v>
      </c>
      <c r="V693" s="53">
        <v>0</v>
      </c>
      <c r="W693" s="147">
        <v>0.272</v>
      </c>
      <c r="X693" s="148" t="s">
        <v>193</v>
      </c>
      <c r="Y693" s="54">
        <f>R693*W693</f>
        <v>12.2128</v>
      </c>
      <c r="Z693" s="52">
        <f>S693*W693</f>
        <v>10.904285714285715</v>
      </c>
      <c r="AA693" s="52">
        <f>T693*W693</f>
        <v>1.3085142857142855</v>
      </c>
      <c r="AB693" s="52">
        <f>V693*W693</f>
        <v>0</v>
      </c>
      <c r="AC693" s="53">
        <f>(R693+V693)*W693</f>
        <v>12.2128</v>
      </c>
      <c r="AD693" s="138">
        <v>44.9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107</v>
      </c>
      <c r="F694" s="96" t="s">
        <v>106</v>
      </c>
      <c r="G694" s="97">
        <v>46132</v>
      </c>
      <c r="H694" s="98">
        <v>0.38709490740740743</v>
      </c>
      <c r="I694" s="50">
        <v>166004582</v>
      </c>
      <c r="J694" s="96" t="s">
        <v>157</v>
      </c>
      <c r="K694" s="49" t="s">
        <v>530</v>
      </c>
      <c r="L694" s="39" t="s">
        <v>531</v>
      </c>
      <c r="M694" s="49" t="s">
        <v>190</v>
      </c>
      <c r="N694" s="39" t="s">
        <v>532</v>
      </c>
      <c r="O694" s="96" t="s">
        <v>533</v>
      </c>
      <c r="P694" s="49" t="s">
        <v>157</v>
      </c>
      <c r="Q694" s="96" t="s">
        <v>104</v>
      </c>
      <c r="R694" s="52">
        <v>25.9</v>
      </c>
      <c r="S694" s="52">
        <f>R694-T694</f>
        <v>23.125</v>
      </c>
      <c r="T694" s="52">
        <f>R694*U694/(U694+100)</f>
        <v>2.7749999999999995</v>
      </c>
      <c r="U694" s="50">
        <v>12</v>
      </c>
      <c r="V694" s="53">
        <v>0</v>
      </c>
      <c r="W694" s="147">
        <v>0.328</v>
      </c>
      <c r="X694" s="148" t="s">
        <v>193</v>
      </c>
      <c r="Y694" s="54">
        <f>R694*W694</f>
        <v>8.4952</v>
      </c>
      <c r="Z694" s="52">
        <f>S694*W694</f>
        <v>7.585</v>
      </c>
      <c r="AA694" s="52">
        <f>T694*W694</f>
        <v>0.9101999999999999</v>
      </c>
      <c r="AB694" s="52">
        <f>V694*W694</f>
        <v>0</v>
      </c>
      <c r="AC694" s="53">
        <f>(R694+V694)*W694</f>
        <v>8.4952</v>
      </c>
      <c r="AD694" s="138">
        <v>25.9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107</v>
      </c>
      <c r="F695" s="96" t="s">
        <v>106</v>
      </c>
      <c r="G695" s="97">
        <v>46132</v>
      </c>
      <c r="H695" s="98">
        <v>0.38709490740740743</v>
      </c>
      <c r="I695" s="50">
        <v>166004582</v>
      </c>
      <c r="J695" s="96" t="s">
        <v>157</v>
      </c>
      <c r="K695" s="49" t="s">
        <v>1021</v>
      </c>
      <c r="L695" s="39" t="s">
        <v>1022</v>
      </c>
      <c r="M695" s="49" t="s">
        <v>190</v>
      </c>
      <c r="N695" s="39" t="s">
        <v>532</v>
      </c>
      <c r="O695" s="96" t="s">
        <v>1023</v>
      </c>
      <c r="P695" s="49" t="s">
        <v>157</v>
      </c>
      <c r="Q695" s="96" t="s">
        <v>104</v>
      </c>
      <c r="R695" s="52">
        <v>48.9</v>
      </c>
      <c r="S695" s="52">
        <f>R695-T695</f>
        <v>43.660714285714285</v>
      </c>
      <c r="T695" s="52">
        <f>R695*U695/(U695+100)</f>
        <v>5.239285714285714</v>
      </c>
      <c r="U695" s="50">
        <v>12</v>
      </c>
      <c r="V695" s="53">
        <v>0</v>
      </c>
      <c r="W695" s="147">
        <v>0.212</v>
      </c>
      <c r="X695" s="148" t="s">
        <v>193</v>
      </c>
      <c r="Y695" s="54">
        <f>R695*W695</f>
        <v>10.3668</v>
      </c>
      <c r="Z695" s="52">
        <f>S695*W695</f>
        <v>9.256071428571428</v>
      </c>
      <c r="AA695" s="52">
        <f>T695*W695</f>
        <v>1.1107285714285713</v>
      </c>
      <c r="AB695" s="52">
        <f>V695*W695</f>
        <v>0</v>
      </c>
      <c r="AC695" s="53">
        <f>(R695+V695)*W695</f>
        <v>10.3668</v>
      </c>
      <c r="AD695" s="138">
        <v>48.9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107</v>
      </c>
      <c r="F696" s="96" t="s">
        <v>106</v>
      </c>
      <c r="G696" s="97">
        <v>46132</v>
      </c>
      <c r="H696" s="98">
        <v>0.38709490740740743</v>
      </c>
      <c r="I696" s="50">
        <v>166004582</v>
      </c>
      <c r="J696" s="96" t="s">
        <v>157</v>
      </c>
      <c r="K696" s="49" t="s">
        <v>1652</v>
      </c>
      <c r="L696" s="39" t="s">
        <v>1653</v>
      </c>
      <c r="M696" s="49" t="s">
        <v>268</v>
      </c>
      <c r="N696" s="39" t="s">
        <v>264</v>
      </c>
      <c r="O696" s="96" t="s">
        <v>1654</v>
      </c>
      <c r="P696" s="49" t="s">
        <v>157</v>
      </c>
      <c r="Q696" s="96" t="s">
        <v>104</v>
      </c>
      <c r="R696" s="52">
        <v>18.9</v>
      </c>
      <c r="S696" s="52">
        <f>R696-T696</f>
        <v>16.875</v>
      </c>
      <c r="T696" s="52">
        <f>R696*U696/(U696+100)</f>
        <v>2.025</v>
      </c>
      <c r="U696" s="50">
        <v>12</v>
      </c>
      <c r="V696" s="53">
        <v>0</v>
      </c>
      <c r="W696" s="147">
        <v>1</v>
      </c>
      <c r="X696" s="148" t="s">
        <v>163</v>
      </c>
      <c r="Y696" s="54">
        <f>R696*W696</f>
        <v>18.9</v>
      </c>
      <c r="Z696" s="52">
        <f>S696*W696</f>
        <v>16.875</v>
      </c>
      <c r="AA696" s="52">
        <f>T696*W696</f>
        <v>2.025</v>
      </c>
      <c r="AB696" s="52">
        <f>V696*W696</f>
        <v>0</v>
      </c>
      <c r="AC696" s="53">
        <f>(R696+V696)*W696</f>
        <v>18.9</v>
      </c>
      <c r="AD696" s="138">
        <v>18.9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107</v>
      </c>
      <c r="F697" s="96" t="s">
        <v>106</v>
      </c>
      <c r="G697" s="97">
        <v>46132</v>
      </c>
      <c r="H697" s="98">
        <v>0.38709490740740743</v>
      </c>
      <c r="I697" s="50">
        <v>166004582</v>
      </c>
      <c r="J697" s="96" t="s">
        <v>157</v>
      </c>
      <c r="K697" s="49" t="s">
        <v>1329</v>
      </c>
      <c r="L697" s="39" t="s">
        <v>1330</v>
      </c>
      <c r="M697" s="49" t="s">
        <v>403</v>
      </c>
      <c r="N697" s="39" t="s">
        <v>373</v>
      </c>
      <c r="O697" s="96" t="s">
        <v>1331</v>
      </c>
      <c r="P697" s="49" t="s">
        <v>157</v>
      </c>
      <c r="Q697" s="96" t="s">
        <v>104</v>
      </c>
      <c r="R697" s="52">
        <v>171.9</v>
      </c>
      <c r="S697" s="52">
        <f>R697-T697</f>
        <v>153.48214285714286</v>
      </c>
      <c r="T697" s="52">
        <f>R697*U697/(U697+100)</f>
        <v>18.417857142857144</v>
      </c>
      <c r="U697" s="50">
        <v>12</v>
      </c>
      <c r="V697" s="53">
        <v>0</v>
      </c>
      <c r="W697" s="147">
        <v>0.224</v>
      </c>
      <c r="X697" s="148" t="s">
        <v>193</v>
      </c>
      <c r="Y697" s="54">
        <f>R697*W697</f>
        <v>38.5056</v>
      </c>
      <c r="Z697" s="52">
        <f>S697*W697</f>
        <v>34.38</v>
      </c>
      <c r="AA697" s="52">
        <f>T697*W697</f>
        <v>4.1256</v>
      </c>
      <c r="AB697" s="52">
        <f>V697*W697</f>
        <v>0</v>
      </c>
      <c r="AC697" s="53">
        <f>(R697+V697)*W697</f>
        <v>38.5056</v>
      </c>
      <c r="AD697" s="138">
        <v>171.9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107</v>
      </c>
      <c r="F698" s="96" t="s">
        <v>106</v>
      </c>
      <c r="G698" s="97">
        <v>46132</v>
      </c>
      <c r="H698" s="98">
        <v>0.38709490740740743</v>
      </c>
      <c r="I698" s="50">
        <v>166004582</v>
      </c>
      <c r="J698" s="96" t="s">
        <v>157</v>
      </c>
      <c r="K698" s="49" t="s">
        <v>848</v>
      </c>
      <c r="L698" s="39" t="s">
        <v>849</v>
      </c>
      <c r="M698" s="49" t="s">
        <v>522</v>
      </c>
      <c r="N698" s="39" t="s">
        <v>688</v>
      </c>
      <c r="O698" s="96" t="s">
        <v>1342</v>
      </c>
      <c r="P698" s="49" t="s">
        <v>157</v>
      </c>
      <c r="Q698" s="96" t="s">
        <v>104</v>
      </c>
      <c r="R698" s="52">
        <v>158.9</v>
      </c>
      <c r="S698" s="52">
        <f>R698-T698</f>
        <v>141.875</v>
      </c>
      <c r="T698" s="52">
        <f>R698*U698/(U698+100)</f>
        <v>17.025000000000002</v>
      </c>
      <c r="U698" s="50">
        <v>12</v>
      </c>
      <c r="V698" s="53">
        <v>0</v>
      </c>
      <c r="W698" s="147">
        <v>0.136</v>
      </c>
      <c r="X698" s="148" t="s">
        <v>193</v>
      </c>
      <c r="Y698" s="54">
        <f>R698*W698</f>
        <v>21.610400000000002</v>
      </c>
      <c r="Z698" s="52">
        <f>S698*W698</f>
        <v>19.295</v>
      </c>
      <c r="AA698" s="52">
        <f>T698*W698</f>
        <v>2.3154000000000003</v>
      </c>
      <c r="AB698" s="52">
        <f>V698*W698</f>
        <v>0</v>
      </c>
      <c r="AC698" s="53">
        <f>(R698+V698)*W698</f>
        <v>21.610400000000002</v>
      </c>
      <c r="AD698" s="138">
        <v>158.9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107</v>
      </c>
      <c r="F699" s="96" t="s">
        <v>106</v>
      </c>
      <c r="G699" s="97">
        <v>46132</v>
      </c>
      <c r="H699" s="98">
        <v>0.38709490740740743</v>
      </c>
      <c r="I699" s="50">
        <v>166004582</v>
      </c>
      <c r="J699" s="96" t="s">
        <v>157</v>
      </c>
      <c r="K699" s="49" t="s">
        <v>1655</v>
      </c>
      <c r="L699" s="39" t="s">
        <v>1656</v>
      </c>
      <c r="M699" s="49" t="s">
        <v>522</v>
      </c>
      <c r="N699" s="39" t="s">
        <v>440</v>
      </c>
      <c r="O699" s="96" t="s">
        <v>1657</v>
      </c>
      <c r="P699" s="49" t="s">
        <v>157</v>
      </c>
      <c r="Q699" s="96" t="s">
        <v>104</v>
      </c>
      <c r="R699" s="52">
        <v>219</v>
      </c>
      <c r="S699" s="52">
        <f>R699-T699</f>
        <v>195.53571428571428</v>
      </c>
      <c r="T699" s="52">
        <f>R699*U699/(U699+100)</f>
        <v>23.464285714285715</v>
      </c>
      <c r="U699" s="50">
        <v>12</v>
      </c>
      <c r="V699" s="53">
        <v>0</v>
      </c>
      <c r="W699" s="147">
        <v>0.152</v>
      </c>
      <c r="X699" s="148" t="s">
        <v>193</v>
      </c>
      <c r="Y699" s="54">
        <f>R699*W699</f>
        <v>33.288</v>
      </c>
      <c r="Z699" s="52">
        <f>S699*W699</f>
        <v>29.721428571428568</v>
      </c>
      <c r="AA699" s="52">
        <f>T699*W699</f>
        <v>3.5665714285714287</v>
      </c>
      <c r="AB699" s="52">
        <f>V699*W699</f>
        <v>0</v>
      </c>
      <c r="AC699" s="53">
        <f>(R699+V699)*W699</f>
        <v>33.288</v>
      </c>
      <c r="AD699" s="138">
        <v>219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107</v>
      </c>
      <c r="F700" s="96" t="s">
        <v>106</v>
      </c>
      <c r="G700" s="97">
        <v>46132</v>
      </c>
      <c r="H700" s="98">
        <v>0.38709490740740743</v>
      </c>
      <c r="I700" s="50">
        <v>166004582</v>
      </c>
      <c r="J700" s="96" t="s">
        <v>157</v>
      </c>
      <c r="K700" s="49" t="s">
        <v>293</v>
      </c>
      <c r="L700" s="39" t="s">
        <v>294</v>
      </c>
      <c r="M700" s="49" t="s">
        <v>295</v>
      </c>
      <c r="N700" s="39" t="s">
        <v>296</v>
      </c>
      <c r="O700" s="96" t="s">
        <v>297</v>
      </c>
      <c r="P700" s="49" t="s">
        <v>157</v>
      </c>
      <c r="Q700" s="96" t="s">
        <v>104</v>
      </c>
      <c r="R700" s="52">
        <v>2.9</v>
      </c>
      <c r="S700" s="52">
        <f>R700-T700</f>
        <v>2.5892857142857144</v>
      </c>
      <c r="T700" s="52">
        <f>R700*U700/(U700+100)</f>
        <v>0.31071428571428567</v>
      </c>
      <c r="U700" s="50">
        <v>12</v>
      </c>
      <c r="V700" s="53">
        <v>0</v>
      </c>
      <c r="W700" s="147">
        <v>5</v>
      </c>
      <c r="X700" s="148" t="s">
        <v>163</v>
      </c>
      <c r="Y700" s="54">
        <f>R700*W700</f>
        <v>14.5</v>
      </c>
      <c r="Z700" s="52">
        <f>S700*W700</f>
        <v>12.946428571428573</v>
      </c>
      <c r="AA700" s="52">
        <f>T700*W700</f>
        <v>1.5535714285714284</v>
      </c>
      <c r="AB700" s="52">
        <f>V700*W700</f>
        <v>0</v>
      </c>
      <c r="AC700" s="53">
        <f>(R700+V700)*W700</f>
        <v>14.5</v>
      </c>
      <c r="AD700" s="138">
        <v>2.9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107</v>
      </c>
      <c r="F701" s="96" t="s">
        <v>106</v>
      </c>
      <c r="G701" s="97">
        <v>46132</v>
      </c>
      <c r="H701" s="98">
        <v>0.38709490740740743</v>
      </c>
      <c r="I701" s="50">
        <v>166004582</v>
      </c>
      <c r="J701" s="96" t="s">
        <v>157</v>
      </c>
      <c r="K701" s="49" t="s">
        <v>942</v>
      </c>
      <c r="L701" s="39"/>
      <c r="M701" s="49" t="s">
        <v>295</v>
      </c>
      <c r="N701" s="39" t="s">
        <v>433</v>
      </c>
      <c r="O701" s="96" t="s">
        <v>1332</v>
      </c>
      <c r="P701" s="49" t="s">
        <v>235</v>
      </c>
      <c r="Q701" s="96" t="s">
        <v>944</v>
      </c>
      <c r="R701" s="52">
        <v>9.9</v>
      </c>
      <c r="S701" s="52">
        <f>R701-T701</f>
        <v>8.839285714285715</v>
      </c>
      <c r="T701" s="52">
        <f>R701*U701/(U701+100)</f>
        <v>1.0607142857142857</v>
      </c>
      <c r="U701" s="50">
        <v>12</v>
      </c>
      <c r="V701" s="53">
        <v>0</v>
      </c>
      <c r="W701" s="147">
        <v>1</v>
      </c>
      <c r="X701" s="148" t="s">
        <v>945</v>
      </c>
      <c r="Y701" s="54">
        <f>R701*W701</f>
        <v>9.9</v>
      </c>
      <c r="Z701" s="52">
        <f>S701*W701</f>
        <v>8.839285714285715</v>
      </c>
      <c r="AA701" s="52">
        <f>T701*W701</f>
        <v>1.0607142857142857</v>
      </c>
      <c r="AB701" s="52">
        <f>V701*W701</f>
        <v>0</v>
      </c>
      <c r="AC701" s="53">
        <f>(R701+V701)*W701</f>
        <v>9.9</v>
      </c>
      <c r="AD701" s="138">
        <v>9.9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107</v>
      </c>
      <c r="F702" s="96" t="s">
        <v>106</v>
      </c>
      <c r="G702" s="97">
        <v>46132</v>
      </c>
      <c r="H702" s="98">
        <v>0.38709490740740743</v>
      </c>
      <c r="I702" s="50">
        <v>166004582</v>
      </c>
      <c r="J702" s="96" t="s">
        <v>157</v>
      </c>
      <c r="K702" s="49" t="s">
        <v>406</v>
      </c>
      <c r="L702" s="39" t="s">
        <v>407</v>
      </c>
      <c r="M702" s="49" t="s">
        <v>277</v>
      </c>
      <c r="N702" s="39" t="s">
        <v>408</v>
      </c>
      <c r="O702" s="96" t="s">
        <v>409</v>
      </c>
      <c r="P702" s="49" t="s">
        <v>157</v>
      </c>
      <c r="Q702" s="96" t="s">
        <v>104</v>
      </c>
      <c r="R702" s="52">
        <v>259.9</v>
      </c>
      <c r="S702" s="52">
        <f>R702-T702</f>
        <v>232.05357142857142</v>
      </c>
      <c r="T702" s="52">
        <f>R702*U702/(U702+100)</f>
        <v>27.846428571428568</v>
      </c>
      <c r="U702" s="50">
        <v>12</v>
      </c>
      <c r="V702" s="53">
        <v>0</v>
      </c>
      <c r="W702" s="147">
        <v>0.112</v>
      </c>
      <c r="X702" s="148" t="s">
        <v>410</v>
      </c>
      <c r="Y702" s="54">
        <f>R702*W702</f>
        <v>29.1088</v>
      </c>
      <c r="Z702" s="52">
        <f>S702*W702</f>
        <v>25.99</v>
      </c>
      <c r="AA702" s="52">
        <f>T702*W702</f>
        <v>3.1188</v>
      </c>
      <c r="AB702" s="52">
        <f>V702*W702</f>
        <v>0</v>
      </c>
      <c r="AC702" s="53">
        <f>(R702+V702)*W702</f>
        <v>29.1088</v>
      </c>
      <c r="AD702" s="138">
        <v>259.9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107</v>
      </c>
      <c r="F703" s="96" t="s">
        <v>106</v>
      </c>
      <c r="G703" s="97">
        <v>46132</v>
      </c>
      <c r="H703" s="98">
        <v>0.3876041666666667</v>
      </c>
      <c r="I703" s="50">
        <v>166004583</v>
      </c>
      <c r="J703" s="96" t="s">
        <v>157</v>
      </c>
      <c r="K703" s="49" t="s">
        <v>1440</v>
      </c>
      <c r="L703" s="39" t="s">
        <v>1441</v>
      </c>
      <c r="M703" s="49" t="s">
        <v>190</v>
      </c>
      <c r="N703" s="39" t="s">
        <v>191</v>
      </c>
      <c r="O703" s="96" t="s">
        <v>1442</v>
      </c>
      <c r="P703" s="49" t="s">
        <v>157</v>
      </c>
      <c r="Q703" s="96" t="s">
        <v>104</v>
      </c>
      <c r="R703" s="52">
        <v>8.9</v>
      </c>
      <c r="S703" s="52">
        <f>R703-T703</f>
        <v>7.946428571428572</v>
      </c>
      <c r="T703" s="52">
        <f>R703*U703/(U703+100)</f>
        <v>0.9535714285714286</v>
      </c>
      <c r="U703" s="50">
        <v>12</v>
      </c>
      <c r="V703" s="53">
        <v>0</v>
      </c>
      <c r="W703" s="147">
        <v>1.064</v>
      </c>
      <c r="X703" s="148" t="s">
        <v>193</v>
      </c>
      <c r="Y703" s="54">
        <f>R703*W703</f>
        <v>9.469600000000002</v>
      </c>
      <c r="Z703" s="52">
        <f>S703*W703</f>
        <v>8.455000000000002</v>
      </c>
      <c r="AA703" s="52">
        <f>T703*W703</f>
        <v>1.0146000000000002</v>
      </c>
      <c r="AB703" s="52">
        <f>V703*W703</f>
        <v>0</v>
      </c>
      <c r="AC703" s="53">
        <f>(R703+V703)*W703</f>
        <v>9.469600000000002</v>
      </c>
      <c r="AD703" s="138">
        <v>8.9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107</v>
      </c>
      <c r="F704" s="96" t="s">
        <v>106</v>
      </c>
      <c r="G704" s="97">
        <v>46132</v>
      </c>
      <c r="H704" s="98">
        <v>0.3879282407407407</v>
      </c>
      <c r="I704" s="50">
        <v>166004584</v>
      </c>
      <c r="J704" s="96" t="s">
        <v>157</v>
      </c>
      <c r="K704" s="49" t="s">
        <v>1658</v>
      </c>
      <c r="L704" s="39" t="s">
        <v>1659</v>
      </c>
      <c r="M704" s="49" t="s">
        <v>429</v>
      </c>
      <c r="N704" s="39" t="s">
        <v>239</v>
      </c>
      <c r="O704" s="96" t="s">
        <v>1660</v>
      </c>
      <c r="P704" s="49" t="s">
        <v>157</v>
      </c>
      <c r="Q704" s="96" t="s">
        <v>104</v>
      </c>
      <c r="R704" s="52">
        <v>14.4</v>
      </c>
      <c r="S704" s="52">
        <f>R704-T704</f>
        <v>12.857142857142858</v>
      </c>
      <c r="T704" s="52">
        <f>R704*U704/(U704+100)</f>
        <v>1.542857142857143</v>
      </c>
      <c r="U704" s="50">
        <v>12</v>
      </c>
      <c r="V704" s="53">
        <v>0</v>
      </c>
      <c r="W704" s="147">
        <v>1</v>
      </c>
      <c r="X704" s="148" t="s">
        <v>163</v>
      </c>
      <c r="Y704" s="54">
        <f>R704*W704</f>
        <v>14.4</v>
      </c>
      <c r="Z704" s="52">
        <f>S704*W704</f>
        <v>12.857142857142858</v>
      </c>
      <c r="AA704" s="52">
        <f>T704*W704</f>
        <v>1.542857142857143</v>
      </c>
      <c r="AB704" s="52">
        <f>V704*W704</f>
        <v>0</v>
      </c>
      <c r="AC704" s="53">
        <f>(R704+V704)*W704</f>
        <v>14.4</v>
      </c>
      <c r="AD704" s="138">
        <v>14.4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107</v>
      </c>
      <c r="F705" s="96" t="s">
        <v>106</v>
      </c>
      <c r="G705" s="97">
        <v>46132</v>
      </c>
      <c r="H705" s="98">
        <v>0.3879282407407407</v>
      </c>
      <c r="I705" s="50">
        <v>166004584</v>
      </c>
      <c r="J705" s="96" t="s">
        <v>157</v>
      </c>
      <c r="K705" s="49" t="s">
        <v>1658</v>
      </c>
      <c r="L705" s="39" t="s">
        <v>1659</v>
      </c>
      <c r="M705" s="49" t="s">
        <v>429</v>
      </c>
      <c r="N705" s="39" t="s">
        <v>239</v>
      </c>
      <c r="O705" s="96" t="s">
        <v>1660</v>
      </c>
      <c r="P705" s="49" t="s">
        <v>157</v>
      </c>
      <c r="Q705" s="96" t="s">
        <v>104</v>
      </c>
      <c r="R705" s="52">
        <v>14.4</v>
      </c>
      <c r="S705" s="52">
        <f>R705-T705</f>
        <v>12.857142857142858</v>
      </c>
      <c r="T705" s="52">
        <f>R705*U705/(U705+100)</f>
        <v>1.542857142857143</v>
      </c>
      <c r="U705" s="50">
        <v>12</v>
      </c>
      <c r="V705" s="53">
        <v>0</v>
      </c>
      <c r="W705" s="147">
        <v>1</v>
      </c>
      <c r="X705" s="148" t="s">
        <v>163</v>
      </c>
      <c r="Y705" s="54">
        <f>R705*W705</f>
        <v>14.4</v>
      </c>
      <c r="Z705" s="52">
        <f>S705*W705</f>
        <v>12.857142857142858</v>
      </c>
      <c r="AA705" s="52">
        <f>T705*W705</f>
        <v>1.542857142857143</v>
      </c>
      <c r="AB705" s="52">
        <f>V705*W705</f>
        <v>0</v>
      </c>
      <c r="AC705" s="53">
        <f>(R705+V705)*W705</f>
        <v>14.4</v>
      </c>
      <c r="AD705" s="138">
        <v>14.4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107</v>
      </c>
      <c r="F706" s="96" t="s">
        <v>106</v>
      </c>
      <c r="G706" s="97">
        <v>46132</v>
      </c>
      <c r="H706" s="98">
        <v>0.3879282407407407</v>
      </c>
      <c r="I706" s="50">
        <v>166004584</v>
      </c>
      <c r="J706" s="96" t="s">
        <v>157</v>
      </c>
      <c r="K706" s="49" t="s">
        <v>932</v>
      </c>
      <c r="L706" s="39" t="s">
        <v>933</v>
      </c>
      <c r="M706" s="49" t="s">
        <v>823</v>
      </c>
      <c r="N706" s="39" t="s">
        <v>609</v>
      </c>
      <c r="O706" s="96" t="s">
        <v>1472</v>
      </c>
      <c r="P706" s="49" t="s">
        <v>157</v>
      </c>
      <c r="Q706" s="96" t="s">
        <v>104</v>
      </c>
      <c r="R706" s="52">
        <v>16.9</v>
      </c>
      <c r="S706" s="52">
        <f>R706-T706</f>
        <v>15.089285714285714</v>
      </c>
      <c r="T706" s="52">
        <f>R706*U706/(U706+100)</f>
        <v>1.8107142857142855</v>
      </c>
      <c r="U706" s="50">
        <v>12</v>
      </c>
      <c r="V706" s="53">
        <v>0</v>
      </c>
      <c r="W706" s="147">
        <v>2</v>
      </c>
      <c r="X706" s="148" t="s">
        <v>163</v>
      </c>
      <c r="Y706" s="54">
        <f>R706*W706</f>
        <v>33.8</v>
      </c>
      <c r="Z706" s="52">
        <f>S706*W706</f>
        <v>30.178571428571427</v>
      </c>
      <c r="AA706" s="52">
        <f>T706*W706</f>
        <v>3.621428571428571</v>
      </c>
      <c r="AB706" s="52">
        <f>V706*W706</f>
        <v>0</v>
      </c>
      <c r="AC706" s="53">
        <f>(R706+V706)*W706</f>
        <v>33.8</v>
      </c>
      <c r="AD706" s="138">
        <v>16.9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107</v>
      </c>
      <c r="F707" s="96" t="s">
        <v>106</v>
      </c>
      <c r="G707" s="97">
        <v>46132</v>
      </c>
      <c r="H707" s="98">
        <v>0.3879282407407407</v>
      </c>
      <c r="I707" s="50">
        <v>166004584</v>
      </c>
      <c r="J707" s="96" t="s">
        <v>157</v>
      </c>
      <c r="K707" s="49" t="s">
        <v>932</v>
      </c>
      <c r="L707" s="39" t="s">
        <v>933</v>
      </c>
      <c r="M707" s="49" t="s">
        <v>823</v>
      </c>
      <c r="N707" s="39" t="s">
        <v>609</v>
      </c>
      <c r="O707" s="96" t="s">
        <v>1472</v>
      </c>
      <c r="P707" s="49" t="s">
        <v>157</v>
      </c>
      <c r="Q707" s="96" t="s">
        <v>104</v>
      </c>
      <c r="R707" s="52">
        <v>16.9</v>
      </c>
      <c r="S707" s="52">
        <f>R707-T707</f>
        <v>15.089285714285714</v>
      </c>
      <c r="T707" s="52">
        <f>R707*U707/(U707+100)</f>
        <v>1.8107142857142855</v>
      </c>
      <c r="U707" s="50">
        <v>12</v>
      </c>
      <c r="V707" s="53">
        <v>0</v>
      </c>
      <c r="W707" s="147">
        <v>2</v>
      </c>
      <c r="X707" s="148" t="s">
        <v>163</v>
      </c>
      <c r="Y707" s="54">
        <f>R707*W707</f>
        <v>33.8</v>
      </c>
      <c r="Z707" s="52">
        <f>S707*W707</f>
        <v>30.178571428571427</v>
      </c>
      <c r="AA707" s="52">
        <f>T707*W707</f>
        <v>3.621428571428571</v>
      </c>
      <c r="AB707" s="52">
        <f>V707*W707</f>
        <v>0</v>
      </c>
      <c r="AC707" s="53">
        <f>(R707+V707)*W707</f>
        <v>33.8</v>
      </c>
      <c r="AD707" s="138">
        <v>16.9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107</v>
      </c>
      <c r="F708" s="96" t="s">
        <v>106</v>
      </c>
      <c r="G708" s="97">
        <v>46132</v>
      </c>
      <c r="H708" s="98">
        <v>0.3879282407407407</v>
      </c>
      <c r="I708" s="50">
        <v>166004584</v>
      </c>
      <c r="J708" s="96" t="s">
        <v>157</v>
      </c>
      <c r="K708" s="49" t="s">
        <v>848</v>
      </c>
      <c r="L708" s="39" t="s">
        <v>849</v>
      </c>
      <c r="M708" s="49" t="s">
        <v>522</v>
      </c>
      <c r="N708" s="39" t="s">
        <v>688</v>
      </c>
      <c r="O708" s="96" t="s">
        <v>1342</v>
      </c>
      <c r="P708" s="49" t="s">
        <v>157</v>
      </c>
      <c r="Q708" s="96" t="s">
        <v>104</v>
      </c>
      <c r="R708" s="52">
        <v>158.9</v>
      </c>
      <c r="S708" s="52">
        <f>R708-T708</f>
        <v>141.875</v>
      </c>
      <c r="T708" s="52">
        <f>R708*U708/(U708+100)</f>
        <v>17.025000000000002</v>
      </c>
      <c r="U708" s="50">
        <v>12</v>
      </c>
      <c r="V708" s="53">
        <v>0</v>
      </c>
      <c r="W708" s="147">
        <v>0.132</v>
      </c>
      <c r="X708" s="148" t="s">
        <v>193</v>
      </c>
      <c r="Y708" s="54">
        <f>R708*W708</f>
        <v>20.974800000000002</v>
      </c>
      <c r="Z708" s="52">
        <f>S708*W708</f>
        <v>18.7275</v>
      </c>
      <c r="AA708" s="52">
        <f>T708*W708</f>
        <v>2.2473000000000005</v>
      </c>
      <c r="AB708" s="52">
        <f>V708*W708</f>
        <v>0</v>
      </c>
      <c r="AC708" s="53">
        <f>(R708+V708)*W708</f>
        <v>20.974800000000002</v>
      </c>
      <c r="AD708" s="138">
        <v>158.9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107</v>
      </c>
      <c r="F709" s="96" t="s">
        <v>106</v>
      </c>
      <c r="G709" s="97">
        <v>46132</v>
      </c>
      <c r="H709" s="98">
        <v>0.3879282407407407</v>
      </c>
      <c r="I709" s="50">
        <v>166004584</v>
      </c>
      <c r="J709" s="96" t="s">
        <v>157</v>
      </c>
      <c r="K709" s="49" t="s">
        <v>1343</v>
      </c>
      <c r="L709" s="39" t="s">
        <v>1344</v>
      </c>
      <c r="M709" s="49" t="s">
        <v>522</v>
      </c>
      <c r="N709" s="39" t="s">
        <v>440</v>
      </c>
      <c r="O709" s="96" t="s">
        <v>1345</v>
      </c>
      <c r="P709" s="49" t="s">
        <v>157</v>
      </c>
      <c r="Q709" s="96" t="s">
        <v>104</v>
      </c>
      <c r="R709" s="52">
        <v>199.9</v>
      </c>
      <c r="S709" s="52">
        <f>R709-T709</f>
        <v>178.48214285714286</v>
      </c>
      <c r="T709" s="52">
        <f>R709*U709/(U709+100)</f>
        <v>21.417857142857144</v>
      </c>
      <c r="U709" s="50">
        <v>12</v>
      </c>
      <c r="V709" s="53">
        <v>0</v>
      </c>
      <c r="W709" s="147">
        <v>0.19</v>
      </c>
      <c r="X709" s="148" t="s">
        <v>193</v>
      </c>
      <c r="Y709" s="54">
        <f>R709*W709</f>
        <v>37.981</v>
      </c>
      <c r="Z709" s="52">
        <f>S709*W709</f>
        <v>33.91160714285714</v>
      </c>
      <c r="AA709" s="52">
        <f>T709*W709</f>
        <v>4.069392857142858</v>
      </c>
      <c r="AB709" s="52">
        <f>V709*W709</f>
        <v>0</v>
      </c>
      <c r="AC709" s="53">
        <f>(R709+V709)*W709</f>
        <v>37.981</v>
      </c>
      <c r="AD709" s="138">
        <v>199.9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107</v>
      </c>
      <c r="F710" s="96" t="s">
        <v>106</v>
      </c>
      <c r="G710" s="97">
        <v>46132</v>
      </c>
      <c r="H710" s="98">
        <v>0.3884606481481481</v>
      </c>
      <c r="I710" s="50">
        <v>166004585</v>
      </c>
      <c r="J710" s="96" t="s">
        <v>157</v>
      </c>
      <c r="K710" s="49" t="s">
        <v>1661</v>
      </c>
      <c r="L710" s="39" t="s">
        <v>1662</v>
      </c>
      <c r="M710" s="49" t="s">
        <v>196</v>
      </c>
      <c r="N710" s="39" t="s">
        <v>239</v>
      </c>
      <c r="O710" s="96" t="s">
        <v>1663</v>
      </c>
      <c r="P710" s="49" t="s">
        <v>157</v>
      </c>
      <c r="Q710" s="96" t="s">
        <v>104</v>
      </c>
      <c r="R710" s="52">
        <v>11.4</v>
      </c>
      <c r="S710" s="52">
        <f>R710-T710</f>
        <v>10.178571428571429</v>
      </c>
      <c r="T710" s="52">
        <f>R710*U710/(U710+100)</f>
        <v>1.2214285714285715</v>
      </c>
      <c r="U710" s="50">
        <v>12</v>
      </c>
      <c r="V710" s="53">
        <v>0</v>
      </c>
      <c r="W710" s="147">
        <v>1</v>
      </c>
      <c r="X710" s="148" t="s">
        <v>163</v>
      </c>
      <c r="Y710" s="54">
        <f>R710*W710</f>
        <v>11.4</v>
      </c>
      <c r="Z710" s="52">
        <f>S710*W710</f>
        <v>10.178571428571429</v>
      </c>
      <c r="AA710" s="52">
        <f>T710*W710</f>
        <v>1.2214285714285715</v>
      </c>
      <c r="AB710" s="52">
        <f>V710*W710</f>
        <v>0</v>
      </c>
      <c r="AC710" s="53">
        <f>(R710+V710)*W710</f>
        <v>11.4</v>
      </c>
      <c r="AD710" s="138">
        <v>11.4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107</v>
      </c>
      <c r="F711" s="96" t="s">
        <v>106</v>
      </c>
      <c r="G711" s="97">
        <v>46132</v>
      </c>
      <c r="H711" s="98">
        <v>0.3884606481481481</v>
      </c>
      <c r="I711" s="50">
        <v>166004585</v>
      </c>
      <c r="J711" s="96" t="s">
        <v>157</v>
      </c>
      <c r="K711" s="49" t="s">
        <v>1664</v>
      </c>
      <c r="L711" s="39" t="s">
        <v>1665</v>
      </c>
      <c r="M711" s="49" t="s">
        <v>893</v>
      </c>
      <c r="N711" s="39" t="s">
        <v>291</v>
      </c>
      <c r="O711" s="96" t="s">
        <v>1666</v>
      </c>
      <c r="P711" s="49" t="s">
        <v>157</v>
      </c>
      <c r="Q711" s="96" t="s">
        <v>104</v>
      </c>
      <c r="R711" s="52">
        <v>24.9</v>
      </c>
      <c r="S711" s="52">
        <f>R711-T711</f>
        <v>22.232142857142858</v>
      </c>
      <c r="T711" s="52">
        <f>R711*U711/(U711+100)</f>
        <v>2.6678571428571423</v>
      </c>
      <c r="U711" s="50">
        <v>12</v>
      </c>
      <c r="V711" s="53">
        <v>0</v>
      </c>
      <c r="W711" s="147">
        <v>1</v>
      </c>
      <c r="X711" s="148" t="s">
        <v>163</v>
      </c>
      <c r="Y711" s="54">
        <f>R711*W711</f>
        <v>24.9</v>
      </c>
      <c r="Z711" s="52">
        <f>S711*W711</f>
        <v>22.232142857142858</v>
      </c>
      <c r="AA711" s="52">
        <f>T711*W711</f>
        <v>2.6678571428571423</v>
      </c>
      <c r="AB711" s="52">
        <f>V711*W711</f>
        <v>0</v>
      </c>
      <c r="AC711" s="53">
        <f>(R711+V711)*W711</f>
        <v>24.9</v>
      </c>
      <c r="AD711" s="138">
        <v>24.9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107</v>
      </c>
      <c r="F712" s="96" t="s">
        <v>106</v>
      </c>
      <c r="G712" s="97">
        <v>46132</v>
      </c>
      <c r="H712" s="98">
        <v>0.3884606481481481</v>
      </c>
      <c r="I712" s="50">
        <v>166004585</v>
      </c>
      <c r="J712" s="96" t="s">
        <v>157</v>
      </c>
      <c r="K712" s="49" t="s">
        <v>1549</v>
      </c>
      <c r="L712" s="39" t="s">
        <v>1550</v>
      </c>
      <c r="M712" s="49" t="s">
        <v>466</v>
      </c>
      <c r="N712" s="39" t="s">
        <v>609</v>
      </c>
      <c r="O712" s="96" t="s">
        <v>1551</v>
      </c>
      <c r="P712" s="49" t="s">
        <v>157</v>
      </c>
      <c r="Q712" s="96" t="s">
        <v>104</v>
      </c>
      <c r="R712" s="52">
        <v>14.9</v>
      </c>
      <c r="S712" s="52">
        <f>R712-T712</f>
        <v>13.303571428571429</v>
      </c>
      <c r="T712" s="52">
        <f>R712*U712/(U712+100)</f>
        <v>1.5964285714285715</v>
      </c>
      <c r="U712" s="50">
        <v>12</v>
      </c>
      <c r="V712" s="53">
        <v>0</v>
      </c>
      <c r="W712" s="147">
        <v>1</v>
      </c>
      <c r="X712" s="148" t="s">
        <v>163</v>
      </c>
      <c r="Y712" s="54">
        <f>R712*W712</f>
        <v>14.9</v>
      </c>
      <c r="Z712" s="52">
        <f>S712*W712</f>
        <v>13.303571428571429</v>
      </c>
      <c r="AA712" s="52">
        <f>T712*W712</f>
        <v>1.5964285714285715</v>
      </c>
      <c r="AB712" s="52">
        <f>V712*W712</f>
        <v>0</v>
      </c>
      <c r="AC712" s="53">
        <f>(R712+V712)*W712</f>
        <v>14.9</v>
      </c>
      <c r="AD712" s="138">
        <v>14.9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107</v>
      </c>
      <c r="F713" s="96" t="s">
        <v>106</v>
      </c>
      <c r="G713" s="97">
        <v>46132</v>
      </c>
      <c r="H713" s="98">
        <v>0.3884606481481481</v>
      </c>
      <c r="I713" s="50">
        <v>166004585</v>
      </c>
      <c r="J713" s="96" t="s">
        <v>157</v>
      </c>
      <c r="K713" s="49" t="s">
        <v>1667</v>
      </c>
      <c r="L713" s="39" t="s">
        <v>1668</v>
      </c>
      <c r="M713" s="49" t="s">
        <v>214</v>
      </c>
      <c r="N713" s="39" t="s">
        <v>490</v>
      </c>
      <c r="O713" s="96" t="s">
        <v>1669</v>
      </c>
      <c r="P713" s="49" t="s">
        <v>157</v>
      </c>
      <c r="Q713" s="96" t="s">
        <v>104</v>
      </c>
      <c r="R713" s="52">
        <v>31.9</v>
      </c>
      <c r="S713" s="52">
        <f>R713-T713</f>
        <v>28.482142857142858</v>
      </c>
      <c r="T713" s="52">
        <f>R713*U713/(U713+100)</f>
        <v>3.4178571428571423</v>
      </c>
      <c r="U713" s="50">
        <v>12</v>
      </c>
      <c r="V713" s="53">
        <v>0</v>
      </c>
      <c r="W713" s="147">
        <v>1</v>
      </c>
      <c r="X713" s="148" t="s">
        <v>163</v>
      </c>
      <c r="Y713" s="54">
        <f>R713*W713</f>
        <v>31.9</v>
      </c>
      <c r="Z713" s="52">
        <f>S713*W713</f>
        <v>28.482142857142858</v>
      </c>
      <c r="AA713" s="52">
        <f>T713*W713</f>
        <v>3.4178571428571423</v>
      </c>
      <c r="AB713" s="52">
        <f>V713*W713</f>
        <v>0</v>
      </c>
      <c r="AC713" s="53">
        <f>(R713+V713)*W713</f>
        <v>31.9</v>
      </c>
      <c r="AD713" s="138">
        <v>31.9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107</v>
      </c>
      <c r="F714" s="96" t="s">
        <v>106</v>
      </c>
      <c r="G714" s="97">
        <v>46132</v>
      </c>
      <c r="H714" s="98">
        <v>0.3884606481481481</v>
      </c>
      <c r="I714" s="50">
        <v>166004585</v>
      </c>
      <c r="J714" s="96" t="s">
        <v>157</v>
      </c>
      <c r="K714" s="49" t="s">
        <v>1670</v>
      </c>
      <c r="L714" s="39" t="s">
        <v>1671</v>
      </c>
      <c r="M714" s="49" t="s">
        <v>214</v>
      </c>
      <c r="N714" s="39" t="s">
        <v>490</v>
      </c>
      <c r="O714" s="96" t="s">
        <v>1672</v>
      </c>
      <c r="P714" s="49" t="s">
        <v>157</v>
      </c>
      <c r="Q714" s="96" t="s">
        <v>104</v>
      </c>
      <c r="R714" s="52">
        <v>31.9</v>
      </c>
      <c r="S714" s="52">
        <f>R714-T714</f>
        <v>28.482142857142858</v>
      </c>
      <c r="T714" s="52">
        <f>R714*U714/(U714+100)</f>
        <v>3.4178571428571423</v>
      </c>
      <c r="U714" s="50">
        <v>12</v>
      </c>
      <c r="V714" s="53">
        <v>0</v>
      </c>
      <c r="W714" s="147">
        <v>1</v>
      </c>
      <c r="X714" s="148" t="s">
        <v>163</v>
      </c>
      <c r="Y714" s="54">
        <f>R714*W714</f>
        <v>31.9</v>
      </c>
      <c r="Z714" s="52">
        <f>S714*W714</f>
        <v>28.482142857142858</v>
      </c>
      <c r="AA714" s="52">
        <f>T714*W714</f>
        <v>3.4178571428571423</v>
      </c>
      <c r="AB714" s="52">
        <f>V714*W714</f>
        <v>0</v>
      </c>
      <c r="AC714" s="53">
        <f>(R714+V714)*W714</f>
        <v>31.9</v>
      </c>
      <c r="AD714" s="138">
        <v>31.9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107</v>
      </c>
      <c r="F715" s="96" t="s">
        <v>106</v>
      </c>
      <c r="G715" s="97">
        <v>46132</v>
      </c>
      <c r="H715" s="98">
        <v>0.3884606481481481</v>
      </c>
      <c r="I715" s="50">
        <v>166004585</v>
      </c>
      <c r="J715" s="96" t="s">
        <v>157</v>
      </c>
      <c r="K715" s="49" t="s">
        <v>1673</v>
      </c>
      <c r="L715" s="39" t="s">
        <v>1674</v>
      </c>
      <c r="M715" s="49" t="s">
        <v>620</v>
      </c>
      <c r="N715" s="39" t="s">
        <v>220</v>
      </c>
      <c r="O715" s="96" t="s">
        <v>1675</v>
      </c>
      <c r="P715" s="49" t="s">
        <v>157</v>
      </c>
      <c r="Q715" s="96" t="s">
        <v>104</v>
      </c>
      <c r="R715" s="52">
        <v>39.9</v>
      </c>
      <c r="S715" s="52">
        <f>R715-T715</f>
        <v>32.97520661157024</v>
      </c>
      <c r="T715" s="52">
        <f>R715*U715/(U715+100)</f>
        <v>6.924793388429752</v>
      </c>
      <c r="U715" s="50">
        <v>21</v>
      </c>
      <c r="V715" s="53">
        <v>0</v>
      </c>
      <c r="W715" s="147">
        <v>1</v>
      </c>
      <c r="X715" s="148" t="s">
        <v>163</v>
      </c>
      <c r="Y715" s="54">
        <f>R715*W715</f>
        <v>39.9</v>
      </c>
      <c r="Z715" s="52">
        <f>S715*W715</f>
        <v>32.97520661157024</v>
      </c>
      <c r="AA715" s="52">
        <f>T715*W715</f>
        <v>6.924793388429752</v>
      </c>
      <c r="AB715" s="52">
        <f>V715*W715</f>
        <v>0</v>
      </c>
      <c r="AC715" s="53">
        <f>(R715+V715)*W715</f>
        <v>39.9</v>
      </c>
      <c r="AD715" s="138">
        <v>39.9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107</v>
      </c>
      <c r="F716" s="96" t="s">
        <v>106</v>
      </c>
      <c r="G716" s="97">
        <v>46132</v>
      </c>
      <c r="H716" s="98">
        <v>0.3884606481481481</v>
      </c>
      <c r="I716" s="50">
        <v>166004585</v>
      </c>
      <c r="J716" s="96" t="s">
        <v>157</v>
      </c>
      <c r="K716" s="49" t="s">
        <v>938</v>
      </c>
      <c r="L716" s="39" t="s">
        <v>939</v>
      </c>
      <c r="M716" s="49" t="s">
        <v>214</v>
      </c>
      <c r="N716" s="39" t="s">
        <v>940</v>
      </c>
      <c r="O716" s="96" t="s">
        <v>1676</v>
      </c>
      <c r="P716" s="49" t="s">
        <v>157</v>
      </c>
      <c r="Q716" s="96" t="s">
        <v>104</v>
      </c>
      <c r="R716" s="52">
        <v>33.9</v>
      </c>
      <c r="S716" s="52">
        <f>R716-T716</f>
        <v>30.267857142857142</v>
      </c>
      <c r="T716" s="52">
        <f>R716*U716/(U716+100)</f>
        <v>3.6321428571428567</v>
      </c>
      <c r="U716" s="50">
        <v>12</v>
      </c>
      <c r="V716" s="53">
        <v>0</v>
      </c>
      <c r="W716" s="147">
        <v>1</v>
      </c>
      <c r="X716" s="148" t="s">
        <v>163</v>
      </c>
      <c r="Y716" s="54">
        <f>R716*W716</f>
        <v>33.9</v>
      </c>
      <c r="Z716" s="52">
        <f>S716*W716</f>
        <v>30.267857142857142</v>
      </c>
      <c r="AA716" s="52">
        <f>T716*W716</f>
        <v>3.6321428571428567</v>
      </c>
      <c r="AB716" s="52">
        <f>V716*W716</f>
        <v>0</v>
      </c>
      <c r="AC716" s="53">
        <f>(R716+V716)*W716</f>
        <v>33.9</v>
      </c>
      <c r="AD716" s="138">
        <v>33.9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107</v>
      </c>
      <c r="F717" s="96" t="s">
        <v>106</v>
      </c>
      <c r="G717" s="97">
        <v>46132</v>
      </c>
      <c r="H717" s="98">
        <v>0.3885763888888889</v>
      </c>
      <c r="I717" s="50">
        <v>166004586</v>
      </c>
      <c r="J717" s="96" t="s">
        <v>157</v>
      </c>
      <c r="K717" s="49" t="s">
        <v>1329</v>
      </c>
      <c r="L717" s="39" t="s">
        <v>1330</v>
      </c>
      <c r="M717" s="49" t="s">
        <v>403</v>
      </c>
      <c r="N717" s="39" t="s">
        <v>373</v>
      </c>
      <c r="O717" s="96" t="s">
        <v>1331</v>
      </c>
      <c r="P717" s="49" t="s">
        <v>157</v>
      </c>
      <c r="Q717" s="96" t="s">
        <v>104</v>
      </c>
      <c r="R717" s="52">
        <v>171.9</v>
      </c>
      <c r="S717" s="52">
        <f>R717-T717</f>
        <v>153.48214285714286</v>
      </c>
      <c r="T717" s="52">
        <f>R717*U717/(U717+100)</f>
        <v>18.417857142857144</v>
      </c>
      <c r="U717" s="50">
        <v>12</v>
      </c>
      <c r="V717" s="53">
        <v>0</v>
      </c>
      <c r="W717" s="147">
        <v>0.206</v>
      </c>
      <c r="X717" s="148" t="s">
        <v>193</v>
      </c>
      <c r="Y717" s="54">
        <f>R717*W717</f>
        <v>35.4114</v>
      </c>
      <c r="Z717" s="52">
        <f>S717*W717</f>
        <v>31.617321428571426</v>
      </c>
      <c r="AA717" s="52">
        <f>T717*W717</f>
        <v>3.7940785714285714</v>
      </c>
      <c r="AB717" s="52">
        <f>V717*W717</f>
        <v>0</v>
      </c>
      <c r="AC717" s="53">
        <f>(R717+V717)*W717</f>
        <v>35.4114</v>
      </c>
      <c r="AD717" s="138">
        <v>171.9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107</v>
      </c>
      <c r="F718" s="96" t="s">
        <v>106</v>
      </c>
      <c r="G718" s="97">
        <v>46132</v>
      </c>
      <c r="H718" s="98">
        <v>0.3908912037037037</v>
      </c>
      <c r="I718" s="50">
        <v>166004587</v>
      </c>
      <c r="J718" s="96" t="s">
        <v>157</v>
      </c>
      <c r="K718" s="49" t="s">
        <v>1677</v>
      </c>
      <c r="L718" s="39" t="s">
        <v>1678</v>
      </c>
      <c r="M718" s="49" t="s">
        <v>1679</v>
      </c>
      <c r="N718" s="39" t="s">
        <v>731</v>
      </c>
      <c r="O718" s="96" t="s">
        <v>1680</v>
      </c>
      <c r="P718" s="49" t="s">
        <v>157</v>
      </c>
      <c r="Q718" s="96" t="s">
        <v>104</v>
      </c>
      <c r="R718" s="52">
        <v>67.9</v>
      </c>
      <c r="S718" s="52">
        <f>R718-T718</f>
        <v>56.11570247933885</v>
      </c>
      <c r="T718" s="52">
        <f>R718*U718/(U718+100)</f>
        <v>11.784297520661157</v>
      </c>
      <c r="U718" s="50">
        <v>21</v>
      </c>
      <c r="V718" s="53">
        <v>0</v>
      </c>
      <c r="W718" s="147">
        <v>1</v>
      </c>
      <c r="X718" s="148" t="s">
        <v>163</v>
      </c>
      <c r="Y718" s="54">
        <f>R718*W718</f>
        <v>67.9</v>
      </c>
      <c r="Z718" s="52">
        <f>S718*W718</f>
        <v>56.11570247933885</v>
      </c>
      <c r="AA718" s="52">
        <f>T718*W718</f>
        <v>11.784297520661157</v>
      </c>
      <c r="AB718" s="52">
        <f>V718*W718</f>
        <v>0</v>
      </c>
      <c r="AC718" s="53">
        <f>(R718+V718)*W718</f>
        <v>67.9</v>
      </c>
      <c r="AD718" s="138">
        <v>67.9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107</v>
      </c>
      <c r="F719" s="96" t="s">
        <v>106</v>
      </c>
      <c r="G719" s="97">
        <v>46132</v>
      </c>
      <c r="H719" s="98">
        <v>0.3908912037037037</v>
      </c>
      <c r="I719" s="50">
        <v>166004587</v>
      </c>
      <c r="J719" s="96" t="s">
        <v>157</v>
      </c>
      <c r="K719" s="49" t="s">
        <v>1148</v>
      </c>
      <c r="L719" s="39" t="s">
        <v>1149</v>
      </c>
      <c r="M719" s="49" t="s">
        <v>862</v>
      </c>
      <c r="N719" s="39" t="s">
        <v>863</v>
      </c>
      <c r="O719" s="96" t="s">
        <v>1150</v>
      </c>
      <c r="P719" s="49" t="s">
        <v>157</v>
      </c>
      <c r="Q719" s="96" t="s">
        <v>104</v>
      </c>
      <c r="R719" s="52">
        <v>145</v>
      </c>
      <c r="S719" s="52">
        <f>R719-T719</f>
        <v>119.83471074380165</v>
      </c>
      <c r="T719" s="52">
        <f>R719*U719/(U719+100)</f>
        <v>25.165289256198346</v>
      </c>
      <c r="U719" s="50">
        <v>21</v>
      </c>
      <c r="V719" s="53">
        <v>0</v>
      </c>
      <c r="W719" s="147">
        <v>1</v>
      </c>
      <c r="X719" s="148" t="s">
        <v>163</v>
      </c>
      <c r="Y719" s="54">
        <f>R719*W719</f>
        <v>145</v>
      </c>
      <c r="Z719" s="52">
        <f>S719*W719</f>
        <v>119.83471074380165</v>
      </c>
      <c r="AA719" s="52">
        <f>T719*W719</f>
        <v>25.165289256198346</v>
      </c>
      <c r="AB719" s="52">
        <f>V719*W719</f>
        <v>0</v>
      </c>
      <c r="AC719" s="53">
        <f>(R719+V719)*W719</f>
        <v>145</v>
      </c>
      <c r="AD719" s="138">
        <v>145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107</v>
      </c>
      <c r="F720" s="96" t="s">
        <v>106</v>
      </c>
      <c r="G720" s="97">
        <v>46132</v>
      </c>
      <c r="H720" s="98">
        <v>0.3913425925925926</v>
      </c>
      <c r="I720" s="50">
        <v>166004588</v>
      </c>
      <c r="J720" s="96" t="s">
        <v>157</v>
      </c>
      <c r="K720" s="49" t="s">
        <v>1555</v>
      </c>
      <c r="L720" s="39" t="s">
        <v>1556</v>
      </c>
      <c r="M720" s="49" t="s">
        <v>425</v>
      </c>
      <c r="N720" s="39" t="s">
        <v>197</v>
      </c>
      <c r="O720" s="96" t="s">
        <v>1557</v>
      </c>
      <c r="P720" s="49" t="s">
        <v>235</v>
      </c>
      <c r="Q720" s="96" t="s">
        <v>236</v>
      </c>
      <c r="R720" s="52">
        <v>5.9</v>
      </c>
      <c r="S720" s="52">
        <f>R720-T720</f>
        <v>5.267857142857143</v>
      </c>
      <c r="T720" s="52">
        <f>R720*U720/(U720+100)</f>
        <v>0.6321428571428572</v>
      </c>
      <c r="U720" s="50">
        <v>12</v>
      </c>
      <c r="V720" s="53">
        <v>0</v>
      </c>
      <c r="W720" s="147">
        <v>1</v>
      </c>
      <c r="X720" s="148" t="s">
        <v>163</v>
      </c>
      <c r="Y720" s="54">
        <f>R720*W720</f>
        <v>5.9</v>
      </c>
      <c r="Z720" s="52">
        <f>S720*W720</f>
        <v>5.267857142857143</v>
      </c>
      <c r="AA720" s="52">
        <f>T720*W720</f>
        <v>0.6321428571428572</v>
      </c>
      <c r="AB720" s="52">
        <f>V720*W720</f>
        <v>0</v>
      </c>
      <c r="AC720" s="53">
        <f>(R720+V720)*W720</f>
        <v>5.9</v>
      </c>
      <c r="AD720" s="138">
        <v>5.9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107</v>
      </c>
      <c r="F721" s="96" t="s">
        <v>106</v>
      </c>
      <c r="G721" s="97">
        <v>46132</v>
      </c>
      <c r="H721" s="98">
        <v>0.3913425925925926</v>
      </c>
      <c r="I721" s="50">
        <v>166004588</v>
      </c>
      <c r="J721" s="96" t="s">
        <v>157</v>
      </c>
      <c r="K721" s="49" t="s">
        <v>1681</v>
      </c>
      <c r="L721" s="39" t="s">
        <v>1682</v>
      </c>
      <c r="M721" s="49" t="s">
        <v>425</v>
      </c>
      <c r="N721" s="39" t="s">
        <v>197</v>
      </c>
      <c r="O721" s="96" t="s">
        <v>1683</v>
      </c>
      <c r="P721" s="49" t="s">
        <v>235</v>
      </c>
      <c r="Q721" s="96" t="s">
        <v>236</v>
      </c>
      <c r="R721" s="52">
        <v>5.9</v>
      </c>
      <c r="S721" s="52">
        <f>R721-T721</f>
        <v>5.267857142857143</v>
      </c>
      <c r="T721" s="52">
        <f>R721*U721/(U721+100)</f>
        <v>0.6321428571428572</v>
      </c>
      <c r="U721" s="50">
        <v>12</v>
      </c>
      <c r="V721" s="53">
        <v>0</v>
      </c>
      <c r="W721" s="147">
        <v>1</v>
      </c>
      <c r="X721" s="148" t="s">
        <v>163</v>
      </c>
      <c r="Y721" s="54">
        <f>R721*W721</f>
        <v>5.9</v>
      </c>
      <c r="Z721" s="52">
        <f>S721*W721</f>
        <v>5.267857142857143</v>
      </c>
      <c r="AA721" s="52">
        <f>T721*W721</f>
        <v>0.6321428571428572</v>
      </c>
      <c r="AB721" s="52">
        <f>V721*W721</f>
        <v>0</v>
      </c>
      <c r="AC721" s="53">
        <f>(R721+V721)*W721</f>
        <v>5.9</v>
      </c>
      <c r="AD721" s="138">
        <v>5.9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107</v>
      </c>
      <c r="F722" s="96" t="s">
        <v>106</v>
      </c>
      <c r="G722" s="97">
        <v>46132</v>
      </c>
      <c r="H722" s="98">
        <v>0.3913425925925926</v>
      </c>
      <c r="I722" s="50">
        <v>166004588</v>
      </c>
      <c r="J722" s="96" t="s">
        <v>157</v>
      </c>
      <c r="K722" s="49" t="s">
        <v>798</v>
      </c>
      <c r="L722" s="39" t="s">
        <v>799</v>
      </c>
      <c r="M722" s="49" t="s">
        <v>425</v>
      </c>
      <c r="N722" s="39" t="s">
        <v>197</v>
      </c>
      <c r="O722" s="96" t="s">
        <v>1684</v>
      </c>
      <c r="P722" s="49" t="s">
        <v>235</v>
      </c>
      <c r="Q722" s="96" t="s">
        <v>236</v>
      </c>
      <c r="R722" s="52">
        <v>5.9</v>
      </c>
      <c r="S722" s="52">
        <f>R722-T722</f>
        <v>5.267857142857143</v>
      </c>
      <c r="T722" s="52">
        <f>R722*U722/(U722+100)</f>
        <v>0.6321428571428572</v>
      </c>
      <c r="U722" s="50">
        <v>12</v>
      </c>
      <c r="V722" s="53">
        <v>0</v>
      </c>
      <c r="W722" s="147">
        <v>1</v>
      </c>
      <c r="X722" s="148" t="s">
        <v>163</v>
      </c>
      <c r="Y722" s="54">
        <f>R722*W722</f>
        <v>5.9</v>
      </c>
      <c r="Z722" s="52">
        <f>S722*W722</f>
        <v>5.267857142857143</v>
      </c>
      <c r="AA722" s="52">
        <f>T722*W722</f>
        <v>0.6321428571428572</v>
      </c>
      <c r="AB722" s="52">
        <f>V722*W722</f>
        <v>0</v>
      </c>
      <c r="AC722" s="53">
        <f>(R722+V722)*W722</f>
        <v>5.9</v>
      </c>
      <c r="AD722" s="138">
        <v>5.9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107</v>
      </c>
      <c r="F723" s="96" t="s">
        <v>106</v>
      </c>
      <c r="G723" s="97">
        <v>46132</v>
      </c>
      <c r="H723" s="98">
        <v>0.3913425925925926</v>
      </c>
      <c r="I723" s="50">
        <v>166004588</v>
      </c>
      <c r="J723" s="96" t="s">
        <v>157</v>
      </c>
      <c r="K723" s="49" t="s">
        <v>1685</v>
      </c>
      <c r="L723" s="39" t="s">
        <v>1686</v>
      </c>
      <c r="M723" s="49" t="s">
        <v>201</v>
      </c>
      <c r="N723" s="39" t="s">
        <v>609</v>
      </c>
      <c r="O723" s="96" t="s">
        <v>1687</v>
      </c>
      <c r="P723" s="49" t="s">
        <v>157</v>
      </c>
      <c r="Q723" s="96" t="s">
        <v>104</v>
      </c>
      <c r="R723" s="52">
        <v>12.4</v>
      </c>
      <c r="S723" s="52">
        <f>R723-T723</f>
        <v>11.071428571428571</v>
      </c>
      <c r="T723" s="52">
        <f>R723*U723/(U723+100)</f>
        <v>1.3285714285714287</v>
      </c>
      <c r="U723" s="50">
        <v>12</v>
      </c>
      <c r="V723" s="53">
        <v>0</v>
      </c>
      <c r="W723" s="147">
        <v>1</v>
      </c>
      <c r="X723" s="148" t="s">
        <v>163</v>
      </c>
      <c r="Y723" s="54">
        <f>R723*W723</f>
        <v>12.4</v>
      </c>
      <c r="Z723" s="52">
        <f>S723*W723</f>
        <v>11.071428571428571</v>
      </c>
      <c r="AA723" s="52">
        <f>T723*W723</f>
        <v>1.3285714285714287</v>
      </c>
      <c r="AB723" s="52">
        <f>V723*W723</f>
        <v>0</v>
      </c>
      <c r="AC723" s="53">
        <f>(R723+V723)*W723</f>
        <v>12.4</v>
      </c>
      <c r="AD723" s="138">
        <v>12.4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107</v>
      </c>
      <c r="F724" s="96" t="s">
        <v>106</v>
      </c>
      <c r="G724" s="97">
        <v>46132</v>
      </c>
      <c r="H724" s="98">
        <v>0.3913425925925926</v>
      </c>
      <c r="I724" s="50">
        <v>166004588</v>
      </c>
      <c r="J724" s="96" t="s">
        <v>157</v>
      </c>
      <c r="K724" s="49" t="s">
        <v>1685</v>
      </c>
      <c r="L724" s="39" t="s">
        <v>1686</v>
      </c>
      <c r="M724" s="49" t="s">
        <v>201</v>
      </c>
      <c r="N724" s="39" t="s">
        <v>609</v>
      </c>
      <c r="O724" s="96" t="s">
        <v>1687</v>
      </c>
      <c r="P724" s="49" t="s">
        <v>157</v>
      </c>
      <c r="Q724" s="96" t="s">
        <v>104</v>
      </c>
      <c r="R724" s="52">
        <v>12.4</v>
      </c>
      <c r="S724" s="52">
        <f>R724-T724</f>
        <v>11.071428571428571</v>
      </c>
      <c r="T724" s="52">
        <f>R724*U724/(U724+100)</f>
        <v>1.3285714285714287</v>
      </c>
      <c r="U724" s="50">
        <v>12</v>
      </c>
      <c r="V724" s="53">
        <v>0</v>
      </c>
      <c r="W724" s="147">
        <v>1</v>
      </c>
      <c r="X724" s="148" t="s">
        <v>163</v>
      </c>
      <c r="Y724" s="54">
        <f>R724*W724</f>
        <v>12.4</v>
      </c>
      <c r="Z724" s="52">
        <f>S724*W724</f>
        <v>11.071428571428571</v>
      </c>
      <c r="AA724" s="52">
        <f>T724*W724</f>
        <v>1.3285714285714287</v>
      </c>
      <c r="AB724" s="52">
        <f>V724*W724</f>
        <v>0</v>
      </c>
      <c r="AC724" s="53">
        <f>(R724+V724)*W724</f>
        <v>12.4</v>
      </c>
      <c r="AD724" s="138">
        <v>12.4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107</v>
      </c>
      <c r="F725" s="96" t="s">
        <v>106</v>
      </c>
      <c r="G725" s="97">
        <v>46132</v>
      </c>
      <c r="H725" s="98">
        <v>0.3913425925925926</v>
      </c>
      <c r="I725" s="50">
        <v>166004588</v>
      </c>
      <c r="J725" s="96" t="s">
        <v>157</v>
      </c>
      <c r="K725" s="49" t="s">
        <v>1688</v>
      </c>
      <c r="L725" s="39" t="s">
        <v>1689</v>
      </c>
      <c r="M725" s="49" t="s">
        <v>862</v>
      </c>
      <c r="N725" s="39" t="s">
        <v>863</v>
      </c>
      <c r="O725" s="96" t="s">
        <v>1690</v>
      </c>
      <c r="P725" s="49" t="s">
        <v>157</v>
      </c>
      <c r="Q725" s="96" t="s">
        <v>104</v>
      </c>
      <c r="R725" s="52">
        <v>159</v>
      </c>
      <c r="S725" s="52">
        <f>R725-T725</f>
        <v>131.40495867768595</v>
      </c>
      <c r="T725" s="52">
        <f>R725*U725/(U725+100)</f>
        <v>27.59504132231405</v>
      </c>
      <c r="U725" s="50">
        <v>21</v>
      </c>
      <c r="V725" s="53">
        <v>0</v>
      </c>
      <c r="W725" s="147">
        <v>1</v>
      </c>
      <c r="X725" s="148" t="s">
        <v>163</v>
      </c>
      <c r="Y725" s="54">
        <f>R725*W725</f>
        <v>159</v>
      </c>
      <c r="Z725" s="52">
        <f>S725*W725</f>
        <v>131.40495867768595</v>
      </c>
      <c r="AA725" s="52">
        <f>T725*W725</f>
        <v>27.59504132231405</v>
      </c>
      <c r="AB725" s="52">
        <f>V725*W725</f>
        <v>0</v>
      </c>
      <c r="AC725" s="53">
        <f>(R725+V725)*W725</f>
        <v>159</v>
      </c>
      <c r="AD725" s="138">
        <v>159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107</v>
      </c>
      <c r="F726" s="96" t="s">
        <v>106</v>
      </c>
      <c r="G726" s="97">
        <v>46132</v>
      </c>
      <c r="H726" s="98">
        <v>0.3913425925925926</v>
      </c>
      <c r="I726" s="50">
        <v>166004588</v>
      </c>
      <c r="J726" s="96" t="s">
        <v>157</v>
      </c>
      <c r="K726" s="49" t="s">
        <v>303</v>
      </c>
      <c r="L726" s="39" t="s">
        <v>304</v>
      </c>
      <c r="M726" s="49" t="s">
        <v>214</v>
      </c>
      <c r="N726" s="39" t="s">
        <v>296</v>
      </c>
      <c r="O726" s="96" t="s">
        <v>305</v>
      </c>
      <c r="P726" s="49" t="s">
        <v>157</v>
      </c>
      <c r="Q726" s="96" t="s">
        <v>104</v>
      </c>
      <c r="R726" s="52">
        <v>11.9</v>
      </c>
      <c r="S726" s="52">
        <f>R726-T726</f>
        <v>10.625</v>
      </c>
      <c r="T726" s="52">
        <f>R726*U726/(U726+100)</f>
        <v>1.2750000000000001</v>
      </c>
      <c r="U726" s="50">
        <v>12</v>
      </c>
      <c r="V726" s="53">
        <v>0</v>
      </c>
      <c r="W726" s="147">
        <v>2</v>
      </c>
      <c r="X726" s="148" t="s">
        <v>163</v>
      </c>
      <c r="Y726" s="54">
        <f>R726*W726</f>
        <v>23.8</v>
      </c>
      <c r="Z726" s="52">
        <f>S726*W726</f>
        <v>21.25</v>
      </c>
      <c r="AA726" s="52">
        <f>T726*W726</f>
        <v>2.5500000000000003</v>
      </c>
      <c r="AB726" s="52">
        <f>V726*W726</f>
        <v>0</v>
      </c>
      <c r="AC726" s="53">
        <f>(R726+V726)*W726</f>
        <v>23.8</v>
      </c>
      <c r="AD726" s="138">
        <v>11.9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107</v>
      </c>
      <c r="F727" s="96" t="s">
        <v>106</v>
      </c>
      <c r="G727" s="97">
        <v>46132</v>
      </c>
      <c r="H727" s="98">
        <v>0.3915625</v>
      </c>
      <c r="I727" s="50">
        <v>166004589</v>
      </c>
      <c r="J727" s="96" t="s">
        <v>157</v>
      </c>
      <c r="K727" s="49" t="s">
        <v>1403</v>
      </c>
      <c r="L727" s="39" t="s">
        <v>1404</v>
      </c>
      <c r="M727" s="49" t="s">
        <v>1405</v>
      </c>
      <c r="N727" s="39" t="s">
        <v>778</v>
      </c>
      <c r="O727" s="96" t="s">
        <v>1406</v>
      </c>
      <c r="P727" s="49" t="s">
        <v>157</v>
      </c>
      <c r="Q727" s="96" t="s">
        <v>104</v>
      </c>
      <c r="R727" s="52">
        <v>12.4</v>
      </c>
      <c r="S727" s="52">
        <f>R727-T727</f>
        <v>11.071428571428571</v>
      </c>
      <c r="T727" s="52">
        <f>R727*U727/(U727+100)</f>
        <v>1.3285714285714287</v>
      </c>
      <c r="U727" s="50">
        <v>12</v>
      </c>
      <c r="V727" s="53">
        <v>0</v>
      </c>
      <c r="W727" s="147">
        <v>1</v>
      </c>
      <c r="X727" s="148" t="s">
        <v>163</v>
      </c>
      <c r="Y727" s="54">
        <f>R727*W727</f>
        <v>12.4</v>
      </c>
      <c r="Z727" s="52">
        <f>S727*W727</f>
        <v>11.071428571428571</v>
      </c>
      <c r="AA727" s="52">
        <f>T727*W727</f>
        <v>1.3285714285714287</v>
      </c>
      <c r="AB727" s="52">
        <f>V727*W727</f>
        <v>0</v>
      </c>
      <c r="AC727" s="53">
        <f>(R727+V727)*W727</f>
        <v>12.4</v>
      </c>
      <c r="AD727" s="138">
        <v>12.4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107</v>
      </c>
      <c r="F728" s="96" t="s">
        <v>106</v>
      </c>
      <c r="G728" s="97">
        <v>46132</v>
      </c>
      <c r="H728" s="98">
        <v>0.3915625</v>
      </c>
      <c r="I728" s="50">
        <v>166004589</v>
      </c>
      <c r="J728" s="96" t="s">
        <v>157</v>
      </c>
      <c r="K728" s="49" t="s">
        <v>942</v>
      </c>
      <c r="L728" s="39"/>
      <c r="M728" s="49" t="s">
        <v>295</v>
      </c>
      <c r="N728" s="39" t="s">
        <v>433</v>
      </c>
      <c r="O728" s="96" t="s">
        <v>1332</v>
      </c>
      <c r="P728" s="49" t="s">
        <v>235</v>
      </c>
      <c r="Q728" s="96" t="s">
        <v>944</v>
      </c>
      <c r="R728" s="52">
        <v>9.9</v>
      </c>
      <c r="S728" s="52">
        <f>R728-T728</f>
        <v>8.839285714285715</v>
      </c>
      <c r="T728" s="52">
        <f>R728*U728/(U728+100)</f>
        <v>1.0607142857142857</v>
      </c>
      <c r="U728" s="50">
        <v>12</v>
      </c>
      <c r="V728" s="53">
        <v>0</v>
      </c>
      <c r="W728" s="147">
        <v>1</v>
      </c>
      <c r="X728" s="148" t="s">
        <v>945</v>
      </c>
      <c r="Y728" s="54">
        <f>R728*W728</f>
        <v>9.9</v>
      </c>
      <c r="Z728" s="52">
        <f>S728*W728</f>
        <v>8.839285714285715</v>
      </c>
      <c r="AA728" s="52">
        <f>T728*W728</f>
        <v>1.0607142857142857</v>
      </c>
      <c r="AB728" s="52">
        <f>V728*W728</f>
        <v>0</v>
      </c>
      <c r="AC728" s="53">
        <f>(R728+V728)*W728</f>
        <v>9.9</v>
      </c>
      <c r="AD728" s="138">
        <v>9.9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107</v>
      </c>
      <c r="F729" s="96" t="s">
        <v>106</v>
      </c>
      <c r="G729" s="97">
        <v>46132</v>
      </c>
      <c r="H729" s="98">
        <v>0.3922337962962963</v>
      </c>
      <c r="I729" s="50">
        <v>166004590</v>
      </c>
      <c r="J729" s="96" t="s">
        <v>157</v>
      </c>
      <c r="K729" s="49" t="s">
        <v>329</v>
      </c>
      <c r="L729" s="39" t="s">
        <v>330</v>
      </c>
      <c r="M729" s="49" t="s">
        <v>185</v>
      </c>
      <c r="N729" s="39" t="s">
        <v>331</v>
      </c>
      <c r="O729" s="96" t="s">
        <v>1640</v>
      </c>
      <c r="P729" s="49" t="s">
        <v>157</v>
      </c>
      <c r="Q729" s="96" t="s">
        <v>104</v>
      </c>
      <c r="R729" s="52">
        <v>49.9</v>
      </c>
      <c r="S729" s="52">
        <f>R729-T729</f>
        <v>44.55357142857143</v>
      </c>
      <c r="T729" s="52">
        <f>R729*U729/(U729+100)</f>
        <v>5.346428571428571</v>
      </c>
      <c r="U729" s="50">
        <v>12</v>
      </c>
      <c r="V729" s="53">
        <v>0</v>
      </c>
      <c r="W729" s="147">
        <v>1</v>
      </c>
      <c r="X729" s="148" t="s">
        <v>163</v>
      </c>
      <c r="Y729" s="54">
        <f>R729*W729</f>
        <v>49.9</v>
      </c>
      <c r="Z729" s="52">
        <f>S729*W729</f>
        <v>44.55357142857143</v>
      </c>
      <c r="AA729" s="52">
        <f>T729*W729</f>
        <v>5.346428571428571</v>
      </c>
      <c r="AB729" s="52">
        <f>V729*W729</f>
        <v>0</v>
      </c>
      <c r="AC729" s="53">
        <f>(R729+V729)*W729</f>
        <v>49.9</v>
      </c>
      <c r="AD729" s="138">
        <v>49.9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107</v>
      </c>
      <c r="F730" s="96" t="s">
        <v>106</v>
      </c>
      <c r="G730" s="97">
        <v>46132</v>
      </c>
      <c r="H730" s="98">
        <v>0.3922337962962963</v>
      </c>
      <c r="I730" s="50">
        <v>166004590</v>
      </c>
      <c r="J730" s="96" t="s">
        <v>157</v>
      </c>
      <c r="K730" s="49" t="s">
        <v>507</v>
      </c>
      <c r="L730" s="39" t="s">
        <v>508</v>
      </c>
      <c r="M730" s="49" t="s">
        <v>509</v>
      </c>
      <c r="N730" s="39" t="s">
        <v>256</v>
      </c>
      <c r="O730" s="96" t="s">
        <v>1024</v>
      </c>
      <c r="P730" s="49" t="s">
        <v>235</v>
      </c>
      <c r="Q730" s="96" t="s">
        <v>236</v>
      </c>
      <c r="R730" s="52">
        <v>15.9</v>
      </c>
      <c r="S730" s="52">
        <f>R730-T730</f>
        <v>13.140495867768596</v>
      </c>
      <c r="T730" s="52">
        <f>R730*U730/(U730+100)</f>
        <v>2.759504132231405</v>
      </c>
      <c r="U730" s="50">
        <v>21</v>
      </c>
      <c r="V730" s="53">
        <v>0</v>
      </c>
      <c r="W730" s="147">
        <v>6</v>
      </c>
      <c r="X730" s="148" t="s">
        <v>163</v>
      </c>
      <c r="Y730" s="54">
        <f>R730*W730</f>
        <v>95.4</v>
      </c>
      <c r="Z730" s="52">
        <f>S730*W730</f>
        <v>78.84297520661158</v>
      </c>
      <c r="AA730" s="52">
        <f>T730*W730</f>
        <v>16.55702479338843</v>
      </c>
      <c r="AB730" s="52">
        <f>V730*W730</f>
        <v>0</v>
      </c>
      <c r="AC730" s="53">
        <f>(R730+V730)*W730</f>
        <v>95.4</v>
      </c>
      <c r="AD730" s="138">
        <v>15.9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107</v>
      </c>
      <c r="F731" s="96" t="s">
        <v>106</v>
      </c>
      <c r="G731" s="97">
        <v>46132</v>
      </c>
      <c r="H731" s="98">
        <v>0.3922337962962963</v>
      </c>
      <c r="I731" s="50">
        <v>166004590</v>
      </c>
      <c r="J731" s="96" t="s">
        <v>157</v>
      </c>
      <c r="K731" s="49" t="s">
        <v>1440</v>
      </c>
      <c r="L731" s="39" t="s">
        <v>1441</v>
      </c>
      <c r="M731" s="49" t="s">
        <v>190</v>
      </c>
      <c r="N731" s="39" t="s">
        <v>191</v>
      </c>
      <c r="O731" s="96" t="s">
        <v>1442</v>
      </c>
      <c r="P731" s="49" t="s">
        <v>157</v>
      </c>
      <c r="Q731" s="96" t="s">
        <v>104</v>
      </c>
      <c r="R731" s="52">
        <v>8.9</v>
      </c>
      <c r="S731" s="52">
        <f>R731-T731</f>
        <v>7.946428571428572</v>
      </c>
      <c r="T731" s="52">
        <f>R731*U731/(U731+100)</f>
        <v>0.9535714285714286</v>
      </c>
      <c r="U731" s="50">
        <v>12</v>
      </c>
      <c r="V731" s="53">
        <v>0</v>
      </c>
      <c r="W731" s="147">
        <v>1.216</v>
      </c>
      <c r="X731" s="148" t="s">
        <v>193</v>
      </c>
      <c r="Y731" s="54">
        <f>R731*W731</f>
        <v>10.8224</v>
      </c>
      <c r="Z731" s="52">
        <f>S731*W731</f>
        <v>9.662857142857144</v>
      </c>
      <c r="AA731" s="52">
        <f>T731*W731</f>
        <v>1.1595428571428572</v>
      </c>
      <c r="AB731" s="52">
        <f>V731*W731</f>
        <v>0</v>
      </c>
      <c r="AC731" s="53">
        <f>(R731+V731)*W731</f>
        <v>10.8224</v>
      </c>
      <c r="AD731" s="138">
        <v>8.9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107</v>
      </c>
      <c r="F732" s="96" t="s">
        <v>106</v>
      </c>
      <c r="G732" s="97">
        <v>46132</v>
      </c>
      <c r="H732" s="98">
        <v>0.3922337962962963</v>
      </c>
      <c r="I732" s="50">
        <v>166004590</v>
      </c>
      <c r="J732" s="96" t="s">
        <v>157</v>
      </c>
      <c r="K732" s="49" t="s">
        <v>1691</v>
      </c>
      <c r="L732" s="39" t="s">
        <v>104</v>
      </c>
      <c r="M732" s="49" t="s">
        <v>554</v>
      </c>
      <c r="N732" s="39" t="s">
        <v>296</v>
      </c>
      <c r="O732" s="96" t="s">
        <v>1692</v>
      </c>
      <c r="P732" s="49" t="s">
        <v>157</v>
      </c>
      <c r="Q732" s="96" t="s">
        <v>104</v>
      </c>
      <c r="R732" s="52">
        <v>11.9</v>
      </c>
      <c r="S732" s="52">
        <f>R732-T732</f>
        <v>10.625</v>
      </c>
      <c r="T732" s="52">
        <f>R732*U732/(U732+100)</f>
        <v>1.2750000000000001</v>
      </c>
      <c r="U732" s="50">
        <v>12</v>
      </c>
      <c r="V732" s="53">
        <v>0</v>
      </c>
      <c r="W732" s="147">
        <v>5</v>
      </c>
      <c r="X732" s="148" t="s">
        <v>163</v>
      </c>
      <c r="Y732" s="54">
        <f>R732*W732</f>
        <v>59.5</v>
      </c>
      <c r="Z732" s="52">
        <f>S732*W732</f>
        <v>53.125</v>
      </c>
      <c r="AA732" s="52">
        <f>T732*W732</f>
        <v>6.375000000000001</v>
      </c>
      <c r="AB732" s="52">
        <f>V732*W732</f>
        <v>0</v>
      </c>
      <c r="AC732" s="53">
        <f>(R732+V732)*W732</f>
        <v>59.5</v>
      </c>
      <c r="AD732" s="138">
        <v>11.9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107</v>
      </c>
      <c r="F733" s="96" t="s">
        <v>106</v>
      </c>
      <c r="G733" s="97">
        <v>46132</v>
      </c>
      <c r="H733" s="98">
        <v>0.3922337962962963</v>
      </c>
      <c r="I733" s="50">
        <v>166004590</v>
      </c>
      <c r="J733" s="96" t="s">
        <v>157</v>
      </c>
      <c r="K733" s="49" t="s">
        <v>1300</v>
      </c>
      <c r="L733" s="39" t="s">
        <v>1301</v>
      </c>
      <c r="M733" s="49" t="s">
        <v>997</v>
      </c>
      <c r="N733" s="39" t="s">
        <v>998</v>
      </c>
      <c r="O733" s="96" t="s">
        <v>1302</v>
      </c>
      <c r="P733" s="49" t="s">
        <v>157</v>
      </c>
      <c r="Q733" s="96" t="s">
        <v>104</v>
      </c>
      <c r="R733" s="52">
        <v>24</v>
      </c>
      <c r="S733" s="52">
        <f>R733-T733</f>
        <v>21.428571428571427</v>
      </c>
      <c r="T733" s="52">
        <f>R733*U733/(U733+100)</f>
        <v>2.5714285714285716</v>
      </c>
      <c r="U733" s="50">
        <v>12</v>
      </c>
      <c r="V733" s="53">
        <v>0</v>
      </c>
      <c r="W733" s="147">
        <v>1</v>
      </c>
      <c r="X733" s="148" t="s">
        <v>945</v>
      </c>
      <c r="Y733" s="54">
        <f>R733*W733</f>
        <v>24</v>
      </c>
      <c r="Z733" s="52">
        <f>S733*W733</f>
        <v>21.428571428571427</v>
      </c>
      <c r="AA733" s="52">
        <f>T733*W733</f>
        <v>2.5714285714285716</v>
      </c>
      <c r="AB733" s="52">
        <f>V733*W733</f>
        <v>0</v>
      </c>
      <c r="AC733" s="53">
        <f>(R733+V733)*W733</f>
        <v>24</v>
      </c>
      <c r="AD733" s="138">
        <v>24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107</v>
      </c>
      <c r="F734" s="96" t="s">
        <v>106</v>
      </c>
      <c r="G734" s="97">
        <v>46132</v>
      </c>
      <c r="H734" s="98">
        <v>0.3934375</v>
      </c>
      <c r="I734" s="50">
        <v>166004591</v>
      </c>
      <c r="J734" s="96" t="s">
        <v>157</v>
      </c>
      <c r="K734" s="49" t="s">
        <v>800</v>
      </c>
      <c r="L734" s="39" t="s">
        <v>801</v>
      </c>
      <c r="M734" s="49" t="s">
        <v>185</v>
      </c>
      <c r="N734" s="39" t="s">
        <v>244</v>
      </c>
      <c r="O734" s="96" t="s">
        <v>1693</v>
      </c>
      <c r="P734" s="49" t="s">
        <v>157</v>
      </c>
      <c r="Q734" s="96" t="s">
        <v>104</v>
      </c>
      <c r="R734" s="52">
        <v>13.4</v>
      </c>
      <c r="S734" s="52">
        <f>R734-T734</f>
        <v>11.964285714285715</v>
      </c>
      <c r="T734" s="52">
        <f>R734*U734/(U734+100)</f>
        <v>1.4357142857142857</v>
      </c>
      <c r="U734" s="50">
        <v>12</v>
      </c>
      <c r="V734" s="53">
        <v>0</v>
      </c>
      <c r="W734" s="147">
        <v>1</v>
      </c>
      <c r="X734" s="148" t="s">
        <v>163</v>
      </c>
      <c r="Y734" s="54">
        <f>R734*W734</f>
        <v>13.4</v>
      </c>
      <c r="Z734" s="52">
        <f>S734*W734</f>
        <v>11.964285714285715</v>
      </c>
      <c r="AA734" s="52">
        <f>T734*W734</f>
        <v>1.4357142857142857</v>
      </c>
      <c r="AB734" s="52">
        <f>V734*W734</f>
        <v>0</v>
      </c>
      <c r="AC734" s="53">
        <f>(R734+V734)*W734</f>
        <v>13.4</v>
      </c>
      <c r="AD734" s="138">
        <v>13.4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107</v>
      </c>
      <c r="F735" s="96" t="s">
        <v>106</v>
      </c>
      <c r="G735" s="97">
        <v>46132</v>
      </c>
      <c r="H735" s="98">
        <v>0.3934375</v>
      </c>
      <c r="I735" s="50">
        <v>166004591</v>
      </c>
      <c r="J735" s="96" t="s">
        <v>157</v>
      </c>
      <c r="K735" s="49" t="s">
        <v>1694</v>
      </c>
      <c r="L735" s="39" t="s">
        <v>1695</v>
      </c>
      <c r="M735" s="49" t="s">
        <v>185</v>
      </c>
      <c r="N735" s="39" t="s">
        <v>244</v>
      </c>
      <c r="O735" s="96" t="s">
        <v>1696</v>
      </c>
      <c r="P735" s="49" t="s">
        <v>157</v>
      </c>
      <c r="Q735" s="96" t="s">
        <v>104</v>
      </c>
      <c r="R735" s="52">
        <v>18.9</v>
      </c>
      <c r="S735" s="52">
        <f>R735-T735</f>
        <v>16.875</v>
      </c>
      <c r="T735" s="52">
        <f>R735*U735/(U735+100)</f>
        <v>2.025</v>
      </c>
      <c r="U735" s="50">
        <v>12</v>
      </c>
      <c r="V735" s="53">
        <v>0</v>
      </c>
      <c r="W735" s="147">
        <v>1</v>
      </c>
      <c r="X735" s="148" t="s">
        <v>163</v>
      </c>
      <c r="Y735" s="54">
        <f>R735*W735</f>
        <v>18.9</v>
      </c>
      <c r="Z735" s="52">
        <f>S735*W735</f>
        <v>16.875</v>
      </c>
      <c r="AA735" s="52">
        <f>T735*W735</f>
        <v>2.025</v>
      </c>
      <c r="AB735" s="52">
        <f>V735*W735</f>
        <v>0</v>
      </c>
      <c r="AC735" s="53">
        <f>(R735+V735)*W735</f>
        <v>18.9</v>
      </c>
      <c r="AD735" s="138">
        <v>18.9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107</v>
      </c>
      <c r="F736" s="96" t="s">
        <v>106</v>
      </c>
      <c r="G736" s="97">
        <v>46132</v>
      </c>
      <c r="H736" s="98">
        <v>0.3934375</v>
      </c>
      <c r="I736" s="50">
        <v>166004591</v>
      </c>
      <c r="J736" s="96" t="s">
        <v>157</v>
      </c>
      <c r="K736" s="49" t="s">
        <v>803</v>
      </c>
      <c r="L736" s="39" t="s">
        <v>804</v>
      </c>
      <c r="M736" s="49" t="s">
        <v>429</v>
      </c>
      <c r="N736" s="39" t="s">
        <v>348</v>
      </c>
      <c r="O736" s="96" t="s">
        <v>1697</v>
      </c>
      <c r="P736" s="49" t="s">
        <v>235</v>
      </c>
      <c r="Q736" s="96" t="s">
        <v>236</v>
      </c>
      <c r="R736" s="52">
        <v>16.9</v>
      </c>
      <c r="S736" s="52">
        <f>R736-T736</f>
        <v>15.089285714285714</v>
      </c>
      <c r="T736" s="52">
        <f>R736*U736/(U736+100)</f>
        <v>1.8107142857142855</v>
      </c>
      <c r="U736" s="50">
        <v>12</v>
      </c>
      <c r="V736" s="53">
        <v>0</v>
      </c>
      <c r="W736" s="147">
        <v>1</v>
      </c>
      <c r="X736" s="148" t="s">
        <v>163</v>
      </c>
      <c r="Y736" s="54">
        <f>R736*W736</f>
        <v>16.9</v>
      </c>
      <c r="Z736" s="52">
        <f>S736*W736</f>
        <v>15.089285714285714</v>
      </c>
      <c r="AA736" s="52">
        <f>T736*W736</f>
        <v>1.8107142857142855</v>
      </c>
      <c r="AB736" s="52">
        <f>V736*W736</f>
        <v>0</v>
      </c>
      <c r="AC736" s="53">
        <f>(R736+V736)*W736</f>
        <v>16.9</v>
      </c>
      <c r="AD736" s="138">
        <v>16.9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107</v>
      </c>
      <c r="F737" s="96" t="s">
        <v>106</v>
      </c>
      <c r="G737" s="97">
        <v>46132</v>
      </c>
      <c r="H737" s="98">
        <v>0.3934375</v>
      </c>
      <c r="I737" s="50">
        <v>166004591</v>
      </c>
      <c r="J737" s="96" t="s">
        <v>157</v>
      </c>
      <c r="K737" s="49" t="s">
        <v>1698</v>
      </c>
      <c r="L737" s="39" t="s">
        <v>1699</v>
      </c>
      <c r="M737" s="49" t="s">
        <v>466</v>
      </c>
      <c r="N737" s="39" t="s">
        <v>609</v>
      </c>
      <c r="O737" s="96" t="s">
        <v>1700</v>
      </c>
      <c r="P737" s="49" t="s">
        <v>157</v>
      </c>
      <c r="Q737" s="96" t="s">
        <v>104</v>
      </c>
      <c r="R737" s="52">
        <v>14.9</v>
      </c>
      <c r="S737" s="52">
        <f>R737-T737</f>
        <v>13.303571428571429</v>
      </c>
      <c r="T737" s="52">
        <f>R737*U737/(U737+100)</f>
        <v>1.5964285714285715</v>
      </c>
      <c r="U737" s="50">
        <v>12</v>
      </c>
      <c r="V737" s="53">
        <v>0</v>
      </c>
      <c r="W737" s="147">
        <v>1</v>
      </c>
      <c r="X737" s="148" t="s">
        <v>163</v>
      </c>
      <c r="Y737" s="54">
        <f>R737*W737</f>
        <v>14.9</v>
      </c>
      <c r="Z737" s="52">
        <f>S737*W737</f>
        <v>13.303571428571429</v>
      </c>
      <c r="AA737" s="52">
        <f>T737*W737</f>
        <v>1.5964285714285715</v>
      </c>
      <c r="AB737" s="52">
        <f>V737*W737</f>
        <v>0</v>
      </c>
      <c r="AC737" s="53">
        <f>(R737+V737)*W737</f>
        <v>14.9</v>
      </c>
      <c r="AD737" s="138">
        <v>14.9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107</v>
      </c>
      <c r="F738" s="96" t="s">
        <v>106</v>
      </c>
      <c r="G738" s="97">
        <v>46132</v>
      </c>
      <c r="H738" s="98">
        <v>0.3934375</v>
      </c>
      <c r="I738" s="50">
        <v>166004591</v>
      </c>
      <c r="J738" s="96" t="s">
        <v>157</v>
      </c>
      <c r="K738" s="49" t="s">
        <v>1701</v>
      </c>
      <c r="L738" s="39" t="s">
        <v>1702</v>
      </c>
      <c r="M738" s="49" t="s">
        <v>466</v>
      </c>
      <c r="N738" s="39" t="s">
        <v>1703</v>
      </c>
      <c r="O738" s="96" t="s">
        <v>1704</v>
      </c>
      <c r="P738" s="49" t="s">
        <v>157</v>
      </c>
      <c r="Q738" s="96" t="s">
        <v>104</v>
      </c>
      <c r="R738" s="52">
        <v>12.9</v>
      </c>
      <c r="S738" s="52">
        <f>R738-T738</f>
        <v>11.517857142857142</v>
      </c>
      <c r="T738" s="52">
        <f>R738*U738/(U738+100)</f>
        <v>1.3821428571428573</v>
      </c>
      <c r="U738" s="50">
        <v>12</v>
      </c>
      <c r="V738" s="53">
        <v>0</v>
      </c>
      <c r="W738" s="147">
        <v>1</v>
      </c>
      <c r="X738" s="148" t="s">
        <v>163</v>
      </c>
      <c r="Y738" s="54">
        <f>R738*W738</f>
        <v>12.9</v>
      </c>
      <c r="Z738" s="52">
        <f>S738*W738</f>
        <v>11.517857142857142</v>
      </c>
      <c r="AA738" s="52">
        <f>T738*W738</f>
        <v>1.3821428571428573</v>
      </c>
      <c r="AB738" s="52">
        <f>V738*W738</f>
        <v>0</v>
      </c>
      <c r="AC738" s="53">
        <f>(R738+V738)*W738</f>
        <v>12.9</v>
      </c>
      <c r="AD738" s="138">
        <v>12.9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107</v>
      </c>
      <c r="F739" s="96" t="s">
        <v>106</v>
      </c>
      <c r="G739" s="97">
        <v>46132</v>
      </c>
      <c r="H739" s="98">
        <v>0.3934375</v>
      </c>
      <c r="I739" s="50">
        <v>166004591</v>
      </c>
      <c r="J739" s="96" t="s">
        <v>157</v>
      </c>
      <c r="K739" s="49" t="s">
        <v>1705</v>
      </c>
      <c r="L739" s="39" t="s">
        <v>1706</v>
      </c>
      <c r="M739" s="49" t="s">
        <v>466</v>
      </c>
      <c r="N739" s="39" t="s">
        <v>1703</v>
      </c>
      <c r="O739" s="96" t="s">
        <v>1707</v>
      </c>
      <c r="P739" s="49" t="s">
        <v>157</v>
      </c>
      <c r="Q739" s="96" t="s">
        <v>104</v>
      </c>
      <c r="R739" s="52">
        <v>12.9</v>
      </c>
      <c r="S739" s="52">
        <f>R739-T739</f>
        <v>11.517857142857142</v>
      </c>
      <c r="T739" s="52">
        <f>R739*U739/(U739+100)</f>
        <v>1.3821428571428573</v>
      </c>
      <c r="U739" s="50">
        <v>12</v>
      </c>
      <c r="V739" s="53">
        <v>0</v>
      </c>
      <c r="W739" s="147">
        <v>1</v>
      </c>
      <c r="X739" s="148" t="s">
        <v>163</v>
      </c>
      <c r="Y739" s="54">
        <f>R739*W739</f>
        <v>12.9</v>
      </c>
      <c r="Z739" s="52">
        <f>S739*W739</f>
        <v>11.517857142857142</v>
      </c>
      <c r="AA739" s="52">
        <f>T739*W739</f>
        <v>1.3821428571428573</v>
      </c>
      <c r="AB739" s="52">
        <f>V739*W739</f>
        <v>0</v>
      </c>
      <c r="AC739" s="53">
        <f>(R739+V739)*W739</f>
        <v>12.9</v>
      </c>
      <c r="AD739" s="138">
        <v>12.9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107</v>
      </c>
      <c r="F740" s="96" t="s">
        <v>106</v>
      </c>
      <c r="G740" s="97">
        <v>46132</v>
      </c>
      <c r="H740" s="98">
        <v>0.3934375</v>
      </c>
      <c r="I740" s="50">
        <v>166004591</v>
      </c>
      <c r="J740" s="96" t="s">
        <v>157</v>
      </c>
      <c r="K740" s="49" t="s">
        <v>1708</v>
      </c>
      <c r="L740" s="39" t="s">
        <v>1709</v>
      </c>
      <c r="M740" s="49" t="s">
        <v>1428</v>
      </c>
      <c r="N740" s="39" t="s">
        <v>609</v>
      </c>
      <c r="O740" s="96" t="s">
        <v>1710</v>
      </c>
      <c r="P740" s="49" t="s">
        <v>157</v>
      </c>
      <c r="Q740" s="96" t="s">
        <v>104</v>
      </c>
      <c r="R740" s="52">
        <v>13.9</v>
      </c>
      <c r="S740" s="52">
        <f>R740-T740</f>
        <v>12.410714285714286</v>
      </c>
      <c r="T740" s="52">
        <f>R740*U740/(U740+100)</f>
        <v>1.4892857142857143</v>
      </c>
      <c r="U740" s="50">
        <v>12</v>
      </c>
      <c r="V740" s="53">
        <v>0</v>
      </c>
      <c r="W740" s="147">
        <v>1</v>
      </c>
      <c r="X740" s="148" t="s">
        <v>163</v>
      </c>
      <c r="Y740" s="54">
        <f>R740*W740</f>
        <v>13.9</v>
      </c>
      <c r="Z740" s="52">
        <f>S740*W740</f>
        <v>12.410714285714286</v>
      </c>
      <c r="AA740" s="52">
        <f>T740*W740</f>
        <v>1.4892857142857143</v>
      </c>
      <c r="AB740" s="52">
        <f>V740*W740</f>
        <v>0</v>
      </c>
      <c r="AC740" s="53">
        <f>(R740+V740)*W740</f>
        <v>13.9</v>
      </c>
      <c r="AD740" s="138">
        <v>13.9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107</v>
      </c>
      <c r="F741" s="96" t="s">
        <v>106</v>
      </c>
      <c r="G741" s="97">
        <v>46132</v>
      </c>
      <c r="H741" s="98">
        <v>0.3934375</v>
      </c>
      <c r="I741" s="50">
        <v>166004591</v>
      </c>
      <c r="J741" s="96" t="s">
        <v>157</v>
      </c>
      <c r="K741" s="49" t="s">
        <v>1711</v>
      </c>
      <c r="L741" s="39" t="s">
        <v>1712</v>
      </c>
      <c r="M741" s="49" t="s">
        <v>1713</v>
      </c>
      <c r="N741" s="39" t="s">
        <v>1475</v>
      </c>
      <c r="O741" s="96" t="s">
        <v>1714</v>
      </c>
      <c r="P741" s="49" t="s">
        <v>157</v>
      </c>
      <c r="Q741" s="96" t="s">
        <v>104</v>
      </c>
      <c r="R741" s="52">
        <v>24.9</v>
      </c>
      <c r="S741" s="52">
        <f>R741-T741</f>
        <v>22.232142857142858</v>
      </c>
      <c r="T741" s="52">
        <f>R741*U741/(U741+100)</f>
        <v>2.6678571428571423</v>
      </c>
      <c r="U741" s="50">
        <v>12</v>
      </c>
      <c r="V741" s="53">
        <v>0</v>
      </c>
      <c r="W741" s="147">
        <v>1</v>
      </c>
      <c r="X741" s="148" t="s">
        <v>163</v>
      </c>
      <c r="Y741" s="54">
        <f>R741*W741</f>
        <v>24.9</v>
      </c>
      <c r="Z741" s="52">
        <f>S741*W741</f>
        <v>22.232142857142858</v>
      </c>
      <c r="AA741" s="52">
        <f>T741*W741</f>
        <v>2.6678571428571423</v>
      </c>
      <c r="AB741" s="52">
        <f>V741*W741</f>
        <v>0</v>
      </c>
      <c r="AC741" s="53">
        <f>(R741+V741)*W741</f>
        <v>24.9</v>
      </c>
      <c r="AD741" s="138">
        <v>24.9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107</v>
      </c>
      <c r="F742" s="96" t="s">
        <v>106</v>
      </c>
      <c r="G742" s="97">
        <v>46132</v>
      </c>
      <c r="H742" s="98">
        <v>0.3934375</v>
      </c>
      <c r="I742" s="50">
        <v>166004591</v>
      </c>
      <c r="J742" s="96" t="s">
        <v>157</v>
      </c>
      <c r="K742" s="49" t="s">
        <v>271</v>
      </c>
      <c r="L742" s="39" t="s">
        <v>272</v>
      </c>
      <c r="M742" s="49" t="s">
        <v>214</v>
      </c>
      <c r="N742" s="39" t="s">
        <v>273</v>
      </c>
      <c r="O742" s="96" t="s">
        <v>1715</v>
      </c>
      <c r="P742" s="49" t="s">
        <v>157</v>
      </c>
      <c r="Q742" s="96" t="s">
        <v>104</v>
      </c>
      <c r="R742" s="52">
        <v>13.9</v>
      </c>
      <c r="S742" s="52">
        <f>R742-T742</f>
        <v>12.410714285714286</v>
      </c>
      <c r="T742" s="52">
        <f>R742*U742/(U742+100)</f>
        <v>1.4892857142857143</v>
      </c>
      <c r="U742" s="50">
        <v>12</v>
      </c>
      <c r="V742" s="53">
        <v>0</v>
      </c>
      <c r="W742" s="147">
        <v>2</v>
      </c>
      <c r="X742" s="148" t="s">
        <v>163</v>
      </c>
      <c r="Y742" s="54">
        <f>R742*W742</f>
        <v>27.8</v>
      </c>
      <c r="Z742" s="52">
        <f>S742*W742</f>
        <v>24.821428571428573</v>
      </c>
      <c r="AA742" s="52">
        <f>T742*W742</f>
        <v>2.9785714285714286</v>
      </c>
      <c r="AB742" s="52">
        <f>V742*W742</f>
        <v>0</v>
      </c>
      <c r="AC742" s="53">
        <f>(R742+V742)*W742</f>
        <v>27.8</v>
      </c>
      <c r="AD742" s="138">
        <v>13.9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107</v>
      </c>
      <c r="F743" s="96" t="s">
        <v>106</v>
      </c>
      <c r="G743" s="97">
        <v>46132</v>
      </c>
      <c r="H743" s="98">
        <v>0.3934375</v>
      </c>
      <c r="I743" s="50">
        <v>166004591</v>
      </c>
      <c r="J743" s="96" t="s">
        <v>157</v>
      </c>
      <c r="K743" s="49" t="s">
        <v>560</v>
      </c>
      <c r="L743" s="39" t="s">
        <v>104</v>
      </c>
      <c r="M743" s="49" t="s">
        <v>554</v>
      </c>
      <c r="N743" s="39" t="s">
        <v>296</v>
      </c>
      <c r="O743" s="96" t="s">
        <v>561</v>
      </c>
      <c r="P743" s="49" t="s">
        <v>157</v>
      </c>
      <c r="Q743" s="96" t="s">
        <v>104</v>
      </c>
      <c r="R743" s="52">
        <v>8.9</v>
      </c>
      <c r="S743" s="52">
        <f>R743-T743</f>
        <v>7.946428571428572</v>
      </c>
      <c r="T743" s="52">
        <f>R743*U743/(U743+100)</f>
        <v>0.9535714285714286</v>
      </c>
      <c r="U743" s="50">
        <v>12</v>
      </c>
      <c r="V743" s="53">
        <v>0</v>
      </c>
      <c r="W743" s="147">
        <v>2</v>
      </c>
      <c r="X743" s="148" t="s">
        <v>163</v>
      </c>
      <c r="Y743" s="54">
        <f>R743*W743</f>
        <v>17.8</v>
      </c>
      <c r="Z743" s="52">
        <f>S743*W743</f>
        <v>15.892857142857144</v>
      </c>
      <c r="AA743" s="52">
        <f>T743*W743</f>
        <v>1.9071428571428573</v>
      </c>
      <c r="AB743" s="52">
        <f>V743*W743</f>
        <v>0</v>
      </c>
      <c r="AC743" s="53">
        <f>(R743+V743)*W743</f>
        <v>17.8</v>
      </c>
      <c r="AD743" s="138">
        <v>8.9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107</v>
      </c>
      <c r="F744" s="96" t="s">
        <v>106</v>
      </c>
      <c r="G744" s="97">
        <v>46132</v>
      </c>
      <c r="H744" s="98">
        <v>0.39386574074074077</v>
      </c>
      <c r="I744" s="50">
        <v>166004592</v>
      </c>
      <c r="J744" s="96" t="s">
        <v>157</v>
      </c>
      <c r="K744" s="49" t="s">
        <v>1716</v>
      </c>
      <c r="L744" s="39" t="s">
        <v>1717</v>
      </c>
      <c r="M744" s="49" t="s">
        <v>313</v>
      </c>
      <c r="N744" s="39" t="s">
        <v>314</v>
      </c>
      <c r="O744" s="96" t="s">
        <v>1718</v>
      </c>
      <c r="P744" s="49" t="s">
        <v>157</v>
      </c>
      <c r="Q744" s="96" t="s">
        <v>104</v>
      </c>
      <c r="R744" s="52">
        <v>127.9</v>
      </c>
      <c r="S744" s="52">
        <f>R744-T744</f>
        <v>114.19642857142857</v>
      </c>
      <c r="T744" s="52">
        <f>R744*U744/(U744+100)</f>
        <v>13.703571428571431</v>
      </c>
      <c r="U744" s="50">
        <v>12</v>
      </c>
      <c r="V744" s="53">
        <v>0</v>
      </c>
      <c r="W744" s="147">
        <v>1</v>
      </c>
      <c r="X744" s="148" t="s">
        <v>163</v>
      </c>
      <c r="Y744" s="54">
        <f>R744*W744</f>
        <v>127.9</v>
      </c>
      <c r="Z744" s="52">
        <f>S744*W744</f>
        <v>114.19642857142857</v>
      </c>
      <c r="AA744" s="52">
        <f>T744*W744</f>
        <v>13.703571428571431</v>
      </c>
      <c r="AB744" s="52">
        <f>V744*W744</f>
        <v>0</v>
      </c>
      <c r="AC744" s="53">
        <f>(R744+V744)*W744</f>
        <v>127.9</v>
      </c>
      <c r="AD744" s="138">
        <v>127.9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107</v>
      </c>
      <c r="F745" s="96" t="s">
        <v>106</v>
      </c>
      <c r="G745" s="97">
        <v>46132</v>
      </c>
      <c r="H745" s="98">
        <v>0.39386574074074077</v>
      </c>
      <c r="I745" s="50">
        <v>166004592</v>
      </c>
      <c r="J745" s="96" t="s">
        <v>157</v>
      </c>
      <c r="K745" s="49" t="s">
        <v>1719</v>
      </c>
      <c r="L745" s="39" t="s">
        <v>1720</v>
      </c>
      <c r="M745" s="49" t="s">
        <v>1721</v>
      </c>
      <c r="N745" s="39" t="s">
        <v>1722</v>
      </c>
      <c r="O745" s="96" t="s">
        <v>1723</v>
      </c>
      <c r="P745" s="49" t="s">
        <v>157</v>
      </c>
      <c r="Q745" s="96" t="s">
        <v>104</v>
      </c>
      <c r="R745" s="52">
        <v>44.9</v>
      </c>
      <c r="S745" s="52">
        <f>R745-T745</f>
        <v>40.089285714285715</v>
      </c>
      <c r="T745" s="52">
        <f>R745*U745/(U745+100)</f>
        <v>4.810714285714285</v>
      </c>
      <c r="U745" s="50">
        <v>12</v>
      </c>
      <c r="V745" s="53">
        <v>0</v>
      </c>
      <c r="W745" s="147">
        <v>1</v>
      </c>
      <c r="X745" s="148" t="s">
        <v>163</v>
      </c>
      <c r="Y745" s="54">
        <f>R745*W745</f>
        <v>44.9</v>
      </c>
      <c r="Z745" s="52">
        <f>S745*W745</f>
        <v>40.089285714285715</v>
      </c>
      <c r="AA745" s="52">
        <f>T745*W745</f>
        <v>4.810714285714285</v>
      </c>
      <c r="AB745" s="52">
        <f>V745*W745</f>
        <v>0</v>
      </c>
      <c r="AC745" s="53">
        <f>(R745+V745)*W745</f>
        <v>44.9</v>
      </c>
      <c r="AD745" s="138">
        <v>44.9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107</v>
      </c>
      <c r="F746" s="96" t="s">
        <v>106</v>
      </c>
      <c r="G746" s="97">
        <v>46132</v>
      </c>
      <c r="H746" s="98">
        <v>0.39386574074074077</v>
      </c>
      <c r="I746" s="50">
        <v>166004592</v>
      </c>
      <c r="J746" s="96" t="s">
        <v>157</v>
      </c>
      <c r="K746" s="49" t="s">
        <v>942</v>
      </c>
      <c r="L746" s="39"/>
      <c r="M746" s="49" t="s">
        <v>295</v>
      </c>
      <c r="N746" s="39" t="s">
        <v>433</v>
      </c>
      <c r="O746" s="96" t="s">
        <v>1332</v>
      </c>
      <c r="P746" s="49" t="s">
        <v>235</v>
      </c>
      <c r="Q746" s="96" t="s">
        <v>944</v>
      </c>
      <c r="R746" s="52">
        <v>9.9</v>
      </c>
      <c r="S746" s="52">
        <f>R746-T746</f>
        <v>8.839285714285715</v>
      </c>
      <c r="T746" s="52">
        <f>R746*U746/(U746+100)</f>
        <v>1.0607142857142857</v>
      </c>
      <c r="U746" s="50">
        <v>12</v>
      </c>
      <c r="V746" s="53">
        <v>0</v>
      </c>
      <c r="W746" s="147">
        <v>1</v>
      </c>
      <c r="X746" s="148" t="s">
        <v>945</v>
      </c>
      <c r="Y746" s="54">
        <f>R746*W746</f>
        <v>9.9</v>
      </c>
      <c r="Z746" s="52">
        <f>S746*W746</f>
        <v>8.839285714285715</v>
      </c>
      <c r="AA746" s="52">
        <f>T746*W746</f>
        <v>1.0607142857142857</v>
      </c>
      <c r="AB746" s="52">
        <f>V746*W746</f>
        <v>0</v>
      </c>
      <c r="AC746" s="53">
        <f>(R746+V746)*W746</f>
        <v>9.9</v>
      </c>
      <c r="AD746" s="138">
        <v>9.9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107</v>
      </c>
      <c r="F747" s="96" t="s">
        <v>106</v>
      </c>
      <c r="G747" s="97">
        <v>46132</v>
      </c>
      <c r="H747" s="98">
        <v>0.39652777777777776</v>
      </c>
      <c r="I747" s="50">
        <v>166004593</v>
      </c>
      <c r="J747" s="96" t="s">
        <v>157</v>
      </c>
      <c r="K747" s="49" t="s">
        <v>1724</v>
      </c>
      <c r="L747" s="39" t="s">
        <v>1725</v>
      </c>
      <c r="M747" s="49" t="s">
        <v>185</v>
      </c>
      <c r="N747" s="39" t="s">
        <v>264</v>
      </c>
      <c r="O747" s="96" t="s">
        <v>1726</v>
      </c>
      <c r="P747" s="49" t="s">
        <v>157</v>
      </c>
      <c r="Q747" s="96" t="s">
        <v>104</v>
      </c>
      <c r="R747" s="52">
        <v>29.9</v>
      </c>
      <c r="S747" s="52">
        <f>R747-T747</f>
        <v>26.69642857142857</v>
      </c>
      <c r="T747" s="52">
        <f>R747*U747/(U747+100)</f>
        <v>3.2035714285714283</v>
      </c>
      <c r="U747" s="50">
        <v>12</v>
      </c>
      <c r="V747" s="53">
        <v>0</v>
      </c>
      <c r="W747" s="147">
        <v>1</v>
      </c>
      <c r="X747" s="148" t="s">
        <v>163</v>
      </c>
      <c r="Y747" s="54">
        <f>R747*W747</f>
        <v>29.9</v>
      </c>
      <c r="Z747" s="52">
        <f>S747*W747</f>
        <v>26.69642857142857</v>
      </c>
      <c r="AA747" s="52">
        <f>T747*W747</f>
        <v>3.2035714285714283</v>
      </c>
      <c r="AB747" s="52">
        <f>V747*W747</f>
        <v>0</v>
      </c>
      <c r="AC747" s="53">
        <f>(R747+V747)*W747</f>
        <v>29.9</v>
      </c>
      <c r="AD747" s="138">
        <v>29.9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107</v>
      </c>
      <c r="F748" s="96" t="s">
        <v>106</v>
      </c>
      <c r="G748" s="97">
        <v>46132</v>
      </c>
      <c r="H748" s="98">
        <v>0.39652777777777776</v>
      </c>
      <c r="I748" s="50">
        <v>166004593</v>
      </c>
      <c r="J748" s="96" t="s">
        <v>157</v>
      </c>
      <c r="K748" s="49" t="s">
        <v>1727</v>
      </c>
      <c r="L748" s="39" t="s">
        <v>1728</v>
      </c>
      <c r="M748" s="49" t="s">
        <v>429</v>
      </c>
      <c r="N748" s="39" t="s">
        <v>348</v>
      </c>
      <c r="O748" s="96" t="s">
        <v>1729</v>
      </c>
      <c r="P748" s="49" t="s">
        <v>157</v>
      </c>
      <c r="Q748" s="96" t="s">
        <v>104</v>
      </c>
      <c r="R748" s="52">
        <v>25.9</v>
      </c>
      <c r="S748" s="52">
        <f>R748-T748</f>
        <v>23.125</v>
      </c>
      <c r="T748" s="52">
        <f>R748*U748/(U748+100)</f>
        <v>2.7749999999999995</v>
      </c>
      <c r="U748" s="50">
        <v>12</v>
      </c>
      <c r="V748" s="53">
        <v>0</v>
      </c>
      <c r="W748" s="147">
        <v>1</v>
      </c>
      <c r="X748" s="148" t="s">
        <v>163</v>
      </c>
      <c r="Y748" s="54">
        <f>R748*W748</f>
        <v>25.9</v>
      </c>
      <c r="Z748" s="52">
        <f>S748*W748</f>
        <v>23.125</v>
      </c>
      <c r="AA748" s="52">
        <f>T748*W748</f>
        <v>2.7749999999999995</v>
      </c>
      <c r="AB748" s="52">
        <f>V748*W748</f>
        <v>0</v>
      </c>
      <c r="AC748" s="53">
        <f>(R748+V748)*W748</f>
        <v>25.9</v>
      </c>
      <c r="AD748" s="138">
        <v>25.9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107</v>
      </c>
      <c r="F749" s="96" t="s">
        <v>106</v>
      </c>
      <c r="G749" s="97">
        <v>46132</v>
      </c>
      <c r="H749" s="98">
        <v>0.39652777777777776</v>
      </c>
      <c r="I749" s="50">
        <v>166004593</v>
      </c>
      <c r="J749" s="96" t="s">
        <v>157</v>
      </c>
      <c r="K749" s="49" t="s">
        <v>1727</v>
      </c>
      <c r="L749" s="39" t="s">
        <v>1728</v>
      </c>
      <c r="M749" s="49" t="s">
        <v>429</v>
      </c>
      <c r="N749" s="39" t="s">
        <v>348</v>
      </c>
      <c r="O749" s="96" t="s">
        <v>1729</v>
      </c>
      <c r="P749" s="49" t="s">
        <v>157</v>
      </c>
      <c r="Q749" s="96" t="s">
        <v>104</v>
      </c>
      <c r="R749" s="52">
        <v>25.9</v>
      </c>
      <c r="S749" s="52">
        <f>R749-T749</f>
        <v>23.125</v>
      </c>
      <c r="T749" s="52">
        <f>R749*U749/(U749+100)</f>
        <v>2.7749999999999995</v>
      </c>
      <c r="U749" s="50">
        <v>12</v>
      </c>
      <c r="V749" s="53">
        <v>0</v>
      </c>
      <c r="W749" s="147">
        <v>1</v>
      </c>
      <c r="X749" s="148" t="s">
        <v>163</v>
      </c>
      <c r="Y749" s="54">
        <f>R749*W749</f>
        <v>25.9</v>
      </c>
      <c r="Z749" s="52">
        <f>S749*W749</f>
        <v>23.125</v>
      </c>
      <c r="AA749" s="52">
        <f>T749*W749</f>
        <v>2.7749999999999995</v>
      </c>
      <c r="AB749" s="52">
        <f>V749*W749</f>
        <v>0</v>
      </c>
      <c r="AC749" s="53">
        <f>(R749+V749)*W749</f>
        <v>25.9</v>
      </c>
      <c r="AD749" s="138">
        <v>25.9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107</v>
      </c>
      <c r="F750" s="96" t="s">
        <v>106</v>
      </c>
      <c r="G750" s="97">
        <v>46132</v>
      </c>
      <c r="H750" s="98">
        <v>0.39652777777777776</v>
      </c>
      <c r="I750" s="50">
        <v>166004593</v>
      </c>
      <c r="J750" s="96" t="s">
        <v>157</v>
      </c>
      <c r="K750" s="49" t="s">
        <v>1523</v>
      </c>
      <c r="L750" s="39" t="s">
        <v>1524</v>
      </c>
      <c r="M750" s="49" t="s">
        <v>1525</v>
      </c>
      <c r="N750" s="39" t="s">
        <v>1230</v>
      </c>
      <c r="O750" s="96" t="s">
        <v>1526</v>
      </c>
      <c r="P750" s="49" t="s">
        <v>157</v>
      </c>
      <c r="Q750" s="96" t="s">
        <v>104</v>
      </c>
      <c r="R750" s="52">
        <v>25.9</v>
      </c>
      <c r="S750" s="52">
        <f>R750-T750</f>
        <v>23.125</v>
      </c>
      <c r="T750" s="52">
        <f>R750*U750/(U750+100)</f>
        <v>2.7749999999999995</v>
      </c>
      <c r="U750" s="50">
        <v>12</v>
      </c>
      <c r="V750" s="53">
        <v>0</v>
      </c>
      <c r="W750" s="147">
        <v>1</v>
      </c>
      <c r="X750" s="148" t="s">
        <v>163</v>
      </c>
      <c r="Y750" s="54">
        <f>R750*W750</f>
        <v>25.9</v>
      </c>
      <c r="Z750" s="52">
        <f>S750*W750</f>
        <v>23.125</v>
      </c>
      <c r="AA750" s="52">
        <f>T750*W750</f>
        <v>2.7749999999999995</v>
      </c>
      <c r="AB750" s="52">
        <f>V750*W750</f>
        <v>0</v>
      </c>
      <c r="AC750" s="53">
        <f>(R750+V750)*W750</f>
        <v>25.9</v>
      </c>
      <c r="AD750" s="138">
        <v>25.9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107</v>
      </c>
      <c r="F751" s="96" t="s">
        <v>106</v>
      </c>
      <c r="G751" s="97">
        <v>46132</v>
      </c>
      <c r="H751" s="98">
        <v>0.39652777777777776</v>
      </c>
      <c r="I751" s="50">
        <v>166004593</v>
      </c>
      <c r="J751" s="96" t="s">
        <v>157</v>
      </c>
      <c r="K751" s="49" t="s">
        <v>655</v>
      </c>
      <c r="L751" s="39" t="s">
        <v>656</v>
      </c>
      <c r="M751" s="49" t="s">
        <v>190</v>
      </c>
      <c r="N751" s="39" t="s">
        <v>532</v>
      </c>
      <c r="O751" s="96" t="s">
        <v>657</v>
      </c>
      <c r="P751" s="49" t="s">
        <v>157</v>
      </c>
      <c r="Q751" s="96" t="s">
        <v>104</v>
      </c>
      <c r="R751" s="52">
        <v>25.13</v>
      </c>
      <c r="S751" s="52">
        <f>R751-T751</f>
        <v>22.4375</v>
      </c>
      <c r="T751" s="52">
        <f>R751*U751/(U751+100)</f>
        <v>2.6925</v>
      </c>
      <c r="U751" s="50">
        <v>12</v>
      </c>
      <c r="V751" s="53">
        <v>0</v>
      </c>
      <c r="W751" s="147">
        <v>0.39</v>
      </c>
      <c r="X751" s="148" t="s">
        <v>193</v>
      </c>
      <c r="Y751" s="54">
        <f>R751*W751</f>
        <v>9.800699999999999</v>
      </c>
      <c r="Z751" s="52">
        <f>S751*W751</f>
        <v>8.750625</v>
      </c>
      <c r="AA751" s="52">
        <f>T751*W751</f>
        <v>1.050075</v>
      </c>
      <c r="AB751" s="52">
        <f>V751*W751</f>
        <v>0</v>
      </c>
      <c r="AC751" s="53">
        <f>(R751+V751)*W751</f>
        <v>9.800699999999999</v>
      </c>
      <c r="AD751" s="138">
        <v>25.13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107</v>
      </c>
      <c r="F752" s="96" t="s">
        <v>106</v>
      </c>
      <c r="G752" s="97">
        <v>46132</v>
      </c>
      <c r="H752" s="98">
        <v>0.39652777777777776</v>
      </c>
      <c r="I752" s="50">
        <v>166004593</v>
      </c>
      <c r="J752" s="96" t="s">
        <v>157</v>
      </c>
      <c r="K752" s="49" t="s">
        <v>1085</v>
      </c>
      <c r="L752" s="39" t="s">
        <v>1086</v>
      </c>
      <c r="M752" s="49" t="s">
        <v>1087</v>
      </c>
      <c r="N752" s="39" t="s">
        <v>1088</v>
      </c>
      <c r="O752" s="96" t="s">
        <v>1089</v>
      </c>
      <c r="P752" s="49" t="s">
        <v>157</v>
      </c>
      <c r="Q752" s="96" t="s">
        <v>104</v>
      </c>
      <c r="R752" s="52">
        <v>163.03</v>
      </c>
      <c r="S752" s="52">
        <f>R752-T752</f>
        <v>145.5625</v>
      </c>
      <c r="T752" s="52">
        <f>R752*U752/(U752+100)</f>
        <v>17.4675</v>
      </c>
      <c r="U752" s="50">
        <v>12</v>
      </c>
      <c r="V752" s="53">
        <v>0</v>
      </c>
      <c r="W752" s="147">
        <v>0.104</v>
      </c>
      <c r="X752" s="148" t="s">
        <v>193</v>
      </c>
      <c r="Y752" s="54">
        <f>R752*W752</f>
        <v>16.95512</v>
      </c>
      <c r="Z752" s="52">
        <f>S752*W752</f>
        <v>15.138499999999999</v>
      </c>
      <c r="AA752" s="52">
        <f>T752*W752</f>
        <v>1.8166200000000001</v>
      </c>
      <c r="AB752" s="52">
        <f>V752*W752</f>
        <v>0</v>
      </c>
      <c r="AC752" s="53">
        <f>(R752+V752)*W752</f>
        <v>16.95512</v>
      </c>
      <c r="AD752" s="138">
        <v>232.9</v>
      </c>
      <c r="AE752" s="137">
        <v>69.87</v>
      </c>
      <c r="AF752" s="139">
        <v>7.2665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107</v>
      </c>
      <c r="F753" s="96" t="s">
        <v>106</v>
      </c>
      <c r="G753" s="97">
        <v>46132</v>
      </c>
      <c r="H753" s="98">
        <v>0.39652777777777776</v>
      </c>
      <c r="I753" s="50">
        <v>166004593</v>
      </c>
      <c r="J753" s="96" t="s">
        <v>157</v>
      </c>
      <c r="K753" s="49" t="s">
        <v>1730</v>
      </c>
      <c r="L753" s="39" t="s">
        <v>1731</v>
      </c>
      <c r="M753" s="49" t="s">
        <v>277</v>
      </c>
      <c r="N753" s="39" t="s">
        <v>1732</v>
      </c>
      <c r="O753" s="96" t="s">
        <v>1733</v>
      </c>
      <c r="P753" s="49" t="s">
        <v>157</v>
      </c>
      <c r="Q753" s="96" t="s">
        <v>104</v>
      </c>
      <c r="R753" s="52">
        <v>147.9</v>
      </c>
      <c r="S753" s="52">
        <f>R753-T753</f>
        <v>132.05357142857144</v>
      </c>
      <c r="T753" s="52">
        <f>R753*U753/(U753+100)</f>
        <v>15.846428571428573</v>
      </c>
      <c r="U753" s="50">
        <v>12</v>
      </c>
      <c r="V753" s="53">
        <v>0</v>
      </c>
      <c r="W753" s="147">
        <v>0.446</v>
      </c>
      <c r="X753" s="148" t="s">
        <v>193</v>
      </c>
      <c r="Y753" s="54">
        <f>R753*W753</f>
        <v>65.96340000000001</v>
      </c>
      <c r="Z753" s="52">
        <f>S753*W753</f>
        <v>58.89589285714287</v>
      </c>
      <c r="AA753" s="52">
        <f>T753*W753</f>
        <v>7.067507142857144</v>
      </c>
      <c r="AB753" s="52">
        <f>V753*W753</f>
        <v>0</v>
      </c>
      <c r="AC753" s="53">
        <f>(R753+V753)*W753</f>
        <v>65.96340000000001</v>
      </c>
      <c r="AD753" s="138">
        <v>147.9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107</v>
      </c>
      <c r="F754" s="96" t="s">
        <v>106</v>
      </c>
      <c r="G754" s="97">
        <v>46132</v>
      </c>
      <c r="H754" s="98">
        <v>0.39652777777777776</v>
      </c>
      <c r="I754" s="50">
        <v>166004593</v>
      </c>
      <c r="J754" s="96" t="s">
        <v>157</v>
      </c>
      <c r="K754" s="49" t="s">
        <v>293</v>
      </c>
      <c r="L754" s="39" t="s">
        <v>294</v>
      </c>
      <c r="M754" s="49" t="s">
        <v>295</v>
      </c>
      <c r="N754" s="39" t="s">
        <v>296</v>
      </c>
      <c r="O754" s="96" t="s">
        <v>297</v>
      </c>
      <c r="P754" s="49" t="s">
        <v>157</v>
      </c>
      <c r="Q754" s="96" t="s">
        <v>104</v>
      </c>
      <c r="R754" s="52">
        <v>2.9</v>
      </c>
      <c r="S754" s="52">
        <f>R754-T754</f>
        <v>2.5892857142857144</v>
      </c>
      <c r="T754" s="52">
        <f>R754*U754/(U754+100)</f>
        <v>0.31071428571428567</v>
      </c>
      <c r="U754" s="50">
        <v>12</v>
      </c>
      <c r="V754" s="53">
        <v>0</v>
      </c>
      <c r="W754" s="147">
        <v>3</v>
      </c>
      <c r="X754" s="148" t="s">
        <v>163</v>
      </c>
      <c r="Y754" s="54">
        <f>R754*W754</f>
        <v>8.7</v>
      </c>
      <c r="Z754" s="52">
        <f>S754*W754</f>
        <v>7.767857142857143</v>
      </c>
      <c r="AA754" s="52">
        <f>T754*W754</f>
        <v>0.9321428571428569</v>
      </c>
      <c r="AB754" s="52">
        <f>V754*W754</f>
        <v>0</v>
      </c>
      <c r="AC754" s="53">
        <f>(R754+V754)*W754</f>
        <v>8.7</v>
      </c>
      <c r="AD754" s="138">
        <v>2.9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107</v>
      </c>
      <c r="F755" s="96" t="s">
        <v>106</v>
      </c>
      <c r="G755" s="97">
        <v>46132</v>
      </c>
      <c r="H755" s="98">
        <v>0.39652777777777776</v>
      </c>
      <c r="I755" s="50">
        <v>166004593</v>
      </c>
      <c r="J755" s="96" t="s">
        <v>157</v>
      </c>
      <c r="K755" s="49" t="s">
        <v>1191</v>
      </c>
      <c r="L755" s="39" t="s">
        <v>1192</v>
      </c>
      <c r="M755" s="49" t="s">
        <v>1193</v>
      </c>
      <c r="N755" s="39" t="s">
        <v>1194</v>
      </c>
      <c r="O755" s="96" t="s">
        <v>1195</v>
      </c>
      <c r="P755" s="49" t="s">
        <v>235</v>
      </c>
      <c r="Q755" s="96" t="s">
        <v>236</v>
      </c>
      <c r="R755" s="52">
        <v>79.9</v>
      </c>
      <c r="S755" s="52">
        <f>R755-T755</f>
        <v>71.33928571428572</v>
      </c>
      <c r="T755" s="52">
        <f>R755*U755/(U755+100)</f>
        <v>8.560714285714287</v>
      </c>
      <c r="U755" s="50">
        <v>12</v>
      </c>
      <c r="V755" s="53">
        <v>0</v>
      </c>
      <c r="W755" s="147">
        <v>1</v>
      </c>
      <c r="X755" s="148" t="s">
        <v>163</v>
      </c>
      <c r="Y755" s="54">
        <f>R755*W755</f>
        <v>79.9</v>
      </c>
      <c r="Z755" s="52">
        <f>S755*W755</f>
        <v>71.33928571428572</v>
      </c>
      <c r="AA755" s="52">
        <f>T755*W755</f>
        <v>8.560714285714287</v>
      </c>
      <c r="AB755" s="52">
        <f>V755*W755</f>
        <v>0</v>
      </c>
      <c r="AC755" s="53">
        <f>(R755+V755)*W755</f>
        <v>79.9</v>
      </c>
      <c r="AD755" s="138">
        <v>79.9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107</v>
      </c>
      <c r="F756" s="96" t="s">
        <v>106</v>
      </c>
      <c r="G756" s="97">
        <v>46132</v>
      </c>
      <c r="H756" s="98">
        <v>0.39652777777777776</v>
      </c>
      <c r="I756" s="50">
        <v>166004593</v>
      </c>
      <c r="J756" s="96" t="s">
        <v>157</v>
      </c>
      <c r="K756" s="49" t="s">
        <v>942</v>
      </c>
      <c r="L756" s="39"/>
      <c r="M756" s="49" t="s">
        <v>295</v>
      </c>
      <c r="N756" s="39" t="s">
        <v>433</v>
      </c>
      <c r="O756" s="96" t="s">
        <v>1332</v>
      </c>
      <c r="P756" s="49" t="s">
        <v>235</v>
      </c>
      <c r="Q756" s="96" t="s">
        <v>944</v>
      </c>
      <c r="R756" s="52">
        <v>9.9</v>
      </c>
      <c r="S756" s="52">
        <f>R756-T756</f>
        <v>8.839285714285715</v>
      </c>
      <c r="T756" s="52">
        <f>R756*U756/(U756+100)</f>
        <v>1.0607142857142857</v>
      </c>
      <c r="U756" s="50">
        <v>12</v>
      </c>
      <c r="V756" s="53">
        <v>0</v>
      </c>
      <c r="W756" s="147">
        <v>1</v>
      </c>
      <c r="X756" s="148" t="s">
        <v>945</v>
      </c>
      <c r="Y756" s="54">
        <f>R756*W756</f>
        <v>9.9</v>
      </c>
      <c r="Z756" s="52">
        <f>S756*W756</f>
        <v>8.839285714285715</v>
      </c>
      <c r="AA756" s="52">
        <f>T756*W756</f>
        <v>1.0607142857142857</v>
      </c>
      <c r="AB756" s="52">
        <f>V756*W756</f>
        <v>0</v>
      </c>
      <c r="AC756" s="53">
        <f>(R756+V756)*W756</f>
        <v>9.9</v>
      </c>
      <c r="AD756" s="138">
        <v>9.9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107</v>
      </c>
      <c r="F757" s="96" t="s">
        <v>106</v>
      </c>
      <c r="G757" s="97">
        <v>46132</v>
      </c>
      <c r="H757" s="98">
        <v>0.39652777777777776</v>
      </c>
      <c r="I757" s="50">
        <v>166004593</v>
      </c>
      <c r="J757" s="96" t="s">
        <v>157</v>
      </c>
      <c r="K757" s="49" t="s">
        <v>1734</v>
      </c>
      <c r="L757" s="39" t="s">
        <v>1735</v>
      </c>
      <c r="M757" s="49" t="s">
        <v>997</v>
      </c>
      <c r="N757" s="39" t="s">
        <v>1736</v>
      </c>
      <c r="O757" s="96" t="s">
        <v>1737</v>
      </c>
      <c r="P757" s="49" t="s">
        <v>157</v>
      </c>
      <c r="Q757" s="96" t="s">
        <v>104</v>
      </c>
      <c r="R757" s="52">
        <v>26.9</v>
      </c>
      <c r="S757" s="52">
        <f>R757-T757</f>
        <v>24.017857142857142</v>
      </c>
      <c r="T757" s="52">
        <f>R757*U757/(U757+100)</f>
        <v>2.8821428571428567</v>
      </c>
      <c r="U757" s="50">
        <v>12</v>
      </c>
      <c r="V757" s="53">
        <v>0</v>
      </c>
      <c r="W757" s="147">
        <v>1</v>
      </c>
      <c r="X757" s="148" t="s">
        <v>945</v>
      </c>
      <c r="Y757" s="54">
        <f>R757*W757</f>
        <v>26.9</v>
      </c>
      <c r="Z757" s="52">
        <f>S757*W757</f>
        <v>24.017857142857142</v>
      </c>
      <c r="AA757" s="52">
        <f>T757*W757</f>
        <v>2.8821428571428567</v>
      </c>
      <c r="AB757" s="52">
        <f>V757*W757</f>
        <v>0</v>
      </c>
      <c r="AC757" s="53">
        <f>(R757+V757)*W757</f>
        <v>26.9</v>
      </c>
      <c r="AD757" s="138">
        <v>26.9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107</v>
      </c>
      <c r="F758" s="96" t="s">
        <v>106</v>
      </c>
      <c r="G758" s="97">
        <v>46132</v>
      </c>
      <c r="H758" s="98">
        <v>0.3985532407407407</v>
      </c>
      <c r="I758" s="50">
        <v>166004594</v>
      </c>
      <c r="J758" s="96" t="s">
        <v>157</v>
      </c>
      <c r="K758" s="49" t="s">
        <v>1738</v>
      </c>
      <c r="L758" s="39" t="s">
        <v>1739</v>
      </c>
      <c r="M758" s="49" t="s">
        <v>360</v>
      </c>
      <c r="N758" s="39" t="s">
        <v>543</v>
      </c>
      <c r="O758" s="96" t="s">
        <v>1740</v>
      </c>
      <c r="P758" s="49" t="s">
        <v>157</v>
      </c>
      <c r="Q758" s="96" t="s">
        <v>104</v>
      </c>
      <c r="R758" s="52">
        <v>34.9</v>
      </c>
      <c r="S758" s="52">
        <f>R758-T758</f>
        <v>31.160714285714285</v>
      </c>
      <c r="T758" s="52">
        <f>R758*U758/(U758+100)</f>
        <v>3.739285714285714</v>
      </c>
      <c r="U758" s="50">
        <v>12</v>
      </c>
      <c r="V758" s="53">
        <v>0</v>
      </c>
      <c r="W758" s="147">
        <v>1</v>
      </c>
      <c r="X758" s="148" t="s">
        <v>163</v>
      </c>
      <c r="Y758" s="54">
        <f>R758*W758</f>
        <v>34.9</v>
      </c>
      <c r="Z758" s="52">
        <f>S758*W758</f>
        <v>31.160714285714285</v>
      </c>
      <c r="AA758" s="52">
        <f>T758*W758</f>
        <v>3.739285714285714</v>
      </c>
      <c r="AB758" s="52">
        <f>V758*W758</f>
        <v>0</v>
      </c>
      <c r="AC758" s="53">
        <f>(R758+V758)*W758</f>
        <v>34.9</v>
      </c>
      <c r="AD758" s="138">
        <v>34.9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107</v>
      </c>
      <c r="F759" s="96" t="s">
        <v>106</v>
      </c>
      <c r="G759" s="97">
        <v>46132</v>
      </c>
      <c r="H759" s="98">
        <v>0.3985532407407407</v>
      </c>
      <c r="I759" s="50">
        <v>166004594</v>
      </c>
      <c r="J759" s="96" t="s">
        <v>157</v>
      </c>
      <c r="K759" s="49" t="s">
        <v>1741</v>
      </c>
      <c r="L759" s="39" t="s">
        <v>1742</v>
      </c>
      <c r="M759" s="49" t="s">
        <v>360</v>
      </c>
      <c r="N759" s="39" t="s">
        <v>543</v>
      </c>
      <c r="O759" s="96" t="s">
        <v>1743</v>
      </c>
      <c r="P759" s="49" t="s">
        <v>157</v>
      </c>
      <c r="Q759" s="96" t="s">
        <v>104</v>
      </c>
      <c r="R759" s="52">
        <v>34.9</v>
      </c>
      <c r="S759" s="52">
        <f>R759-T759</f>
        <v>31.160714285714285</v>
      </c>
      <c r="T759" s="52">
        <f>R759*U759/(U759+100)</f>
        <v>3.739285714285714</v>
      </c>
      <c r="U759" s="50">
        <v>12</v>
      </c>
      <c r="V759" s="53">
        <v>0</v>
      </c>
      <c r="W759" s="147">
        <v>1</v>
      </c>
      <c r="X759" s="148" t="s">
        <v>163</v>
      </c>
      <c r="Y759" s="54">
        <f>R759*W759</f>
        <v>34.9</v>
      </c>
      <c r="Z759" s="52">
        <f>S759*W759</f>
        <v>31.160714285714285</v>
      </c>
      <c r="AA759" s="52">
        <f>T759*W759</f>
        <v>3.739285714285714</v>
      </c>
      <c r="AB759" s="52">
        <f>V759*W759</f>
        <v>0</v>
      </c>
      <c r="AC759" s="53">
        <f>(R759+V759)*W759</f>
        <v>34.9</v>
      </c>
      <c r="AD759" s="138">
        <v>34.9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107</v>
      </c>
      <c r="F760" s="96" t="s">
        <v>106</v>
      </c>
      <c r="G760" s="97">
        <v>46132</v>
      </c>
      <c r="H760" s="98">
        <v>0.3985532407407407</v>
      </c>
      <c r="I760" s="50">
        <v>166004594</v>
      </c>
      <c r="J760" s="96" t="s">
        <v>157</v>
      </c>
      <c r="K760" s="49" t="s">
        <v>1744</v>
      </c>
      <c r="L760" s="39" t="s">
        <v>1745</v>
      </c>
      <c r="M760" s="49" t="s">
        <v>300</v>
      </c>
      <c r="N760" s="39" t="s">
        <v>1485</v>
      </c>
      <c r="O760" s="96" t="s">
        <v>1746</v>
      </c>
      <c r="P760" s="49" t="s">
        <v>157</v>
      </c>
      <c r="Q760" s="96" t="s">
        <v>104</v>
      </c>
      <c r="R760" s="52">
        <v>34.9</v>
      </c>
      <c r="S760" s="52">
        <f>R760-T760</f>
        <v>31.160714285714285</v>
      </c>
      <c r="T760" s="52">
        <f>R760*U760/(U760+100)</f>
        <v>3.739285714285714</v>
      </c>
      <c r="U760" s="50">
        <v>12</v>
      </c>
      <c r="V760" s="53">
        <v>0</v>
      </c>
      <c r="W760" s="147">
        <v>1</v>
      </c>
      <c r="X760" s="148" t="s">
        <v>163</v>
      </c>
      <c r="Y760" s="54">
        <f>R760*W760</f>
        <v>34.9</v>
      </c>
      <c r="Z760" s="52">
        <f>S760*W760</f>
        <v>31.160714285714285</v>
      </c>
      <c r="AA760" s="52">
        <f>T760*W760</f>
        <v>3.739285714285714</v>
      </c>
      <c r="AB760" s="52">
        <f>V760*W760</f>
        <v>0</v>
      </c>
      <c r="AC760" s="53">
        <f>(R760+V760)*W760</f>
        <v>34.9</v>
      </c>
      <c r="AD760" s="138">
        <v>34.9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107</v>
      </c>
      <c r="F761" s="96" t="s">
        <v>106</v>
      </c>
      <c r="G761" s="97">
        <v>46132</v>
      </c>
      <c r="H761" s="98">
        <v>0.3985532407407407</v>
      </c>
      <c r="I761" s="50">
        <v>166004594</v>
      </c>
      <c r="J761" s="96" t="s">
        <v>157</v>
      </c>
      <c r="K761" s="49" t="s">
        <v>1747</v>
      </c>
      <c r="L761" s="39" t="s">
        <v>1748</v>
      </c>
      <c r="M761" s="49" t="s">
        <v>300</v>
      </c>
      <c r="N761" s="39" t="s">
        <v>1485</v>
      </c>
      <c r="O761" s="96" t="s">
        <v>1749</v>
      </c>
      <c r="P761" s="49" t="s">
        <v>157</v>
      </c>
      <c r="Q761" s="96" t="s">
        <v>104</v>
      </c>
      <c r="R761" s="52">
        <v>34.9</v>
      </c>
      <c r="S761" s="52">
        <f>R761-T761</f>
        <v>31.160714285714285</v>
      </c>
      <c r="T761" s="52">
        <f>R761*U761/(U761+100)</f>
        <v>3.739285714285714</v>
      </c>
      <c r="U761" s="50">
        <v>12</v>
      </c>
      <c r="V761" s="53">
        <v>0</v>
      </c>
      <c r="W761" s="147">
        <v>1</v>
      </c>
      <c r="X761" s="148" t="s">
        <v>163</v>
      </c>
      <c r="Y761" s="54">
        <f>R761*W761</f>
        <v>34.9</v>
      </c>
      <c r="Z761" s="52">
        <f>S761*W761</f>
        <v>31.160714285714285</v>
      </c>
      <c r="AA761" s="52">
        <f>T761*W761</f>
        <v>3.739285714285714</v>
      </c>
      <c r="AB761" s="52">
        <f>V761*W761</f>
        <v>0</v>
      </c>
      <c r="AC761" s="53">
        <f>(R761+V761)*W761</f>
        <v>34.9</v>
      </c>
      <c r="AD761" s="138">
        <v>34.9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107</v>
      </c>
      <c r="F762" s="96" t="s">
        <v>106</v>
      </c>
      <c r="G762" s="97">
        <v>46132</v>
      </c>
      <c r="H762" s="98">
        <v>0.3985532407407407</v>
      </c>
      <c r="I762" s="50">
        <v>166004594</v>
      </c>
      <c r="J762" s="96" t="s">
        <v>157</v>
      </c>
      <c r="K762" s="49" t="s">
        <v>1750</v>
      </c>
      <c r="L762" s="39" t="s">
        <v>1751</v>
      </c>
      <c r="M762" s="49" t="s">
        <v>214</v>
      </c>
      <c r="N762" s="39" t="s">
        <v>1752</v>
      </c>
      <c r="O762" s="96" t="s">
        <v>1753</v>
      </c>
      <c r="P762" s="49" t="s">
        <v>157</v>
      </c>
      <c r="Q762" s="96" t="s">
        <v>104</v>
      </c>
      <c r="R762" s="52">
        <v>31.9</v>
      </c>
      <c r="S762" s="52">
        <f>R762-T762</f>
        <v>28.482142857142858</v>
      </c>
      <c r="T762" s="52">
        <f>R762*U762/(U762+100)</f>
        <v>3.4178571428571423</v>
      </c>
      <c r="U762" s="50">
        <v>12</v>
      </c>
      <c r="V762" s="53">
        <v>0</v>
      </c>
      <c r="W762" s="147">
        <v>1</v>
      </c>
      <c r="X762" s="148" t="s">
        <v>163</v>
      </c>
      <c r="Y762" s="54">
        <f>R762*W762</f>
        <v>31.9</v>
      </c>
      <c r="Z762" s="52">
        <f>S762*W762</f>
        <v>28.482142857142858</v>
      </c>
      <c r="AA762" s="52">
        <f>T762*W762</f>
        <v>3.4178571428571423</v>
      </c>
      <c r="AB762" s="52">
        <f>V762*W762</f>
        <v>0</v>
      </c>
      <c r="AC762" s="53">
        <f>(R762+V762)*W762</f>
        <v>31.9</v>
      </c>
      <c r="AD762" s="138">
        <v>31.9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107</v>
      </c>
      <c r="F763" s="96" t="s">
        <v>106</v>
      </c>
      <c r="G763" s="97">
        <v>46132</v>
      </c>
      <c r="H763" s="98">
        <v>0.3985532407407407</v>
      </c>
      <c r="I763" s="50">
        <v>166004594</v>
      </c>
      <c r="J763" s="96" t="s">
        <v>157</v>
      </c>
      <c r="K763" s="49" t="s">
        <v>293</v>
      </c>
      <c r="L763" s="39" t="s">
        <v>294</v>
      </c>
      <c r="M763" s="49" t="s">
        <v>295</v>
      </c>
      <c r="N763" s="39" t="s">
        <v>296</v>
      </c>
      <c r="O763" s="96" t="s">
        <v>297</v>
      </c>
      <c r="P763" s="49" t="s">
        <v>157</v>
      </c>
      <c r="Q763" s="96" t="s">
        <v>104</v>
      </c>
      <c r="R763" s="52">
        <v>2.9</v>
      </c>
      <c r="S763" s="52">
        <f>R763-T763</f>
        <v>2.5892857142857144</v>
      </c>
      <c r="T763" s="52">
        <f>R763*U763/(U763+100)</f>
        <v>0.31071428571428567</v>
      </c>
      <c r="U763" s="50">
        <v>12</v>
      </c>
      <c r="V763" s="53">
        <v>0</v>
      </c>
      <c r="W763" s="147">
        <v>6</v>
      </c>
      <c r="X763" s="148" t="s">
        <v>163</v>
      </c>
      <c r="Y763" s="54">
        <f>R763*W763</f>
        <v>17.4</v>
      </c>
      <c r="Z763" s="52">
        <f>S763*W763</f>
        <v>15.535714285714286</v>
      </c>
      <c r="AA763" s="52">
        <f>T763*W763</f>
        <v>1.8642857142857139</v>
      </c>
      <c r="AB763" s="52">
        <f>V763*W763</f>
        <v>0</v>
      </c>
      <c r="AC763" s="53">
        <f>(R763+V763)*W763</f>
        <v>17.4</v>
      </c>
      <c r="AD763" s="138">
        <v>2.9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107</v>
      </c>
      <c r="F764" s="96" t="s">
        <v>106</v>
      </c>
      <c r="G764" s="97">
        <v>46132</v>
      </c>
      <c r="H764" s="98">
        <v>0.39935185185185185</v>
      </c>
      <c r="I764" s="50">
        <v>166004595</v>
      </c>
      <c r="J764" s="96" t="s">
        <v>157</v>
      </c>
      <c r="K764" s="49" t="s">
        <v>1754</v>
      </c>
      <c r="L764" s="39" t="s">
        <v>1755</v>
      </c>
      <c r="M764" s="49" t="s">
        <v>1756</v>
      </c>
      <c r="N764" s="39" t="s">
        <v>1757</v>
      </c>
      <c r="O764" s="96" t="s">
        <v>1758</v>
      </c>
      <c r="P764" s="49" t="s">
        <v>157</v>
      </c>
      <c r="Q764" s="96" t="s">
        <v>104</v>
      </c>
      <c r="R764" s="52">
        <v>24.9</v>
      </c>
      <c r="S764" s="52">
        <f>R764-T764</f>
        <v>22.232142857142858</v>
      </c>
      <c r="T764" s="52">
        <f>R764*U764/(U764+100)</f>
        <v>2.6678571428571423</v>
      </c>
      <c r="U764" s="50">
        <v>12</v>
      </c>
      <c r="V764" s="53">
        <v>0</v>
      </c>
      <c r="W764" s="147">
        <v>1</v>
      </c>
      <c r="X764" s="148" t="s">
        <v>163</v>
      </c>
      <c r="Y764" s="54">
        <f>R764*W764</f>
        <v>24.9</v>
      </c>
      <c r="Z764" s="52">
        <f>S764*W764</f>
        <v>22.232142857142858</v>
      </c>
      <c r="AA764" s="52">
        <f>T764*W764</f>
        <v>2.6678571428571423</v>
      </c>
      <c r="AB764" s="52">
        <f>V764*W764</f>
        <v>0</v>
      </c>
      <c r="AC764" s="53">
        <f>(R764+V764)*W764</f>
        <v>24.9</v>
      </c>
      <c r="AD764" s="138">
        <v>24.9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107</v>
      </c>
      <c r="F765" s="96" t="s">
        <v>106</v>
      </c>
      <c r="G765" s="97">
        <v>46132</v>
      </c>
      <c r="H765" s="98">
        <v>0.39935185185185185</v>
      </c>
      <c r="I765" s="50">
        <v>166004595</v>
      </c>
      <c r="J765" s="96" t="s">
        <v>157</v>
      </c>
      <c r="K765" s="49" t="s">
        <v>717</v>
      </c>
      <c r="L765" s="39" t="s">
        <v>718</v>
      </c>
      <c r="M765" s="49" t="s">
        <v>480</v>
      </c>
      <c r="N765" s="39" t="s">
        <v>476</v>
      </c>
      <c r="O765" s="96" t="s">
        <v>1539</v>
      </c>
      <c r="P765" s="49" t="s">
        <v>235</v>
      </c>
      <c r="Q765" s="96" t="s">
        <v>236</v>
      </c>
      <c r="R765" s="52">
        <v>19.9</v>
      </c>
      <c r="S765" s="52">
        <f>R765-T765</f>
        <v>17.767857142857142</v>
      </c>
      <c r="T765" s="52">
        <f>R765*U765/(U765+100)</f>
        <v>2.132142857142857</v>
      </c>
      <c r="U765" s="50">
        <v>12</v>
      </c>
      <c r="V765" s="53">
        <v>0</v>
      </c>
      <c r="W765" s="147">
        <v>1</v>
      </c>
      <c r="X765" s="148" t="s">
        <v>163</v>
      </c>
      <c r="Y765" s="54">
        <f>R765*W765</f>
        <v>19.9</v>
      </c>
      <c r="Z765" s="52">
        <f>S765*W765</f>
        <v>17.767857142857142</v>
      </c>
      <c r="AA765" s="52">
        <f>T765*W765</f>
        <v>2.132142857142857</v>
      </c>
      <c r="AB765" s="52">
        <f>V765*W765</f>
        <v>0</v>
      </c>
      <c r="AC765" s="53">
        <f>(R765+V765)*W765</f>
        <v>19.9</v>
      </c>
      <c r="AD765" s="138">
        <v>19.9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107</v>
      </c>
      <c r="F766" s="96" t="s">
        <v>106</v>
      </c>
      <c r="G766" s="97">
        <v>46132</v>
      </c>
      <c r="H766" s="98">
        <v>0.39935185185185185</v>
      </c>
      <c r="I766" s="50">
        <v>166004595</v>
      </c>
      <c r="J766" s="96" t="s">
        <v>157</v>
      </c>
      <c r="K766" s="49" t="s">
        <v>717</v>
      </c>
      <c r="L766" s="39" t="s">
        <v>718</v>
      </c>
      <c r="M766" s="49" t="s">
        <v>480</v>
      </c>
      <c r="N766" s="39" t="s">
        <v>476</v>
      </c>
      <c r="O766" s="96" t="s">
        <v>1539</v>
      </c>
      <c r="P766" s="49" t="s">
        <v>235</v>
      </c>
      <c r="Q766" s="96" t="s">
        <v>236</v>
      </c>
      <c r="R766" s="52">
        <v>19.9</v>
      </c>
      <c r="S766" s="52">
        <f>R766-T766</f>
        <v>17.767857142857142</v>
      </c>
      <c r="T766" s="52">
        <f>R766*U766/(U766+100)</f>
        <v>2.132142857142857</v>
      </c>
      <c r="U766" s="50">
        <v>12</v>
      </c>
      <c r="V766" s="53">
        <v>0</v>
      </c>
      <c r="W766" s="147">
        <v>1</v>
      </c>
      <c r="X766" s="148" t="s">
        <v>163</v>
      </c>
      <c r="Y766" s="54">
        <f>R766*W766</f>
        <v>19.9</v>
      </c>
      <c r="Z766" s="52">
        <f>S766*W766</f>
        <v>17.767857142857142</v>
      </c>
      <c r="AA766" s="52">
        <f>T766*W766</f>
        <v>2.132142857142857</v>
      </c>
      <c r="AB766" s="52">
        <f>V766*W766</f>
        <v>0</v>
      </c>
      <c r="AC766" s="53">
        <f>(R766+V766)*W766</f>
        <v>19.9</v>
      </c>
      <c r="AD766" s="138">
        <v>19.9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107</v>
      </c>
      <c r="F767" s="96" t="s">
        <v>106</v>
      </c>
      <c r="G767" s="97">
        <v>46132</v>
      </c>
      <c r="H767" s="98">
        <v>0.39935185185185185</v>
      </c>
      <c r="I767" s="50">
        <v>166004595</v>
      </c>
      <c r="J767" s="96" t="s">
        <v>157</v>
      </c>
      <c r="K767" s="49" t="s">
        <v>1371</v>
      </c>
      <c r="L767" s="39" t="s">
        <v>1372</v>
      </c>
      <c r="M767" s="49" t="s">
        <v>1373</v>
      </c>
      <c r="N767" s="39" t="s">
        <v>481</v>
      </c>
      <c r="O767" s="96" t="s">
        <v>1374</v>
      </c>
      <c r="P767" s="49" t="s">
        <v>157</v>
      </c>
      <c r="Q767" s="96" t="s">
        <v>104</v>
      </c>
      <c r="R767" s="52">
        <v>39.9</v>
      </c>
      <c r="S767" s="52">
        <f>R767-T767</f>
        <v>35.625</v>
      </c>
      <c r="T767" s="52">
        <f>R767*U767/(U767+100)</f>
        <v>4.2749999999999995</v>
      </c>
      <c r="U767" s="50">
        <v>12</v>
      </c>
      <c r="V767" s="53">
        <v>0</v>
      </c>
      <c r="W767" s="147">
        <v>1</v>
      </c>
      <c r="X767" s="148" t="s">
        <v>163</v>
      </c>
      <c r="Y767" s="54">
        <f>R767*W767</f>
        <v>39.9</v>
      </c>
      <c r="Z767" s="52">
        <f>S767*W767</f>
        <v>35.625</v>
      </c>
      <c r="AA767" s="52">
        <f>T767*W767</f>
        <v>4.2749999999999995</v>
      </c>
      <c r="AB767" s="52">
        <f>V767*W767</f>
        <v>0</v>
      </c>
      <c r="AC767" s="53">
        <f>(R767+V767)*W767</f>
        <v>39.9</v>
      </c>
      <c r="AD767" s="138">
        <v>39.9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107</v>
      </c>
      <c r="F768" s="96" t="s">
        <v>106</v>
      </c>
      <c r="G768" s="97">
        <v>46132</v>
      </c>
      <c r="H768" s="98">
        <v>0.39935185185185185</v>
      </c>
      <c r="I768" s="50">
        <v>166004595</v>
      </c>
      <c r="J768" s="96" t="s">
        <v>157</v>
      </c>
      <c r="K768" s="49" t="s">
        <v>1759</v>
      </c>
      <c r="L768" s="39" t="s">
        <v>1760</v>
      </c>
      <c r="M768" s="49" t="s">
        <v>403</v>
      </c>
      <c r="N768" s="39" t="s">
        <v>523</v>
      </c>
      <c r="O768" s="96" t="s">
        <v>1761</v>
      </c>
      <c r="P768" s="49" t="s">
        <v>235</v>
      </c>
      <c r="Q768" s="96" t="s">
        <v>236</v>
      </c>
      <c r="R768" s="52">
        <v>199</v>
      </c>
      <c r="S768" s="52">
        <f>R768-T768</f>
        <v>177.67857142857142</v>
      </c>
      <c r="T768" s="52">
        <f>R768*U768/(U768+100)</f>
        <v>21.321428571428573</v>
      </c>
      <c r="U768" s="50">
        <v>12</v>
      </c>
      <c r="V768" s="53">
        <v>0</v>
      </c>
      <c r="W768" s="147">
        <v>0.2</v>
      </c>
      <c r="X768" s="148" t="s">
        <v>193</v>
      </c>
      <c r="Y768" s="54">
        <f>R768*W768</f>
        <v>39.800000000000004</v>
      </c>
      <c r="Z768" s="52">
        <f>S768*W768</f>
        <v>35.535714285714285</v>
      </c>
      <c r="AA768" s="52">
        <f>T768*W768</f>
        <v>4.264285714285715</v>
      </c>
      <c r="AB768" s="52">
        <f>V768*W768</f>
        <v>0</v>
      </c>
      <c r="AC768" s="53">
        <f>(R768+V768)*W768</f>
        <v>39.800000000000004</v>
      </c>
      <c r="AD768" s="138">
        <v>199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107</v>
      </c>
      <c r="F769" s="96" t="s">
        <v>106</v>
      </c>
      <c r="G769" s="97">
        <v>46132</v>
      </c>
      <c r="H769" s="98">
        <v>0.39935185185185185</v>
      </c>
      <c r="I769" s="50">
        <v>166004595</v>
      </c>
      <c r="J769" s="96" t="s">
        <v>157</v>
      </c>
      <c r="K769" s="49" t="s">
        <v>275</v>
      </c>
      <c r="L769" s="39" t="s">
        <v>276</v>
      </c>
      <c r="M769" s="49" t="s">
        <v>277</v>
      </c>
      <c r="N769" s="39" t="s">
        <v>278</v>
      </c>
      <c r="O769" s="96" t="s">
        <v>1762</v>
      </c>
      <c r="P769" s="49" t="s">
        <v>235</v>
      </c>
      <c r="Q769" s="96" t="s">
        <v>236</v>
      </c>
      <c r="R769" s="52">
        <v>169</v>
      </c>
      <c r="S769" s="52">
        <f>R769-T769</f>
        <v>150.89285714285714</v>
      </c>
      <c r="T769" s="52">
        <f>R769*U769/(U769+100)</f>
        <v>18.107142857142858</v>
      </c>
      <c r="U769" s="50">
        <v>12</v>
      </c>
      <c r="V769" s="53">
        <v>0</v>
      </c>
      <c r="W769" s="147">
        <v>0.244</v>
      </c>
      <c r="X769" s="148" t="s">
        <v>193</v>
      </c>
      <c r="Y769" s="54">
        <f>R769*W769</f>
        <v>41.236</v>
      </c>
      <c r="Z769" s="52">
        <f>S769*W769</f>
        <v>36.81785714285714</v>
      </c>
      <c r="AA769" s="52">
        <f>T769*W769</f>
        <v>4.418142857142858</v>
      </c>
      <c r="AB769" s="52">
        <f>V769*W769</f>
        <v>0</v>
      </c>
      <c r="AC769" s="53">
        <f>(R769+V769)*W769</f>
        <v>41.236</v>
      </c>
      <c r="AD769" s="138">
        <v>169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107</v>
      </c>
      <c r="F770" s="96" t="s">
        <v>106</v>
      </c>
      <c r="G770" s="97">
        <v>46132</v>
      </c>
      <c r="H770" s="98">
        <v>0.39935185185185185</v>
      </c>
      <c r="I770" s="50">
        <v>166004595</v>
      </c>
      <c r="J770" s="96" t="s">
        <v>157</v>
      </c>
      <c r="K770" s="49" t="s">
        <v>293</v>
      </c>
      <c r="L770" s="39" t="s">
        <v>294</v>
      </c>
      <c r="M770" s="49" t="s">
        <v>295</v>
      </c>
      <c r="N770" s="39" t="s">
        <v>296</v>
      </c>
      <c r="O770" s="96" t="s">
        <v>297</v>
      </c>
      <c r="P770" s="49" t="s">
        <v>157</v>
      </c>
      <c r="Q770" s="96" t="s">
        <v>104</v>
      </c>
      <c r="R770" s="52">
        <v>2.9</v>
      </c>
      <c r="S770" s="52">
        <f>R770-T770</f>
        <v>2.5892857142857144</v>
      </c>
      <c r="T770" s="52">
        <f>R770*U770/(U770+100)</f>
        <v>0.31071428571428567</v>
      </c>
      <c r="U770" s="50">
        <v>12</v>
      </c>
      <c r="V770" s="53">
        <v>0</v>
      </c>
      <c r="W770" s="147">
        <v>5</v>
      </c>
      <c r="X770" s="148" t="s">
        <v>163</v>
      </c>
      <c r="Y770" s="54">
        <f>R770*W770</f>
        <v>14.5</v>
      </c>
      <c r="Z770" s="52">
        <f>S770*W770</f>
        <v>12.946428571428573</v>
      </c>
      <c r="AA770" s="52">
        <f>T770*W770</f>
        <v>1.5535714285714284</v>
      </c>
      <c r="AB770" s="52">
        <f>V770*W770</f>
        <v>0</v>
      </c>
      <c r="AC770" s="53">
        <f>(R770+V770)*W770</f>
        <v>14.5</v>
      </c>
      <c r="AD770" s="138">
        <v>2.9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107</v>
      </c>
      <c r="F771" s="96" t="s">
        <v>106</v>
      </c>
      <c r="G771" s="97">
        <v>46132</v>
      </c>
      <c r="H771" s="98">
        <v>0.39935185185185185</v>
      </c>
      <c r="I771" s="50">
        <v>166004595</v>
      </c>
      <c r="J771" s="96" t="s">
        <v>157</v>
      </c>
      <c r="K771" s="49" t="s">
        <v>1691</v>
      </c>
      <c r="L771" s="39" t="s">
        <v>104</v>
      </c>
      <c r="M771" s="49" t="s">
        <v>554</v>
      </c>
      <c r="N771" s="39" t="s">
        <v>296</v>
      </c>
      <c r="O771" s="96" t="s">
        <v>1692</v>
      </c>
      <c r="P771" s="49" t="s">
        <v>157</v>
      </c>
      <c r="Q771" s="96" t="s">
        <v>104</v>
      </c>
      <c r="R771" s="52">
        <v>11.9</v>
      </c>
      <c r="S771" s="52">
        <f>R771-T771</f>
        <v>10.625</v>
      </c>
      <c r="T771" s="52">
        <f>R771*U771/(U771+100)</f>
        <v>1.2750000000000001</v>
      </c>
      <c r="U771" s="50">
        <v>12</v>
      </c>
      <c r="V771" s="53">
        <v>0</v>
      </c>
      <c r="W771" s="147">
        <v>2</v>
      </c>
      <c r="X771" s="148" t="s">
        <v>163</v>
      </c>
      <c r="Y771" s="54">
        <f>R771*W771</f>
        <v>23.8</v>
      </c>
      <c r="Z771" s="52">
        <f>S771*W771</f>
        <v>21.25</v>
      </c>
      <c r="AA771" s="52">
        <f>T771*W771</f>
        <v>2.5500000000000003</v>
      </c>
      <c r="AB771" s="52">
        <f>V771*W771</f>
        <v>0</v>
      </c>
      <c r="AC771" s="53">
        <f>(R771+V771)*W771</f>
        <v>23.8</v>
      </c>
      <c r="AD771" s="138">
        <v>11.9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107</v>
      </c>
      <c r="F772" s="96" t="s">
        <v>106</v>
      </c>
      <c r="G772" s="97">
        <v>46132</v>
      </c>
      <c r="H772" s="98">
        <v>0.3995023148148148</v>
      </c>
      <c r="I772" s="50">
        <v>166004596</v>
      </c>
      <c r="J772" s="96" t="s">
        <v>157</v>
      </c>
      <c r="K772" s="49" t="s">
        <v>1763</v>
      </c>
      <c r="L772" s="39" t="s">
        <v>1764</v>
      </c>
      <c r="M772" s="49" t="s">
        <v>300</v>
      </c>
      <c r="N772" s="39" t="s">
        <v>778</v>
      </c>
      <c r="O772" s="96" t="s">
        <v>1765</v>
      </c>
      <c r="P772" s="49" t="s">
        <v>157</v>
      </c>
      <c r="Q772" s="96" t="s">
        <v>104</v>
      </c>
      <c r="R772" s="52">
        <v>15.9</v>
      </c>
      <c r="S772" s="52">
        <f>R772-T772</f>
        <v>14.196428571428571</v>
      </c>
      <c r="T772" s="52">
        <f>R772*U772/(U772+100)</f>
        <v>1.7035714285714287</v>
      </c>
      <c r="U772" s="50">
        <v>12</v>
      </c>
      <c r="V772" s="53">
        <v>0</v>
      </c>
      <c r="W772" s="147">
        <v>1</v>
      </c>
      <c r="X772" s="148" t="s">
        <v>163</v>
      </c>
      <c r="Y772" s="54">
        <f>R772*W772</f>
        <v>15.9</v>
      </c>
      <c r="Z772" s="52">
        <f>S772*W772</f>
        <v>14.196428571428571</v>
      </c>
      <c r="AA772" s="52">
        <f>T772*W772</f>
        <v>1.7035714285714287</v>
      </c>
      <c r="AB772" s="52">
        <f>V772*W772</f>
        <v>0</v>
      </c>
      <c r="AC772" s="53">
        <f>(R772+V772)*W772</f>
        <v>15.9</v>
      </c>
      <c r="AD772" s="138">
        <v>15.9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107</v>
      </c>
      <c r="F773" s="96" t="s">
        <v>106</v>
      </c>
      <c r="G773" s="97">
        <v>46132</v>
      </c>
      <c r="H773" s="98">
        <v>0.3995023148148148</v>
      </c>
      <c r="I773" s="50">
        <v>166004596</v>
      </c>
      <c r="J773" s="96" t="s">
        <v>157</v>
      </c>
      <c r="K773" s="49" t="s">
        <v>1766</v>
      </c>
      <c r="L773" s="39" t="s">
        <v>1767</v>
      </c>
      <c r="M773" s="49" t="s">
        <v>1405</v>
      </c>
      <c r="N773" s="39" t="s">
        <v>778</v>
      </c>
      <c r="O773" s="96" t="s">
        <v>1768</v>
      </c>
      <c r="P773" s="49" t="s">
        <v>157</v>
      </c>
      <c r="Q773" s="96" t="s">
        <v>104</v>
      </c>
      <c r="R773" s="52">
        <v>8.9</v>
      </c>
      <c r="S773" s="52">
        <f>R773-T773</f>
        <v>7.946428571428572</v>
      </c>
      <c r="T773" s="52">
        <f>R773*U773/(U773+100)</f>
        <v>0.9535714285714286</v>
      </c>
      <c r="U773" s="50">
        <v>12</v>
      </c>
      <c r="V773" s="53">
        <v>0</v>
      </c>
      <c r="W773" s="147">
        <v>1</v>
      </c>
      <c r="X773" s="148" t="s">
        <v>163</v>
      </c>
      <c r="Y773" s="54">
        <f>R773*W773</f>
        <v>8.9</v>
      </c>
      <c r="Z773" s="52">
        <f>S773*W773</f>
        <v>7.946428571428572</v>
      </c>
      <c r="AA773" s="52">
        <f>T773*W773</f>
        <v>0.9535714285714286</v>
      </c>
      <c r="AB773" s="52">
        <f>V773*W773</f>
        <v>0</v>
      </c>
      <c r="AC773" s="53">
        <f>(R773+V773)*W773</f>
        <v>8.9</v>
      </c>
      <c r="AD773" s="138">
        <v>8.9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107</v>
      </c>
      <c r="F774" s="96" t="s">
        <v>106</v>
      </c>
      <c r="G774" s="97">
        <v>46132</v>
      </c>
      <c r="H774" s="98">
        <v>0.3995023148148148</v>
      </c>
      <c r="I774" s="50">
        <v>166004596</v>
      </c>
      <c r="J774" s="96" t="s">
        <v>157</v>
      </c>
      <c r="K774" s="49" t="s">
        <v>1769</v>
      </c>
      <c r="L774" s="39" t="s">
        <v>1770</v>
      </c>
      <c r="M774" s="49" t="s">
        <v>1405</v>
      </c>
      <c r="N774" s="39" t="s">
        <v>778</v>
      </c>
      <c r="O774" s="96" t="s">
        <v>1771</v>
      </c>
      <c r="P774" s="49" t="s">
        <v>157</v>
      </c>
      <c r="Q774" s="96" t="s">
        <v>104</v>
      </c>
      <c r="R774" s="52">
        <v>17.9</v>
      </c>
      <c r="S774" s="52">
        <f>R774-T774</f>
        <v>15.982142857142856</v>
      </c>
      <c r="T774" s="52">
        <f>R774*U774/(U774+100)</f>
        <v>1.9178571428571427</v>
      </c>
      <c r="U774" s="50">
        <v>12</v>
      </c>
      <c r="V774" s="53">
        <v>0</v>
      </c>
      <c r="W774" s="147">
        <v>1</v>
      </c>
      <c r="X774" s="148" t="s">
        <v>163</v>
      </c>
      <c r="Y774" s="54">
        <f>R774*W774</f>
        <v>17.9</v>
      </c>
      <c r="Z774" s="52">
        <f>S774*W774</f>
        <v>15.982142857142856</v>
      </c>
      <c r="AA774" s="52">
        <f>T774*W774</f>
        <v>1.9178571428571427</v>
      </c>
      <c r="AB774" s="52">
        <f>V774*W774</f>
        <v>0</v>
      </c>
      <c r="AC774" s="53">
        <f>(R774+V774)*W774</f>
        <v>17.9</v>
      </c>
      <c r="AD774" s="138">
        <v>17.9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107</v>
      </c>
      <c r="F775" s="96" t="s">
        <v>106</v>
      </c>
      <c r="G775" s="97">
        <v>46132</v>
      </c>
      <c r="H775" s="98">
        <v>0.3995023148148148</v>
      </c>
      <c r="I775" s="50">
        <v>166004596</v>
      </c>
      <c r="J775" s="96" t="s">
        <v>157</v>
      </c>
      <c r="K775" s="49" t="s">
        <v>293</v>
      </c>
      <c r="L775" s="39" t="s">
        <v>294</v>
      </c>
      <c r="M775" s="49" t="s">
        <v>295</v>
      </c>
      <c r="N775" s="39" t="s">
        <v>296</v>
      </c>
      <c r="O775" s="96" t="s">
        <v>297</v>
      </c>
      <c r="P775" s="49" t="s">
        <v>157</v>
      </c>
      <c r="Q775" s="96" t="s">
        <v>104</v>
      </c>
      <c r="R775" s="52">
        <v>2.9</v>
      </c>
      <c r="S775" s="52">
        <f>R775-T775</f>
        <v>2.5892857142857144</v>
      </c>
      <c r="T775" s="52">
        <f>R775*U775/(U775+100)</f>
        <v>0.31071428571428567</v>
      </c>
      <c r="U775" s="50">
        <v>12</v>
      </c>
      <c r="V775" s="53">
        <v>0</v>
      </c>
      <c r="W775" s="147">
        <v>2</v>
      </c>
      <c r="X775" s="148" t="s">
        <v>163</v>
      </c>
      <c r="Y775" s="54">
        <f>R775*W775</f>
        <v>5.8</v>
      </c>
      <c r="Z775" s="52">
        <f>S775*W775</f>
        <v>5.178571428571429</v>
      </c>
      <c r="AA775" s="52">
        <f>T775*W775</f>
        <v>0.6214285714285713</v>
      </c>
      <c r="AB775" s="52">
        <f>V775*W775</f>
        <v>0</v>
      </c>
      <c r="AC775" s="53">
        <f>(R775+V775)*W775</f>
        <v>5.8</v>
      </c>
      <c r="AD775" s="138">
        <v>2.9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107</v>
      </c>
      <c r="F776" s="96" t="s">
        <v>106</v>
      </c>
      <c r="G776" s="97">
        <v>46132</v>
      </c>
      <c r="H776" s="98">
        <v>0.40011574074074074</v>
      </c>
      <c r="I776" s="50">
        <v>166004597</v>
      </c>
      <c r="J776" s="96" t="s">
        <v>157</v>
      </c>
      <c r="K776" s="49" t="s">
        <v>1772</v>
      </c>
      <c r="L776" s="39" t="s">
        <v>1773</v>
      </c>
      <c r="M776" s="49" t="s">
        <v>384</v>
      </c>
      <c r="N776" s="39" t="s">
        <v>273</v>
      </c>
      <c r="O776" s="96" t="s">
        <v>1774</v>
      </c>
      <c r="P776" s="49" t="s">
        <v>157</v>
      </c>
      <c r="Q776" s="96" t="s">
        <v>104</v>
      </c>
      <c r="R776" s="52">
        <v>59.9</v>
      </c>
      <c r="S776" s="52">
        <f>R776-T776</f>
        <v>53.482142857142854</v>
      </c>
      <c r="T776" s="52">
        <f>R776*U776/(U776+100)</f>
        <v>6.417857142857143</v>
      </c>
      <c r="U776" s="50">
        <v>12</v>
      </c>
      <c r="V776" s="53">
        <v>0</v>
      </c>
      <c r="W776" s="147">
        <v>1</v>
      </c>
      <c r="X776" s="148" t="s">
        <v>163</v>
      </c>
      <c r="Y776" s="54">
        <f>R776*W776</f>
        <v>59.9</v>
      </c>
      <c r="Z776" s="52">
        <f>S776*W776</f>
        <v>53.482142857142854</v>
      </c>
      <c r="AA776" s="52">
        <f>T776*W776</f>
        <v>6.417857142857143</v>
      </c>
      <c r="AB776" s="52">
        <f>V776*W776</f>
        <v>0</v>
      </c>
      <c r="AC776" s="53">
        <f>(R776+V776)*W776</f>
        <v>59.9</v>
      </c>
      <c r="AD776" s="138">
        <v>59.9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107</v>
      </c>
      <c r="F777" s="96" t="s">
        <v>106</v>
      </c>
      <c r="G777" s="97">
        <v>46132</v>
      </c>
      <c r="H777" s="98">
        <v>0.40011574074074074</v>
      </c>
      <c r="I777" s="50">
        <v>166004597</v>
      </c>
      <c r="J777" s="96" t="s">
        <v>157</v>
      </c>
      <c r="K777" s="49" t="s">
        <v>770</v>
      </c>
      <c r="L777" s="39" t="s">
        <v>771</v>
      </c>
      <c r="M777" s="49" t="s">
        <v>232</v>
      </c>
      <c r="N777" s="39" t="s">
        <v>233</v>
      </c>
      <c r="O777" s="96" t="s">
        <v>1775</v>
      </c>
      <c r="P777" s="49" t="s">
        <v>235</v>
      </c>
      <c r="Q777" s="96" t="s">
        <v>236</v>
      </c>
      <c r="R777" s="52">
        <v>24.9</v>
      </c>
      <c r="S777" s="52">
        <f>R777-T777</f>
        <v>20.578512396694215</v>
      </c>
      <c r="T777" s="52">
        <f>R777*U777/(U777+100)</f>
        <v>4.321487603305785</v>
      </c>
      <c r="U777" s="50">
        <v>21</v>
      </c>
      <c r="V777" s="53">
        <v>0</v>
      </c>
      <c r="W777" s="147">
        <v>1</v>
      </c>
      <c r="X777" s="148" t="s">
        <v>163</v>
      </c>
      <c r="Y777" s="54">
        <f>R777*W777</f>
        <v>24.9</v>
      </c>
      <c r="Z777" s="52">
        <f>S777*W777</f>
        <v>20.578512396694215</v>
      </c>
      <c r="AA777" s="52">
        <f>T777*W777</f>
        <v>4.321487603305785</v>
      </c>
      <c r="AB777" s="52">
        <f>V777*W777</f>
        <v>0</v>
      </c>
      <c r="AC777" s="53">
        <f>(R777+V777)*W777</f>
        <v>24.9</v>
      </c>
      <c r="AD777" s="138">
        <v>24.9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107</v>
      </c>
      <c r="F778" s="96" t="s">
        <v>106</v>
      </c>
      <c r="G778" s="97">
        <v>46132</v>
      </c>
      <c r="H778" s="98">
        <v>0.40011574074074074</v>
      </c>
      <c r="I778" s="50">
        <v>166004597</v>
      </c>
      <c r="J778" s="96" t="s">
        <v>157</v>
      </c>
      <c r="K778" s="49" t="s">
        <v>1430</v>
      </c>
      <c r="L778" s="39" t="s">
        <v>1431</v>
      </c>
      <c r="M778" s="49" t="s">
        <v>232</v>
      </c>
      <c r="N778" s="39" t="s">
        <v>233</v>
      </c>
      <c r="O778" s="96" t="s">
        <v>1432</v>
      </c>
      <c r="P778" s="49" t="s">
        <v>235</v>
      </c>
      <c r="Q778" s="96" t="s">
        <v>236</v>
      </c>
      <c r="R778" s="52">
        <v>24.9</v>
      </c>
      <c r="S778" s="52">
        <f>R778-T778</f>
        <v>20.578512396694215</v>
      </c>
      <c r="T778" s="52">
        <f>R778*U778/(U778+100)</f>
        <v>4.321487603305785</v>
      </c>
      <c r="U778" s="50">
        <v>21</v>
      </c>
      <c r="V778" s="53">
        <v>0</v>
      </c>
      <c r="W778" s="147">
        <v>1</v>
      </c>
      <c r="X778" s="148" t="s">
        <v>163</v>
      </c>
      <c r="Y778" s="54">
        <f>R778*W778</f>
        <v>24.9</v>
      </c>
      <c r="Z778" s="52">
        <f>S778*W778</f>
        <v>20.578512396694215</v>
      </c>
      <c r="AA778" s="52">
        <f>T778*W778</f>
        <v>4.321487603305785</v>
      </c>
      <c r="AB778" s="52">
        <f>V778*W778</f>
        <v>0</v>
      </c>
      <c r="AC778" s="53">
        <f>(R778+V778)*W778</f>
        <v>24.9</v>
      </c>
      <c r="AD778" s="138">
        <v>24.9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107</v>
      </c>
      <c r="F779" s="96" t="s">
        <v>106</v>
      </c>
      <c r="G779" s="97">
        <v>46132</v>
      </c>
      <c r="H779" s="98">
        <v>0.40011574074074074</v>
      </c>
      <c r="I779" s="50">
        <v>166004597</v>
      </c>
      <c r="J779" s="96" t="s">
        <v>157</v>
      </c>
      <c r="K779" s="49" t="s">
        <v>1776</v>
      </c>
      <c r="L779" s="39" t="s">
        <v>1777</v>
      </c>
      <c r="M779" s="49" t="s">
        <v>1452</v>
      </c>
      <c r="N779" s="39" t="s">
        <v>653</v>
      </c>
      <c r="O779" s="96" t="s">
        <v>1778</v>
      </c>
      <c r="P779" s="49" t="s">
        <v>235</v>
      </c>
      <c r="Q779" s="96" t="s">
        <v>236</v>
      </c>
      <c r="R779" s="52">
        <v>19.9</v>
      </c>
      <c r="S779" s="52">
        <f>R779-T779</f>
        <v>16.446280991735534</v>
      </c>
      <c r="T779" s="52">
        <f>R779*U779/(U779+100)</f>
        <v>3.4537190082644624</v>
      </c>
      <c r="U779" s="50">
        <v>21</v>
      </c>
      <c r="V779" s="53">
        <v>0</v>
      </c>
      <c r="W779" s="147">
        <v>1</v>
      </c>
      <c r="X779" s="148" t="s">
        <v>163</v>
      </c>
      <c r="Y779" s="54">
        <f>R779*W779</f>
        <v>19.9</v>
      </c>
      <c r="Z779" s="52">
        <f>S779*W779</f>
        <v>16.446280991735534</v>
      </c>
      <c r="AA779" s="52">
        <f>T779*W779</f>
        <v>3.4537190082644624</v>
      </c>
      <c r="AB779" s="52">
        <f>V779*W779</f>
        <v>0</v>
      </c>
      <c r="AC779" s="53">
        <f>(R779+V779)*W779</f>
        <v>19.9</v>
      </c>
      <c r="AD779" s="138">
        <v>19.9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107</v>
      </c>
      <c r="F780" s="96" t="s">
        <v>106</v>
      </c>
      <c r="G780" s="97">
        <v>46132</v>
      </c>
      <c r="H780" s="98">
        <v>0.40011574074074074</v>
      </c>
      <c r="I780" s="50">
        <v>166004597</v>
      </c>
      <c r="J780" s="96" t="s">
        <v>157</v>
      </c>
      <c r="K780" s="49" t="s">
        <v>530</v>
      </c>
      <c r="L780" s="39" t="s">
        <v>531</v>
      </c>
      <c r="M780" s="49" t="s">
        <v>190</v>
      </c>
      <c r="N780" s="39" t="s">
        <v>532</v>
      </c>
      <c r="O780" s="96" t="s">
        <v>533</v>
      </c>
      <c r="P780" s="49" t="s">
        <v>157</v>
      </c>
      <c r="Q780" s="96" t="s">
        <v>104</v>
      </c>
      <c r="R780" s="52">
        <v>25.9</v>
      </c>
      <c r="S780" s="52">
        <f>R780-T780</f>
        <v>23.125</v>
      </c>
      <c r="T780" s="52">
        <f>R780*U780/(U780+100)</f>
        <v>2.7749999999999995</v>
      </c>
      <c r="U780" s="50">
        <v>12</v>
      </c>
      <c r="V780" s="53">
        <v>0</v>
      </c>
      <c r="W780" s="147">
        <v>0.388</v>
      </c>
      <c r="X780" s="148" t="s">
        <v>193</v>
      </c>
      <c r="Y780" s="54">
        <f>R780*W780</f>
        <v>10.049199999999999</v>
      </c>
      <c r="Z780" s="52">
        <f>S780*W780</f>
        <v>8.9725</v>
      </c>
      <c r="AA780" s="52">
        <f>T780*W780</f>
        <v>1.0766999999999998</v>
      </c>
      <c r="AB780" s="52">
        <f>V780*W780</f>
        <v>0</v>
      </c>
      <c r="AC780" s="53">
        <f>(R780+V780)*W780</f>
        <v>10.049199999999999</v>
      </c>
      <c r="AD780" s="138">
        <v>25.9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107</v>
      </c>
      <c r="F781" s="96" t="s">
        <v>106</v>
      </c>
      <c r="G781" s="97">
        <v>46132</v>
      </c>
      <c r="H781" s="98">
        <v>0.40011574074074074</v>
      </c>
      <c r="I781" s="50">
        <v>166004597</v>
      </c>
      <c r="J781" s="96" t="s">
        <v>157</v>
      </c>
      <c r="K781" s="49" t="s">
        <v>303</v>
      </c>
      <c r="L781" s="39" t="s">
        <v>304</v>
      </c>
      <c r="M781" s="49" t="s">
        <v>214</v>
      </c>
      <c r="N781" s="39" t="s">
        <v>296</v>
      </c>
      <c r="O781" s="96" t="s">
        <v>305</v>
      </c>
      <c r="P781" s="49" t="s">
        <v>157</v>
      </c>
      <c r="Q781" s="96" t="s">
        <v>104</v>
      </c>
      <c r="R781" s="52">
        <v>11.9</v>
      </c>
      <c r="S781" s="52">
        <f>R781-T781</f>
        <v>10.625</v>
      </c>
      <c r="T781" s="52">
        <f>R781*U781/(U781+100)</f>
        <v>1.2750000000000001</v>
      </c>
      <c r="U781" s="50">
        <v>12</v>
      </c>
      <c r="V781" s="53">
        <v>0</v>
      </c>
      <c r="W781" s="147">
        <v>3</v>
      </c>
      <c r="X781" s="148" t="s">
        <v>163</v>
      </c>
      <c r="Y781" s="54">
        <f>R781*W781</f>
        <v>35.7</v>
      </c>
      <c r="Z781" s="52">
        <f>S781*W781</f>
        <v>31.875</v>
      </c>
      <c r="AA781" s="52">
        <f>T781*W781</f>
        <v>3.825</v>
      </c>
      <c r="AB781" s="52">
        <f>V781*W781</f>
        <v>0</v>
      </c>
      <c r="AC781" s="53">
        <f>(R781+V781)*W781</f>
        <v>35.7</v>
      </c>
      <c r="AD781" s="138">
        <v>11.9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107</v>
      </c>
      <c r="F782" s="96" t="s">
        <v>106</v>
      </c>
      <c r="G782" s="97">
        <v>46132</v>
      </c>
      <c r="H782" s="98">
        <v>0.40054398148148146</v>
      </c>
      <c r="I782" s="50">
        <v>166004598</v>
      </c>
      <c r="J782" s="96" t="s">
        <v>157</v>
      </c>
      <c r="K782" s="49" t="s">
        <v>177</v>
      </c>
      <c r="L782" s="39" t="s">
        <v>178</v>
      </c>
      <c r="M782" s="49" t="s">
        <v>171</v>
      </c>
      <c r="N782" s="39" t="s">
        <v>172</v>
      </c>
      <c r="O782" s="96" t="s">
        <v>1779</v>
      </c>
      <c r="P782" s="49" t="s">
        <v>157</v>
      </c>
      <c r="Q782" s="96" t="s">
        <v>104</v>
      </c>
      <c r="R782" s="52">
        <v>11.4</v>
      </c>
      <c r="S782" s="52">
        <f>R782-T782</f>
        <v>10.178571428571429</v>
      </c>
      <c r="T782" s="52">
        <f>R782*U782/(U782+100)</f>
        <v>1.2214285714285715</v>
      </c>
      <c r="U782" s="50">
        <v>12</v>
      </c>
      <c r="V782" s="53">
        <v>0</v>
      </c>
      <c r="W782" s="147">
        <v>1</v>
      </c>
      <c r="X782" s="148" t="s">
        <v>163</v>
      </c>
      <c r="Y782" s="54">
        <f>R782*W782</f>
        <v>11.4</v>
      </c>
      <c r="Z782" s="52">
        <f>S782*W782</f>
        <v>10.178571428571429</v>
      </c>
      <c r="AA782" s="52">
        <f>T782*W782</f>
        <v>1.2214285714285715</v>
      </c>
      <c r="AB782" s="52">
        <f>V782*W782</f>
        <v>0</v>
      </c>
      <c r="AC782" s="53">
        <f>(R782+V782)*W782</f>
        <v>11.4</v>
      </c>
      <c r="AD782" s="138">
        <v>11.4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107</v>
      </c>
      <c r="F783" s="96" t="s">
        <v>106</v>
      </c>
      <c r="G783" s="97">
        <v>46132</v>
      </c>
      <c r="H783" s="98">
        <v>0.40054398148148146</v>
      </c>
      <c r="I783" s="50">
        <v>166004598</v>
      </c>
      <c r="J783" s="96" t="s">
        <v>157</v>
      </c>
      <c r="K783" s="49" t="s">
        <v>1780</v>
      </c>
      <c r="L783" s="39" t="s">
        <v>1781</v>
      </c>
      <c r="M783" s="49" t="s">
        <v>171</v>
      </c>
      <c r="N783" s="39" t="s">
        <v>172</v>
      </c>
      <c r="O783" s="96" t="s">
        <v>1782</v>
      </c>
      <c r="P783" s="49" t="s">
        <v>157</v>
      </c>
      <c r="Q783" s="96" t="s">
        <v>104</v>
      </c>
      <c r="R783" s="52">
        <v>11.4</v>
      </c>
      <c r="S783" s="52">
        <f>R783-T783</f>
        <v>10.178571428571429</v>
      </c>
      <c r="T783" s="52">
        <f>R783*U783/(U783+100)</f>
        <v>1.2214285714285715</v>
      </c>
      <c r="U783" s="50">
        <v>12</v>
      </c>
      <c r="V783" s="53">
        <v>0</v>
      </c>
      <c r="W783" s="147">
        <v>1</v>
      </c>
      <c r="X783" s="148" t="s">
        <v>163</v>
      </c>
      <c r="Y783" s="54">
        <f>R783*W783</f>
        <v>11.4</v>
      </c>
      <c r="Z783" s="52">
        <f>S783*W783</f>
        <v>10.178571428571429</v>
      </c>
      <c r="AA783" s="52">
        <f>T783*W783</f>
        <v>1.2214285714285715</v>
      </c>
      <c r="AB783" s="52">
        <f>V783*W783</f>
        <v>0</v>
      </c>
      <c r="AC783" s="53">
        <f>(R783+V783)*W783</f>
        <v>11.4</v>
      </c>
      <c r="AD783" s="138">
        <v>11.4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107</v>
      </c>
      <c r="F784" s="96" t="s">
        <v>106</v>
      </c>
      <c r="G784" s="97">
        <v>46132</v>
      </c>
      <c r="H784" s="98">
        <v>0.40054398148148146</v>
      </c>
      <c r="I784" s="50">
        <v>166004598</v>
      </c>
      <c r="J784" s="96" t="s">
        <v>157</v>
      </c>
      <c r="K784" s="49" t="s">
        <v>1783</v>
      </c>
      <c r="L784" s="39" t="s">
        <v>1784</v>
      </c>
      <c r="M784" s="49" t="s">
        <v>364</v>
      </c>
      <c r="N784" s="39" t="s">
        <v>1785</v>
      </c>
      <c r="O784" s="96" t="s">
        <v>1786</v>
      </c>
      <c r="P784" s="49" t="s">
        <v>157</v>
      </c>
      <c r="Q784" s="96" t="s">
        <v>104</v>
      </c>
      <c r="R784" s="52">
        <v>8.4</v>
      </c>
      <c r="S784" s="52">
        <f>R784-T784</f>
        <v>7.5</v>
      </c>
      <c r="T784" s="52">
        <f>R784*U784/(U784+100)</f>
        <v>0.9000000000000001</v>
      </c>
      <c r="U784" s="50">
        <v>12</v>
      </c>
      <c r="V784" s="53">
        <v>0</v>
      </c>
      <c r="W784" s="147">
        <v>1</v>
      </c>
      <c r="X784" s="148" t="s">
        <v>163</v>
      </c>
      <c r="Y784" s="54">
        <f>R784*W784</f>
        <v>8.4</v>
      </c>
      <c r="Z784" s="52">
        <f>S784*W784</f>
        <v>7.5</v>
      </c>
      <c r="AA784" s="52">
        <f>T784*W784</f>
        <v>0.9000000000000001</v>
      </c>
      <c r="AB784" s="52">
        <f>V784*W784</f>
        <v>0</v>
      </c>
      <c r="AC784" s="53">
        <f>(R784+V784)*W784</f>
        <v>8.4</v>
      </c>
      <c r="AD784" s="138">
        <v>8.4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107</v>
      </c>
      <c r="F785" s="96" t="s">
        <v>106</v>
      </c>
      <c r="G785" s="97">
        <v>46132</v>
      </c>
      <c r="H785" s="98">
        <v>0.40054398148148146</v>
      </c>
      <c r="I785" s="50">
        <v>166004598</v>
      </c>
      <c r="J785" s="96" t="s">
        <v>157</v>
      </c>
      <c r="K785" s="49" t="s">
        <v>1783</v>
      </c>
      <c r="L785" s="39" t="s">
        <v>1784</v>
      </c>
      <c r="M785" s="49" t="s">
        <v>364</v>
      </c>
      <c r="N785" s="39" t="s">
        <v>1785</v>
      </c>
      <c r="O785" s="96" t="s">
        <v>1786</v>
      </c>
      <c r="P785" s="49" t="s">
        <v>157</v>
      </c>
      <c r="Q785" s="96" t="s">
        <v>104</v>
      </c>
      <c r="R785" s="52">
        <v>8.4</v>
      </c>
      <c r="S785" s="52">
        <f>R785-T785</f>
        <v>7.5</v>
      </c>
      <c r="T785" s="52">
        <f>R785*U785/(U785+100)</f>
        <v>0.9000000000000001</v>
      </c>
      <c r="U785" s="50">
        <v>12</v>
      </c>
      <c r="V785" s="53">
        <v>0</v>
      </c>
      <c r="W785" s="147">
        <v>1</v>
      </c>
      <c r="X785" s="148" t="s">
        <v>163</v>
      </c>
      <c r="Y785" s="54">
        <f>R785*W785</f>
        <v>8.4</v>
      </c>
      <c r="Z785" s="52">
        <f>S785*W785</f>
        <v>7.5</v>
      </c>
      <c r="AA785" s="52">
        <f>T785*W785</f>
        <v>0.9000000000000001</v>
      </c>
      <c r="AB785" s="52">
        <f>V785*W785</f>
        <v>0</v>
      </c>
      <c r="AC785" s="53">
        <f>(R785+V785)*W785</f>
        <v>8.4</v>
      </c>
      <c r="AD785" s="138">
        <v>8.4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107</v>
      </c>
      <c r="F786" s="96" t="s">
        <v>106</v>
      </c>
      <c r="G786" s="97">
        <v>46132</v>
      </c>
      <c r="H786" s="98">
        <v>0.40054398148148146</v>
      </c>
      <c r="I786" s="50">
        <v>166004598</v>
      </c>
      <c r="J786" s="96" t="s">
        <v>157</v>
      </c>
      <c r="K786" s="49" t="s">
        <v>1787</v>
      </c>
      <c r="L786" s="39" t="s">
        <v>1788</v>
      </c>
      <c r="M786" s="49" t="s">
        <v>190</v>
      </c>
      <c r="N786" s="39" t="s">
        <v>191</v>
      </c>
      <c r="O786" s="96" t="s">
        <v>1789</v>
      </c>
      <c r="P786" s="49" t="s">
        <v>157</v>
      </c>
      <c r="Q786" s="96" t="s">
        <v>104</v>
      </c>
      <c r="R786" s="52">
        <v>109.9</v>
      </c>
      <c r="S786" s="52">
        <f>R786-T786</f>
        <v>98.125</v>
      </c>
      <c r="T786" s="52">
        <f>R786*U786/(U786+100)</f>
        <v>11.775000000000002</v>
      </c>
      <c r="U786" s="50">
        <v>12</v>
      </c>
      <c r="V786" s="53">
        <v>0</v>
      </c>
      <c r="W786" s="147">
        <v>0.248</v>
      </c>
      <c r="X786" s="148" t="s">
        <v>193</v>
      </c>
      <c r="Y786" s="54">
        <f>R786*W786</f>
        <v>27.255200000000002</v>
      </c>
      <c r="Z786" s="52">
        <f>S786*W786</f>
        <v>24.335</v>
      </c>
      <c r="AA786" s="52">
        <f>T786*W786</f>
        <v>2.9202000000000004</v>
      </c>
      <c r="AB786" s="52">
        <f>V786*W786</f>
        <v>0</v>
      </c>
      <c r="AC786" s="53">
        <f>(R786+V786)*W786</f>
        <v>27.255200000000002</v>
      </c>
      <c r="AD786" s="138">
        <v>109.9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107</v>
      </c>
      <c r="F787" s="96" t="s">
        <v>106</v>
      </c>
      <c r="G787" s="97">
        <v>46132</v>
      </c>
      <c r="H787" s="98">
        <v>0.40054398148148146</v>
      </c>
      <c r="I787" s="50">
        <v>166004598</v>
      </c>
      <c r="J787" s="96" t="s">
        <v>157</v>
      </c>
      <c r="K787" s="49" t="s">
        <v>188</v>
      </c>
      <c r="L787" s="39" t="s">
        <v>189</v>
      </c>
      <c r="M787" s="49" t="s">
        <v>190</v>
      </c>
      <c r="N787" s="39" t="s">
        <v>191</v>
      </c>
      <c r="O787" s="96" t="s">
        <v>192</v>
      </c>
      <c r="P787" s="49" t="s">
        <v>157</v>
      </c>
      <c r="Q787" s="96" t="s">
        <v>104</v>
      </c>
      <c r="R787" s="52">
        <v>33.9</v>
      </c>
      <c r="S787" s="52">
        <f>R787-T787</f>
        <v>30.267857142857142</v>
      </c>
      <c r="T787" s="52">
        <f>R787*U787/(U787+100)</f>
        <v>3.6321428571428567</v>
      </c>
      <c r="U787" s="50">
        <v>12</v>
      </c>
      <c r="V787" s="53">
        <v>0</v>
      </c>
      <c r="W787" s="147">
        <v>0.27</v>
      </c>
      <c r="X787" s="148" t="s">
        <v>193</v>
      </c>
      <c r="Y787" s="54">
        <f>R787*W787</f>
        <v>9.153</v>
      </c>
      <c r="Z787" s="52">
        <f>S787*W787</f>
        <v>8.17232142857143</v>
      </c>
      <c r="AA787" s="52">
        <f>T787*W787</f>
        <v>0.9806785714285714</v>
      </c>
      <c r="AB787" s="52">
        <f>V787*W787</f>
        <v>0</v>
      </c>
      <c r="AC787" s="53">
        <f>(R787+V787)*W787</f>
        <v>9.153</v>
      </c>
      <c r="AD787" s="138">
        <v>33.9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107</v>
      </c>
      <c r="F788" s="96" t="s">
        <v>106</v>
      </c>
      <c r="G788" s="97">
        <v>46132</v>
      </c>
      <c r="H788" s="98">
        <v>0.40054398148148146</v>
      </c>
      <c r="I788" s="50">
        <v>166004598</v>
      </c>
      <c r="J788" s="96" t="s">
        <v>157</v>
      </c>
      <c r="K788" s="49" t="s">
        <v>628</v>
      </c>
      <c r="L788" s="39" t="s">
        <v>629</v>
      </c>
      <c r="M788" s="49" t="s">
        <v>214</v>
      </c>
      <c r="N788" s="39" t="s">
        <v>296</v>
      </c>
      <c r="O788" s="96" t="s">
        <v>630</v>
      </c>
      <c r="P788" s="49" t="s">
        <v>157</v>
      </c>
      <c r="Q788" s="96" t="s">
        <v>104</v>
      </c>
      <c r="R788" s="52">
        <v>9.9</v>
      </c>
      <c r="S788" s="52">
        <f>R788-T788</f>
        <v>8.839285714285715</v>
      </c>
      <c r="T788" s="52">
        <f>R788*U788/(U788+100)</f>
        <v>1.0607142857142857</v>
      </c>
      <c r="U788" s="50">
        <v>12</v>
      </c>
      <c r="V788" s="53">
        <v>0</v>
      </c>
      <c r="W788" s="147">
        <v>4</v>
      </c>
      <c r="X788" s="148" t="s">
        <v>163</v>
      </c>
      <c r="Y788" s="54">
        <f>R788*W788</f>
        <v>39.6</v>
      </c>
      <c r="Z788" s="52">
        <f>S788*W788</f>
        <v>35.35714285714286</v>
      </c>
      <c r="AA788" s="52">
        <f>T788*W788</f>
        <v>4.242857142857143</v>
      </c>
      <c r="AB788" s="52">
        <f>V788*W788</f>
        <v>0</v>
      </c>
      <c r="AC788" s="53">
        <f>(R788+V788)*W788</f>
        <v>39.6</v>
      </c>
      <c r="AD788" s="138">
        <v>9.9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107</v>
      </c>
      <c r="F789" s="96" t="s">
        <v>106</v>
      </c>
      <c r="G789" s="97">
        <v>46132</v>
      </c>
      <c r="H789" s="98">
        <v>0.4011111111111111</v>
      </c>
      <c r="I789" s="50">
        <v>166004599</v>
      </c>
      <c r="J789" s="96" t="s">
        <v>157</v>
      </c>
      <c r="K789" s="49" t="s">
        <v>1790</v>
      </c>
      <c r="L789" s="39" t="s">
        <v>1791</v>
      </c>
      <c r="M789" s="49" t="s">
        <v>1252</v>
      </c>
      <c r="N789" s="39" t="s">
        <v>197</v>
      </c>
      <c r="O789" s="96" t="s">
        <v>1792</v>
      </c>
      <c r="P789" s="49" t="s">
        <v>157</v>
      </c>
      <c r="Q789" s="96" t="s">
        <v>104</v>
      </c>
      <c r="R789" s="52">
        <v>59.9</v>
      </c>
      <c r="S789" s="52">
        <f>R789-T789</f>
        <v>53.482142857142854</v>
      </c>
      <c r="T789" s="52">
        <f>R789*U789/(U789+100)</f>
        <v>6.417857142857143</v>
      </c>
      <c r="U789" s="50">
        <v>12</v>
      </c>
      <c r="V789" s="53">
        <v>0</v>
      </c>
      <c r="W789" s="147">
        <v>1</v>
      </c>
      <c r="X789" s="148" t="s">
        <v>163</v>
      </c>
      <c r="Y789" s="54">
        <f>R789*W789</f>
        <v>59.9</v>
      </c>
      <c r="Z789" s="52">
        <f>S789*W789</f>
        <v>53.482142857142854</v>
      </c>
      <c r="AA789" s="52">
        <f>T789*W789</f>
        <v>6.417857142857143</v>
      </c>
      <c r="AB789" s="52">
        <f>V789*W789</f>
        <v>0</v>
      </c>
      <c r="AC789" s="53">
        <f>(R789+V789)*W789</f>
        <v>59.9</v>
      </c>
      <c r="AD789" s="138">
        <v>59.9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107</v>
      </c>
      <c r="F790" s="96" t="s">
        <v>106</v>
      </c>
      <c r="G790" s="97">
        <v>46132</v>
      </c>
      <c r="H790" s="98">
        <v>0.4011111111111111</v>
      </c>
      <c r="I790" s="50">
        <v>166004599</v>
      </c>
      <c r="J790" s="96" t="s">
        <v>157</v>
      </c>
      <c r="K790" s="49" t="s">
        <v>492</v>
      </c>
      <c r="L790" s="39" t="s">
        <v>493</v>
      </c>
      <c r="M790" s="49" t="s">
        <v>224</v>
      </c>
      <c r="N790" s="39" t="s">
        <v>494</v>
      </c>
      <c r="O790" s="96" t="s">
        <v>1793</v>
      </c>
      <c r="P790" s="49" t="s">
        <v>157</v>
      </c>
      <c r="Q790" s="96" t="s">
        <v>104</v>
      </c>
      <c r="R790" s="52">
        <v>39.9</v>
      </c>
      <c r="S790" s="52">
        <f>R790-T790</f>
        <v>32.97520661157024</v>
      </c>
      <c r="T790" s="52">
        <f>R790*U790/(U790+100)</f>
        <v>6.924793388429752</v>
      </c>
      <c r="U790" s="50">
        <v>21</v>
      </c>
      <c r="V790" s="53">
        <v>0</v>
      </c>
      <c r="W790" s="147">
        <v>1</v>
      </c>
      <c r="X790" s="148" t="s">
        <v>163</v>
      </c>
      <c r="Y790" s="54">
        <f>R790*W790</f>
        <v>39.9</v>
      </c>
      <c r="Z790" s="52">
        <f>S790*W790</f>
        <v>32.97520661157024</v>
      </c>
      <c r="AA790" s="52">
        <f>T790*W790</f>
        <v>6.924793388429752</v>
      </c>
      <c r="AB790" s="52">
        <f>V790*W790</f>
        <v>0</v>
      </c>
      <c r="AC790" s="53">
        <f>(R790+V790)*W790</f>
        <v>39.9</v>
      </c>
      <c r="AD790" s="138">
        <v>39.9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107</v>
      </c>
      <c r="F791" s="96" t="s">
        <v>106</v>
      </c>
      <c r="G791" s="97">
        <v>46132</v>
      </c>
      <c r="H791" s="98">
        <v>0.4011111111111111</v>
      </c>
      <c r="I791" s="50">
        <v>166004599</v>
      </c>
      <c r="J791" s="96" t="s">
        <v>157</v>
      </c>
      <c r="K791" s="49" t="s">
        <v>1794</v>
      </c>
      <c r="L791" s="39" t="s">
        <v>1795</v>
      </c>
      <c r="M791" s="49" t="s">
        <v>214</v>
      </c>
      <c r="N791" s="39" t="s">
        <v>756</v>
      </c>
      <c r="O791" s="96" t="s">
        <v>1796</v>
      </c>
      <c r="P791" s="49" t="s">
        <v>157</v>
      </c>
      <c r="Q791" s="96" t="s">
        <v>104</v>
      </c>
      <c r="R791" s="52">
        <v>23.9</v>
      </c>
      <c r="S791" s="52">
        <f>R791-T791</f>
        <v>21.33928571428571</v>
      </c>
      <c r="T791" s="52">
        <f>R791*U791/(U791+100)</f>
        <v>2.5607142857142855</v>
      </c>
      <c r="U791" s="50">
        <v>12</v>
      </c>
      <c r="V791" s="53">
        <v>0</v>
      </c>
      <c r="W791" s="147">
        <v>1</v>
      </c>
      <c r="X791" s="148" t="s">
        <v>163</v>
      </c>
      <c r="Y791" s="54">
        <f>R791*W791</f>
        <v>23.9</v>
      </c>
      <c r="Z791" s="52">
        <f>S791*W791</f>
        <v>21.33928571428571</v>
      </c>
      <c r="AA791" s="52">
        <f>T791*W791</f>
        <v>2.5607142857142855</v>
      </c>
      <c r="AB791" s="52">
        <f>V791*W791</f>
        <v>0</v>
      </c>
      <c r="AC791" s="53">
        <f>(R791+V791)*W791</f>
        <v>23.9</v>
      </c>
      <c r="AD791" s="138">
        <v>23.9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107</v>
      </c>
      <c r="F792" s="96" t="s">
        <v>106</v>
      </c>
      <c r="G792" s="97">
        <v>46132</v>
      </c>
      <c r="H792" s="98">
        <v>0.4011111111111111</v>
      </c>
      <c r="I792" s="50">
        <v>166004599</v>
      </c>
      <c r="J792" s="96" t="s">
        <v>157</v>
      </c>
      <c r="K792" s="49" t="s">
        <v>183</v>
      </c>
      <c r="L792" s="39" t="s">
        <v>184</v>
      </c>
      <c r="M792" s="49" t="s">
        <v>185</v>
      </c>
      <c r="N792" s="39" t="s">
        <v>186</v>
      </c>
      <c r="O792" s="96" t="s">
        <v>988</v>
      </c>
      <c r="P792" s="49" t="s">
        <v>157</v>
      </c>
      <c r="Q792" s="96" t="s">
        <v>104</v>
      </c>
      <c r="R792" s="52">
        <v>1.9</v>
      </c>
      <c r="S792" s="52">
        <f>R792-T792</f>
        <v>1.5702479338842974</v>
      </c>
      <c r="T792" s="52">
        <f>R792*U792/(U792+100)</f>
        <v>0.32975206611570246</v>
      </c>
      <c r="U792" s="50">
        <v>21</v>
      </c>
      <c r="V792" s="53">
        <v>0</v>
      </c>
      <c r="W792" s="147">
        <v>1</v>
      </c>
      <c r="X792" s="148" t="s">
        <v>163</v>
      </c>
      <c r="Y792" s="54">
        <f>R792*W792</f>
        <v>1.9</v>
      </c>
      <c r="Z792" s="52">
        <f>S792*W792</f>
        <v>1.5702479338842974</v>
      </c>
      <c r="AA792" s="52">
        <f>T792*W792</f>
        <v>0.32975206611570246</v>
      </c>
      <c r="AB792" s="52">
        <f>V792*W792</f>
        <v>0</v>
      </c>
      <c r="AC792" s="53">
        <f>(R792+V792)*W792</f>
        <v>1.9</v>
      </c>
      <c r="AD792" s="138">
        <v>1.9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107</v>
      </c>
      <c r="F793" s="96" t="s">
        <v>106</v>
      </c>
      <c r="G793" s="97">
        <v>46132</v>
      </c>
      <c r="H793" s="98">
        <v>0.4011111111111111</v>
      </c>
      <c r="I793" s="50">
        <v>166004599</v>
      </c>
      <c r="J793" s="96" t="s">
        <v>157</v>
      </c>
      <c r="K793" s="49" t="s">
        <v>303</v>
      </c>
      <c r="L793" s="39" t="s">
        <v>304</v>
      </c>
      <c r="M793" s="49" t="s">
        <v>214</v>
      </c>
      <c r="N793" s="39" t="s">
        <v>296</v>
      </c>
      <c r="O793" s="96" t="s">
        <v>305</v>
      </c>
      <c r="P793" s="49" t="s">
        <v>157</v>
      </c>
      <c r="Q793" s="96" t="s">
        <v>104</v>
      </c>
      <c r="R793" s="52">
        <v>11.9</v>
      </c>
      <c r="S793" s="52">
        <f>R793-T793</f>
        <v>10.625</v>
      </c>
      <c r="T793" s="52">
        <f>R793*U793/(U793+100)</f>
        <v>1.2750000000000001</v>
      </c>
      <c r="U793" s="50">
        <v>12</v>
      </c>
      <c r="V793" s="53">
        <v>0</v>
      </c>
      <c r="W793" s="147">
        <v>4</v>
      </c>
      <c r="X793" s="148" t="s">
        <v>163</v>
      </c>
      <c r="Y793" s="54">
        <f>R793*W793</f>
        <v>47.6</v>
      </c>
      <c r="Z793" s="52">
        <f>S793*W793</f>
        <v>42.5</v>
      </c>
      <c r="AA793" s="52">
        <f>T793*W793</f>
        <v>5.1000000000000005</v>
      </c>
      <c r="AB793" s="52">
        <f>V793*W793</f>
        <v>0</v>
      </c>
      <c r="AC793" s="53">
        <f>(R793+V793)*W793</f>
        <v>47.6</v>
      </c>
      <c r="AD793" s="138">
        <v>11.9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107</v>
      </c>
      <c r="F794" s="96" t="s">
        <v>106</v>
      </c>
      <c r="G794" s="97">
        <v>46132</v>
      </c>
      <c r="H794" s="98">
        <v>0.4011111111111111</v>
      </c>
      <c r="I794" s="50">
        <v>166004599</v>
      </c>
      <c r="J794" s="96" t="s">
        <v>157</v>
      </c>
      <c r="K794" s="49" t="s">
        <v>553</v>
      </c>
      <c r="L794" s="39" t="s">
        <v>104</v>
      </c>
      <c r="M794" s="49" t="s">
        <v>554</v>
      </c>
      <c r="N794" s="39" t="s">
        <v>296</v>
      </c>
      <c r="O794" s="96" t="s">
        <v>555</v>
      </c>
      <c r="P794" s="49" t="s">
        <v>157</v>
      </c>
      <c r="Q794" s="96" t="s">
        <v>104</v>
      </c>
      <c r="R794" s="52">
        <v>8.9</v>
      </c>
      <c r="S794" s="52">
        <f>R794-T794</f>
        <v>7.946428571428572</v>
      </c>
      <c r="T794" s="52">
        <f>R794*U794/(U794+100)</f>
        <v>0.9535714285714286</v>
      </c>
      <c r="U794" s="50">
        <v>12</v>
      </c>
      <c r="V794" s="53">
        <v>0</v>
      </c>
      <c r="W794" s="147">
        <v>4</v>
      </c>
      <c r="X794" s="148" t="s">
        <v>163</v>
      </c>
      <c r="Y794" s="54">
        <f>R794*W794</f>
        <v>35.6</v>
      </c>
      <c r="Z794" s="52">
        <f>S794*W794</f>
        <v>31.78571428571429</v>
      </c>
      <c r="AA794" s="52">
        <f>T794*W794</f>
        <v>3.8142857142857145</v>
      </c>
      <c r="AB794" s="52">
        <f>V794*W794</f>
        <v>0</v>
      </c>
      <c r="AC794" s="53">
        <f>(R794+V794)*W794</f>
        <v>35.6</v>
      </c>
      <c r="AD794" s="138">
        <v>8.9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107</v>
      </c>
      <c r="F795" s="96" t="s">
        <v>106</v>
      </c>
      <c r="G795" s="97">
        <v>46132</v>
      </c>
      <c r="H795" s="98">
        <v>0.4032986111111111</v>
      </c>
      <c r="I795" s="50">
        <v>166004600</v>
      </c>
      <c r="J795" s="96" t="s">
        <v>157</v>
      </c>
      <c r="K795" s="49" t="s">
        <v>1797</v>
      </c>
      <c r="L795" s="39" t="s">
        <v>1798</v>
      </c>
      <c r="M795" s="49" t="s">
        <v>1381</v>
      </c>
      <c r="N795" s="39" t="s">
        <v>1382</v>
      </c>
      <c r="O795" s="96" t="s">
        <v>1799</v>
      </c>
      <c r="P795" s="49" t="s">
        <v>157</v>
      </c>
      <c r="Q795" s="96" t="s">
        <v>104</v>
      </c>
      <c r="R795" s="52">
        <v>43.9</v>
      </c>
      <c r="S795" s="52">
        <f>R795-T795</f>
        <v>39.19642857142857</v>
      </c>
      <c r="T795" s="52">
        <f>R795*U795/(U795+100)</f>
        <v>4.703571428571428</v>
      </c>
      <c r="U795" s="50">
        <v>12</v>
      </c>
      <c r="V795" s="53">
        <v>0</v>
      </c>
      <c r="W795" s="147">
        <v>1</v>
      </c>
      <c r="X795" s="148" t="s">
        <v>163</v>
      </c>
      <c r="Y795" s="54">
        <f>R795*W795</f>
        <v>43.9</v>
      </c>
      <c r="Z795" s="52">
        <f>S795*W795</f>
        <v>39.19642857142857</v>
      </c>
      <c r="AA795" s="52">
        <f>T795*W795</f>
        <v>4.703571428571428</v>
      </c>
      <c r="AB795" s="52">
        <f>V795*W795</f>
        <v>0</v>
      </c>
      <c r="AC795" s="53">
        <f>(R795+V795)*W795</f>
        <v>43.9</v>
      </c>
      <c r="AD795" s="138">
        <v>43.9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107</v>
      </c>
      <c r="F796" s="96" t="s">
        <v>106</v>
      </c>
      <c r="G796" s="97">
        <v>46132</v>
      </c>
      <c r="H796" s="98">
        <v>0.4032986111111111</v>
      </c>
      <c r="I796" s="50">
        <v>166004600</v>
      </c>
      <c r="J796" s="96" t="s">
        <v>157</v>
      </c>
      <c r="K796" s="49" t="s">
        <v>266</v>
      </c>
      <c r="L796" s="39" t="s">
        <v>267</v>
      </c>
      <c r="M796" s="49" t="s">
        <v>268</v>
      </c>
      <c r="N796" s="39" t="s">
        <v>269</v>
      </c>
      <c r="O796" s="96" t="s">
        <v>1249</v>
      </c>
      <c r="P796" s="49" t="s">
        <v>235</v>
      </c>
      <c r="Q796" s="96" t="s">
        <v>236</v>
      </c>
      <c r="R796" s="52">
        <v>11.9</v>
      </c>
      <c r="S796" s="52">
        <f>R796-T796</f>
        <v>10.625</v>
      </c>
      <c r="T796" s="52">
        <f>R796*U796/(U796+100)</f>
        <v>1.2750000000000001</v>
      </c>
      <c r="U796" s="50">
        <v>12</v>
      </c>
      <c r="V796" s="53">
        <v>0</v>
      </c>
      <c r="W796" s="147">
        <v>2</v>
      </c>
      <c r="X796" s="148" t="s">
        <v>163</v>
      </c>
      <c r="Y796" s="54">
        <f>R796*W796</f>
        <v>23.8</v>
      </c>
      <c r="Z796" s="52">
        <f>S796*W796</f>
        <v>21.25</v>
      </c>
      <c r="AA796" s="52">
        <f>T796*W796</f>
        <v>2.5500000000000003</v>
      </c>
      <c r="AB796" s="52">
        <f>V796*W796</f>
        <v>0</v>
      </c>
      <c r="AC796" s="53">
        <f>(R796+V796)*W796</f>
        <v>23.8</v>
      </c>
      <c r="AD796" s="138">
        <v>11.9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107</v>
      </c>
      <c r="F797" s="96" t="s">
        <v>106</v>
      </c>
      <c r="G797" s="97">
        <v>46132</v>
      </c>
      <c r="H797" s="98">
        <v>0.4032986111111111</v>
      </c>
      <c r="I797" s="50">
        <v>166004600</v>
      </c>
      <c r="J797" s="96" t="s">
        <v>157</v>
      </c>
      <c r="K797" s="49" t="s">
        <v>293</v>
      </c>
      <c r="L797" s="39" t="s">
        <v>294</v>
      </c>
      <c r="M797" s="49" t="s">
        <v>295</v>
      </c>
      <c r="N797" s="39" t="s">
        <v>296</v>
      </c>
      <c r="O797" s="96" t="s">
        <v>297</v>
      </c>
      <c r="P797" s="49" t="s">
        <v>157</v>
      </c>
      <c r="Q797" s="96" t="s">
        <v>104</v>
      </c>
      <c r="R797" s="52">
        <v>2.9</v>
      </c>
      <c r="S797" s="52">
        <f>R797-T797</f>
        <v>2.5892857142857144</v>
      </c>
      <c r="T797" s="52">
        <f>R797*U797/(U797+100)</f>
        <v>0.31071428571428567</v>
      </c>
      <c r="U797" s="50">
        <v>12</v>
      </c>
      <c r="V797" s="53">
        <v>0</v>
      </c>
      <c r="W797" s="147">
        <v>4</v>
      </c>
      <c r="X797" s="148" t="s">
        <v>163</v>
      </c>
      <c r="Y797" s="54">
        <f>R797*W797</f>
        <v>11.6</v>
      </c>
      <c r="Z797" s="52">
        <f>S797*W797</f>
        <v>10.357142857142858</v>
      </c>
      <c r="AA797" s="52">
        <f>T797*W797</f>
        <v>1.2428571428571427</v>
      </c>
      <c r="AB797" s="52">
        <f>V797*W797</f>
        <v>0</v>
      </c>
      <c r="AC797" s="53">
        <f>(R797+V797)*W797</f>
        <v>11.6</v>
      </c>
      <c r="AD797" s="138">
        <v>2.9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107</v>
      </c>
      <c r="F798" s="96" t="s">
        <v>106</v>
      </c>
      <c r="G798" s="97">
        <v>46132</v>
      </c>
      <c r="H798" s="98">
        <v>0.4037615740740741</v>
      </c>
      <c r="I798" s="50">
        <v>166004601</v>
      </c>
      <c r="J798" s="96" t="s">
        <v>157</v>
      </c>
      <c r="K798" s="49" t="s">
        <v>724</v>
      </c>
      <c r="L798" s="39" t="s">
        <v>725</v>
      </c>
      <c r="M798" s="49" t="s">
        <v>214</v>
      </c>
      <c r="N798" s="39" t="s">
        <v>726</v>
      </c>
      <c r="O798" s="96" t="s">
        <v>1800</v>
      </c>
      <c r="P798" s="49" t="s">
        <v>157</v>
      </c>
      <c r="Q798" s="96" t="s">
        <v>104</v>
      </c>
      <c r="R798" s="52">
        <v>45.9</v>
      </c>
      <c r="S798" s="52">
        <f>R798-T798</f>
        <v>40.982142857142854</v>
      </c>
      <c r="T798" s="52">
        <f>R798*U798/(U798+100)</f>
        <v>4.917857142857143</v>
      </c>
      <c r="U798" s="50">
        <v>12</v>
      </c>
      <c r="V798" s="53">
        <v>0</v>
      </c>
      <c r="W798" s="147">
        <v>1</v>
      </c>
      <c r="X798" s="148" t="s">
        <v>163</v>
      </c>
      <c r="Y798" s="54">
        <f>R798*W798</f>
        <v>45.9</v>
      </c>
      <c r="Z798" s="52">
        <f>S798*W798</f>
        <v>40.982142857142854</v>
      </c>
      <c r="AA798" s="52">
        <f>T798*W798</f>
        <v>4.917857142857143</v>
      </c>
      <c r="AB798" s="52">
        <f>V798*W798</f>
        <v>0</v>
      </c>
      <c r="AC798" s="53">
        <f>(R798+V798)*W798</f>
        <v>45.9</v>
      </c>
      <c r="AD798" s="138">
        <v>45.9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107</v>
      </c>
      <c r="F799" s="96" t="s">
        <v>106</v>
      </c>
      <c r="G799" s="97">
        <v>46132</v>
      </c>
      <c r="H799" s="98">
        <v>0.4037615740740741</v>
      </c>
      <c r="I799" s="50">
        <v>166004601</v>
      </c>
      <c r="J799" s="96" t="s">
        <v>157</v>
      </c>
      <c r="K799" s="49" t="s">
        <v>1794</v>
      </c>
      <c r="L799" s="39" t="s">
        <v>1795</v>
      </c>
      <c r="M799" s="49" t="s">
        <v>214</v>
      </c>
      <c r="N799" s="39" t="s">
        <v>756</v>
      </c>
      <c r="O799" s="96" t="s">
        <v>1796</v>
      </c>
      <c r="P799" s="49" t="s">
        <v>157</v>
      </c>
      <c r="Q799" s="96" t="s">
        <v>104</v>
      </c>
      <c r="R799" s="52">
        <v>23.9</v>
      </c>
      <c r="S799" s="52">
        <f>R799-T799</f>
        <v>21.33928571428571</v>
      </c>
      <c r="T799" s="52">
        <f>R799*U799/(U799+100)</f>
        <v>2.5607142857142855</v>
      </c>
      <c r="U799" s="50">
        <v>12</v>
      </c>
      <c r="V799" s="53">
        <v>0</v>
      </c>
      <c r="W799" s="147">
        <v>1</v>
      </c>
      <c r="X799" s="148" t="s">
        <v>163</v>
      </c>
      <c r="Y799" s="54">
        <f>R799*W799</f>
        <v>23.9</v>
      </c>
      <c r="Z799" s="52">
        <f>S799*W799</f>
        <v>21.33928571428571</v>
      </c>
      <c r="AA799" s="52">
        <f>T799*W799</f>
        <v>2.5607142857142855</v>
      </c>
      <c r="AB799" s="52">
        <f>V799*W799</f>
        <v>0</v>
      </c>
      <c r="AC799" s="53">
        <f>(R799+V799)*W799</f>
        <v>23.9</v>
      </c>
      <c r="AD799" s="138">
        <v>23.9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107</v>
      </c>
      <c r="F800" s="96" t="s">
        <v>106</v>
      </c>
      <c r="G800" s="97">
        <v>46132</v>
      </c>
      <c r="H800" s="98">
        <v>0.4037615740740741</v>
      </c>
      <c r="I800" s="50">
        <v>166004601</v>
      </c>
      <c r="J800" s="96" t="s">
        <v>157</v>
      </c>
      <c r="K800" s="49" t="s">
        <v>266</v>
      </c>
      <c r="L800" s="39" t="s">
        <v>267</v>
      </c>
      <c r="M800" s="49" t="s">
        <v>268</v>
      </c>
      <c r="N800" s="39" t="s">
        <v>269</v>
      </c>
      <c r="O800" s="96" t="s">
        <v>1249</v>
      </c>
      <c r="P800" s="49" t="s">
        <v>235</v>
      </c>
      <c r="Q800" s="96" t="s">
        <v>236</v>
      </c>
      <c r="R800" s="52">
        <v>11.9</v>
      </c>
      <c r="S800" s="52">
        <f>R800-T800</f>
        <v>10.625</v>
      </c>
      <c r="T800" s="52">
        <f>R800*U800/(U800+100)</f>
        <v>1.2750000000000001</v>
      </c>
      <c r="U800" s="50">
        <v>12</v>
      </c>
      <c r="V800" s="53">
        <v>0</v>
      </c>
      <c r="W800" s="147">
        <v>1</v>
      </c>
      <c r="X800" s="148" t="s">
        <v>163</v>
      </c>
      <c r="Y800" s="54">
        <f>R800*W800</f>
        <v>11.9</v>
      </c>
      <c r="Z800" s="52">
        <f>S800*W800</f>
        <v>10.625</v>
      </c>
      <c r="AA800" s="52">
        <f>T800*W800</f>
        <v>1.2750000000000001</v>
      </c>
      <c r="AB800" s="52">
        <f>V800*W800</f>
        <v>0</v>
      </c>
      <c r="AC800" s="53">
        <f>(R800+V800)*W800</f>
        <v>11.9</v>
      </c>
      <c r="AD800" s="138">
        <v>11.9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107</v>
      </c>
      <c r="F801" s="96" t="s">
        <v>106</v>
      </c>
      <c r="G801" s="97">
        <v>46132</v>
      </c>
      <c r="H801" s="98">
        <v>0.4039583333333333</v>
      </c>
      <c r="I801" s="50">
        <v>166004602</v>
      </c>
      <c r="J801" s="96" t="s">
        <v>157</v>
      </c>
      <c r="K801" s="49" t="s">
        <v>995</v>
      </c>
      <c r="L801" s="39" t="s">
        <v>996</v>
      </c>
      <c r="M801" s="49" t="s">
        <v>997</v>
      </c>
      <c r="N801" s="39" t="s">
        <v>998</v>
      </c>
      <c r="O801" s="96" t="s">
        <v>999</v>
      </c>
      <c r="P801" s="49" t="s">
        <v>157</v>
      </c>
      <c r="Q801" s="96" t="s">
        <v>104</v>
      </c>
      <c r="R801" s="52">
        <v>29</v>
      </c>
      <c r="S801" s="52">
        <f>R801-T801</f>
        <v>25.892857142857142</v>
      </c>
      <c r="T801" s="52">
        <f>R801*U801/(U801+100)</f>
        <v>3.107142857142857</v>
      </c>
      <c r="U801" s="50">
        <v>12</v>
      </c>
      <c r="V801" s="53">
        <v>0</v>
      </c>
      <c r="W801" s="147">
        <v>1</v>
      </c>
      <c r="X801" s="148" t="s">
        <v>945</v>
      </c>
      <c r="Y801" s="54">
        <f>R801*W801</f>
        <v>29</v>
      </c>
      <c r="Z801" s="52">
        <f>S801*W801</f>
        <v>25.892857142857142</v>
      </c>
      <c r="AA801" s="52">
        <f>T801*W801</f>
        <v>3.107142857142857</v>
      </c>
      <c r="AB801" s="52">
        <f>V801*W801</f>
        <v>0</v>
      </c>
      <c r="AC801" s="53">
        <f>(R801+V801)*W801</f>
        <v>29</v>
      </c>
      <c r="AD801" s="138">
        <v>29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107</v>
      </c>
      <c r="F802" s="96" t="s">
        <v>106</v>
      </c>
      <c r="G802" s="97">
        <v>46132</v>
      </c>
      <c r="H802" s="98">
        <v>0.4046064814814815</v>
      </c>
      <c r="I802" s="50">
        <v>166004603</v>
      </c>
      <c r="J802" s="96" t="s">
        <v>157</v>
      </c>
      <c r="K802" s="49" t="s">
        <v>350</v>
      </c>
      <c r="L802" s="39" t="s">
        <v>351</v>
      </c>
      <c r="M802" s="49" t="s">
        <v>352</v>
      </c>
      <c r="N802" s="39" t="s">
        <v>353</v>
      </c>
      <c r="O802" s="96" t="s">
        <v>1077</v>
      </c>
      <c r="P802" s="49" t="s">
        <v>235</v>
      </c>
      <c r="Q802" s="96" t="s">
        <v>1801</v>
      </c>
      <c r="R802" s="52">
        <v>24.9</v>
      </c>
      <c r="S802" s="52">
        <f>R802-T802</f>
        <v>20.578512396694215</v>
      </c>
      <c r="T802" s="52">
        <f>R802*U802/(U802+100)</f>
        <v>4.321487603305785</v>
      </c>
      <c r="U802" s="50">
        <v>21</v>
      </c>
      <c r="V802" s="53">
        <v>0</v>
      </c>
      <c r="W802" s="147">
        <v>1</v>
      </c>
      <c r="X802" s="148" t="s">
        <v>163</v>
      </c>
      <c r="Y802" s="54">
        <f>R802*W802</f>
        <v>24.9</v>
      </c>
      <c r="Z802" s="52">
        <f>S802*W802</f>
        <v>20.578512396694215</v>
      </c>
      <c r="AA802" s="52">
        <f>T802*W802</f>
        <v>4.321487603305785</v>
      </c>
      <c r="AB802" s="52">
        <f>V802*W802</f>
        <v>0</v>
      </c>
      <c r="AC802" s="53">
        <f>(R802+V802)*W802</f>
        <v>24.9</v>
      </c>
      <c r="AD802" s="138">
        <v>24.9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107</v>
      </c>
      <c r="F803" s="96" t="s">
        <v>106</v>
      </c>
      <c r="G803" s="97">
        <v>46132</v>
      </c>
      <c r="H803" s="98">
        <v>0.4046064814814815</v>
      </c>
      <c r="I803" s="50">
        <v>166004603</v>
      </c>
      <c r="J803" s="96" t="s">
        <v>157</v>
      </c>
      <c r="K803" s="49" t="s">
        <v>553</v>
      </c>
      <c r="L803" s="39" t="s">
        <v>104</v>
      </c>
      <c r="M803" s="49" t="s">
        <v>554</v>
      </c>
      <c r="N803" s="39" t="s">
        <v>296</v>
      </c>
      <c r="O803" s="96" t="s">
        <v>555</v>
      </c>
      <c r="P803" s="49" t="s">
        <v>157</v>
      </c>
      <c r="Q803" s="96" t="s">
        <v>104</v>
      </c>
      <c r="R803" s="52">
        <v>8.9</v>
      </c>
      <c r="S803" s="52">
        <f>R803-T803</f>
        <v>7.946428571428572</v>
      </c>
      <c r="T803" s="52">
        <f>R803*U803/(U803+100)</f>
        <v>0.9535714285714286</v>
      </c>
      <c r="U803" s="50">
        <v>12</v>
      </c>
      <c r="V803" s="53">
        <v>0</v>
      </c>
      <c r="W803" s="147">
        <v>3</v>
      </c>
      <c r="X803" s="148" t="s">
        <v>163</v>
      </c>
      <c r="Y803" s="54">
        <f>R803*W803</f>
        <v>26.700000000000003</v>
      </c>
      <c r="Z803" s="52">
        <f>S803*W803</f>
        <v>23.839285714285715</v>
      </c>
      <c r="AA803" s="52">
        <f>T803*W803</f>
        <v>2.8607142857142858</v>
      </c>
      <c r="AB803" s="52">
        <f>V803*W803</f>
        <v>0</v>
      </c>
      <c r="AC803" s="53">
        <f>(R803+V803)*W803</f>
        <v>26.700000000000003</v>
      </c>
      <c r="AD803" s="138">
        <v>8.9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107</v>
      </c>
      <c r="F804" s="96" t="s">
        <v>106</v>
      </c>
      <c r="G804" s="97">
        <v>46132</v>
      </c>
      <c r="H804" s="98">
        <v>0.4048611111111111</v>
      </c>
      <c r="I804" s="50">
        <v>166004604</v>
      </c>
      <c r="J804" s="96" t="s">
        <v>157</v>
      </c>
      <c r="K804" s="49" t="s">
        <v>553</v>
      </c>
      <c r="L804" s="39" t="s">
        <v>104</v>
      </c>
      <c r="M804" s="49" t="s">
        <v>554</v>
      </c>
      <c r="N804" s="39" t="s">
        <v>296</v>
      </c>
      <c r="O804" s="96" t="s">
        <v>555</v>
      </c>
      <c r="P804" s="49" t="s">
        <v>157</v>
      </c>
      <c r="Q804" s="96" t="s">
        <v>104</v>
      </c>
      <c r="R804" s="52">
        <v>8.9</v>
      </c>
      <c r="S804" s="52">
        <f>R804-T804</f>
        <v>7.946428571428572</v>
      </c>
      <c r="T804" s="52">
        <f>R804*U804/(U804+100)</f>
        <v>0.9535714285714286</v>
      </c>
      <c r="U804" s="50">
        <v>12</v>
      </c>
      <c r="V804" s="53">
        <v>0</v>
      </c>
      <c r="W804" s="147">
        <v>8</v>
      </c>
      <c r="X804" s="148" t="s">
        <v>163</v>
      </c>
      <c r="Y804" s="54">
        <f>R804*W804</f>
        <v>71.2</v>
      </c>
      <c r="Z804" s="52">
        <f>S804*W804</f>
        <v>63.57142857142858</v>
      </c>
      <c r="AA804" s="52">
        <f>T804*W804</f>
        <v>7.628571428571429</v>
      </c>
      <c r="AB804" s="52">
        <f>V804*W804</f>
        <v>0</v>
      </c>
      <c r="AC804" s="53">
        <f>(R804+V804)*W804</f>
        <v>71.2</v>
      </c>
      <c r="AD804" s="138">
        <v>8.9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107</v>
      </c>
      <c r="F805" s="96" t="s">
        <v>106</v>
      </c>
      <c r="G805" s="97">
        <v>46132</v>
      </c>
      <c r="H805" s="98">
        <v>0.4052777777777778</v>
      </c>
      <c r="I805" s="50">
        <v>166004605</v>
      </c>
      <c r="J805" s="96" t="s">
        <v>157</v>
      </c>
      <c r="K805" s="49" t="s">
        <v>1802</v>
      </c>
      <c r="L805" s="39" t="s">
        <v>1803</v>
      </c>
      <c r="M805" s="49" t="s">
        <v>1222</v>
      </c>
      <c r="N805" s="39" t="s">
        <v>1804</v>
      </c>
      <c r="O805" s="96" t="s">
        <v>1805</v>
      </c>
      <c r="P805" s="49" t="s">
        <v>157</v>
      </c>
      <c r="Q805" s="96" t="s">
        <v>104</v>
      </c>
      <c r="R805" s="52">
        <v>154.9</v>
      </c>
      <c r="S805" s="52">
        <f>R805-T805</f>
        <v>128.01652892561984</v>
      </c>
      <c r="T805" s="52">
        <f>R805*U805/(U805+100)</f>
        <v>26.883471074380164</v>
      </c>
      <c r="U805" s="50">
        <v>21</v>
      </c>
      <c r="V805" s="53">
        <v>0</v>
      </c>
      <c r="W805" s="147">
        <v>1</v>
      </c>
      <c r="X805" s="148" t="s">
        <v>163</v>
      </c>
      <c r="Y805" s="54">
        <f>R805*W805</f>
        <v>154.9</v>
      </c>
      <c r="Z805" s="52">
        <f>S805*W805</f>
        <v>128.01652892561984</v>
      </c>
      <c r="AA805" s="52">
        <f>T805*W805</f>
        <v>26.883471074380164</v>
      </c>
      <c r="AB805" s="52">
        <f>V805*W805</f>
        <v>0</v>
      </c>
      <c r="AC805" s="53">
        <f>(R805+V805)*W805</f>
        <v>154.9</v>
      </c>
      <c r="AD805" s="138">
        <v>154.9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107</v>
      </c>
      <c r="F806" s="96" t="s">
        <v>106</v>
      </c>
      <c r="G806" s="97">
        <v>46132</v>
      </c>
      <c r="H806" s="98">
        <v>0.4052777777777778</v>
      </c>
      <c r="I806" s="50">
        <v>166004605</v>
      </c>
      <c r="J806" s="96" t="s">
        <v>157</v>
      </c>
      <c r="K806" s="49" t="s">
        <v>553</v>
      </c>
      <c r="L806" s="39" t="s">
        <v>104</v>
      </c>
      <c r="M806" s="49" t="s">
        <v>554</v>
      </c>
      <c r="N806" s="39" t="s">
        <v>296</v>
      </c>
      <c r="O806" s="96" t="s">
        <v>555</v>
      </c>
      <c r="P806" s="49" t="s">
        <v>157</v>
      </c>
      <c r="Q806" s="96" t="s">
        <v>104</v>
      </c>
      <c r="R806" s="52">
        <v>8.9</v>
      </c>
      <c r="S806" s="52">
        <f>R806-T806</f>
        <v>7.946428571428572</v>
      </c>
      <c r="T806" s="52">
        <f>R806*U806/(U806+100)</f>
        <v>0.9535714285714286</v>
      </c>
      <c r="U806" s="50">
        <v>12</v>
      </c>
      <c r="V806" s="53">
        <v>0</v>
      </c>
      <c r="W806" s="147">
        <v>1</v>
      </c>
      <c r="X806" s="148" t="s">
        <v>163</v>
      </c>
      <c r="Y806" s="54">
        <f>R806*W806</f>
        <v>8.9</v>
      </c>
      <c r="Z806" s="52">
        <f>S806*W806</f>
        <v>7.946428571428572</v>
      </c>
      <c r="AA806" s="52">
        <f>T806*W806</f>
        <v>0.9535714285714286</v>
      </c>
      <c r="AB806" s="52">
        <f>V806*W806</f>
        <v>0</v>
      </c>
      <c r="AC806" s="53">
        <f>(R806+V806)*W806</f>
        <v>8.9</v>
      </c>
      <c r="AD806" s="138">
        <v>8.9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107</v>
      </c>
      <c r="F807" s="96" t="s">
        <v>106</v>
      </c>
      <c r="G807" s="97">
        <v>46132</v>
      </c>
      <c r="H807" s="98">
        <v>0.41</v>
      </c>
      <c r="I807" s="50">
        <v>166004606</v>
      </c>
      <c r="J807" s="96" t="s">
        <v>157</v>
      </c>
      <c r="K807" s="49" t="s">
        <v>420</v>
      </c>
      <c r="L807" s="39" t="s">
        <v>421</v>
      </c>
      <c r="M807" s="49" t="s">
        <v>232</v>
      </c>
      <c r="N807" s="39" t="s">
        <v>233</v>
      </c>
      <c r="O807" s="96" t="s">
        <v>1285</v>
      </c>
      <c r="P807" s="49" t="s">
        <v>157</v>
      </c>
      <c r="Q807" s="96" t="s">
        <v>104</v>
      </c>
      <c r="R807" s="52">
        <v>19.9</v>
      </c>
      <c r="S807" s="52">
        <f>R807-T807</f>
        <v>16.446280991735534</v>
      </c>
      <c r="T807" s="52">
        <f>R807*U807/(U807+100)</f>
        <v>3.4537190082644624</v>
      </c>
      <c r="U807" s="50">
        <v>21</v>
      </c>
      <c r="V807" s="53">
        <v>0</v>
      </c>
      <c r="W807" s="147">
        <v>1</v>
      </c>
      <c r="X807" s="148" t="s">
        <v>163</v>
      </c>
      <c r="Y807" s="54">
        <f>R807*W807</f>
        <v>19.9</v>
      </c>
      <c r="Z807" s="52">
        <f>S807*W807</f>
        <v>16.446280991735534</v>
      </c>
      <c r="AA807" s="52">
        <f>T807*W807</f>
        <v>3.4537190082644624</v>
      </c>
      <c r="AB807" s="52">
        <f>V807*W807</f>
        <v>0</v>
      </c>
      <c r="AC807" s="53">
        <f>(R807+V807)*W807</f>
        <v>19.9</v>
      </c>
      <c r="AD807" s="138">
        <v>19.9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107</v>
      </c>
      <c r="F808" s="96" t="s">
        <v>106</v>
      </c>
      <c r="G808" s="97">
        <v>46132</v>
      </c>
      <c r="H808" s="98">
        <v>0.41</v>
      </c>
      <c r="I808" s="50">
        <v>166004606</v>
      </c>
      <c r="J808" s="96" t="s">
        <v>157</v>
      </c>
      <c r="K808" s="49" t="s">
        <v>1806</v>
      </c>
      <c r="L808" s="39" t="s">
        <v>1807</v>
      </c>
      <c r="M808" s="49" t="s">
        <v>214</v>
      </c>
      <c r="N808" s="39" t="s">
        <v>756</v>
      </c>
      <c r="O808" s="96" t="s">
        <v>1808</v>
      </c>
      <c r="P808" s="49" t="s">
        <v>157</v>
      </c>
      <c r="Q808" s="96" t="s">
        <v>104</v>
      </c>
      <c r="R808" s="52">
        <v>15.9</v>
      </c>
      <c r="S808" s="52">
        <f>R808-T808</f>
        <v>14.196428571428571</v>
      </c>
      <c r="T808" s="52">
        <f>R808*U808/(U808+100)</f>
        <v>1.7035714285714287</v>
      </c>
      <c r="U808" s="50">
        <v>12</v>
      </c>
      <c r="V808" s="53">
        <v>0</v>
      </c>
      <c r="W808" s="147">
        <v>2</v>
      </c>
      <c r="X808" s="148" t="s">
        <v>163</v>
      </c>
      <c r="Y808" s="54">
        <f>R808*W808</f>
        <v>31.8</v>
      </c>
      <c r="Z808" s="52">
        <f>S808*W808</f>
        <v>28.392857142857142</v>
      </c>
      <c r="AA808" s="52">
        <f>T808*W808</f>
        <v>3.4071428571428575</v>
      </c>
      <c r="AB808" s="52">
        <f>V808*W808</f>
        <v>0</v>
      </c>
      <c r="AC808" s="53">
        <f>(R808+V808)*W808</f>
        <v>31.8</v>
      </c>
      <c r="AD808" s="138">
        <v>15.9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107</v>
      </c>
      <c r="F809" s="96" t="s">
        <v>106</v>
      </c>
      <c r="G809" s="97">
        <v>46132</v>
      </c>
      <c r="H809" s="98">
        <v>0.41</v>
      </c>
      <c r="I809" s="50">
        <v>166004606</v>
      </c>
      <c r="J809" s="96" t="s">
        <v>157</v>
      </c>
      <c r="K809" s="49" t="s">
        <v>303</v>
      </c>
      <c r="L809" s="39" t="s">
        <v>304</v>
      </c>
      <c r="M809" s="49" t="s">
        <v>214</v>
      </c>
      <c r="N809" s="39" t="s">
        <v>296</v>
      </c>
      <c r="O809" s="96" t="s">
        <v>305</v>
      </c>
      <c r="P809" s="49" t="s">
        <v>157</v>
      </c>
      <c r="Q809" s="96" t="s">
        <v>104</v>
      </c>
      <c r="R809" s="52">
        <v>11.9</v>
      </c>
      <c r="S809" s="52">
        <f>R809-T809</f>
        <v>10.625</v>
      </c>
      <c r="T809" s="52">
        <f>R809*U809/(U809+100)</f>
        <v>1.2750000000000001</v>
      </c>
      <c r="U809" s="50">
        <v>12</v>
      </c>
      <c r="V809" s="53">
        <v>0</v>
      </c>
      <c r="W809" s="147">
        <v>2</v>
      </c>
      <c r="X809" s="148" t="s">
        <v>163</v>
      </c>
      <c r="Y809" s="54">
        <f>R809*W809</f>
        <v>23.8</v>
      </c>
      <c r="Z809" s="52">
        <f>S809*W809</f>
        <v>21.25</v>
      </c>
      <c r="AA809" s="52">
        <f>T809*W809</f>
        <v>2.5500000000000003</v>
      </c>
      <c r="AB809" s="52">
        <f>V809*W809</f>
        <v>0</v>
      </c>
      <c r="AC809" s="53">
        <f>(R809+V809)*W809</f>
        <v>23.8</v>
      </c>
      <c r="AD809" s="138">
        <v>11.9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107</v>
      </c>
      <c r="F810" s="96" t="s">
        <v>106</v>
      </c>
      <c r="G810" s="97">
        <v>46132</v>
      </c>
      <c r="H810" s="98">
        <v>0.4120949074074074</v>
      </c>
      <c r="I810" s="50">
        <v>166004607</v>
      </c>
      <c r="J810" s="96" t="s">
        <v>157</v>
      </c>
      <c r="K810" s="49" t="s">
        <v>1809</v>
      </c>
      <c r="L810" s="39" t="s">
        <v>1810</v>
      </c>
      <c r="M810" s="49" t="s">
        <v>1252</v>
      </c>
      <c r="N810" s="39" t="s">
        <v>264</v>
      </c>
      <c r="O810" s="96" t="s">
        <v>1811</v>
      </c>
      <c r="P810" s="49" t="s">
        <v>157</v>
      </c>
      <c r="Q810" s="96" t="s">
        <v>104</v>
      </c>
      <c r="R810" s="52">
        <v>14.9</v>
      </c>
      <c r="S810" s="52">
        <f>R810-T810</f>
        <v>13.303571428571429</v>
      </c>
      <c r="T810" s="52">
        <f>R810*U810/(U810+100)</f>
        <v>1.5964285714285715</v>
      </c>
      <c r="U810" s="50">
        <v>12</v>
      </c>
      <c r="V810" s="53">
        <v>0</v>
      </c>
      <c r="W810" s="147">
        <v>1</v>
      </c>
      <c r="X810" s="148" t="s">
        <v>163</v>
      </c>
      <c r="Y810" s="54">
        <f>R810*W810</f>
        <v>14.9</v>
      </c>
      <c r="Z810" s="52">
        <f>S810*W810</f>
        <v>13.303571428571429</v>
      </c>
      <c r="AA810" s="52">
        <f>T810*W810</f>
        <v>1.5964285714285715</v>
      </c>
      <c r="AB810" s="52">
        <f>V810*W810</f>
        <v>0</v>
      </c>
      <c r="AC810" s="53">
        <f>(R810+V810)*W810</f>
        <v>14.9</v>
      </c>
      <c r="AD810" s="138">
        <v>14.9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107</v>
      </c>
      <c r="F811" s="96" t="s">
        <v>106</v>
      </c>
      <c r="G811" s="97">
        <v>46132</v>
      </c>
      <c r="H811" s="98">
        <v>0.4120949074074074</v>
      </c>
      <c r="I811" s="50">
        <v>166004607</v>
      </c>
      <c r="J811" s="96" t="s">
        <v>157</v>
      </c>
      <c r="K811" s="49" t="s">
        <v>1809</v>
      </c>
      <c r="L811" s="39" t="s">
        <v>1810</v>
      </c>
      <c r="M811" s="49" t="s">
        <v>1252</v>
      </c>
      <c r="N811" s="39" t="s">
        <v>264</v>
      </c>
      <c r="O811" s="96" t="s">
        <v>1811</v>
      </c>
      <c r="P811" s="49" t="s">
        <v>157</v>
      </c>
      <c r="Q811" s="96" t="s">
        <v>104</v>
      </c>
      <c r="R811" s="52">
        <v>14.9</v>
      </c>
      <c r="S811" s="52">
        <f>R811-T811</f>
        <v>13.303571428571429</v>
      </c>
      <c r="T811" s="52">
        <f>R811*U811/(U811+100)</f>
        <v>1.5964285714285715</v>
      </c>
      <c r="U811" s="50">
        <v>12</v>
      </c>
      <c r="V811" s="53">
        <v>0</v>
      </c>
      <c r="W811" s="147">
        <v>1</v>
      </c>
      <c r="X811" s="148" t="s">
        <v>163</v>
      </c>
      <c r="Y811" s="54">
        <f>R811*W811</f>
        <v>14.9</v>
      </c>
      <c r="Z811" s="52">
        <f>S811*W811</f>
        <v>13.303571428571429</v>
      </c>
      <c r="AA811" s="52">
        <f>T811*W811</f>
        <v>1.5964285714285715</v>
      </c>
      <c r="AB811" s="52">
        <f>V811*W811</f>
        <v>0</v>
      </c>
      <c r="AC811" s="53">
        <f>(R811+V811)*W811</f>
        <v>14.9</v>
      </c>
      <c r="AD811" s="138">
        <v>14.9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107</v>
      </c>
      <c r="F812" s="96" t="s">
        <v>106</v>
      </c>
      <c r="G812" s="97">
        <v>46132</v>
      </c>
      <c r="H812" s="98">
        <v>0.4120949074074074</v>
      </c>
      <c r="I812" s="50">
        <v>166004607</v>
      </c>
      <c r="J812" s="96" t="s">
        <v>157</v>
      </c>
      <c r="K812" s="49" t="s">
        <v>821</v>
      </c>
      <c r="L812" s="39" t="s">
        <v>822</v>
      </c>
      <c r="M812" s="49" t="s">
        <v>823</v>
      </c>
      <c r="N812" s="39" t="s">
        <v>202</v>
      </c>
      <c r="O812" s="96" t="s">
        <v>1812</v>
      </c>
      <c r="P812" s="49" t="s">
        <v>157</v>
      </c>
      <c r="Q812" s="96" t="s">
        <v>104</v>
      </c>
      <c r="R812" s="52">
        <v>15.9</v>
      </c>
      <c r="S812" s="52">
        <f>R812-T812</f>
        <v>14.196428571428571</v>
      </c>
      <c r="T812" s="52">
        <f>R812*U812/(U812+100)</f>
        <v>1.7035714285714287</v>
      </c>
      <c r="U812" s="50">
        <v>12</v>
      </c>
      <c r="V812" s="53">
        <v>0</v>
      </c>
      <c r="W812" s="147">
        <v>1</v>
      </c>
      <c r="X812" s="148" t="s">
        <v>163</v>
      </c>
      <c r="Y812" s="54">
        <f>R812*W812</f>
        <v>15.9</v>
      </c>
      <c r="Z812" s="52">
        <f>S812*W812</f>
        <v>14.196428571428571</v>
      </c>
      <c r="AA812" s="52">
        <f>T812*W812</f>
        <v>1.7035714285714287</v>
      </c>
      <c r="AB812" s="52">
        <f>V812*W812</f>
        <v>0</v>
      </c>
      <c r="AC812" s="53">
        <f>(R812+V812)*W812</f>
        <v>15.9</v>
      </c>
      <c r="AD812" s="138">
        <v>15.9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107</v>
      </c>
      <c r="F813" s="96" t="s">
        <v>106</v>
      </c>
      <c r="G813" s="97">
        <v>46132</v>
      </c>
      <c r="H813" s="98">
        <v>0.4120949074074074</v>
      </c>
      <c r="I813" s="50">
        <v>166004607</v>
      </c>
      <c r="J813" s="96" t="s">
        <v>157</v>
      </c>
      <c r="K813" s="49" t="s">
        <v>758</v>
      </c>
      <c r="L813" s="39" t="s">
        <v>759</v>
      </c>
      <c r="M813" s="49" t="s">
        <v>201</v>
      </c>
      <c r="N813" s="39" t="s">
        <v>202</v>
      </c>
      <c r="O813" s="96" t="s">
        <v>1235</v>
      </c>
      <c r="P813" s="49" t="s">
        <v>235</v>
      </c>
      <c r="Q813" s="96" t="s">
        <v>236</v>
      </c>
      <c r="R813" s="52">
        <v>19.9</v>
      </c>
      <c r="S813" s="52">
        <f>R813-T813</f>
        <v>17.767857142857142</v>
      </c>
      <c r="T813" s="52">
        <f>R813*U813/(U813+100)</f>
        <v>2.132142857142857</v>
      </c>
      <c r="U813" s="50">
        <v>12</v>
      </c>
      <c r="V813" s="53">
        <v>0</v>
      </c>
      <c r="W813" s="147">
        <v>1</v>
      </c>
      <c r="X813" s="148" t="s">
        <v>163</v>
      </c>
      <c r="Y813" s="54">
        <f>R813*W813</f>
        <v>19.9</v>
      </c>
      <c r="Z813" s="52">
        <f>S813*W813</f>
        <v>17.767857142857142</v>
      </c>
      <c r="AA813" s="52">
        <f>T813*W813</f>
        <v>2.132142857142857</v>
      </c>
      <c r="AB813" s="52">
        <f>V813*W813</f>
        <v>0</v>
      </c>
      <c r="AC813" s="53">
        <f>(R813+V813)*W813</f>
        <v>19.9</v>
      </c>
      <c r="AD813" s="138">
        <v>19.9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107</v>
      </c>
      <c r="F814" s="96" t="s">
        <v>106</v>
      </c>
      <c r="G814" s="97">
        <v>46132</v>
      </c>
      <c r="H814" s="98">
        <v>0.4120949074074074</v>
      </c>
      <c r="I814" s="50">
        <v>166004607</v>
      </c>
      <c r="J814" s="96" t="s">
        <v>157</v>
      </c>
      <c r="K814" s="49" t="s">
        <v>1813</v>
      </c>
      <c r="L814" s="39" t="s">
        <v>1814</v>
      </c>
      <c r="M814" s="49" t="s">
        <v>201</v>
      </c>
      <c r="N814" s="39" t="s">
        <v>609</v>
      </c>
      <c r="O814" s="96" t="s">
        <v>1815</v>
      </c>
      <c r="P814" s="49" t="s">
        <v>157</v>
      </c>
      <c r="Q814" s="96" t="s">
        <v>104</v>
      </c>
      <c r="R814" s="52">
        <v>13.9</v>
      </c>
      <c r="S814" s="52">
        <f>R814-T814</f>
        <v>12.410714285714286</v>
      </c>
      <c r="T814" s="52">
        <f>R814*U814/(U814+100)</f>
        <v>1.4892857142857143</v>
      </c>
      <c r="U814" s="50">
        <v>12</v>
      </c>
      <c r="V814" s="53">
        <v>0</v>
      </c>
      <c r="W814" s="147">
        <v>1</v>
      </c>
      <c r="X814" s="148" t="s">
        <v>163</v>
      </c>
      <c r="Y814" s="54">
        <f>R814*W814</f>
        <v>13.9</v>
      </c>
      <c r="Z814" s="52">
        <f>S814*W814</f>
        <v>12.410714285714286</v>
      </c>
      <c r="AA814" s="52">
        <f>T814*W814</f>
        <v>1.4892857142857143</v>
      </c>
      <c r="AB814" s="52">
        <f>V814*W814</f>
        <v>0</v>
      </c>
      <c r="AC814" s="53">
        <f>(R814+V814)*W814</f>
        <v>13.9</v>
      </c>
      <c r="AD814" s="138">
        <v>13.9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107</v>
      </c>
      <c r="F815" s="96" t="s">
        <v>106</v>
      </c>
      <c r="G815" s="97">
        <v>46132</v>
      </c>
      <c r="H815" s="98">
        <v>0.4120949074074074</v>
      </c>
      <c r="I815" s="50">
        <v>166004607</v>
      </c>
      <c r="J815" s="96" t="s">
        <v>157</v>
      </c>
      <c r="K815" s="49" t="s">
        <v>901</v>
      </c>
      <c r="L815" s="39" t="s">
        <v>902</v>
      </c>
      <c r="M815" s="49" t="s">
        <v>201</v>
      </c>
      <c r="N815" s="39" t="s">
        <v>609</v>
      </c>
      <c r="O815" s="96" t="s">
        <v>1816</v>
      </c>
      <c r="P815" s="49" t="s">
        <v>157</v>
      </c>
      <c r="Q815" s="96" t="s">
        <v>104</v>
      </c>
      <c r="R815" s="52">
        <v>13.9</v>
      </c>
      <c r="S815" s="52">
        <f>R815-T815</f>
        <v>12.410714285714286</v>
      </c>
      <c r="T815" s="52">
        <f>R815*U815/(U815+100)</f>
        <v>1.4892857142857143</v>
      </c>
      <c r="U815" s="50">
        <v>12</v>
      </c>
      <c r="V815" s="53">
        <v>0</v>
      </c>
      <c r="W815" s="147">
        <v>1</v>
      </c>
      <c r="X815" s="148" t="s">
        <v>163</v>
      </c>
      <c r="Y815" s="54">
        <f>R815*W815</f>
        <v>13.9</v>
      </c>
      <c r="Z815" s="52">
        <f>S815*W815</f>
        <v>12.410714285714286</v>
      </c>
      <c r="AA815" s="52">
        <f>T815*W815</f>
        <v>1.4892857142857143</v>
      </c>
      <c r="AB815" s="52">
        <f>V815*W815</f>
        <v>0</v>
      </c>
      <c r="AC815" s="53">
        <f>(R815+V815)*W815</f>
        <v>13.9</v>
      </c>
      <c r="AD815" s="138">
        <v>13.9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107</v>
      </c>
      <c r="F816" s="96" t="s">
        <v>106</v>
      </c>
      <c r="G816" s="97">
        <v>46132</v>
      </c>
      <c r="H816" s="98">
        <v>0.4120949074074074</v>
      </c>
      <c r="I816" s="50">
        <v>166004607</v>
      </c>
      <c r="J816" s="96" t="s">
        <v>157</v>
      </c>
      <c r="K816" s="49" t="s">
        <v>680</v>
      </c>
      <c r="L816" s="39" t="s">
        <v>681</v>
      </c>
      <c r="M816" s="49" t="s">
        <v>190</v>
      </c>
      <c r="N816" s="39" t="s">
        <v>532</v>
      </c>
      <c r="O816" s="96" t="s">
        <v>682</v>
      </c>
      <c r="P816" s="49" t="s">
        <v>157</v>
      </c>
      <c r="Q816" s="96" t="s">
        <v>104</v>
      </c>
      <c r="R816" s="52">
        <v>24.9</v>
      </c>
      <c r="S816" s="52">
        <f>R816-T816</f>
        <v>22.232142857142858</v>
      </c>
      <c r="T816" s="52">
        <f>R816*U816/(U816+100)</f>
        <v>2.6678571428571423</v>
      </c>
      <c r="U816" s="50">
        <v>12</v>
      </c>
      <c r="V816" s="53">
        <v>0</v>
      </c>
      <c r="W816" s="147">
        <v>0.274</v>
      </c>
      <c r="X816" s="148" t="s">
        <v>193</v>
      </c>
      <c r="Y816" s="54">
        <f>R816*W816</f>
        <v>6.8226</v>
      </c>
      <c r="Z816" s="52">
        <f>S816*W816</f>
        <v>6.091607142857144</v>
      </c>
      <c r="AA816" s="52">
        <f>T816*W816</f>
        <v>0.730992857142857</v>
      </c>
      <c r="AB816" s="52">
        <f>V816*W816</f>
        <v>0</v>
      </c>
      <c r="AC816" s="53">
        <f>(R816+V816)*W816</f>
        <v>6.8226</v>
      </c>
      <c r="AD816" s="138">
        <v>24.9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107</v>
      </c>
      <c r="F817" s="96" t="s">
        <v>106</v>
      </c>
      <c r="G817" s="97">
        <v>46132</v>
      </c>
      <c r="H817" s="98">
        <v>0.4120949074074074</v>
      </c>
      <c r="I817" s="50">
        <v>166004607</v>
      </c>
      <c r="J817" s="96" t="s">
        <v>157</v>
      </c>
      <c r="K817" s="49" t="s">
        <v>686</v>
      </c>
      <c r="L817" s="39" t="s">
        <v>687</v>
      </c>
      <c r="M817" s="49" t="s">
        <v>369</v>
      </c>
      <c r="N817" s="39" t="s">
        <v>688</v>
      </c>
      <c r="O817" s="96" t="s">
        <v>1341</v>
      </c>
      <c r="P817" s="49" t="s">
        <v>157</v>
      </c>
      <c r="Q817" s="96" t="s">
        <v>104</v>
      </c>
      <c r="R817" s="52">
        <v>227.9</v>
      </c>
      <c r="S817" s="52">
        <f>R817-T817</f>
        <v>203.48214285714286</v>
      </c>
      <c r="T817" s="52">
        <f>R817*U817/(U817+100)</f>
        <v>24.417857142857144</v>
      </c>
      <c r="U817" s="50">
        <v>12</v>
      </c>
      <c r="V817" s="53">
        <v>0</v>
      </c>
      <c r="W817" s="147">
        <v>0.126</v>
      </c>
      <c r="X817" s="148" t="s">
        <v>193</v>
      </c>
      <c r="Y817" s="54">
        <f>R817*W817</f>
        <v>28.715400000000002</v>
      </c>
      <c r="Z817" s="52">
        <f>S817*W817</f>
        <v>25.63875</v>
      </c>
      <c r="AA817" s="52">
        <f>T817*W817</f>
        <v>3.0766500000000003</v>
      </c>
      <c r="AB817" s="52">
        <f>V817*W817</f>
        <v>0</v>
      </c>
      <c r="AC817" s="53">
        <f>(R817+V817)*W817</f>
        <v>28.715400000000002</v>
      </c>
      <c r="AD817" s="138">
        <v>227.9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107</v>
      </c>
      <c r="F818" s="96" t="s">
        <v>106</v>
      </c>
      <c r="G818" s="97">
        <v>46132</v>
      </c>
      <c r="H818" s="98">
        <v>0.4120949074074074</v>
      </c>
      <c r="I818" s="50">
        <v>166004607</v>
      </c>
      <c r="J818" s="96" t="s">
        <v>157</v>
      </c>
      <c r="K818" s="49" t="s">
        <v>1817</v>
      </c>
      <c r="L818" s="39" t="s">
        <v>1818</v>
      </c>
      <c r="M818" s="49" t="s">
        <v>277</v>
      </c>
      <c r="N818" s="39" t="s">
        <v>490</v>
      </c>
      <c r="O818" s="96" t="s">
        <v>1819</v>
      </c>
      <c r="P818" s="49" t="s">
        <v>157</v>
      </c>
      <c r="Q818" s="96" t="s">
        <v>104</v>
      </c>
      <c r="R818" s="52">
        <v>35.9</v>
      </c>
      <c r="S818" s="52">
        <f>R818-T818</f>
        <v>32.05357142857143</v>
      </c>
      <c r="T818" s="52">
        <f>R818*U818/(U818+100)</f>
        <v>3.846428571428571</v>
      </c>
      <c r="U818" s="50">
        <v>12</v>
      </c>
      <c r="V818" s="53">
        <v>0</v>
      </c>
      <c r="W818" s="147">
        <v>1</v>
      </c>
      <c r="X818" s="148" t="s">
        <v>163</v>
      </c>
      <c r="Y818" s="54">
        <f>R818*W818</f>
        <v>35.9</v>
      </c>
      <c r="Z818" s="52">
        <f>S818*W818</f>
        <v>32.05357142857143</v>
      </c>
      <c r="AA818" s="52">
        <f>T818*W818</f>
        <v>3.846428571428571</v>
      </c>
      <c r="AB818" s="52">
        <f>V818*W818</f>
        <v>0</v>
      </c>
      <c r="AC818" s="53">
        <f>(R818+V818)*W818</f>
        <v>35.9</v>
      </c>
      <c r="AD818" s="138">
        <v>35.9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107</v>
      </c>
      <c r="F819" s="96" t="s">
        <v>106</v>
      </c>
      <c r="G819" s="97">
        <v>46132</v>
      </c>
      <c r="H819" s="98">
        <v>0.4126851851851852</v>
      </c>
      <c r="I819" s="50">
        <v>166004608</v>
      </c>
      <c r="J819" s="96" t="s">
        <v>157</v>
      </c>
      <c r="K819" s="49" t="s">
        <v>1232</v>
      </c>
      <c r="L819" s="39" t="s">
        <v>1233</v>
      </c>
      <c r="M819" s="49" t="s">
        <v>466</v>
      </c>
      <c r="N819" s="39" t="s">
        <v>291</v>
      </c>
      <c r="O819" s="96" t="s">
        <v>1234</v>
      </c>
      <c r="P819" s="49" t="s">
        <v>235</v>
      </c>
      <c r="Q819" s="96" t="s">
        <v>236</v>
      </c>
      <c r="R819" s="52">
        <v>26.9</v>
      </c>
      <c r="S819" s="52">
        <f>R819-T819</f>
        <v>24.017857142857142</v>
      </c>
      <c r="T819" s="52">
        <f>R819*U819/(U819+100)</f>
        <v>2.8821428571428567</v>
      </c>
      <c r="U819" s="50">
        <v>12</v>
      </c>
      <c r="V819" s="53">
        <v>0</v>
      </c>
      <c r="W819" s="147">
        <v>1</v>
      </c>
      <c r="X819" s="148" t="s">
        <v>163</v>
      </c>
      <c r="Y819" s="54">
        <f>R819*W819</f>
        <v>26.9</v>
      </c>
      <c r="Z819" s="52">
        <f>S819*W819</f>
        <v>24.017857142857142</v>
      </c>
      <c r="AA819" s="52">
        <f>T819*W819</f>
        <v>2.8821428571428567</v>
      </c>
      <c r="AB819" s="52">
        <f>V819*W819</f>
        <v>0</v>
      </c>
      <c r="AC819" s="53">
        <f>(R819+V819)*W819</f>
        <v>26.9</v>
      </c>
      <c r="AD819" s="138">
        <v>26.9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107</v>
      </c>
      <c r="F820" s="96" t="s">
        <v>106</v>
      </c>
      <c r="G820" s="97">
        <v>46132</v>
      </c>
      <c r="H820" s="98">
        <v>0.4126851851851852</v>
      </c>
      <c r="I820" s="50">
        <v>166004608</v>
      </c>
      <c r="J820" s="96" t="s">
        <v>157</v>
      </c>
      <c r="K820" s="49" t="s">
        <v>1820</v>
      </c>
      <c r="L820" s="39" t="s">
        <v>1821</v>
      </c>
      <c r="M820" s="49" t="s">
        <v>842</v>
      </c>
      <c r="N820" s="39" t="s">
        <v>843</v>
      </c>
      <c r="O820" s="96" t="s">
        <v>1822</v>
      </c>
      <c r="P820" s="49" t="s">
        <v>157</v>
      </c>
      <c r="Q820" s="96" t="s">
        <v>104</v>
      </c>
      <c r="R820" s="52">
        <v>29.9</v>
      </c>
      <c r="S820" s="52">
        <f>R820-T820</f>
        <v>26.69642857142857</v>
      </c>
      <c r="T820" s="52">
        <f>R820*U820/(U820+100)</f>
        <v>3.2035714285714283</v>
      </c>
      <c r="U820" s="50">
        <v>12</v>
      </c>
      <c r="V820" s="53">
        <v>0</v>
      </c>
      <c r="W820" s="147">
        <v>1</v>
      </c>
      <c r="X820" s="148" t="s">
        <v>163</v>
      </c>
      <c r="Y820" s="54">
        <f>R820*W820</f>
        <v>29.9</v>
      </c>
      <c r="Z820" s="52">
        <f>S820*W820</f>
        <v>26.69642857142857</v>
      </c>
      <c r="AA820" s="52">
        <f>T820*W820</f>
        <v>3.2035714285714283</v>
      </c>
      <c r="AB820" s="52">
        <f>V820*W820</f>
        <v>0</v>
      </c>
      <c r="AC820" s="53">
        <f>(R820+V820)*W820</f>
        <v>29.9</v>
      </c>
      <c r="AD820" s="138">
        <v>29.9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107</v>
      </c>
      <c r="F821" s="96" t="s">
        <v>106</v>
      </c>
      <c r="G821" s="97">
        <v>46132</v>
      </c>
      <c r="H821" s="98">
        <v>0.4126851851851852</v>
      </c>
      <c r="I821" s="50">
        <v>166004608</v>
      </c>
      <c r="J821" s="96" t="s">
        <v>157</v>
      </c>
      <c r="K821" s="49" t="s">
        <v>1440</v>
      </c>
      <c r="L821" s="39" t="s">
        <v>1441</v>
      </c>
      <c r="M821" s="49" t="s">
        <v>190</v>
      </c>
      <c r="N821" s="39" t="s">
        <v>191</v>
      </c>
      <c r="O821" s="96" t="s">
        <v>1442</v>
      </c>
      <c r="P821" s="49" t="s">
        <v>157</v>
      </c>
      <c r="Q821" s="96" t="s">
        <v>104</v>
      </c>
      <c r="R821" s="52">
        <v>8.9</v>
      </c>
      <c r="S821" s="52">
        <f>R821-T821</f>
        <v>7.946428571428572</v>
      </c>
      <c r="T821" s="52">
        <f>R821*U821/(U821+100)</f>
        <v>0.9535714285714286</v>
      </c>
      <c r="U821" s="50">
        <v>12</v>
      </c>
      <c r="V821" s="53">
        <v>0</v>
      </c>
      <c r="W821" s="147">
        <v>0.882</v>
      </c>
      <c r="X821" s="148" t="s">
        <v>193</v>
      </c>
      <c r="Y821" s="54">
        <f>R821*W821</f>
        <v>7.8498</v>
      </c>
      <c r="Z821" s="52">
        <f>S821*W821</f>
        <v>7.008750000000001</v>
      </c>
      <c r="AA821" s="52">
        <f>T821*W821</f>
        <v>0.8410500000000001</v>
      </c>
      <c r="AB821" s="52">
        <f>V821*W821</f>
        <v>0</v>
      </c>
      <c r="AC821" s="53">
        <f>(R821+V821)*W821</f>
        <v>7.8498</v>
      </c>
      <c r="AD821" s="138">
        <v>8.9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107</v>
      </c>
      <c r="F822" s="96" t="s">
        <v>106</v>
      </c>
      <c r="G822" s="97">
        <v>46132</v>
      </c>
      <c r="H822" s="98">
        <v>0.4126851851851852</v>
      </c>
      <c r="I822" s="50">
        <v>166004608</v>
      </c>
      <c r="J822" s="96" t="s">
        <v>157</v>
      </c>
      <c r="K822" s="49" t="s">
        <v>625</v>
      </c>
      <c r="L822" s="39" t="s">
        <v>626</v>
      </c>
      <c r="M822" s="49" t="s">
        <v>190</v>
      </c>
      <c r="N822" s="39" t="s">
        <v>191</v>
      </c>
      <c r="O822" s="96" t="s">
        <v>627</v>
      </c>
      <c r="P822" s="49" t="s">
        <v>157</v>
      </c>
      <c r="Q822" s="96" t="s">
        <v>104</v>
      </c>
      <c r="R822" s="52">
        <v>99.9</v>
      </c>
      <c r="S822" s="52">
        <f>R822-T822</f>
        <v>89.19642857142857</v>
      </c>
      <c r="T822" s="52">
        <f>R822*U822/(U822+100)</f>
        <v>10.703571428571431</v>
      </c>
      <c r="U822" s="50">
        <v>12</v>
      </c>
      <c r="V822" s="53">
        <v>0</v>
      </c>
      <c r="W822" s="147">
        <v>0.09</v>
      </c>
      <c r="X822" s="148" t="s">
        <v>193</v>
      </c>
      <c r="Y822" s="54">
        <f>R822*W822</f>
        <v>8.991</v>
      </c>
      <c r="Z822" s="52">
        <f>S822*W822</f>
        <v>8.02767857142857</v>
      </c>
      <c r="AA822" s="52">
        <f>T822*W822</f>
        <v>0.9633214285714288</v>
      </c>
      <c r="AB822" s="52">
        <f>V822*W822</f>
        <v>0</v>
      </c>
      <c r="AC822" s="53">
        <f>(R822+V822)*W822</f>
        <v>8.991</v>
      </c>
      <c r="AD822" s="138">
        <v>99.9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107</v>
      </c>
      <c r="F823" s="96" t="s">
        <v>106</v>
      </c>
      <c r="G823" s="97">
        <v>46132</v>
      </c>
      <c r="H823" s="98">
        <v>0.4126851851851852</v>
      </c>
      <c r="I823" s="50">
        <v>166004608</v>
      </c>
      <c r="J823" s="96" t="s">
        <v>157</v>
      </c>
      <c r="K823" s="49" t="s">
        <v>942</v>
      </c>
      <c r="L823" s="39"/>
      <c r="M823" s="49" t="s">
        <v>295</v>
      </c>
      <c r="N823" s="39" t="s">
        <v>433</v>
      </c>
      <c r="O823" s="96" t="s">
        <v>1332</v>
      </c>
      <c r="P823" s="49" t="s">
        <v>235</v>
      </c>
      <c r="Q823" s="96" t="s">
        <v>944</v>
      </c>
      <c r="R823" s="52">
        <v>9.9</v>
      </c>
      <c r="S823" s="52">
        <f>R823-T823</f>
        <v>8.839285714285715</v>
      </c>
      <c r="T823" s="52">
        <f>R823*U823/(U823+100)</f>
        <v>1.0607142857142857</v>
      </c>
      <c r="U823" s="50">
        <v>12</v>
      </c>
      <c r="V823" s="53">
        <v>0</v>
      </c>
      <c r="W823" s="147">
        <v>1</v>
      </c>
      <c r="X823" s="148" t="s">
        <v>945</v>
      </c>
      <c r="Y823" s="54">
        <f>R823*W823</f>
        <v>9.9</v>
      </c>
      <c r="Z823" s="52">
        <f>S823*W823</f>
        <v>8.839285714285715</v>
      </c>
      <c r="AA823" s="52">
        <f>T823*W823</f>
        <v>1.0607142857142857</v>
      </c>
      <c r="AB823" s="52">
        <f>V823*W823</f>
        <v>0</v>
      </c>
      <c r="AC823" s="53">
        <f>(R823+V823)*W823</f>
        <v>9.9</v>
      </c>
      <c r="AD823" s="138">
        <v>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107</v>
      </c>
      <c r="F824" s="96" t="s">
        <v>106</v>
      </c>
      <c r="G824" s="97">
        <v>46132</v>
      </c>
      <c r="H824" s="98">
        <v>0.4159953703703704</v>
      </c>
      <c r="I824" s="50">
        <v>166004609</v>
      </c>
      <c r="J824" s="96" t="s">
        <v>157</v>
      </c>
      <c r="K824" s="49" t="s">
        <v>1823</v>
      </c>
      <c r="L824" s="39" t="s">
        <v>1824</v>
      </c>
      <c r="M824" s="49" t="s">
        <v>429</v>
      </c>
      <c r="N824" s="39" t="s">
        <v>239</v>
      </c>
      <c r="O824" s="96" t="s">
        <v>1825</v>
      </c>
      <c r="P824" s="49" t="s">
        <v>157</v>
      </c>
      <c r="Q824" s="96" t="s">
        <v>104</v>
      </c>
      <c r="R824" s="52">
        <v>11.4</v>
      </c>
      <c r="S824" s="52">
        <f>R824-T824</f>
        <v>10.178571428571429</v>
      </c>
      <c r="T824" s="52">
        <f>R824*U824/(U824+100)</f>
        <v>1.2214285714285715</v>
      </c>
      <c r="U824" s="50">
        <v>12</v>
      </c>
      <c r="V824" s="53">
        <v>0</v>
      </c>
      <c r="W824" s="147">
        <v>1</v>
      </c>
      <c r="X824" s="148" t="s">
        <v>163</v>
      </c>
      <c r="Y824" s="54">
        <f>R824*W824</f>
        <v>11.4</v>
      </c>
      <c r="Z824" s="52">
        <f>S824*W824</f>
        <v>10.178571428571429</v>
      </c>
      <c r="AA824" s="52">
        <f>T824*W824</f>
        <v>1.2214285714285715</v>
      </c>
      <c r="AB824" s="52">
        <f>V824*W824</f>
        <v>0</v>
      </c>
      <c r="AC824" s="53">
        <f>(R824+V824)*W824</f>
        <v>11.4</v>
      </c>
      <c r="AD824" s="138">
        <v>11.4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107</v>
      </c>
      <c r="F825" s="96" t="s">
        <v>106</v>
      </c>
      <c r="G825" s="97">
        <v>46132</v>
      </c>
      <c r="H825" s="98">
        <v>0.4159953703703704</v>
      </c>
      <c r="I825" s="50">
        <v>166004609</v>
      </c>
      <c r="J825" s="96" t="s">
        <v>157</v>
      </c>
      <c r="K825" s="49" t="s">
        <v>1826</v>
      </c>
      <c r="L825" s="39" t="s">
        <v>1827</v>
      </c>
      <c r="M825" s="49" t="s">
        <v>429</v>
      </c>
      <c r="N825" s="39" t="s">
        <v>239</v>
      </c>
      <c r="O825" s="96" t="s">
        <v>1828</v>
      </c>
      <c r="P825" s="49" t="s">
        <v>157</v>
      </c>
      <c r="Q825" s="96" t="s">
        <v>104</v>
      </c>
      <c r="R825" s="52">
        <v>11.4</v>
      </c>
      <c r="S825" s="52">
        <f>R825-T825</f>
        <v>10.178571428571429</v>
      </c>
      <c r="T825" s="52">
        <f>R825*U825/(U825+100)</f>
        <v>1.2214285714285715</v>
      </c>
      <c r="U825" s="50">
        <v>12</v>
      </c>
      <c r="V825" s="53">
        <v>0</v>
      </c>
      <c r="W825" s="147">
        <v>1</v>
      </c>
      <c r="X825" s="148" t="s">
        <v>163</v>
      </c>
      <c r="Y825" s="54">
        <f>R825*W825</f>
        <v>11.4</v>
      </c>
      <c r="Z825" s="52">
        <f>S825*W825</f>
        <v>10.178571428571429</v>
      </c>
      <c r="AA825" s="52">
        <f>T825*W825</f>
        <v>1.2214285714285715</v>
      </c>
      <c r="AB825" s="52">
        <f>V825*W825</f>
        <v>0</v>
      </c>
      <c r="AC825" s="53">
        <f>(R825+V825)*W825</f>
        <v>11.4</v>
      </c>
      <c r="AD825" s="138">
        <v>11.4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107</v>
      </c>
      <c r="F826" s="96" t="s">
        <v>106</v>
      </c>
      <c r="G826" s="97">
        <v>46132</v>
      </c>
      <c r="H826" s="98">
        <v>0.4159953703703704</v>
      </c>
      <c r="I826" s="50">
        <v>166004609</v>
      </c>
      <c r="J826" s="96" t="s">
        <v>157</v>
      </c>
      <c r="K826" s="49" t="s">
        <v>1826</v>
      </c>
      <c r="L826" s="39" t="s">
        <v>1827</v>
      </c>
      <c r="M826" s="49" t="s">
        <v>429</v>
      </c>
      <c r="N826" s="39" t="s">
        <v>239</v>
      </c>
      <c r="O826" s="96" t="s">
        <v>1828</v>
      </c>
      <c r="P826" s="49" t="s">
        <v>157</v>
      </c>
      <c r="Q826" s="96" t="s">
        <v>104</v>
      </c>
      <c r="R826" s="52">
        <v>11.4</v>
      </c>
      <c r="S826" s="52">
        <f>R826-T826</f>
        <v>10.178571428571429</v>
      </c>
      <c r="T826" s="52">
        <f>R826*U826/(U826+100)</f>
        <v>1.2214285714285715</v>
      </c>
      <c r="U826" s="50">
        <v>12</v>
      </c>
      <c r="V826" s="53">
        <v>0</v>
      </c>
      <c r="W826" s="147">
        <v>1</v>
      </c>
      <c r="X826" s="148" t="s">
        <v>163</v>
      </c>
      <c r="Y826" s="54">
        <f>R826*W826</f>
        <v>11.4</v>
      </c>
      <c r="Z826" s="52">
        <f>S826*W826</f>
        <v>10.178571428571429</v>
      </c>
      <c r="AA826" s="52">
        <f>T826*W826</f>
        <v>1.2214285714285715</v>
      </c>
      <c r="AB826" s="52">
        <f>V826*W826</f>
        <v>0</v>
      </c>
      <c r="AC826" s="53">
        <f>(R826+V826)*W826</f>
        <v>11.4</v>
      </c>
      <c r="AD826" s="138">
        <v>11.4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107</v>
      </c>
      <c r="F827" s="96" t="s">
        <v>106</v>
      </c>
      <c r="G827" s="97">
        <v>46132</v>
      </c>
      <c r="H827" s="98">
        <v>0.4159953703703704</v>
      </c>
      <c r="I827" s="50">
        <v>166004609</v>
      </c>
      <c r="J827" s="96" t="s">
        <v>157</v>
      </c>
      <c r="K827" s="49" t="s">
        <v>1826</v>
      </c>
      <c r="L827" s="39" t="s">
        <v>1827</v>
      </c>
      <c r="M827" s="49" t="s">
        <v>429</v>
      </c>
      <c r="N827" s="39" t="s">
        <v>239</v>
      </c>
      <c r="O827" s="96" t="s">
        <v>1828</v>
      </c>
      <c r="P827" s="49" t="s">
        <v>157</v>
      </c>
      <c r="Q827" s="96" t="s">
        <v>104</v>
      </c>
      <c r="R827" s="52">
        <v>11.4</v>
      </c>
      <c r="S827" s="52">
        <f>R827-T827</f>
        <v>10.178571428571429</v>
      </c>
      <c r="T827" s="52">
        <f>R827*U827/(U827+100)</f>
        <v>1.2214285714285715</v>
      </c>
      <c r="U827" s="50">
        <v>12</v>
      </c>
      <c r="V827" s="53">
        <v>0</v>
      </c>
      <c r="W827" s="147">
        <v>1</v>
      </c>
      <c r="X827" s="148" t="s">
        <v>163</v>
      </c>
      <c r="Y827" s="54">
        <f>R827*W827</f>
        <v>11.4</v>
      </c>
      <c r="Z827" s="52">
        <f>S827*W827</f>
        <v>10.178571428571429</v>
      </c>
      <c r="AA827" s="52">
        <f>T827*W827</f>
        <v>1.2214285714285715</v>
      </c>
      <c r="AB827" s="52">
        <f>V827*W827</f>
        <v>0</v>
      </c>
      <c r="AC827" s="53">
        <f>(R827+V827)*W827</f>
        <v>11.4</v>
      </c>
      <c r="AD827" s="138">
        <v>11.4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107</v>
      </c>
      <c r="F828" s="96" t="s">
        <v>106</v>
      </c>
      <c r="G828" s="97">
        <v>46132</v>
      </c>
      <c r="H828" s="98">
        <v>0.4159953703703704</v>
      </c>
      <c r="I828" s="50">
        <v>166004609</v>
      </c>
      <c r="J828" s="96" t="s">
        <v>157</v>
      </c>
      <c r="K828" s="49" t="s">
        <v>293</v>
      </c>
      <c r="L828" s="39" t="s">
        <v>294</v>
      </c>
      <c r="M828" s="49" t="s">
        <v>295</v>
      </c>
      <c r="N828" s="39" t="s">
        <v>296</v>
      </c>
      <c r="O828" s="96" t="s">
        <v>297</v>
      </c>
      <c r="P828" s="49" t="s">
        <v>157</v>
      </c>
      <c r="Q828" s="96" t="s">
        <v>104</v>
      </c>
      <c r="R828" s="52">
        <v>2.9</v>
      </c>
      <c r="S828" s="52">
        <f>R828-T828</f>
        <v>2.5892857142857144</v>
      </c>
      <c r="T828" s="52">
        <f>R828*U828/(U828+100)</f>
        <v>0.31071428571428567</v>
      </c>
      <c r="U828" s="50">
        <v>12</v>
      </c>
      <c r="V828" s="53">
        <v>0</v>
      </c>
      <c r="W828" s="147">
        <v>4</v>
      </c>
      <c r="X828" s="148" t="s">
        <v>163</v>
      </c>
      <c r="Y828" s="54">
        <f>R828*W828</f>
        <v>11.6</v>
      </c>
      <c r="Z828" s="52">
        <f>S828*W828</f>
        <v>10.357142857142858</v>
      </c>
      <c r="AA828" s="52">
        <f>T828*W828</f>
        <v>1.2428571428571427</v>
      </c>
      <c r="AB828" s="52">
        <f>V828*W828</f>
        <v>0</v>
      </c>
      <c r="AC828" s="53">
        <f>(R828+V828)*W828</f>
        <v>11.6</v>
      </c>
      <c r="AD828" s="138">
        <v>2.9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107</v>
      </c>
      <c r="F829" s="96" t="s">
        <v>106</v>
      </c>
      <c r="G829" s="97">
        <v>46132</v>
      </c>
      <c r="H829" s="98">
        <v>0.4159953703703704</v>
      </c>
      <c r="I829" s="50">
        <v>166004609</v>
      </c>
      <c r="J829" s="96" t="s">
        <v>157</v>
      </c>
      <c r="K829" s="49" t="s">
        <v>553</v>
      </c>
      <c r="L829" s="39" t="s">
        <v>104</v>
      </c>
      <c r="M829" s="49" t="s">
        <v>554</v>
      </c>
      <c r="N829" s="39" t="s">
        <v>296</v>
      </c>
      <c r="O829" s="96" t="s">
        <v>555</v>
      </c>
      <c r="P829" s="49" t="s">
        <v>157</v>
      </c>
      <c r="Q829" s="96" t="s">
        <v>104</v>
      </c>
      <c r="R829" s="52">
        <v>8.9</v>
      </c>
      <c r="S829" s="52">
        <f>R829-T829</f>
        <v>7.946428571428572</v>
      </c>
      <c r="T829" s="52">
        <f>R829*U829/(U829+100)</f>
        <v>0.9535714285714286</v>
      </c>
      <c r="U829" s="50">
        <v>12</v>
      </c>
      <c r="V829" s="53">
        <v>0</v>
      </c>
      <c r="W829" s="147">
        <v>1</v>
      </c>
      <c r="X829" s="148" t="s">
        <v>163</v>
      </c>
      <c r="Y829" s="54">
        <f>R829*W829</f>
        <v>8.9</v>
      </c>
      <c r="Z829" s="52">
        <f>S829*W829</f>
        <v>7.946428571428572</v>
      </c>
      <c r="AA829" s="52">
        <f>T829*W829</f>
        <v>0.9535714285714286</v>
      </c>
      <c r="AB829" s="52">
        <f>V829*W829</f>
        <v>0</v>
      </c>
      <c r="AC829" s="53">
        <f>(R829+V829)*W829</f>
        <v>8.9</v>
      </c>
      <c r="AD829" s="138">
        <v>8.9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107</v>
      </c>
      <c r="F830" s="96" t="s">
        <v>106</v>
      </c>
      <c r="G830" s="97">
        <v>46132</v>
      </c>
      <c r="H830" s="98">
        <v>0.4159953703703704</v>
      </c>
      <c r="I830" s="50">
        <v>166004609</v>
      </c>
      <c r="J830" s="96" t="s">
        <v>157</v>
      </c>
      <c r="K830" s="49" t="s">
        <v>553</v>
      </c>
      <c r="L830" s="39" t="s">
        <v>104</v>
      </c>
      <c r="M830" s="49" t="s">
        <v>554</v>
      </c>
      <c r="N830" s="39" t="s">
        <v>296</v>
      </c>
      <c r="O830" s="96" t="s">
        <v>555</v>
      </c>
      <c r="P830" s="49" t="s">
        <v>157</v>
      </c>
      <c r="Q830" s="96" t="s">
        <v>104</v>
      </c>
      <c r="R830" s="52">
        <v>8.9</v>
      </c>
      <c r="S830" s="52">
        <f>R830-T830</f>
        <v>7.946428571428572</v>
      </c>
      <c r="T830" s="52">
        <f>R830*U830/(U830+100)</f>
        <v>0.9535714285714286</v>
      </c>
      <c r="U830" s="50">
        <v>12</v>
      </c>
      <c r="V830" s="53">
        <v>0</v>
      </c>
      <c r="W830" s="147">
        <v>1</v>
      </c>
      <c r="X830" s="148" t="s">
        <v>163</v>
      </c>
      <c r="Y830" s="54">
        <f>R830*W830</f>
        <v>8.9</v>
      </c>
      <c r="Z830" s="52">
        <f>S830*W830</f>
        <v>7.946428571428572</v>
      </c>
      <c r="AA830" s="52">
        <f>T830*W830</f>
        <v>0.9535714285714286</v>
      </c>
      <c r="AB830" s="52">
        <f>V830*W830</f>
        <v>0</v>
      </c>
      <c r="AC830" s="53">
        <f>(R830+V830)*W830</f>
        <v>8.9</v>
      </c>
      <c r="AD830" s="138">
        <v>8.9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107</v>
      </c>
      <c r="F831" s="96" t="s">
        <v>106</v>
      </c>
      <c r="G831" s="97">
        <v>46132</v>
      </c>
      <c r="H831" s="98">
        <v>0.41866898148148146</v>
      </c>
      <c r="I831" s="50">
        <v>166004610</v>
      </c>
      <c r="J831" s="96" t="s">
        <v>157</v>
      </c>
      <c r="K831" s="49" t="s">
        <v>1829</v>
      </c>
      <c r="L831" s="39" t="s">
        <v>1830</v>
      </c>
      <c r="M831" s="49" t="s">
        <v>196</v>
      </c>
      <c r="N831" s="39" t="s">
        <v>197</v>
      </c>
      <c r="O831" s="96" t="s">
        <v>1831</v>
      </c>
      <c r="P831" s="49" t="s">
        <v>157</v>
      </c>
      <c r="Q831" s="96" t="s">
        <v>104</v>
      </c>
      <c r="R831" s="52">
        <v>7.4</v>
      </c>
      <c r="S831" s="52">
        <f>R831-T831</f>
        <v>6.607142857142858</v>
      </c>
      <c r="T831" s="52">
        <f>R831*U831/(U831+100)</f>
        <v>0.7928571428571429</v>
      </c>
      <c r="U831" s="50">
        <v>12</v>
      </c>
      <c r="V831" s="53">
        <v>0</v>
      </c>
      <c r="W831" s="147">
        <v>1</v>
      </c>
      <c r="X831" s="148" t="s">
        <v>163</v>
      </c>
      <c r="Y831" s="54">
        <f>R831*W831</f>
        <v>7.4</v>
      </c>
      <c r="Z831" s="52">
        <f>S831*W831</f>
        <v>6.607142857142858</v>
      </c>
      <c r="AA831" s="52">
        <f>T831*W831</f>
        <v>0.7928571428571429</v>
      </c>
      <c r="AB831" s="52">
        <f>V831*W831</f>
        <v>0</v>
      </c>
      <c r="AC831" s="53">
        <f>(R831+V831)*W831</f>
        <v>7.4</v>
      </c>
      <c r="AD831" s="138">
        <v>7.4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107</v>
      </c>
      <c r="F832" s="96" t="s">
        <v>106</v>
      </c>
      <c r="G832" s="97">
        <v>46132</v>
      </c>
      <c r="H832" s="98">
        <v>0.41866898148148146</v>
      </c>
      <c r="I832" s="50">
        <v>166004610</v>
      </c>
      <c r="J832" s="96" t="s">
        <v>157</v>
      </c>
      <c r="K832" s="49" t="s">
        <v>1832</v>
      </c>
      <c r="L832" s="39" t="s">
        <v>1833</v>
      </c>
      <c r="M832" s="49" t="s">
        <v>196</v>
      </c>
      <c r="N832" s="39" t="s">
        <v>197</v>
      </c>
      <c r="O832" s="96" t="s">
        <v>1834</v>
      </c>
      <c r="P832" s="49" t="s">
        <v>157</v>
      </c>
      <c r="Q832" s="96" t="s">
        <v>104</v>
      </c>
      <c r="R832" s="52">
        <v>7.4</v>
      </c>
      <c r="S832" s="52">
        <f>R832-T832</f>
        <v>6.607142857142858</v>
      </c>
      <c r="T832" s="52">
        <f>R832*U832/(U832+100)</f>
        <v>0.7928571428571429</v>
      </c>
      <c r="U832" s="50">
        <v>12</v>
      </c>
      <c r="V832" s="53">
        <v>0</v>
      </c>
      <c r="W832" s="147">
        <v>1</v>
      </c>
      <c r="X832" s="148" t="s">
        <v>163</v>
      </c>
      <c r="Y832" s="54">
        <f>R832*W832</f>
        <v>7.4</v>
      </c>
      <c r="Z832" s="52">
        <f>S832*W832</f>
        <v>6.607142857142858</v>
      </c>
      <c r="AA832" s="52">
        <f>T832*W832</f>
        <v>0.7928571428571429</v>
      </c>
      <c r="AB832" s="52">
        <f>V832*W832</f>
        <v>0</v>
      </c>
      <c r="AC832" s="53">
        <f>(R832+V832)*W832</f>
        <v>7.4</v>
      </c>
      <c r="AD832" s="138">
        <v>7.4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107</v>
      </c>
      <c r="F833" s="96" t="s">
        <v>106</v>
      </c>
      <c r="G833" s="97">
        <v>46132</v>
      </c>
      <c r="H833" s="98">
        <v>0.41866898148148146</v>
      </c>
      <c r="I833" s="50">
        <v>166004610</v>
      </c>
      <c r="J833" s="96" t="s">
        <v>157</v>
      </c>
      <c r="K833" s="49" t="s">
        <v>1835</v>
      </c>
      <c r="L833" s="39" t="s">
        <v>1836</v>
      </c>
      <c r="M833" s="49" t="s">
        <v>429</v>
      </c>
      <c r="N833" s="39" t="s">
        <v>239</v>
      </c>
      <c r="O833" s="96" t="s">
        <v>1837</v>
      </c>
      <c r="P833" s="49" t="s">
        <v>157</v>
      </c>
      <c r="Q833" s="96" t="s">
        <v>104</v>
      </c>
      <c r="R833" s="52">
        <v>39.9</v>
      </c>
      <c r="S833" s="52">
        <f>R833-T833</f>
        <v>35.625</v>
      </c>
      <c r="T833" s="52">
        <f>R833*U833/(U833+100)</f>
        <v>4.2749999999999995</v>
      </c>
      <c r="U833" s="50">
        <v>12</v>
      </c>
      <c r="V833" s="53">
        <v>0</v>
      </c>
      <c r="W833" s="147">
        <v>1</v>
      </c>
      <c r="X833" s="148" t="s">
        <v>163</v>
      </c>
      <c r="Y833" s="54">
        <f>R833*W833</f>
        <v>39.9</v>
      </c>
      <c r="Z833" s="52">
        <f>S833*W833</f>
        <v>35.625</v>
      </c>
      <c r="AA833" s="52">
        <f>T833*W833</f>
        <v>4.2749999999999995</v>
      </c>
      <c r="AB833" s="52">
        <f>V833*W833</f>
        <v>0</v>
      </c>
      <c r="AC833" s="53">
        <f>(R833+V833)*W833</f>
        <v>39.9</v>
      </c>
      <c r="AD833" s="138">
        <v>39.9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107</v>
      </c>
      <c r="F834" s="96" t="s">
        <v>106</v>
      </c>
      <c r="G834" s="97">
        <v>46132</v>
      </c>
      <c r="H834" s="98">
        <v>0.41866898148148146</v>
      </c>
      <c r="I834" s="50">
        <v>166004610</v>
      </c>
      <c r="J834" s="96" t="s">
        <v>157</v>
      </c>
      <c r="K834" s="49" t="s">
        <v>1838</v>
      </c>
      <c r="L834" s="39" t="s">
        <v>1839</v>
      </c>
      <c r="M834" s="49" t="s">
        <v>429</v>
      </c>
      <c r="N834" s="39" t="s">
        <v>1485</v>
      </c>
      <c r="O834" s="96" t="s">
        <v>1840</v>
      </c>
      <c r="P834" s="49" t="s">
        <v>157</v>
      </c>
      <c r="Q834" s="96" t="s">
        <v>104</v>
      </c>
      <c r="R834" s="52">
        <v>21.9</v>
      </c>
      <c r="S834" s="52">
        <f>R834-T834</f>
        <v>19.553571428571427</v>
      </c>
      <c r="T834" s="52">
        <f>R834*U834/(U834+100)</f>
        <v>2.346428571428571</v>
      </c>
      <c r="U834" s="50">
        <v>12</v>
      </c>
      <c r="V834" s="53">
        <v>0</v>
      </c>
      <c r="W834" s="147">
        <v>1</v>
      </c>
      <c r="X834" s="148" t="s">
        <v>163</v>
      </c>
      <c r="Y834" s="54">
        <f>R834*W834</f>
        <v>21.9</v>
      </c>
      <c r="Z834" s="52">
        <f>S834*W834</f>
        <v>19.553571428571427</v>
      </c>
      <c r="AA834" s="52">
        <f>T834*W834</f>
        <v>2.346428571428571</v>
      </c>
      <c r="AB834" s="52">
        <f>V834*W834</f>
        <v>0</v>
      </c>
      <c r="AC834" s="53">
        <f>(R834+V834)*W834</f>
        <v>21.9</v>
      </c>
      <c r="AD834" s="138">
        <v>21.9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107</v>
      </c>
      <c r="F835" s="96" t="s">
        <v>106</v>
      </c>
      <c r="G835" s="97">
        <v>46132</v>
      </c>
      <c r="H835" s="98">
        <v>0.41866898148148146</v>
      </c>
      <c r="I835" s="50">
        <v>166004610</v>
      </c>
      <c r="J835" s="96" t="s">
        <v>157</v>
      </c>
      <c r="K835" s="49" t="s">
        <v>1838</v>
      </c>
      <c r="L835" s="39" t="s">
        <v>1839</v>
      </c>
      <c r="M835" s="49" t="s">
        <v>429</v>
      </c>
      <c r="N835" s="39" t="s">
        <v>1485</v>
      </c>
      <c r="O835" s="96" t="s">
        <v>1840</v>
      </c>
      <c r="P835" s="49" t="s">
        <v>157</v>
      </c>
      <c r="Q835" s="96" t="s">
        <v>104</v>
      </c>
      <c r="R835" s="52">
        <v>21.9</v>
      </c>
      <c r="S835" s="52">
        <f>R835-T835</f>
        <v>19.553571428571427</v>
      </c>
      <c r="T835" s="52">
        <f>R835*U835/(U835+100)</f>
        <v>2.346428571428571</v>
      </c>
      <c r="U835" s="50">
        <v>12</v>
      </c>
      <c r="V835" s="53">
        <v>0</v>
      </c>
      <c r="W835" s="147">
        <v>1</v>
      </c>
      <c r="X835" s="148" t="s">
        <v>163</v>
      </c>
      <c r="Y835" s="54">
        <f>R835*W835</f>
        <v>21.9</v>
      </c>
      <c r="Z835" s="52">
        <f>S835*W835</f>
        <v>19.553571428571427</v>
      </c>
      <c r="AA835" s="52">
        <f>T835*W835</f>
        <v>2.346428571428571</v>
      </c>
      <c r="AB835" s="52">
        <f>V835*W835</f>
        <v>0</v>
      </c>
      <c r="AC835" s="53">
        <f>(R835+V835)*W835</f>
        <v>21.9</v>
      </c>
      <c r="AD835" s="138">
        <v>21.9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107</v>
      </c>
      <c r="F836" s="96" t="s">
        <v>106</v>
      </c>
      <c r="G836" s="97">
        <v>46132</v>
      </c>
      <c r="H836" s="98">
        <v>0.41866898148148146</v>
      </c>
      <c r="I836" s="50">
        <v>166004610</v>
      </c>
      <c r="J836" s="96" t="s">
        <v>157</v>
      </c>
      <c r="K836" s="49" t="s">
        <v>1841</v>
      </c>
      <c r="L836" s="39" t="s">
        <v>1842</v>
      </c>
      <c r="M836" s="49" t="s">
        <v>1756</v>
      </c>
      <c r="N836" s="39" t="s">
        <v>1843</v>
      </c>
      <c r="O836" s="96" t="s">
        <v>1844</v>
      </c>
      <c r="P836" s="49" t="s">
        <v>157</v>
      </c>
      <c r="Q836" s="96" t="s">
        <v>104</v>
      </c>
      <c r="R836" s="52">
        <v>57.9</v>
      </c>
      <c r="S836" s="52">
        <f>R836-T836</f>
        <v>51.69642857142857</v>
      </c>
      <c r="T836" s="52">
        <f>R836*U836/(U836+100)</f>
        <v>6.203571428571428</v>
      </c>
      <c r="U836" s="50">
        <v>12</v>
      </c>
      <c r="V836" s="53">
        <v>0</v>
      </c>
      <c r="W836" s="147">
        <v>1</v>
      </c>
      <c r="X836" s="148" t="s">
        <v>163</v>
      </c>
      <c r="Y836" s="54">
        <f>R836*W836</f>
        <v>57.9</v>
      </c>
      <c r="Z836" s="52">
        <f>S836*W836</f>
        <v>51.69642857142857</v>
      </c>
      <c r="AA836" s="52">
        <f>T836*W836</f>
        <v>6.203571428571428</v>
      </c>
      <c r="AB836" s="52">
        <f>V836*W836</f>
        <v>0</v>
      </c>
      <c r="AC836" s="53">
        <f>(R836+V836)*W836</f>
        <v>57.9</v>
      </c>
      <c r="AD836" s="138">
        <v>57.9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107</v>
      </c>
      <c r="F837" s="96" t="s">
        <v>106</v>
      </c>
      <c r="G837" s="97">
        <v>46132</v>
      </c>
      <c r="H837" s="98">
        <v>0.41866898148148146</v>
      </c>
      <c r="I837" s="50">
        <v>166004610</v>
      </c>
      <c r="J837" s="96" t="s">
        <v>157</v>
      </c>
      <c r="K837" s="49" t="s">
        <v>606</v>
      </c>
      <c r="L837" s="39" t="s">
        <v>607</v>
      </c>
      <c r="M837" s="49" t="s">
        <v>608</v>
      </c>
      <c r="N837" s="39" t="s">
        <v>609</v>
      </c>
      <c r="O837" s="96" t="s">
        <v>1500</v>
      </c>
      <c r="P837" s="49" t="s">
        <v>235</v>
      </c>
      <c r="Q837" s="96" t="s">
        <v>236</v>
      </c>
      <c r="R837" s="52">
        <v>16.9</v>
      </c>
      <c r="S837" s="52">
        <f>R837-T837</f>
        <v>15.089285714285714</v>
      </c>
      <c r="T837" s="52">
        <f>R837*U837/(U837+100)</f>
        <v>1.8107142857142855</v>
      </c>
      <c r="U837" s="50">
        <v>12</v>
      </c>
      <c r="V837" s="53">
        <v>0</v>
      </c>
      <c r="W837" s="147">
        <v>1</v>
      </c>
      <c r="X837" s="148" t="s">
        <v>163</v>
      </c>
      <c r="Y837" s="54">
        <f>R837*W837</f>
        <v>16.9</v>
      </c>
      <c r="Z837" s="52">
        <f>S837*W837</f>
        <v>15.089285714285714</v>
      </c>
      <c r="AA837" s="52">
        <f>T837*W837</f>
        <v>1.8107142857142855</v>
      </c>
      <c r="AB837" s="52">
        <f>V837*W837</f>
        <v>0</v>
      </c>
      <c r="AC837" s="53">
        <f>(R837+V837)*W837</f>
        <v>16.9</v>
      </c>
      <c r="AD837" s="138">
        <v>16.9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107</v>
      </c>
      <c r="F838" s="96" t="s">
        <v>106</v>
      </c>
      <c r="G838" s="97">
        <v>46132</v>
      </c>
      <c r="H838" s="98">
        <v>0.41866898148148146</v>
      </c>
      <c r="I838" s="50">
        <v>166004610</v>
      </c>
      <c r="J838" s="96" t="s">
        <v>157</v>
      </c>
      <c r="K838" s="49" t="s">
        <v>611</v>
      </c>
      <c r="L838" s="39" t="s">
        <v>612</v>
      </c>
      <c r="M838" s="49" t="s">
        <v>608</v>
      </c>
      <c r="N838" s="39" t="s">
        <v>609</v>
      </c>
      <c r="O838" s="96" t="s">
        <v>1139</v>
      </c>
      <c r="P838" s="49" t="s">
        <v>235</v>
      </c>
      <c r="Q838" s="96" t="s">
        <v>236</v>
      </c>
      <c r="R838" s="52">
        <v>16.9</v>
      </c>
      <c r="S838" s="52">
        <f>R838-T838</f>
        <v>15.089285714285714</v>
      </c>
      <c r="T838" s="52">
        <f>R838*U838/(U838+100)</f>
        <v>1.8107142857142855</v>
      </c>
      <c r="U838" s="50">
        <v>12</v>
      </c>
      <c r="V838" s="53">
        <v>0</v>
      </c>
      <c r="W838" s="147">
        <v>1</v>
      </c>
      <c r="X838" s="148" t="s">
        <v>163</v>
      </c>
      <c r="Y838" s="54">
        <f>R838*W838</f>
        <v>16.9</v>
      </c>
      <c r="Z838" s="52">
        <f>S838*W838</f>
        <v>15.089285714285714</v>
      </c>
      <c r="AA838" s="52">
        <f>T838*W838</f>
        <v>1.8107142857142855</v>
      </c>
      <c r="AB838" s="52">
        <f>V838*W838</f>
        <v>0</v>
      </c>
      <c r="AC838" s="53">
        <f>(R838+V838)*W838</f>
        <v>16.9</v>
      </c>
      <c r="AD838" s="138">
        <v>16.9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107</v>
      </c>
      <c r="F839" s="96" t="s">
        <v>106</v>
      </c>
      <c r="G839" s="97">
        <v>46132</v>
      </c>
      <c r="H839" s="98">
        <v>0.41866898148148146</v>
      </c>
      <c r="I839" s="50">
        <v>166004610</v>
      </c>
      <c r="J839" s="96" t="s">
        <v>157</v>
      </c>
      <c r="K839" s="49" t="s">
        <v>1319</v>
      </c>
      <c r="L839" s="39" t="s">
        <v>1320</v>
      </c>
      <c r="M839" s="49" t="s">
        <v>1120</v>
      </c>
      <c r="N839" s="39" t="s">
        <v>1068</v>
      </c>
      <c r="O839" s="96" t="s">
        <v>1321</v>
      </c>
      <c r="P839" s="49" t="s">
        <v>157</v>
      </c>
      <c r="Q839" s="96" t="s">
        <v>104</v>
      </c>
      <c r="R839" s="52">
        <v>24.9</v>
      </c>
      <c r="S839" s="52">
        <f>R839-T839</f>
        <v>22.232142857142858</v>
      </c>
      <c r="T839" s="52">
        <f>R839*U839/(U839+100)</f>
        <v>2.6678571428571423</v>
      </c>
      <c r="U839" s="50">
        <v>12</v>
      </c>
      <c r="V839" s="53">
        <v>0</v>
      </c>
      <c r="W839" s="147">
        <v>1</v>
      </c>
      <c r="X839" s="148" t="s">
        <v>163</v>
      </c>
      <c r="Y839" s="54">
        <f>R839*W839</f>
        <v>24.9</v>
      </c>
      <c r="Z839" s="52">
        <f>S839*W839</f>
        <v>22.232142857142858</v>
      </c>
      <c r="AA839" s="52">
        <f>T839*W839</f>
        <v>2.6678571428571423</v>
      </c>
      <c r="AB839" s="52">
        <f>V839*W839</f>
        <v>0</v>
      </c>
      <c r="AC839" s="53">
        <f>(R839+V839)*W839</f>
        <v>24.9</v>
      </c>
      <c r="AD839" s="138">
        <v>24.9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107</v>
      </c>
      <c r="F840" s="96" t="s">
        <v>106</v>
      </c>
      <c r="G840" s="97">
        <v>46132</v>
      </c>
      <c r="H840" s="98">
        <v>0.41866898148148146</v>
      </c>
      <c r="I840" s="50">
        <v>166004610</v>
      </c>
      <c r="J840" s="96" t="s">
        <v>157</v>
      </c>
      <c r="K840" s="49" t="s">
        <v>1845</v>
      </c>
      <c r="L840" s="39" t="s">
        <v>1846</v>
      </c>
      <c r="M840" s="49" t="s">
        <v>300</v>
      </c>
      <c r="N840" s="39" t="s">
        <v>1643</v>
      </c>
      <c r="O840" s="96" t="s">
        <v>1847</v>
      </c>
      <c r="P840" s="49" t="s">
        <v>157</v>
      </c>
      <c r="Q840" s="96" t="s">
        <v>104</v>
      </c>
      <c r="R840" s="52">
        <v>29.9</v>
      </c>
      <c r="S840" s="52">
        <f>R840-T840</f>
        <v>26.69642857142857</v>
      </c>
      <c r="T840" s="52">
        <f>R840*U840/(U840+100)</f>
        <v>3.2035714285714283</v>
      </c>
      <c r="U840" s="50">
        <v>12</v>
      </c>
      <c r="V840" s="53">
        <v>0</v>
      </c>
      <c r="W840" s="147">
        <v>1</v>
      </c>
      <c r="X840" s="148" t="s">
        <v>163</v>
      </c>
      <c r="Y840" s="54">
        <f>R840*W840</f>
        <v>29.9</v>
      </c>
      <c r="Z840" s="52">
        <f>S840*W840</f>
        <v>26.69642857142857</v>
      </c>
      <c r="AA840" s="52">
        <f>T840*W840</f>
        <v>3.2035714285714283</v>
      </c>
      <c r="AB840" s="52">
        <f>V840*W840</f>
        <v>0</v>
      </c>
      <c r="AC840" s="53">
        <f>(R840+V840)*W840</f>
        <v>29.9</v>
      </c>
      <c r="AD840" s="138">
        <v>29.9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107</v>
      </c>
      <c r="F841" s="96" t="s">
        <v>106</v>
      </c>
      <c r="G841" s="97">
        <v>46132</v>
      </c>
      <c r="H841" s="98">
        <v>0.41866898148148146</v>
      </c>
      <c r="I841" s="50">
        <v>166004610</v>
      </c>
      <c r="J841" s="96" t="s">
        <v>157</v>
      </c>
      <c r="K841" s="49" t="s">
        <v>1845</v>
      </c>
      <c r="L841" s="39" t="s">
        <v>1846</v>
      </c>
      <c r="M841" s="49" t="s">
        <v>300</v>
      </c>
      <c r="N841" s="39" t="s">
        <v>1643</v>
      </c>
      <c r="O841" s="96" t="s">
        <v>1847</v>
      </c>
      <c r="P841" s="49" t="s">
        <v>157</v>
      </c>
      <c r="Q841" s="96" t="s">
        <v>104</v>
      </c>
      <c r="R841" s="52">
        <v>29.9</v>
      </c>
      <c r="S841" s="52">
        <f>R841-T841</f>
        <v>26.69642857142857</v>
      </c>
      <c r="T841" s="52">
        <f>R841*U841/(U841+100)</f>
        <v>3.2035714285714283</v>
      </c>
      <c r="U841" s="50">
        <v>12</v>
      </c>
      <c r="V841" s="53">
        <v>0</v>
      </c>
      <c r="W841" s="147">
        <v>1</v>
      </c>
      <c r="X841" s="148" t="s">
        <v>163</v>
      </c>
      <c r="Y841" s="54">
        <f>R841*W841</f>
        <v>29.9</v>
      </c>
      <c r="Z841" s="52">
        <f>S841*W841</f>
        <v>26.69642857142857</v>
      </c>
      <c r="AA841" s="52">
        <f>T841*W841</f>
        <v>3.2035714285714283</v>
      </c>
      <c r="AB841" s="52">
        <f>V841*W841</f>
        <v>0</v>
      </c>
      <c r="AC841" s="53">
        <f>(R841+V841)*W841</f>
        <v>29.9</v>
      </c>
      <c r="AD841" s="138">
        <v>29.9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107</v>
      </c>
      <c r="F842" s="96" t="s">
        <v>106</v>
      </c>
      <c r="G842" s="97">
        <v>46132</v>
      </c>
      <c r="H842" s="98">
        <v>0.41866898148148146</v>
      </c>
      <c r="I842" s="50">
        <v>166004610</v>
      </c>
      <c r="J842" s="96" t="s">
        <v>157</v>
      </c>
      <c r="K842" s="49" t="s">
        <v>1848</v>
      </c>
      <c r="L842" s="39" t="s">
        <v>1849</v>
      </c>
      <c r="M842" s="49" t="s">
        <v>1850</v>
      </c>
      <c r="N842" s="39" t="s">
        <v>731</v>
      </c>
      <c r="O842" s="96" t="s">
        <v>1851</v>
      </c>
      <c r="P842" s="49" t="s">
        <v>157</v>
      </c>
      <c r="Q842" s="96" t="s">
        <v>104</v>
      </c>
      <c r="R842" s="52">
        <v>49.9</v>
      </c>
      <c r="S842" s="52">
        <f>R842-T842</f>
        <v>41.239669421487605</v>
      </c>
      <c r="T842" s="52">
        <f>R842*U842/(U842+100)</f>
        <v>8.660330578512395</v>
      </c>
      <c r="U842" s="50">
        <v>21</v>
      </c>
      <c r="V842" s="53">
        <v>0</v>
      </c>
      <c r="W842" s="147">
        <v>1</v>
      </c>
      <c r="X842" s="148" t="s">
        <v>163</v>
      </c>
      <c r="Y842" s="54">
        <f>R842*W842</f>
        <v>49.9</v>
      </c>
      <c r="Z842" s="52">
        <f>S842*W842</f>
        <v>41.239669421487605</v>
      </c>
      <c r="AA842" s="52">
        <f>T842*W842</f>
        <v>8.660330578512395</v>
      </c>
      <c r="AB842" s="52">
        <f>V842*W842</f>
        <v>0</v>
      </c>
      <c r="AC842" s="53">
        <f>(R842+V842)*W842</f>
        <v>49.9</v>
      </c>
      <c r="AD842" s="138">
        <v>49.9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107</v>
      </c>
      <c r="F843" s="96" t="s">
        <v>106</v>
      </c>
      <c r="G843" s="97">
        <v>46132</v>
      </c>
      <c r="H843" s="98">
        <v>0.41866898148148146</v>
      </c>
      <c r="I843" s="50">
        <v>166004610</v>
      </c>
      <c r="J843" s="96" t="s">
        <v>157</v>
      </c>
      <c r="K843" s="49" t="s">
        <v>1612</v>
      </c>
      <c r="L843" s="39" t="s">
        <v>1613</v>
      </c>
      <c r="M843" s="49" t="s">
        <v>190</v>
      </c>
      <c r="N843" s="39" t="s">
        <v>462</v>
      </c>
      <c r="O843" s="96" t="s">
        <v>1614</v>
      </c>
      <c r="P843" s="49" t="s">
        <v>157</v>
      </c>
      <c r="Q843" s="96" t="s">
        <v>104</v>
      </c>
      <c r="R843" s="52">
        <v>33.9</v>
      </c>
      <c r="S843" s="52">
        <f>R843-T843</f>
        <v>30.267857142857142</v>
      </c>
      <c r="T843" s="52">
        <f>R843*U843/(U843+100)</f>
        <v>3.6321428571428567</v>
      </c>
      <c r="U843" s="50">
        <v>12</v>
      </c>
      <c r="V843" s="53">
        <v>0</v>
      </c>
      <c r="W843" s="147">
        <v>1</v>
      </c>
      <c r="X843" s="148" t="s">
        <v>163</v>
      </c>
      <c r="Y843" s="54">
        <f>R843*W843</f>
        <v>33.9</v>
      </c>
      <c r="Z843" s="52">
        <f>S843*W843</f>
        <v>30.267857142857142</v>
      </c>
      <c r="AA843" s="52">
        <f>T843*W843</f>
        <v>3.6321428571428567</v>
      </c>
      <c r="AB843" s="52">
        <f>V843*W843</f>
        <v>0</v>
      </c>
      <c r="AC843" s="53">
        <f>(R843+V843)*W843</f>
        <v>33.9</v>
      </c>
      <c r="AD843" s="138">
        <v>33.9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107</v>
      </c>
      <c r="F844" s="96" t="s">
        <v>106</v>
      </c>
      <c r="G844" s="97">
        <v>46132</v>
      </c>
      <c r="H844" s="98">
        <v>0.41866898148148146</v>
      </c>
      <c r="I844" s="50">
        <v>166004610</v>
      </c>
      <c r="J844" s="96" t="s">
        <v>157</v>
      </c>
      <c r="K844" s="49" t="s">
        <v>711</v>
      </c>
      <c r="L844" s="39" t="s">
        <v>712</v>
      </c>
      <c r="M844" s="49" t="s">
        <v>190</v>
      </c>
      <c r="N844" s="39" t="s">
        <v>532</v>
      </c>
      <c r="O844" s="96" t="s">
        <v>713</v>
      </c>
      <c r="P844" s="49" t="s">
        <v>235</v>
      </c>
      <c r="Q844" s="96" t="s">
        <v>236</v>
      </c>
      <c r="R844" s="52">
        <v>27.9</v>
      </c>
      <c r="S844" s="52">
        <f>R844-T844</f>
        <v>24.910714285714285</v>
      </c>
      <c r="T844" s="52">
        <f>R844*U844/(U844+100)</f>
        <v>2.989285714285714</v>
      </c>
      <c r="U844" s="50">
        <v>12</v>
      </c>
      <c r="V844" s="53">
        <v>0</v>
      </c>
      <c r="W844" s="147">
        <v>0.87</v>
      </c>
      <c r="X844" s="148" t="s">
        <v>193</v>
      </c>
      <c r="Y844" s="54">
        <f>R844*W844</f>
        <v>24.273</v>
      </c>
      <c r="Z844" s="52">
        <f>S844*W844</f>
        <v>21.67232142857143</v>
      </c>
      <c r="AA844" s="52">
        <f>T844*W844</f>
        <v>2.600678571428571</v>
      </c>
      <c r="AB844" s="52">
        <f>V844*W844</f>
        <v>0</v>
      </c>
      <c r="AC844" s="53">
        <f>(R844+V844)*W844</f>
        <v>24.273</v>
      </c>
      <c r="AD844" s="138">
        <v>27.9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107</v>
      </c>
      <c r="F845" s="96" t="s">
        <v>106</v>
      </c>
      <c r="G845" s="97">
        <v>46132</v>
      </c>
      <c r="H845" s="98">
        <v>0.41866898148148146</v>
      </c>
      <c r="I845" s="50">
        <v>166004610</v>
      </c>
      <c r="J845" s="96" t="s">
        <v>157</v>
      </c>
      <c r="K845" s="49" t="s">
        <v>1329</v>
      </c>
      <c r="L845" s="39" t="s">
        <v>1330</v>
      </c>
      <c r="M845" s="49" t="s">
        <v>403</v>
      </c>
      <c r="N845" s="39" t="s">
        <v>373</v>
      </c>
      <c r="O845" s="96" t="s">
        <v>1331</v>
      </c>
      <c r="P845" s="49" t="s">
        <v>157</v>
      </c>
      <c r="Q845" s="96" t="s">
        <v>104</v>
      </c>
      <c r="R845" s="52">
        <v>171.9</v>
      </c>
      <c r="S845" s="52">
        <f>R845-T845</f>
        <v>153.48214285714286</v>
      </c>
      <c r="T845" s="52">
        <f>R845*U845/(U845+100)</f>
        <v>18.417857142857144</v>
      </c>
      <c r="U845" s="50">
        <v>12</v>
      </c>
      <c r="V845" s="53">
        <v>0</v>
      </c>
      <c r="W845" s="147">
        <v>0.462</v>
      </c>
      <c r="X845" s="148" t="s">
        <v>193</v>
      </c>
      <c r="Y845" s="54">
        <f>R845*W845</f>
        <v>79.4178</v>
      </c>
      <c r="Z845" s="52">
        <f>S845*W845</f>
        <v>70.90875000000001</v>
      </c>
      <c r="AA845" s="52">
        <f>T845*W845</f>
        <v>8.509050000000002</v>
      </c>
      <c r="AB845" s="52">
        <f>V845*W845</f>
        <v>0</v>
      </c>
      <c r="AC845" s="53">
        <f>(R845+V845)*W845</f>
        <v>79.4178</v>
      </c>
      <c r="AD845" s="138">
        <v>171.9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107</v>
      </c>
      <c r="F846" s="96" t="s">
        <v>106</v>
      </c>
      <c r="G846" s="97">
        <v>46132</v>
      </c>
      <c r="H846" s="98">
        <v>0.4202546296296296</v>
      </c>
      <c r="I846" s="50">
        <v>166004611</v>
      </c>
      <c r="J846" s="96" t="s">
        <v>157</v>
      </c>
      <c r="K846" s="49" t="s">
        <v>507</v>
      </c>
      <c r="L846" s="39" t="s">
        <v>508</v>
      </c>
      <c r="M846" s="49" t="s">
        <v>509</v>
      </c>
      <c r="N846" s="39" t="s">
        <v>256</v>
      </c>
      <c r="O846" s="96" t="s">
        <v>1024</v>
      </c>
      <c r="P846" s="49" t="s">
        <v>235</v>
      </c>
      <c r="Q846" s="96" t="s">
        <v>236</v>
      </c>
      <c r="R846" s="52">
        <v>15.9</v>
      </c>
      <c r="S846" s="52">
        <f>R846-T846</f>
        <v>13.140495867768596</v>
      </c>
      <c r="T846" s="52">
        <f>R846*U846/(U846+100)</f>
        <v>2.759504132231405</v>
      </c>
      <c r="U846" s="50">
        <v>21</v>
      </c>
      <c r="V846" s="53">
        <v>0</v>
      </c>
      <c r="W846" s="147">
        <v>1</v>
      </c>
      <c r="X846" s="148" t="s">
        <v>163</v>
      </c>
      <c r="Y846" s="54">
        <f>R846*W846</f>
        <v>15.9</v>
      </c>
      <c r="Z846" s="52">
        <f>S846*W846</f>
        <v>13.140495867768596</v>
      </c>
      <c r="AA846" s="52">
        <f>T846*W846</f>
        <v>2.759504132231405</v>
      </c>
      <c r="AB846" s="52">
        <f>V846*W846</f>
        <v>0</v>
      </c>
      <c r="AC846" s="53">
        <f>(R846+V846)*W846</f>
        <v>15.9</v>
      </c>
      <c r="AD846" s="138">
        <v>15.9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107</v>
      </c>
      <c r="F847" s="96" t="s">
        <v>106</v>
      </c>
      <c r="G847" s="97">
        <v>46132</v>
      </c>
      <c r="H847" s="98">
        <v>0.42050925925925925</v>
      </c>
      <c r="I847" s="50">
        <v>166004612</v>
      </c>
      <c r="J847" s="96" t="s">
        <v>157</v>
      </c>
      <c r="K847" s="49" t="s">
        <v>1343</v>
      </c>
      <c r="L847" s="39" t="s">
        <v>1344</v>
      </c>
      <c r="M847" s="49" t="s">
        <v>522</v>
      </c>
      <c r="N847" s="39" t="s">
        <v>440</v>
      </c>
      <c r="O847" s="96" t="s">
        <v>1345</v>
      </c>
      <c r="P847" s="49" t="s">
        <v>157</v>
      </c>
      <c r="Q847" s="96" t="s">
        <v>104</v>
      </c>
      <c r="R847" s="52">
        <v>199.9</v>
      </c>
      <c r="S847" s="52">
        <f>R847-T847</f>
        <v>178.48214285714286</v>
      </c>
      <c r="T847" s="52">
        <f>R847*U847/(U847+100)</f>
        <v>21.417857142857144</v>
      </c>
      <c r="U847" s="50">
        <v>12</v>
      </c>
      <c r="V847" s="53">
        <v>0</v>
      </c>
      <c r="W847" s="147">
        <v>0.194</v>
      </c>
      <c r="X847" s="148" t="s">
        <v>193</v>
      </c>
      <c r="Y847" s="54">
        <f>R847*W847</f>
        <v>38.7806</v>
      </c>
      <c r="Z847" s="52">
        <f>S847*W847</f>
        <v>34.62553571428572</v>
      </c>
      <c r="AA847" s="52">
        <f>T847*W847</f>
        <v>4.155064285714286</v>
      </c>
      <c r="AB847" s="52">
        <f>V847*W847</f>
        <v>0</v>
      </c>
      <c r="AC847" s="53">
        <f>(R847+V847)*W847</f>
        <v>38.7806</v>
      </c>
      <c r="AD847" s="138">
        <v>199.9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107</v>
      </c>
      <c r="F848" s="96" t="s">
        <v>106</v>
      </c>
      <c r="G848" s="97">
        <v>46132</v>
      </c>
      <c r="H848" s="98">
        <v>0.4209027777777778</v>
      </c>
      <c r="I848" s="50">
        <v>166004613</v>
      </c>
      <c r="J848" s="96" t="s">
        <v>157</v>
      </c>
      <c r="K848" s="49" t="s">
        <v>1852</v>
      </c>
      <c r="L848" s="39" t="s">
        <v>1853</v>
      </c>
      <c r="M848" s="49" t="s">
        <v>232</v>
      </c>
      <c r="N848" s="39" t="s">
        <v>233</v>
      </c>
      <c r="O848" s="96" t="s">
        <v>1854</v>
      </c>
      <c r="P848" s="49" t="s">
        <v>157</v>
      </c>
      <c r="Q848" s="96" t="s">
        <v>104</v>
      </c>
      <c r="R848" s="52">
        <v>22.9</v>
      </c>
      <c r="S848" s="52">
        <f>R848-T848</f>
        <v>18.925619834710744</v>
      </c>
      <c r="T848" s="52">
        <f>R848*U848/(U848+100)</f>
        <v>3.974380165289256</v>
      </c>
      <c r="U848" s="50">
        <v>21</v>
      </c>
      <c r="V848" s="53">
        <v>0</v>
      </c>
      <c r="W848" s="147">
        <v>1</v>
      </c>
      <c r="X848" s="148" t="s">
        <v>163</v>
      </c>
      <c r="Y848" s="54">
        <f>R848*W848</f>
        <v>22.9</v>
      </c>
      <c r="Z848" s="52">
        <f>S848*W848</f>
        <v>18.925619834710744</v>
      </c>
      <c r="AA848" s="52">
        <f>T848*W848</f>
        <v>3.974380165289256</v>
      </c>
      <c r="AB848" s="52">
        <f>V848*W848</f>
        <v>0</v>
      </c>
      <c r="AC848" s="53">
        <f>(R848+V848)*W848</f>
        <v>22.9</v>
      </c>
      <c r="AD848" s="138">
        <v>22.9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107</v>
      </c>
      <c r="F849" s="96" t="s">
        <v>106</v>
      </c>
      <c r="G849" s="97">
        <v>46132</v>
      </c>
      <c r="H849" s="98">
        <v>0.42236111111111113</v>
      </c>
      <c r="I849" s="50">
        <v>166004614</v>
      </c>
      <c r="J849" s="96" t="s">
        <v>157</v>
      </c>
      <c r="K849" s="49" t="s">
        <v>303</v>
      </c>
      <c r="L849" s="39" t="s">
        <v>304</v>
      </c>
      <c r="M849" s="49" t="s">
        <v>214</v>
      </c>
      <c r="N849" s="39" t="s">
        <v>296</v>
      </c>
      <c r="O849" s="96" t="s">
        <v>305</v>
      </c>
      <c r="P849" s="49" t="s">
        <v>157</v>
      </c>
      <c r="Q849" s="96" t="s">
        <v>104</v>
      </c>
      <c r="R849" s="52">
        <v>11.9</v>
      </c>
      <c r="S849" s="52">
        <f>R849-T849</f>
        <v>10.625</v>
      </c>
      <c r="T849" s="52">
        <f>R849*U849/(U849+100)</f>
        <v>1.2750000000000001</v>
      </c>
      <c r="U849" s="50">
        <v>12</v>
      </c>
      <c r="V849" s="53">
        <v>0</v>
      </c>
      <c r="W849" s="147">
        <v>1</v>
      </c>
      <c r="X849" s="148" t="s">
        <v>163</v>
      </c>
      <c r="Y849" s="54">
        <f>R849*W849</f>
        <v>11.9</v>
      </c>
      <c r="Z849" s="52">
        <f>S849*W849</f>
        <v>10.625</v>
      </c>
      <c r="AA849" s="52">
        <f>T849*W849</f>
        <v>1.2750000000000001</v>
      </c>
      <c r="AB849" s="52">
        <f>V849*W849</f>
        <v>0</v>
      </c>
      <c r="AC849" s="53">
        <f>(R849+V849)*W849</f>
        <v>11.9</v>
      </c>
      <c r="AD849" s="138">
        <v>11.9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107</v>
      </c>
      <c r="F850" s="96" t="s">
        <v>106</v>
      </c>
      <c r="G850" s="97">
        <v>46132</v>
      </c>
      <c r="H850" s="98">
        <v>0.42236111111111113</v>
      </c>
      <c r="I850" s="50">
        <v>166004614</v>
      </c>
      <c r="J850" s="96" t="s">
        <v>157</v>
      </c>
      <c r="K850" s="49" t="s">
        <v>1855</v>
      </c>
      <c r="L850" s="39" t="s">
        <v>1856</v>
      </c>
      <c r="M850" s="49" t="s">
        <v>369</v>
      </c>
      <c r="N850" s="39" t="s">
        <v>373</v>
      </c>
      <c r="O850" s="96" t="s">
        <v>1857</v>
      </c>
      <c r="P850" s="49" t="s">
        <v>157</v>
      </c>
      <c r="Q850" s="96" t="s">
        <v>104</v>
      </c>
      <c r="R850" s="52">
        <v>269.9</v>
      </c>
      <c r="S850" s="52">
        <f>R850-T850</f>
        <v>240.98214285714283</v>
      </c>
      <c r="T850" s="52">
        <f>R850*U850/(U850+100)</f>
        <v>28.91785714285714</v>
      </c>
      <c r="U850" s="50">
        <v>12</v>
      </c>
      <c r="V850" s="53">
        <v>0</v>
      </c>
      <c r="W850" s="147">
        <v>0.1</v>
      </c>
      <c r="X850" s="148" t="s">
        <v>193</v>
      </c>
      <c r="Y850" s="54">
        <f>R850*W850</f>
        <v>26.99</v>
      </c>
      <c r="Z850" s="52">
        <f>S850*W850</f>
        <v>24.098214285714285</v>
      </c>
      <c r="AA850" s="52">
        <f>T850*W850</f>
        <v>2.891785714285714</v>
      </c>
      <c r="AB850" s="52">
        <f>V850*W850</f>
        <v>0</v>
      </c>
      <c r="AC850" s="53">
        <f>(R850+V850)*W850</f>
        <v>26.99</v>
      </c>
      <c r="AD850" s="138">
        <v>269.9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107</v>
      </c>
      <c r="F851" s="96" t="s">
        <v>106</v>
      </c>
      <c r="G851" s="97">
        <v>46132</v>
      </c>
      <c r="H851" s="98">
        <v>0.423599537037037</v>
      </c>
      <c r="I851" s="50">
        <v>166004615</v>
      </c>
      <c r="J851" s="96" t="s">
        <v>157</v>
      </c>
      <c r="K851" s="49" t="s">
        <v>1858</v>
      </c>
      <c r="L851" s="39" t="s">
        <v>1859</v>
      </c>
      <c r="M851" s="49" t="s">
        <v>1860</v>
      </c>
      <c r="N851" s="39" t="s">
        <v>161</v>
      </c>
      <c r="O851" s="96" t="s">
        <v>1861</v>
      </c>
      <c r="P851" s="49" t="s">
        <v>157</v>
      </c>
      <c r="Q851" s="96" t="s">
        <v>104</v>
      </c>
      <c r="R851" s="52">
        <v>54.9</v>
      </c>
      <c r="S851" s="52">
        <f>R851-T851</f>
        <v>49.01785714285714</v>
      </c>
      <c r="T851" s="52">
        <f>R851*U851/(U851+100)</f>
        <v>5.882142857142857</v>
      </c>
      <c r="U851" s="50">
        <v>12</v>
      </c>
      <c r="V851" s="53">
        <v>0</v>
      </c>
      <c r="W851" s="147">
        <v>1</v>
      </c>
      <c r="X851" s="148" t="s">
        <v>163</v>
      </c>
      <c r="Y851" s="54">
        <f>R851*W851</f>
        <v>54.9</v>
      </c>
      <c r="Z851" s="52">
        <f>S851*W851</f>
        <v>49.01785714285714</v>
      </c>
      <c r="AA851" s="52">
        <f>T851*W851</f>
        <v>5.882142857142857</v>
      </c>
      <c r="AB851" s="52">
        <f>V851*W851</f>
        <v>0</v>
      </c>
      <c r="AC851" s="53">
        <f>(R851+V851)*W851</f>
        <v>54.9</v>
      </c>
      <c r="AD851" s="138">
        <v>54.9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107</v>
      </c>
      <c r="F852" s="96" t="s">
        <v>106</v>
      </c>
      <c r="G852" s="97">
        <v>46132</v>
      </c>
      <c r="H852" s="98">
        <v>0.423599537037037</v>
      </c>
      <c r="I852" s="50">
        <v>166004615</v>
      </c>
      <c r="J852" s="96" t="s">
        <v>157</v>
      </c>
      <c r="K852" s="49" t="s">
        <v>1664</v>
      </c>
      <c r="L852" s="39" t="s">
        <v>1665</v>
      </c>
      <c r="M852" s="49" t="s">
        <v>893</v>
      </c>
      <c r="N852" s="39" t="s">
        <v>291</v>
      </c>
      <c r="O852" s="96" t="s">
        <v>1666</v>
      </c>
      <c r="P852" s="49" t="s">
        <v>157</v>
      </c>
      <c r="Q852" s="96" t="s">
        <v>104</v>
      </c>
      <c r="R852" s="52">
        <v>24.9</v>
      </c>
      <c r="S852" s="52">
        <f>R852-T852</f>
        <v>22.232142857142858</v>
      </c>
      <c r="T852" s="52">
        <f>R852*U852/(U852+100)</f>
        <v>2.6678571428571423</v>
      </c>
      <c r="U852" s="50">
        <v>12</v>
      </c>
      <c r="V852" s="53">
        <v>0</v>
      </c>
      <c r="W852" s="147">
        <v>1</v>
      </c>
      <c r="X852" s="148" t="s">
        <v>163</v>
      </c>
      <c r="Y852" s="54">
        <f>R852*W852</f>
        <v>24.9</v>
      </c>
      <c r="Z852" s="52">
        <f>S852*W852</f>
        <v>22.232142857142858</v>
      </c>
      <c r="AA852" s="52">
        <f>T852*W852</f>
        <v>2.6678571428571423</v>
      </c>
      <c r="AB852" s="52">
        <f>V852*W852</f>
        <v>0</v>
      </c>
      <c r="AC852" s="53">
        <f>(R852+V852)*W852</f>
        <v>24.9</v>
      </c>
      <c r="AD852" s="138">
        <v>24.9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107</v>
      </c>
      <c r="F853" s="96" t="s">
        <v>106</v>
      </c>
      <c r="G853" s="97">
        <v>46132</v>
      </c>
      <c r="H853" s="98">
        <v>0.423599537037037</v>
      </c>
      <c r="I853" s="50">
        <v>166004615</v>
      </c>
      <c r="J853" s="96" t="s">
        <v>157</v>
      </c>
      <c r="K853" s="49" t="s">
        <v>1862</v>
      </c>
      <c r="L853" s="39" t="s">
        <v>1863</v>
      </c>
      <c r="M853" s="49" t="s">
        <v>893</v>
      </c>
      <c r="N853" s="39" t="s">
        <v>291</v>
      </c>
      <c r="O853" s="96" t="s">
        <v>1864</v>
      </c>
      <c r="P853" s="49" t="s">
        <v>157</v>
      </c>
      <c r="Q853" s="96" t="s">
        <v>104</v>
      </c>
      <c r="R853" s="52">
        <v>24.9</v>
      </c>
      <c r="S853" s="52">
        <f>R853-T853</f>
        <v>22.232142857142858</v>
      </c>
      <c r="T853" s="52">
        <f>R853*U853/(U853+100)</f>
        <v>2.6678571428571423</v>
      </c>
      <c r="U853" s="50">
        <v>12</v>
      </c>
      <c r="V853" s="53">
        <v>0</v>
      </c>
      <c r="W853" s="147">
        <v>1</v>
      </c>
      <c r="X853" s="148" t="s">
        <v>163</v>
      </c>
      <c r="Y853" s="54">
        <f>R853*W853</f>
        <v>24.9</v>
      </c>
      <c r="Z853" s="52">
        <f>S853*W853</f>
        <v>22.232142857142858</v>
      </c>
      <c r="AA853" s="52">
        <f>T853*W853</f>
        <v>2.6678571428571423</v>
      </c>
      <c r="AB853" s="52">
        <f>V853*W853</f>
        <v>0</v>
      </c>
      <c r="AC853" s="53">
        <f>(R853+V853)*W853</f>
        <v>24.9</v>
      </c>
      <c r="AD853" s="138">
        <v>24.9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107</v>
      </c>
      <c r="F854" s="96" t="s">
        <v>106</v>
      </c>
      <c r="G854" s="97">
        <v>46132</v>
      </c>
      <c r="H854" s="98">
        <v>0.423599537037037</v>
      </c>
      <c r="I854" s="50">
        <v>166004615</v>
      </c>
      <c r="J854" s="96" t="s">
        <v>157</v>
      </c>
      <c r="K854" s="49" t="s">
        <v>1359</v>
      </c>
      <c r="L854" s="39" t="s">
        <v>1360</v>
      </c>
      <c r="M854" s="49" t="s">
        <v>645</v>
      </c>
      <c r="N854" s="39" t="s">
        <v>319</v>
      </c>
      <c r="O854" s="96" t="s">
        <v>1361</v>
      </c>
      <c r="P854" s="49" t="s">
        <v>157</v>
      </c>
      <c r="Q854" s="96" t="s">
        <v>104</v>
      </c>
      <c r="R854" s="52">
        <v>23.9</v>
      </c>
      <c r="S854" s="52">
        <f>R854-T854</f>
        <v>21.33928571428571</v>
      </c>
      <c r="T854" s="52">
        <f>R854*U854/(U854+100)</f>
        <v>2.5607142857142855</v>
      </c>
      <c r="U854" s="50">
        <v>12</v>
      </c>
      <c r="V854" s="53">
        <v>0</v>
      </c>
      <c r="W854" s="147">
        <v>1</v>
      </c>
      <c r="X854" s="148" t="s">
        <v>163</v>
      </c>
      <c r="Y854" s="54">
        <f>R854*W854</f>
        <v>23.9</v>
      </c>
      <c r="Z854" s="52">
        <f>S854*W854</f>
        <v>21.33928571428571</v>
      </c>
      <c r="AA854" s="52">
        <f>T854*W854</f>
        <v>2.5607142857142855</v>
      </c>
      <c r="AB854" s="52">
        <f>V854*W854</f>
        <v>0</v>
      </c>
      <c r="AC854" s="53">
        <f>(R854+V854)*W854</f>
        <v>23.9</v>
      </c>
      <c r="AD854" s="138">
        <v>23.9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107</v>
      </c>
      <c r="F855" s="96" t="s">
        <v>106</v>
      </c>
      <c r="G855" s="97">
        <v>46132</v>
      </c>
      <c r="H855" s="98">
        <v>0.423599537037037</v>
      </c>
      <c r="I855" s="50">
        <v>166004615</v>
      </c>
      <c r="J855" s="96" t="s">
        <v>157</v>
      </c>
      <c r="K855" s="49" t="s">
        <v>1787</v>
      </c>
      <c r="L855" s="39" t="s">
        <v>1788</v>
      </c>
      <c r="M855" s="49" t="s">
        <v>190</v>
      </c>
      <c r="N855" s="39" t="s">
        <v>191</v>
      </c>
      <c r="O855" s="96" t="s">
        <v>1789</v>
      </c>
      <c r="P855" s="49" t="s">
        <v>157</v>
      </c>
      <c r="Q855" s="96" t="s">
        <v>104</v>
      </c>
      <c r="R855" s="52">
        <v>109.9</v>
      </c>
      <c r="S855" s="52">
        <f>R855-T855</f>
        <v>98.125</v>
      </c>
      <c r="T855" s="52">
        <f>R855*U855/(U855+100)</f>
        <v>11.775000000000002</v>
      </c>
      <c r="U855" s="50">
        <v>12</v>
      </c>
      <c r="V855" s="53">
        <v>0</v>
      </c>
      <c r="W855" s="147">
        <v>0.244</v>
      </c>
      <c r="X855" s="148" t="s">
        <v>193</v>
      </c>
      <c r="Y855" s="54">
        <f>R855*W855</f>
        <v>26.8156</v>
      </c>
      <c r="Z855" s="52">
        <f>S855*W855</f>
        <v>23.9425</v>
      </c>
      <c r="AA855" s="52">
        <f>T855*W855</f>
        <v>2.8731000000000004</v>
      </c>
      <c r="AB855" s="52">
        <f>V855*W855</f>
        <v>0</v>
      </c>
      <c r="AC855" s="53">
        <f>(R855+V855)*W855</f>
        <v>26.8156</v>
      </c>
      <c r="AD855" s="138">
        <v>109.9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107</v>
      </c>
      <c r="F856" s="96" t="s">
        <v>106</v>
      </c>
      <c r="G856" s="97">
        <v>46132</v>
      </c>
      <c r="H856" s="98">
        <v>0.423599537037037</v>
      </c>
      <c r="I856" s="50">
        <v>166004615</v>
      </c>
      <c r="J856" s="96" t="s">
        <v>157</v>
      </c>
      <c r="K856" s="49" t="s">
        <v>1865</v>
      </c>
      <c r="L856" s="39" t="s">
        <v>1866</v>
      </c>
      <c r="M856" s="49" t="s">
        <v>190</v>
      </c>
      <c r="N856" s="39" t="s">
        <v>191</v>
      </c>
      <c r="O856" s="96" t="s">
        <v>1867</v>
      </c>
      <c r="P856" s="49" t="s">
        <v>157</v>
      </c>
      <c r="Q856" s="96" t="s">
        <v>104</v>
      </c>
      <c r="R856" s="52">
        <v>14.9</v>
      </c>
      <c r="S856" s="52">
        <f>R856-T856</f>
        <v>13.303571428571429</v>
      </c>
      <c r="T856" s="52">
        <f>R856*U856/(U856+100)</f>
        <v>1.5964285714285715</v>
      </c>
      <c r="U856" s="50">
        <v>12</v>
      </c>
      <c r="V856" s="53">
        <v>0</v>
      </c>
      <c r="W856" s="147">
        <v>0.598</v>
      </c>
      <c r="X856" s="148" t="s">
        <v>193</v>
      </c>
      <c r="Y856" s="54">
        <f>R856*W856</f>
        <v>8.9102</v>
      </c>
      <c r="Z856" s="52">
        <f>S856*W856</f>
        <v>7.955535714285714</v>
      </c>
      <c r="AA856" s="52">
        <f>T856*W856</f>
        <v>0.9546642857142857</v>
      </c>
      <c r="AB856" s="52">
        <f>V856*W856</f>
        <v>0</v>
      </c>
      <c r="AC856" s="53">
        <f>(R856+V856)*W856</f>
        <v>8.9102</v>
      </c>
      <c r="AD856" s="138">
        <v>14.9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107</v>
      </c>
      <c r="F857" s="96" t="s">
        <v>106</v>
      </c>
      <c r="G857" s="97">
        <v>46132</v>
      </c>
      <c r="H857" s="98">
        <v>0.423599537037037</v>
      </c>
      <c r="I857" s="50">
        <v>166004615</v>
      </c>
      <c r="J857" s="96" t="s">
        <v>157</v>
      </c>
      <c r="K857" s="49" t="s">
        <v>188</v>
      </c>
      <c r="L857" s="39" t="s">
        <v>189</v>
      </c>
      <c r="M857" s="49" t="s">
        <v>190</v>
      </c>
      <c r="N857" s="39" t="s">
        <v>191</v>
      </c>
      <c r="O857" s="96" t="s">
        <v>192</v>
      </c>
      <c r="P857" s="49" t="s">
        <v>157</v>
      </c>
      <c r="Q857" s="96" t="s">
        <v>104</v>
      </c>
      <c r="R857" s="52">
        <v>33.9</v>
      </c>
      <c r="S857" s="52">
        <f>R857-T857</f>
        <v>30.267857142857142</v>
      </c>
      <c r="T857" s="52">
        <f>R857*U857/(U857+100)</f>
        <v>3.6321428571428567</v>
      </c>
      <c r="U857" s="50">
        <v>12</v>
      </c>
      <c r="V857" s="53">
        <v>0</v>
      </c>
      <c r="W857" s="147">
        <v>0.296</v>
      </c>
      <c r="X857" s="148" t="s">
        <v>193</v>
      </c>
      <c r="Y857" s="54">
        <f>R857*W857</f>
        <v>10.0344</v>
      </c>
      <c r="Z857" s="52">
        <f>S857*W857</f>
        <v>8.959285714285715</v>
      </c>
      <c r="AA857" s="52">
        <f>T857*W857</f>
        <v>1.0751142857142855</v>
      </c>
      <c r="AB857" s="52">
        <f>V857*W857</f>
        <v>0</v>
      </c>
      <c r="AC857" s="53">
        <f>(R857+V857)*W857</f>
        <v>10.0344</v>
      </c>
      <c r="AD857" s="138">
        <v>33.9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107</v>
      </c>
      <c r="F858" s="96" t="s">
        <v>106</v>
      </c>
      <c r="G858" s="97">
        <v>46132</v>
      </c>
      <c r="H858" s="98">
        <v>0.423599537037037</v>
      </c>
      <c r="I858" s="50">
        <v>166004615</v>
      </c>
      <c r="J858" s="96" t="s">
        <v>157</v>
      </c>
      <c r="K858" s="49" t="s">
        <v>1034</v>
      </c>
      <c r="L858" s="39" t="s">
        <v>1035</v>
      </c>
      <c r="M858" s="49" t="s">
        <v>190</v>
      </c>
      <c r="N858" s="39" t="s">
        <v>191</v>
      </c>
      <c r="O858" s="96" t="s">
        <v>1036</v>
      </c>
      <c r="P858" s="49" t="s">
        <v>157</v>
      </c>
      <c r="Q858" s="96" t="s">
        <v>104</v>
      </c>
      <c r="R858" s="52">
        <v>109.9</v>
      </c>
      <c r="S858" s="52">
        <f>R858-T858</f>
        <v>98.125</v>
      </c>
      <c r="T858" s="52">
        <f>R858*U858/(U858+100)</f>
        <v>11.775000000000002</v>
      </c>
      <c r="U858" s="50">
        <v>12</v>
      </c>
      <c r="V858" s="53">
        <v>0</v>
      </c>
      <c r="W858" s="147">
        <v>0.346</v>
      </c>
      <c r="X858" s="148" t="s">
        <v>193</v>
      </c>
      <c r="Y858" s="54">
        <f>R858*W858</f>
        <v>38.0254</v>
      </c>
      <c r="Z858" s="52">
        <f>S858*W858</f>
        <v>33.951249999999995</v>
      </c>
      <c r="AA858" s="52">
        <f>T858*W858</f>
        <v>4.07415</v>
      </c>
      <c r="AB858" s="52">
        <f>V858*W858</f>
        <v>0</v>
      </c>
      <c r="AC858" s="53">
        <f>(R858+V858)*W858</f>
        <v>38.0254</v>
      </c>
      <c r="AD858" s="138">
        <v>109.9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107</v>
      </c>
      <c r="F859" s="96" t="s">
        <v>106</v>
      </c>
      <c r="G859" s="97">
        <v>46132</v>
      </c>
      <c r="H859" s="98">
        <v>0.423599537037037</v>
      </c>
      <c r="I859" s="50">
        <v>166004615</v>
      </c>
      <c r="J859" s="96" t="s">
        <v>157</v>
      </c>
      <c r="K859" s="49" t="s">
        <v>1868</v>
      </c>
      <c r="L859" s="39" t="s">
        <v>1869</v>
      </c>
      <c r="M859" s="49" t="s">
        <v>190</v>
      </c>
      <c r="N859" s="39" t="s">
        <v>191</v>
      </c>
      <c r="O859" s="96" t="s">
        <v>1870</v>
      </c>
      <c r="P859" s="49" t="s">
        <v>157</v>
      </c>
      <c r="Q859" s="96" t="s">
        <v>104</v>
      </c>
      <c r="R859" s="52">
        <v>93.9</v>
      </c>
      <c r="S859" s="52">
        <f>R859-T859</f>
        <v>83.83928571428572</v>
      </c>
      <c r="T859" s="52">
        <f>R859*U859/(U859+100)</f>
        <v>10.060714285714287</v>
      </c>
      <c r="U859" s="50">
        <v>12</v>
      </c>
      <c r="V859" s="53">
        <v>0</v>
      </c>
      <c r="W859" s="147">
        <v>0.15</v>
      </c>
      <c r="X859" s="148" t="s">
        <v>193</v>
      </c>
      <c r="Y859" s="54">
        <f>R859*W859</f>
        <v>14.085</v>
      </c>
      <c r="Z859" s="52">
        <f>S859*W859</f>
        <v>12.575892857142858</v>
      </c>
      <c r="AA859" s="52">
        <f>T859*W859</f>
        <v>1.509107142857143</v>
      </c>
      <c r="AB859" s="52">
        <f>V859*W859</f>
        <v>0</v>
      </c>
      <c r="AC859" s="53">
        <f>(R859+V859)*W859</f>
        <v>14.085</v>
      </c>
      <c r="AD859" s="138">
        <v>93.9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107</v>
      </c>
      <c r="F860" s="96" t="s">
        <v>106</v>
      </c>
      <c r="G860" s="97">
        <v>46132</v>
      </c>
      <c r="H860" s="98">
        <v>0.423599537037037</v>
      </c>
      <c r="I860" s="50">
        <v>166004615</v>
      </c>
      <c r="J860" s="96" t="s">
        <v>157</v>
      </c>
      <c r="K860" s="49" t="s">
        <v>658</v>
      </c>
      <c r="L860" s="39" t="s">
        <v>104</v>
      </c>
      <c r="M860" s="49" t="s">
        <v>190</v>
      </c>
      <c r="N860" s="39" t="s">
        <v>462</v>
      </c>
      <c r="O860" s="96" t="s">
        <v>1871</v>
      </c>
      <c r="P860" s="49" t="s">
        <v>157</v>
      </c>
      <c r="Q860" s="96" t="s">
        <v>104</v>
      </c>
      <c r="R860" s="52">
        <v>13.9</v>
      </c>
      <c r="S860" s="52">
        <f>R860-T860</f>
        <v>12.410714285714286</v>
      </c>
      <c r="T860" s="52">
        <f>R860*U860/(U860+100)</f>
        <v>1.4892857142857143</v>
      </c>
      <c r="U860" s="50">
        <v>12</v>
      </c>
      <c r="V860" s="53">
        <v>0</v>
      </c>
      <c r="W860" s="147">
        <v>1</v>
      </c>
      <c r="X860" s="148" t="s">
        <v>163</v>
      </c>
      <c r="Y860" s="54">
        <f>R860*W860</f>
        <v>13.9</v>
      </c>
      <c r="Z860" s="52">
        <f>S860*W860</f>
        <v>12.410714285714286</v>
      </c>
      <c r="AA860" s="52">
        <f>T860*W860</f>
        <v>1.4892857142857143</v>
      </c>
      <c r="AB860" s="52">
        <f>V860*W860</f>
        <v>0</v>
      </c>
      <c r="AC860" s="53">
        <f>(R860+V860)*W860</f>
        <v>13.9</v>
      </c>
      <c r="AD860" s="138">
        <v>13.9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107</v>
      </c>
      <c r="F861" s="96" t="s">
        <v>106</v>
      </c>
      <c r="G861" s="97">
        <v>46132</v>
      </c>
      <c r="H861" s="98">
        <v>0.423599537037037</v>
      </c>
      <c r="I861" s="50">
        <v>166004615</v>
      </c>
      <c r="J861" s="96" t="s">
        <v>157</v>
      </c>
      <c r="K861" s="49" t="s">
        <v>416</v>
      </c>
      <c r="L861" s="39" t="s">
        <v>417</v>
      </c>
      <c r="M861" s="49" t="s">
        <v>214</v>
      </c>
      <c r="N861" s="39" t="s">
        <v>418</v>
      </c>
      <c r="O861" s="96" t="s">
        <v>1278</v>
      </c>
      <c r="P861" s="49" t="s">
        <v>157</v>
      </c>
      <c r="Q861" s="96" t="s">
        <v>104</v>
      </c>
      <c r="R861" s="52">
        <v>19.9</v>
      </c>
      <c r="S861" s="52">
        <f>R861-T861</f>
        <v>17.767857142857142</v>
      </c>
      <c r="T861" s="52">
        <f>R861*U861/(U861+100)</f>
        <v>2.132142857142857</v>
      </c>
      <c r="U861" s="50">
        <v>12</v>
      </c>
      <c r="V861" s="53">
        <v>0</v>
      </c>
      <c r="W861" s="147">
        <v>1</v>
      </c>
      <c r="X861" s="148" t="s">
        <v>163</v>
      </c>
      <c r="Y861" s="54">
        <f>R861*W861</f>
        <v>19.9</v>
      </c>
      <c r="Z861" s="52">
        <f>S861*W861</f>
        <v>17.767857142857142</v>
      </c>
      <c r="AA861" s="52">
        <f>T861*W861</f>
        <v>2.132142857142857</v>
      </c>
      <c r="AB861" s="52">
        <f>V861*W861</f>
        <v>0</v>
      </c>
      <c r="AC861" s="53">
        <f>(R861+V861)*W861</f>
        <v>19.9</v>
      </c>
      <c r="AD861" s="138">
        <v>19.9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107</v>
      </c>
      <c r="F862" s="96" t="s">
        <v>106</v>
      </c>
      <c r="G862" s="97">
        <v>46132</v>
      </c>
      <c r="H862" s="98">
        <v>0.423599537037037</v>
      </c>
      <c r="I862" s="50">
        <v>166004615</v>
      </c>
      <c r="J862" s="96" t="s">
        <v>157</v>
      </c>
      <c r="K862" s="49" t="s">
        <v>416</v>
      </c>
      <c r="L862" s="39" t="s">
        <v>417</v>
      </c>
      <c r="M862" s="49" t="s">
        <v>214</v>
      </c>
      <c r="N862" s="39" t="s">
        <v>418</v>
      </c>
      <c r="O862" s="96" t="s">
        <v>1278</v>
      </c>
      <c r="P862" s="49" t="s">
        <v>157</v>
      </c>
      <c r="Q862" s="96" t="s">
        <v>104</v>
      </c>
      <c r="R862" s="52">
        <v>19.9</v>
      </c>
      <c r="S862" s="52">
        <f>R862-T862</f>
        <v>17.767857142857142</v>
      </c>
      <c r="T862" s="52">
        <f>R862*U862/(U862+100)</f>
        <v>2.132142857142857</v>
      </c>
      <c r="U862" s="50">
        <v>12</v>
      </c>
      <c r="V862" s="53">
        <v>0</v>
      </c>
      <c r="W862" s="147">
        <v>1</v>
      </c>
      <c r="X862" s="148" t="s">
        <v>163</v>
      </c>
      <c r="Y862" s="54">
        <f>R862*W862</f>
        <v>19.9</v>
      </c>
      <c r="Z862" s="52">
        <f>S862*W862</f>
        <v>17.767857142857142</v>
      </c>
      <c r="AA862" s="52">
        <f>T862*W862</f>
        <v>2.132142857142857</v>
      </c>
      <c r="AB862" s="52">
        <f>V862*W862</f>
        <v>0</v>
      </c>
      <c r="AC862" s="53">
        <f>(R862+V862)*W862</f>
        <v>19.9</v>
      </c>
      <c r="AD862" s="138">
        <v>19.9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107</v>
      </c>
      <c r="F863" s="96" t="s">
        <v>106</v>
      </c>
      <c r="G863" s="97">
        <v>46132</v>
      </c>
      <c r="H863" s="98">
        <v>0.423599537037037</v>
      </c>
      <c r="I863" s="50">
        <v>166004615</v>
      </c>
      <c r="J863" s="96" t="s">
        <v>157</v>
      </c>
      <c r="K863" s="49" t="s">
        <v>416</v>
      </c>
      <c r="L863" s="39" t="s">
        <v>417</v>
      </c>
      <c r="M863" s="49" t="s">
        <v>214</v>
      </c>
      <c r="N863" s="39" t="s">
        <v>418</v>
      </c>
      <c r="O863" s="96" t="s">
        <v>1278</v>
      </c>
      <c r="P863" s="49" t="s">
        <v>157</v>
      </c>
      <c r="Q863" s="96" t="s">
        <v>104</v>
      </c>
      <c r="R863" s="52">
        <v>19.9</v>
      </c>
      <c r="S863" s="52">
        <f>R863-T863</f>
        <v>17.767857142857142</v>
      </c>
      <c r="T863" s="52">
        <f>R863*U863/(U863+100)</f>
        <v>2.132142857142857</v>
      </c>
      <c r="U863" s="50">
        <v>12</v>
      </c>
      <c r="V863" s="53">
        <v>0</v>
      </c>
      <c r="W863" s="147">
        <v>1</v>
      </c>
      <c r="X863" s="148" t="s">
        <v>163</v>
      </c>
      <c r="Y863" s="54">
        <f>R863*W863</f>
        <v>19.9</v>
      </c>
      <c r="Z863" s="52">
        <f>S863*W863</f>
        <v>17.767857142857142</v>
      </c>
      <c r="AA863" s="52">
        <f>T863*W863</f>
        <v>2.132142857142857</v>
      </c>
      <c r="AB863" s="52">
        <f>V863*W863</f>
        <v>0</v>
      </c>
      <c r="AC863" s="53">
        <f>(R863+V863)*W863</f>
        <v>19.9</v>
      </c>
      <c r="AD863" s="138">
        <v>19.9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107</v>
      </c>
      <c r="F864" s="96" t="s">
        <v>106</v>
      </c>
      <c r="G864" s="97">
        <v>46132</v>
      </c>
      <c r="H864" s="98">
        <v>0.423599537037037</v>
      </c>
      <c r="I864" s="50">
        <v>166004615</v>
      </c>
      <c r="J864" s="96" t="s">
        <v>157</v>
      </c>
      <c r="K864" s="49" t="s">
        <v>303</v>
      </c>
      <c r="L864" s="39" t="s">
        <v>304</v>
      </c>
      <c r="M864" s="49" t="s">
        <v>214</v>
      </c>
      <c r="N864" s="39" t="s">
        <v>296</v>
      </c>
      <c r="O864" s="96" t="s">
        <v>305</v>
      </c>
      <c r="P864" s="49" t="s">
        <v>157</v>
      </c>
      <c r="Q864" s="96" t="s">
        <v>104</v>
      </c>
      <c r="R864" s="52">
        <v>11.9</v>
      </c>
      <c r="S864" s="52">
        <f>R864-T864</f>
        <v>10.625</v>
      </c>
      <c r="T864" s="52">
        <f>R864*U864/(U864+100)</f>
        <v>1.2750000000000001</v>
      </c>
      <c r="U864" s="50">
        <v>12</v>
      </c>
      <c r="V864" s="53">
        <v>0</v>
      </c>
      <c r="W864" s="147">
        <v>3</v>
      </c>
      <c r="X864" s="148" t="s">
        <v>163</v>
      </c>
      <c r="Y864" s="54">
        <f>R864*W864</f>
        <v>35.7</v>
      </c>
      <c r="Z864" s="52">
        <f>S864*W864</f>
        <v>31.875</v>
      </c>
      <c r="AA864" s="52">
        <f>T864*W864</f>
        <v>3.825</v>
      </c>
      <c r="AB864" s="52">
        <f>V864*W864</f>
        <v>0</v>
      </c>
      <c r="AC864" s="53">
        <f>(R864+V864)*W864</f>
        <v>35.7</v>
      </c>
      <c r="AD864" s="138">
        <v>11.9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107</v>
      </c>
      <c r="F865" s="96" t="s">
        <v>106</v>
      </c>
      <c r="G865" s="97">
        <v>46132</v>
      </c>
      <c r="H865" s="98">
        <v>0.423599537037037</v>
      </c>
      <c r="I865" s="50">
        <v>166004615</v>
      </c>
      <c r="J865" s="96" t="s">
        <v>157</v>
      </c>
      <c r="K865" s="49" t="s">
        <v>1872</v>
      </c>
      <c r="L865" s="39" t="s">
        <v>1873</v>
      </c>
      <c r="M865" s="49" t="s">
        <v>277</v>
      </c>
      <c r="N865" s="39" t="s">
        <v>278</v>
      </c>
      <c r="O865" s="96" t="s">
        <v>1874</v>
      </c>
      <c r="P865" s="49" t="s">
        <v>157</v>
      </c>
      <c r="Q865" s="96" t="s">
        <v>104</v>
      </c>
      <c r="R865" s="52">
        <v>241.9</v>
      </c>
      <c r="S865" s="52">
        <f>R865-T865</f>
        <v>215.98214285714286</v>
      </c>
      <c r="T865" s="52">
        <f>R865*U865/(U865+100)</f>
        <v>25.917857142857144</v>
      </c>
      <c r="U865" s="50">
        <v>12</v>
      </c>
      <c r="V865" s="53">
        <v>0</v>
      </c>
      <c r="W865" s="147">
        <v>0.116</v>
      </c>
      <c r="X865" s="148" t="s">
        <v>193</v>
      </c>
      <c r="Y865" s="54">
        <f>R865*W865</f>
        <v>28.0604</v>
      </c>
      <c r="Z865" s="52">
        <f>S865*W865</f>
        <v>25.053928571428575</v>
      </c>
      <c r="AA865" s="52">
        <f>T865*W865</f>
        <v>3.006471428571429</v>
      </c>
      <c r="AB865" s="52">
        <f>V865*W865</f>
        <v>0</v>
      </c>
      <c r="AC865" s="53">
        <f>(R865+V865)*W865</f>
        <v>28.0604</v>
      </c>
      <c r="AD865" s="138">
        <v>241.9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107</v>
      </c>
      <c r="F866" s="96" t="s">
        <v>106</v>
      </c>
      <c r="G866" s="97">
        <v>46132</v>
      </c>
      <c r="H866" s="98">
        <v>0.423599537037037</v>
      </c>
      <c r="I866" s="50">
        <v>166004615</v>
      </c>
      <c r="J866" s="96" t="s">
        <v>157</v>
      </c>
      <c r="K866" s="49" t="s">
        <v>1875</v>
      </c>
      <c r="L866" s="39" t="s">
        <v>1876</v>
      </c>
      <c r="M866" s="49" t="s">
        <v>277</v>
      </c>
      <c r="N866" s="39" t="s">
        <v>490</v>
      </c>
      <c r="O866" s="96" t="s">
        <v>1877</v>
      </c>
      <c r="P866" s="49" t="s">
        <v>157</v>
      </c>
      <c r="Q866" s="96" t="s">
        <v>104</v>
      </c>
      <c r="R866" s="52">
        <v>33.9</v>
      </c>
      <c r="S866" s="52">
        <f>R866-T866</f>
        <v>30.267857142857142</v>
      </c>
      <c r="T866" s="52">
        <f>R866*U866/(U866+100)</f>
        <v>3.6321428571428567</v>
      </c>
      <c r="U866" s="50">
        <v>12</v>
      </c>
      <c r="V866" s="53">
        <v>0</v>
      </c>
      <c r="W866" s="147">
        <v>1</v>
      </c>
      <c r="X866" s="148" t="s">
        <v>163</v>
      </c>
      <c r="Y866" s="54">
        <f>R866*W866</f>
        <v>33.9</v>
      </c>
      <c r="Z866" s="52">
        <f>S866*W866</f>
        <v>30.267857142857142</v>
      </c>
      <c r="AA866" s="52">
        <f>T866*W866</f>
        <v>3.6321428571428567</v>
      </c>
      <c r="AB866" s="52">
        <f>V866*W866</f>
        <v>0</v>
      </c>
      <c r="AC866" s="53">
        <f>(R866+V866)*W866</f>
        <v>33.9</v>
      </c>
      <c r="AD866" s="138">
        <v>33.9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107</v>
      </c>
      <c r="F867" s="96" t="s">
        <v>106</v>
      </c>
      <c r="G867" s="97">
        <v>46132</v>
      </c>
      <c r="H867" s="98">
        <v>0.423599537037037</v>
      </c>
      <c r="I867" s="50">
        <v>166004615</v>
      </c>
      <c r="J867" s="96" t="s">
        <v>157</v>
      </c>
      <c r="K867" s="49" t="s">
        <v>1878</v>
      </c>
      <c r="L867" s="39" t="s">
        <v>1879</v>
      </c>
      <c r="M867" s="49" t="s">
        <v>277</v>
      </c>
      <c r="N867" s="39" t="s">
        <v>1732</v>
      </c>
      <c r="O867" s="96" t="s">
        <v>1880</v>
      </c>
      <c r="P867" s="49" t="s">
        <v>157</v>
      </c>
      <c r="Q867" s="96" t="s">
        <v>104</v>
      </c>
      <c r="R867" s="52">
        <v>164.9</v>
      </c>
      <c r="S867" s="52">
        <f>R867-T867</f>
        <v>147.23214285714286</v>
      </c>
      <c r="T867" s="52">
        <f>R867*U867/(U867+100)</f>
        <v>17.667857142857144</v>
      </c>
      <c r="U867" s="50">
        <v>12</v>
      </c>
      <c r="V867" s="53">
        <v>0</v>
      </c>
      <c r="W867" s="147">
        <v>0.184</v>
      </c>
      <c r="X867" s="148" t="s">
        <v>193</v>
      </c>
      <c r="Y867" s="54">
        <f>R867*W867</f>
        <v>30.3416</v>
      </c>
      <c r="Z867" s="52">
        <f>S867*W867</f>
        <v>27.090714285714284</v>
      </c>
      <c r="AA867" s="52">
        <f>T867*W867</f>
        <v>3.2508857142857144</v>
      </c>
      <c r="AB867" s="52">
        <f>V867*W867</f>
        <v>0</v>
      </c>
      <c r="AC867" s="53">
        <f>(R867+V867)*W867</f>
        <v>30.3416</v>
      </c>
      <c r="AD867" s="138">
        <v>164.9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107</v>
      </c>
      <c r="F868" s="96" t="s">
        <v>106</v>
      </c>
      <c r="G868" s="97">
        <v>46132</v>
      </c>
      <c r="H868" s="98">
        <v>0.423599537037037</v>
      </c>
      <c r="I868" s="50">
        <v>166004615</v>
      </c>
      <c r="J868" s="96" t="s">
        <v>157</v>
      </c>
      <c r="K868" s="49" t="s">
        <v>1691</v>
      </c>
      <c r="L868" s="39" t="s">
        <v>104</v>
      </c>
      <c r="M868" s="49" t="s">
        <v>554</v>
      </c>
      <c r="N868" s="39" t="s">
        <v>296</v>
      </c>
      <c r="O868" s="96" t="s">
        <v>1692</v>
      </c>
      <c r="P868" s="49" t="s">
        <v>157</v>
      </c>
      <c r="Q868" s="96" t="s">
        <v>104</v>
      </c>
      <c r="R868" s="52">
        <v>11.9</v>
      </c>
      <c r="S868" s="52">
        <f>R868-T868</f>
        <v>10.625</v>
      </c>
      <c r="T868" s="52">
        <f>R868*U868/(U868+100)</f>
        <v>1.2750000000000001</v>
      </c>
      <c r="U868" s="50">
        <v>12</v>
      </c>
      <c r="V868" s="53">
        <v>0</v>
      </c>
      <c r="W868" s="147">
        <v>3</v>
      </c>
      <c r="X868" s="148" t="s">
        <v>163</v>
      </c>
      <c r="Y868" s="54">
        <f>R868*W868</f>
        <v>35.7</v>
      </c>
      <c r="Z868" s="52">
        <f>S868*W868</f>
        <v>31.875</v>
      </c>
      <c r="AA868" s="52">
        <f>T868*W868</f>
        <v>3.825</v>
      </c>
      <c r="AB868" s="52">
        <f>V868*W868</f>
        <v>0</v>
      </c>
      <c r="AC868" s="53">
        <f>(R868+V868)*W868</f>
        <v>35.7</v>
      </c>
      <c r="AD868" s="138">
        <v>11.9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107</v>
      </c>
      <c r="F869" s="96" t="s">
        <v>106</v>
      </c>
      <c r="G869" s="97">
        <v>46132</v>
      </c>
      <c r="H869" s="98">
        <v>0.423599537037037</v>
      </c>
      <c r="I869" s="50">
        <v>166004615</v>
      </c>
      <c r="J869" s="96" t="s">
        <v>157</v>
      </c>
      <c r="K869" s="49" t="s">
        <v>942</v>
      </c>
      <c r="L869" s="39"/>
      <c r="M869" s="49" t="s">
        <v>295</v>
      </c>
      <c r="N869" s="39" t="s">
        <v>433</v>
      </c>
      <c r="O869" s="96" t="s">
        <v>1332</v>
      </c>
      <c r="P869" s="49" t="s">
        <v>235</v>
      </c>
      <c r="Q869" s="96" t="s">
        <v>944</v>
      </c>
      <c r="R869" s="52">
        <v>9.9</v>
      </c>
      <c r="S869" s="52">
        <f>R869-T869</f>
        <v>8.839285714285715</v>
      </c>
      <c r="T869" s="52">
        <f>R869*U869/(U869+100)</f>
        <v>1.0607142857142857</v>
      </c>
      <c r="U869" s="50">
        <v>12</v>
      </c>
      <c r="V869" s="53">
        <v>0</v>
      </c>
      <c r="W869" s="147">
        <v>1</v>
      </c>
      <c r="X869" s="148" t="s">
        <v>945</v>
      </c>
      <c r="Y869" s="54">
        <f>R869*W869</f>
        <v>9.9</v>
      </c>
      <c r="Z869" s="52">
        <f>S869*W869</f>
        <v>8.839285714285715</v>
      </c>
      <c r="AA869" s="52">
        <f>T869*W869</f>
        <v>1.0607142857142857</v>
      </c>
      <c r="AB869" s="52">
        <f>V869*W869</f>
        <v>0</v>
      </c>
      <c r="AC869" s="53">
        <f>(R869+V869)*W869</f>
        <v>9.9</v>
      </c>
      <c r="AD869" s="138">
        <v>9.9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107</v>
      </c>
      <c r="F870" s="96" t="s">
        <v>106</v>
      </c>
      <c r="G870" s="97">
        <v>46132</v>
      </c>
      <c r="H870" s="98">
        <v>0.42488425925925927</v>
      </c>
      <c r="I870" s="50">
        <v>166004616</v>
      </c>
      <c r="J870" s="96" t="s">
        <v>157</v>
      </c>
      <c r="K870" s="49" t="s">
        <v>1881</v>
      </c>
      <c r="L870" s="39" t="s">
        <v>1882</v>
      </c>
      <c r="M870" s="49" t="s">
        <v>268</v>
      </c>
      <c r="N870" s="39" t="s">
        <v>309</v>
      </c>
      <c r="O870" s="96" t="s">
        <v>1883</v>
      </c>
      <c r="P870" s="49" t="s">
        <v>157</v>
      </c>
      <c r="Q870" s="96" t="s">
        <v>104</v>
      </c>
      <c r="R870" s="52">
        <v>22.9</v>
      </c>
      <c r="S870" s="52">
        <f>R870-T870</f>
        <v>20.44642857142857</v>
      </c>
      <c r="T870" s="52">
        <f>R870*U870/(U870+100)</f>
        <v>2.4535714285714283</v>
      </c>
      <c r="U870" s="50">
        <v>12</v>
      </c>
      <c r="V870" s="53">
        <v>0</v>
      </c>
      <c r="W870" s="147">
        <v>1</v>
      </c>
      <c r="X870" s="148" t="s">
        <v>163</v>
      </c>
      <c r="Y870" s="54">
        <f>R870*W870</f>
        <v>22.9</v>
      </c>
      <c r="Z870" s="52">
        <f>S870*W870</f>
        <v>20.44642857142857</v>
      </c>
      <c r="AA870" s="52">
        <f>T870*W870</f>
        <v>2.4535714285714283</v>
      </c>
      <c r="AB870" s="52">
        <f>V870*W870</f>
        <v>0</v>
      </c>
      <c r="AC870" s="53">
        <f>(R870+V870)*W870</f>
        <v>22.9</v>
      </c>
      <c r="AD870" s="138">
        <v>22.9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107</v>
      </c>
      <c r="F871" s="96" t="s">
        <v>106</v>
      </c>
      <c r="G871" s="97">
        <v>46132</v>
      </c>
      <c r="H871" s="98">
        <v>0.42488425925925927</v>
      </c>
      <c r="I871" s="50">
        <v>166004616</v>
      </c>
      <c r="J871" s="96" t="s">
        <v>157</v>
      </c>
      <c r="K871" s="49" t="s">
        <v>329</v>
      </c>
      <c r="L871" s="39" t="s">
        <v>330</v>
      </c>
      <c r="M871" s="49" t="s">
        <v>185</v>
      </c>
      <c r="N871" s="39" t="s">
        <v>331</v>
      </c>
      <c r="O871" s="96" t="s">
        <v>1640</v>
      </c>
      <c r="P871" s="49" t="s">
        <v>157</v>
      </c>
      <c r="Q871" s="96" t="s">
        <v>104</v>
      </c>
      <c r="R871" s="52">
        <v>49.9</v>
      </c>
      <c r="S871" s="52">
        <f>R871-T871</f>
        <v>44.55357142857143</v>
      </c>
      <c r="T871" s="52">
        <f>R871*U871/(U871+100)</f>
        <v>5.346428571428571</v>
      </c>
      <c r="U871" s="50">
        <v>12</v>
      </c>
      <c r="V871" s="53">
        <v>0</v>
      </c>
      <c r="W871" s="147">
        <v>1</v>
      </c>
      <c r="X871" s="148" t="s">
        <v>163</v>
      </c>
      <c r="Y871" s="54">
        <f>R871*W871</f>
        <v>49.9</v>
      </c>
      <c r="Z871" s="52">
        <f>S871*W871</f>
        <v>44.55357142857143</v>
      </c>
      <c r="AA871" s="52">
        <f>T871*W871</f>
        <v>5.346428571428571</v>
      </c>
      <c r="AB871" s="52">
        <f>V871*W871</f>
        <v>0</v>
      </c>
      <c r="AC871" s="53">
        <f>(R871+V871)*W871</f>
        <v>49.9</v>
      </c>
      <c r="AD871" s="138">
        <v>49.9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107</v>
      </c>
      <c r="F872" s="96" t="s">
        <v>106</v>
      </c>
      <c r="G872" s="97">
        <v>46132</v>
      </c>
      <c r="H872" s="98">
        <v>0.42488425925925927</v>
      </c>
      <c r="I872" s="50">
        <v>166004616</v>
      </c>
      <c r="J872" s="96" t="s">
        <v>157</v>
      </c>
      <c r="K872" s="49" t="s">
        <v>1884</v>
      </c>
      <c r="L872" s="39" t="s">
        <v>1885</v>
      </c>
      <c r="M872" s="49" t="s">
        <v>1222</v>
      </c>
      <c r="N872" s="39" t="s">
        <v>1886</v>
      </c>
      <c r="O872" s="96" t="s">
        <v>1887</v>
      </c>
      <c r="P872" s="49" t="s">
        <v>157</v>
      </c>
      <c r="Q872" s="96" t="s">
        <v>104</v>
      </c>
      <c r="R872" s="52">
        <v>47.9</v>
      </c>
      <c r="S872" s="52">
        <f>R872-T872</f>
        <v>39.58677685950413</v>
      </c>
      <c r="T872" s="52">
        <f>R872*U872/(U872+100)</f>
        <v>8.313223140495868</v>
      </c>
      <c r="U872" s="50">
        <v>21</v>
      </c>
      <c r="V872" s="53">
        <v>0</v>
      </c>
      <c r="W872" s="147">
        <v>1</v>
      </c>
      <c r="X872" s="148" t="s">
        <v>163</v>
      </c>
      <c r="Y872" s="54">
        <f>R872*W872</f>
        <v>47.9</v>
      </c>
      <c r="Z872" s="52">
        <f>S872*W872</f>
        <v>39.58677685950413</v>
      </c>
      <c r="AA872" s="52">
        <f>T872*W872</f>
        <v>8.313223140495868</v>
      </c>
      <c r="AB872" s="52">
        <f>V872*W872</f>
        <v>0</v>
      </c>
      <c r="AC872" s="53">
        <f>(R872+V872)*W872</f>
        <v>47.9</v>
      </c>
      <c r="AD872" s="138">
        <v>47.9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107</v>
      </c>
      <c r="F873" s="96" t="s">
        <v>106</v>
      </c>
      <c r="G873" s="97">
        <v>46132</v>
      </c>
      <c r="H873" s="98">
        <v>0.4253240740740741</v>
      </c>
      <c r="I873" s="50">
        <v>166004617</v>
      </c>
      <c r="J873" s="96" t="s">
        <v>157</v>
      </c>
      <c r="K873" s="49" t="s">
        <v>293</v>
      </c>
      <c r="L873" s="39" t="s">
        <v>294</v>
      </c>
      <c r="M873" s="49" t="s">
        <v>295</v>
      </c>
      <c r="N873" s="39" t="s">
        <v>296</v>
      </c>
      <c r="O873" s="96" t="s">
        <v>297</v>
      </c>
      <c r="P873" s="49" t="s">
        <v>157</v>
      </c>
      <c r="Q873" s="96" t="s">
        <v>104</v>
      </c>
      <c r="R873" s="52">
        <v>2.9</v>
      </c>
      <c r="S873" s="52">
        <f>R873-T873</f>
        <v>2.5892857142857144</v>
      </c>
      <c r="T873" s="52">
        <f>R873*U873/(U873+100)</f>
        <v>0.31071428571428567</v>
      </c>
      <c r="U873" s="50">
        <v>12</v>
      </c>
      <c r="V873" s="53">
        <v>0</v>
      </c>
      <c r="W873" s="147">
        <v>8</v>
      </c>
      <c r="X873" s="148" t="s">
        <v>163</v>
      </c>
      <c r="Y873" s="54">
        <f>R873*W873</f>
        <v>23.2</v>
      </c>
      <c r="Z873" s="52">
        <f>S873*W873</f>
        <v>20.714285714285715</v>
      </c>
      <c r="AA873" s="52">
        <f>T873*W873</f>
        <v>2.4857142857142853</v>
      </c>
      <c r="AB873" s="52">
        <f>V873*W873</f>
        <v>0</v>
      </c>
      <c r="AC873" s="53">
        <f>(R873+V873)*W873</f>
        <v>23.2</v>
      </c>
      <c r="AD873" s="138">
        <v>2.9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107</v>
      </c>
      <c r="F874" s="96" t="s">
        <v>106</v>
      </c>
      <c r="G874" s="97">
        <v>46132</v>
      </c>
      <c r="H874" s="98">
        <v>0.4253240740740741</v>
      </c>
      <c r="I874" s="50">
        <v>166004617</v>
      </c>
      <c r="J874" s="96" t="s">
        <v>157</v>
      </c>
      <c r="K874" s="49" t="s">
        <v>942</v>
      </c>
      <c r="L874" s="39"/>
      <c r="M874" s="49" t="s">
        <v>295</v>
      </c>
      <c r="N874" s="39" t="s">
        <v>433</v>
      </c>
      <c r="O874" s="96" t="s">
        <v>1332</v>
      </c>
      <c r="P874" s="49" t="s">
        <v>235</v>
      </c>
      <c r="Q874" s="96" t="s">
        <v>944</v>
      </c>
      <c r="R874" s="52">
        <v>9.9</v>
      </c>
      <c r="S874" s="52">
        <f>R874-T874</f>
        <v>8.839285714285715</v>
      </c>
      <c r="T874" s="52">
        <f>R874*U874/(U874+100)</f>
        <v>1.0607142857142857</v>
      </c>
      <c r="U874" s="50">
        <v>12</v>
      </c>
      <c r="V874" s="53">
        <v>0</v>
      </c>
      <c r="W874" s="147">
        <v>1</v>
      </c>
      <c r="X874" s="148" t="s">
        <v>945</v>
      </c>
      <c r="Y874" s="54">
        <f>R874*W874</f>
        <v>9.9</v>
      </c>
      <c r="Z874" s="52">
        <f>S874*W874</f>
        <v>8.839285714285715</v>
      </c>
      <c r="AA874" s="52">
        <f>T874*W874</f>
        <v>1.0607142857142857</v>
      </c>
      <c r="AB874" s="52">
        <f>V874*W874</f>
        <v>0</v>
      </c>
      <c r="AC874" s="53">
        <f>(R874+V874)*W874</f>
        <v>9.9</v>
      </c>
      <c r="AD874" s="138">
        <v>9.9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107</v>
      </c>
      <c r="F875" s="96" t="s">
        <v>106</v>
      </c>
      <c r="G875" s="97">
        <v>46132</v>
      </c>
      <c r="H875" s="98">
        <v>0.4253240740740741</v>
      </c>
      <c r="I875" s="50">
        <v>166004617</v>
      </c>
      <c r="J875" s="96" t="s">
        <v>157</v>
      </c>
      <c r="K875" s="49" t="s">
        <v>942</v>
      </c>
      <c r="L875" s="39"/>
      <c r="M875" s="49" t="s">
        <v>295</v>
      </c>
      <c r="N875" s="39" t="s">
        <v>433</v>
      </c>
      <c r="O875" s="96" t="s">
        <v>1332</v>
      </c>
      <c r="P875" s="49" t="s">
        <v>235</v>
      </c>
      <c r="Q875" s="96" t="s">
        <v>944</v>
      </c>
      <c r="R875" s="52">
        <v>9.9</v>
      </c>
      <c r="S875" s="52">
        <f>R875-T875</f>
        <v>8.839285714285715</v>
      </c>
      <c r="T875" s="52">
        <f>R875*U875/(U875+100)</f>
        <v>1.0607142857142857</v>
      </c>
      <c r="U875" s="50">
        <v>12</v>
      </c>
      <c r="V875" s="53">
        <v>0</v>
      </c>
      <c r="W875" s="147">
        <v>1</v>
      </c>
      <c r="X875" s="148" t="s">
        <v>945</v>
      </c>
      <c r="Y875" s="54">
        <f>R875*W875</f>
        <v>9.9</v>
      </c>
      <c r="Z875" s="52">
        <f>S875*W875</f>
        <v>8.839285714285715</v>
      </c>
      <c r="AA875" s="52">
        <f>T875*W875</f>
        <v>1.0607142857142857</v>
      </c>
      <c r="AB875" s="52">
        <f>V875*W875</f>
        <v>0</v>
      </c>
      <c r="AC875" s="53">
        <f>(R875+V875)*W875</f>
        <v>9.9</v>
      </c>
      <c r="AD875" s="138">
        <v>9.9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107</v>
      </c>
      <c r="F876" s="96" t="s">
        <v>106</v>
      </c>
      <c r="G876" s="97">
        <v>46132</v>
      </c>
      <c r="H876" s="98">
        <v>0.425462962962963</v>
      </c>
      <c r="I876" s="50">
        <v>166004618</v>
      </c>
      <c r="J876" s="96" t="s">
        <v>157</v>
      </c>
      <c r="K876" s="49" t="s">
        <v>1888</v>
      </c>
      <c r="L876" s="39" t="s">
        <v>1889</v>
      </c>
      <c r="M876" s="49" t="s">
        <v>823</v>
      </c>
      <c r="N876" s="39" t="s">
        <v>1890</v>
      </c>
      <c r="O876" s="96" t="s">
        <v>1891</v>
      </c>
      <c r="P876" s="49" t="s">
        <v>157</v>
      </c>
      <c r="Q876" s="96" t="s">
        <v>104</v>
      </c>
      <c r="R876" s="52">
        <v>23.9</v>
      </c>
      <c r="S876" s="52">
        <f>R876-T876</f>
        <v>21.33928571428571</v>
      </c>
      <c r="T876" s="52">
        <f>R876*U876/(U876+100)</f>
        <v>2.5607142857142855</v>
      </c>
      <c r="U876" s="50">
        <v>12</v>
      </c>
      <c r="V876" s="53">
        <v>0</v>
      </c>
      <c r="W876" s="147">
        <v>1</v>
      </c>
      <c r="X876" s="148" t="s">
        <v>163</v>
      </c>
      <c r="Y876" s="54">
        <f>R876*W876</f>
        <v>23.9</v>
      </c>
      <c r="Z876" s="52">
        <f>S876*W876</f>
        <v>21.33928571428571</v>
      </c>
      <c r="AA876" s="52">
        <f>T876*W876</f>
        <v>2.5607142857142855</v>
      </c>
      <c r="AB876" s="52">
        <f>V876*W876</f>
        <v>0</v>
      </c>
      <c r="AC876" s="53">
        <f>(R876+V876)*W876</f>
        <v>23.9</v>
      </c>
      <c r="AD876" s="138">
        <v>23.9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107</v>
      </c>
      <c r="F877" s="96" t="s">
        <v>106</v>
      </c>
      <c r="G877" s="97">
        <v>46132</v>
      </c>
      <c r="H877" s="98">
        <v>0.425462962962963</v>
      </c>
      <c r="I877" s="50">
        <v>166004618</v>
      </c>
      <c r="J877" s="96" t="s">
        <v>157</v>
      </c>
      <c r="K877" s="49" t="s">
        <v>1888</v>
      </c>
      <c r="L877" s="39" t="s">
        <v>1889</v>
      </c>
      <c r="M877" s="49" t="s">
        <v>823</v>
      </c>
      <c r="N877" s="39" t="s">
        <v>1890</v>
      </c>
      <c r="O877" s="96" t="s">
        <v>1891</v>
      </c>
      <c r="P877" s="49" t="s">
        <v>157</v>
      </c>
      <c r="Q877" s="96" t="s">
        <v>104</v>
      </c>
      <c r="R877" s="52">
        <v>23.9</v>
      </c>
      <c r="S877" s="52">
        <f>R877-T877</f>
        <v>21.33928571428571</v>
      </c>
      <c r="T877" s="52">
        <f>R877*U877/(U877+100)</f>
        <v>2.5607142857142855</v>
      </c>
      <c r="U877" s="50">
        <v>12</v>
      </c>
      <c r="V877" s="53">
        <v>0</v>
      </c>
      <c r="W877" s="147">
        <v>1</v>
      </c>
      <c r="X877" s="148" t="s">
        <v>163</v>
      </c>
      <c r="Y877" s="54">
        <f>R877*W877</f>
        <v>23.9</v>
      </c>
      <c r="Z877" s="52">
        <f>S877*W877</f>
        <v>21.33928571428571</v>
      </c>
      <c r="AA877" s="52">
        <f>T877*W877</f>
        <v>2.5607142857142855</v>
      </c>
      <c r="AB877" s="52">
        <f>V877*W877</f>
        <v>0</v>
      </c>
      <c r="AC877" s="53">
        <f>(R877+V877)*W877</f>
        <v>23.9</v>
      </c>
      <c r="AD877" s="138">
        <v>23.9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107</v>
      </c>
      <c r="F878" s="96" t="s">
        <v>106</v>
      </c>
      <c r="G878" s="97">
        <v>46132</v>
      </c>
      <c r="H878" s="98">
        <v>0.4261111111111111</v>
      </c>
      <c r="I878" s="50">
        <v>166004619</v>
      </c>
      <c r="J878" s="96" t="s">
        <v>157</v>
      </c>
      <c r="K878" s="49" t="s">
        <v>1892</v>
      </c>
      <c r="L878" s="39" t="s">
        <v>1893</v>
      </c>
      <c r="M878" s="49" t="s">
        <v>429</v>
      </c>
      <c r="N878" s="39" t="s">
        <v>239</v>
      </c>
      <c r="O878" s="96" t="s">
        <v>1894</v>
      </c>
      <c r="P878" s="49" t="s">
        <v>157</v>
      </c>
      <c r="Q878" s="96" t="s">
        <v>104</v>
      </c>
      <c r="R878" s="52">
        <v>19.9</v>
      </c>
      <c r="S878" s="52">
        <f>R878-T878</f>
        <v>17.767857142857142</v>
      </c>
      <c r="T878" s="52">
        <f>R878*U878/(U878+100)</f>
        <v>2.132142857142857</v>
      </c>
      <c r="U878" s="50">
        <v>12</v>
      </c>
      <c r="V878" s="53">
        <v>0</v>
      </c>
      <c r="W878" s="147">
        <v>1</v>
      </c>
      <c r="X878" s="148" t="s">
        <v>163</v>
      </c>
      <c r="Y878" s="54">
        <f>R878*W878</f>
        <v>19.9</v>
      </c>
      <c r="Z878" s="52">
        <f>S878*W878</f>
        <v>17.767857142857142</v>
      </c>
      <c r="AA878" s="52">
        <f>T878*W878</f>
        <v>2.132142857142857</v>
      </c>
      <c r="AB878" s="52">
        <f>V878*W878</f>
        <v>0</v>
      </c>
      <c r="AC878" s="53">
        <f>(R878+V878)*W878</f>
        <v>19.9</v>
      </c>
      <c r="AD878" s="138">
        <v>19.9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107</v>
      </c>
      <c r="F879" s="96" t="s">
        <v>106</v>
      </c>
      <c r="G879" s="97">
        <v>46132</v>
      </c>
      <c r="H879" s="98">
        <v>0.4261111111111111</v>
      </c>
      <c r="I879" s="50">
        <v>166004619</v>
      </c>
      <c r="J879" s="96" t="s">
        <v>157</v>
      </c>
      <c r="K879" s="49" t="s">
        <v>1892</v>
      </c>
      <c r="L879" s="39" t="s">
        <v>1893</v>
      </c>
      <c r="M879" s="49" t="s">
        <v>429</v>
      </c>
      <c r="N879" s="39" t="s">
        <v>239</v>
      </c>
      <c r="O879" s="96" t="s">
        <v>1894</v>
      </c>
      <c r="P879" s="49" t="s">
        <v>157</v>
      </c>
      <c r="Q879" s="96" t="s">
        <v>104</v>
      </c>
      <c r="R879" s="52">
        <v>19.9</v>
      </c>
      <c r="S879" s="52">
        <f>R879-T879</f>
        <v>17.767857142857142</v>
      </c>
      <c r="T879" s="52">
        <f>R879*U879/(U879+100)</f>
        <v>2.132142857142857</v>
      </c>
      <c r="U879" s="50">
        <v>12</v>
      </c>
      <c r="V879" s="53">
        <v>0</v>
      </c>
      <c r="W879" s="147">
        <v>1</v>
      </c>
      <c r="X879" s="148" t="s">
        <v>163</v>
      </c>
      <c r="Y879" s="54">
        <f>R879*W879</f>
        <v>19.9</v>
      </c>
      <c r="Z879" s="52">
        <f>S879*W879</f>
        <v>17.767857142857142</v>
      </c>
      <c r="AA879" s="52">
        <f>T879*W879</f>
        <v>2.132142857142857</v>
      </c>
      <c r="AB879" s="52">
        <f>V879*W879</f>
        <v>0</v>
      </c>
      <c r="AC879" s="53">
        <f>(R879+V879)*W879</f>
        <v>19.9</v>
      </c>
      <c r="AD879" s="138">
        <v>19.9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107</v>
      </c>
      <c r="F880" s="96" t="s">
        <v>106</v>
      </c>
      <c r="G880" s="97">
        <v>46132</v>
      </c>
      <c r="H880" s="98">
        <v>0.4261111111111111</v>
      </c>
      <c r="I880" s="50">
        <v>166004619</v>
      </c>
      <c r="J880" s="96" t="s">
        <v>157</v>
      </c>
      <c r="K880" s="49" t="s">
        <v>1895</v>
      </c>
      <c r="L880" s="39" t="s">
        <v>1896</v>
      </c>
      <c r="M880" s="49" t="s">
        <v>429</v>
      </c>
      <c r="N880" s="39" t="s">
        <v>239</v>
      </c>
      <c r="O880" s="96" t="s">
        <v>1897</v>
      </c>
      <c r="P880" s="49" t="s">
        <v>157</v>
      </c>
      <c r="Q880" s="96" t="s">
        <v>104</v>
      </c>
      <c r="R880" s="52">
        <v>19.9</v>
      </c>
      <c r="S880" s="52">
        <f>R880-T880</f>
        <v>17.767857142857142</v>
      </c>
      <c r="T880" s="52">
        <f>R880*U880/(U880+100)</f>
        <v>2.132142857142857</v>
      </c>
      <c r="U880" s="50">
        <v>12</v>
      </c>
      <c r="V880" s="53">
        <v>0</v>
      </c>
      <c r="W880" s="147">
        <v>1</v>
      </c>
      <c r="X880" s="148" t="s">
        <v>163</v>
      </c>
      <c r="Y880" s="54">
        <f>R880*W880</f>
        <v>19.9</v>
      </c>
      <c r="Z880" s="52">
        <f>S880*W880</f>
        <v>17.767857142857142</v>
      </c>
      <c r="AA880" s="52">
        <f>T880*W880</f>
        <v>2.132142857142857</v>
      </c>
      <c r="AB880" s="52">
        <f>V880*W880</f>
        <v>0</v>
      </c>
      <c r="AC880" s="53">
        <f>(R880+V880)*W880</f>
        <v>19.9</v>
      </c>
      <c r="AD880" s="138">
        <v>19.9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107</v>
      </c>
      <c r="F881" s="96" t="s">
        <v>106</v>
      </c>
      <c r="G881" s="97">
        <v>46132</v>
      </c>
      <c r="H881" s="98">
        <v>0.4261111111111111</v>
      </c>
      <c r="I881" s="50">
        <v>166004619</v>
      </c>
      <c r="J881" s="96" t="s">
        <v>157</v>
      </c>
      <c r="K881" s="49" t="s">
        <v>1895</v>
      </c>
      <c r="L881" s="39" t="s">
        <v>1896</v>
      </c>
      <c r="M881" s="49" t="s">
        <v>429</v>
      </c>
      <c r="N881" s="39" t="s">
        <v>239</v>
      </c>
      <c r="O881" s="96" t="s">
        <v>1897</v>
      </c>
      <c r="P881" s="49" t="s">
        <v>157</v>
      </c>
      <c r="Q881" s="96" t="s">
        <v>104</v>
      </c>
      <c r="R881" s="52">
        <v>19.9</v>
      </c>
      <c r="S881" s="52">
        <f>R881-T881</f>
        <v>17.767857142857142</v>
      </c>
      <c r="T881" s="52">
        <f>R881*U881/(U881+100)</f>
        <v>2.132142857142857</v>
      </c>
      <c r="U881" s="50">
        <v>12</v>
      </c>
      <c r="V881" s="53">
        <v>0</v>
      </c>
      <c r="W881" s="147">
        <v>1</v>
      </c>
      <c r="X881" s="148" t="s">
        <v>163</v>
      </c>
      <c r="Y881" s="54">
        <f>R881*W881</f>
        <v>19.9</v>
      </c>
      <c r="Z881" s="52">
        <f>S881*W881</f>
        <v>17.767857142857142</v>
      </c>
      <c r="AA881" s="52">
        <f>T881*W881</f>
        <v>2.132142857142857</v>
      </c>
      <c r="AB881" s="52">
        <f>V881*W881</f>
        <v>0</v>
      </c>
      <c r="AC881" s="53">
        <f>(R881+V881)*W881</f>
        <v>19.9</v>
      </c>
      <c r="AD881" s="138">
        <v>19.9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107</v>
      </c>
      <c r="F882" s="96" t="s">
        <v>106</v>
      </c>
      <c r="G882" s="97">
        <v>46132</v>
      </c>
      <c r="H882" s="98">
        <v>0.4261111111111111</v>
      </c>
      <c r="I882" s="50">
        <v>166004619</v>
      </c>
      <c r="J882" s="96" t="s">
        <v>157</v>
      </c>
      <c r="K882" s="49" t="s">
        <v>1898</v>
      </c>
      <c r="L882" s="39" t="s">
        <v>1899</v>
      </c>
      <c r="M882" s="49" t="s">
        <v>429</v>
      </c>
      <c r="N882" s="39" t="s">
        <v>239</v>
      </c>
      <c r="O882" s="96" t="s">
        <v>1900</v>
      </c>
      <c r="P882" s="49" t="s">
        <v>157</v>
      </c>
      <c r="Q882" s="96" t="s">
        <v>104</v>
      </c>
      <c r="R882" s="52">
        <v>19.9</v>
      </c>
      <c r="S882" s="52">
        <f>R882-T882</f>
        <v>17.767857142857142</v>
      </c>
      <c r="T882" s="52">
        <f>R882*U882/(U882+100)</f>
        <v>2.132142857142857</v>
      </c>
      <c r="U882" s="50">
        <v>12</v>
      </c>
      <c r="V882" s="53">
        <v>0</v>
      </c>
      <c r="W882" s="147">
        <v>1</v>
      </c>
      <c r="X882" s="148" t="s">
        <v>163</v>
      </c>
      <c r="Y882" s="54">
        <f>R882*W882</f>
        <v>19.9</v>
      </c>
      <c r="Z882" s="52">
        <f>S882*W882</f>
        <v>17.767857142857142</v>
      </c>
      <c r="AA882" s="52">
        <f>T882*W882</f>
        <v>2.132142857142857</v>
      </c>
      <c r="AB882" s="52">
        <f>V882*W882</f>
        <v>0</v>
      </c>
      <c r="AC882" s="53">
        <f>(R882+V882)*W882</f>
        <v>19.9</v>
      </c>
      <c r="AD882" s="138">
        <v>19.9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107</v>
      </c>
      <c r="F883" s="96" t="s">
        <v>106</v>
      </c>
      <c r="G883" s="97">
        <v>46132</v>
      </c>
      <c r="H883" s="98">
        <v>0.4261111111111111</v>
      </c>
      <c r="I883" s="50">
        <v>166004619</v>
      </c>
      <c r="J883" s="96" t="s">
        <v>157</v>
      </c>
      <c r="K883" s="49" t="s">
        <v>1898</v>
      </c>
      <c r="L883" s="39" t="s">
        <v>1899</v>
      </c>
      <c r="M883" s="49" t="s">
        <v>429</v>
      </c>
      <c r="N883" s="39" t="s">
        <v>239</v>
      </c>
      <c r="O883" s="96" t="s">
        <v>1900</v>
      </c>
      <c r="P883" s="49" t="s">
        <v>157</v>
      </c>
      <c r="Q883" s="96" t="s">
        <v>104</v>
      </c>
      <c r="R883" s="52">
        <v>19.9</v>
      </c>
      <c r="S883" s="52">
        <f>R883-T883</f>
        <v>17.767857142857142</v>
      </c>
      <c r="T883" s="52">
        <f>R883*U883/(U883+100)</f>
        <v>2.132142857142857</v>
      </c>
      <c r="U883" s="50">
        <v>12</v>
      </c>
      <c r="V883" s="53">
        <v>0</v>
      </c>
      <c r="W883" s="147">
        <v>1</v>
      </c>
      <c r="X883" s="148" t="s">
        <v>163</v>
      </c>
      <c r="Y883" s="54">
        <f>R883*W883</f>
        <v>19.9</v>
      </c>
      <c r="Z883" s="52">
        <f>S883*W883</f>
        <v>17.767857142857142</v>
      </c>
      <c r="AA883" s="52">
        <f>T883*W883</f>
        <v>2.132142857142857</v>
      </c>
      <c r="AB883" s="52">
        <f>V883*W883</f>
        <v>0</v>
      </c>
      <c r="AC883" s="53">
        <f>(R883+V883)*W883</f>
        <v>19.9</v>
      </c>
      <c r="AD883" s="138">
        <v>19.9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107</v>
      </c>
      <c r="F884" s="96" t="s">
        <v>106</v>
      </c>
      <c r="G884" s="97">
        <v>46132</v>
      </c>
      <c r="H884" s="98">
        <v>0.4261111111111111</v>
      </c>
      <c r="I884" s="50">
        <v>166004619</v>
      </c>
      <c r="J884" s="96" t="s">
        <v>157</v>
      </c>
      <c r="K884" s="49" t="s">
        <v>1901</v>
      </c>
      <c r="L884" s="39" t="s">
        <v>1902</v>
      </c>
      <c r="M884" s="49" t="s">
        <v>812</v>
      </c>
      <c r="N884" s="39" t="s">
        <v>813</v>
      </c>
      <c r="O884" s="96" t="s">
        <v>1903</v>
      </c>
      <c r="P884" s="49" t="s">
        <v>157</v>
      </c>
      <c r="Q884" s="96" t="s">
        <v>104</v>
      </c>
      <c r="R884" s="52">
        <v>62.9</v>
      </c>
      <c r="S884" s="52">
        <f>R884-T884</f>
        <v>56.160714285714285</v>
      </c>
      <c r="T884" s="52">
        <f>R884*U884/(U884+100)</f>
        <v>6.739285714285714</v>
      </c>
      <c r="U884" s="50">
        <v>12</v>
      </c>
      <c r="V884" s="53">
        <v>0</v>
      </c>
      <c r="W884" s="147">
        <v>1</v>
      </c>
      <c r="X884" s="148" t="s">
        <v>163</v>
      </c>
      <c r="Y884" s="54">
        <f>R884*W884</f>
        <v>62.9</v>
      </c>
      <c r="Z884" s="52">
        <f>S884*W884</f>
        <v>56.160714285714285</v>
      </c>
      <c r="AA884" s="52">
        <f>T884*W884</f>
        <v>6.739285714285714</v>
      </c>
      <c r="AB884" s="52">
        <f>V884*W884</f>
        <v>0</v>
      </c>
      <c r="AC884" s="53">
        <f>(R884+V884)*W884</f>
        <v>62.9</v>
      </c>
      <c r="AD884" s="138">
        <v>62.9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107</v>
      </c>
      <c r="F885" s="96" t="s">
        <v>106</v>
      </c>
      <c r="G885" s="97">
        <v>46132</v>
      </c>
      <c r="H885" s="98">
        <v>0.4261111111111111</v>
      </c>
      <c r="I885" s="50">
        <v>166004619</v>
      </c>
      <c r="J885" s="96" t="s">
        <v>157</v>
      </c>
      <c r="K885" s="49" t="s">
        <v>1904</v>
      </c>
      <c r="L885" s="39" t="s">
        <v>1905</v>
      </c>
      <c r="M885" s="49" t="s">
        <v>413</v>
      </c>
      <c r="N885" s="39" t="s">
        <v>414</v>
      </c>
      <c r="O885" s="96" t="s">
        <v>1906</v>
      </c>
      <c r="P885" s="49" t="s">
        <v>157</v>
      </c>
      <c r="Q885" s="96" t="s">
        <v>104</v>
      </c>
      <c r="R885" s="52">
        <v>9.9</v>
      </c>
      <c r="S885" s="52">
        <f>R885-T885</f>
        <v>8.839285714285715</v>
      </c>
      <c r="T885" s="52">
        <f>R885*U885/(U885+100)</f>
        <v>1.0607142857142857</v>
      </c>
      <c r="U885" s="50">
        <v>12</v>
      </c>
      <c r="V885" s="53">
        <v>0</v>
      </c>
      <c r="W885" s="147">
        <v>1</v>
      </c>
      <c r="X885" s="148" t="s">
        <v>163</v>
      </c>
      <c r="Y885" s="54">
        <f>R885*W885</f>
        <v>9.9</v>
      </c>
      <c r="Z885" s="52">
        <f>S885*W885</f>
        <v>8.839285714285715</v>
      </c>
      <c r="AA885" s="52">
        <f>T885*W885</f>
        <v>1.0607142857142857</v>
      </c>
      <c r="AB885" s="52">
        <f>V885*W885</f>
        <v>0</v>
      </c>
      <c r="AC885" s="53">
        <f>(R885+V885)*W885</f>
        <v>9.9</v>
      </c>
      <c r="AD885" s="138">
        <v>9.9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107</v>
      </c>
      <c r="F886" s="96" t="s">
        <v>106</v>
      </c>
      <c r="G886" s="97">
        <v>46132</v>
      </c>
      <c r="H886" s="98">
        <v>0.4261111111111111</v>
      </c>
      <c r="I886" s="50">
        <v>166004619</v>
      </c>
      <c r="J886" s="96" t="s">
        <v>157</v>
      </c>
      <c r="K886" s="49" t="s">
        <v>1904</v>
      </c>
      <c r="L886" s="39" t="s">
        <v>1905</v>
      </c>
      <c r="M886" s="49" t="s">
        <v>413</v>
      </c>
      <c r="N886" s="39" t="s">
        <v>414</v>
      </c>
      <c r="O886" s="96" t="s">
        <v>1906</v>
      </c>
      <c r="P886" s="49" t="s">
        <v>157</v>
      </c>
      <c r="Q886" s="96" t="s">
        <v>104</v>
      </c>
      <c r="R886" s="52">
        <v>9.9</v>
      </c>
      <c r="S886" s="52">
        <f>R886-T886</f>
        <v>8.839285714285715</v>
      </c>
      <c r="T886" s="52">
        <f>R886*U886/(U886+100)</f>
        <v>1.0607142857142857</v>
      </c>
      <c r="U886" s="50">
        <v>12</v>
      </c>
      <c r="V886" s="53">
        <v>0</v>
      </c>
      <c r="W886" s="147">
        <v>1</v>
      </c>
      <c r="X886" s="148" t="s">
        <v>163</v>
      </c>
      <c r="Y886" s="54">
        <f>R886*W886</f>
        <v>9.9</v>
      </c>
      <c r="Z886" s="52">
        <f>S886*W886</f>
        <v>8.839285714285715</v>
      </c>
      <c r="AA886" s="52">
        <f>T886*W886</f>
        <v>1.0607142857142857</v>
      </c>
      <c r="AB886" s="52">
        <f>V886*W886</f>
        <v>0</v>
      </c>
      <c r="AC886" s="53">
        <f>(R886+V886)*W886</f>
        <v>9.9</v>
      </c>
      <c r="AD886" s="138">
        <v>9.9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107</v>
      </c>
      <c r="F887" s="96" t="s">
        <v>106</v>
      </c>
      <c r="G887" s="97">
        <v>46132</v>
      </c>
      <c r="H887" s="98">
        <v>0.4261111111111111</v>
      </c>
      <c r="I887" s="50">
        <v>166004619</v>
      </c>
      <c r="J887" s="96" t="s">
        <v>157</v>
      </c>
      <c r="K887" s="49" t="s">
        <v>1907</v>
      </c>
      <c r="L887" s="39" t="s">
        <v>1908</v>
      </c>
      <c r="M887" s="49" t="s">
        <v>413</v>
      </c>
      <c r="N887" s="39" t="s">
        <v>414</v>
      </c>
      <c r="O887" s="96" t="s">
        <v>1909</v>
      </c>
      <c r="P887" s="49" t="s">
        <v>157</v>
      </c>
      <c r="Q887" s="96" t="s">
        <v>104</v>
      </c>
      <c r="R887" s="52">
        <v>12.4</v>
      </c>
      <c r="S887" s="52">
        <f>R887-T887</f>
        <v>11.071428571428571</v>
      </c>
      <c r="T887" s="52">
        <f>R887*U887/(U887+100)</f>
        <v>1.3285714285714287</v>
      </c>
      <c r="U887" s="50">
        <v>12</v>
      </c>
      <c r="V887" s="53">
        <v>0</v>
      </c>
      <c r="W887" s="147">
        <v>1</v>
      </c>
      <c r="X887" s="148" t="s">
        <v>163</v>
      </c>
      <c r="Y887" s="54">
        <f>R887*W887</f>
        <v>12.4</v>
      </c>
      <c r="Z887" s="52">
        <f>S887*W887</f>
        <v>11.071428571428571</v>
      </c>
      <c r="AA887" s="52">
        <f>T887*W887</f>
        <v>1.3285714285714287</v>
      </c>
      <c r="AB887" s="52">
        <f>V887*W887</f>
        <v>0</v>
      </c>
      <c r="AC887" s="53">
        <f>(R887+V887)*W887</f>
        <v>12.4</v>
      </c>
      <c r="AD887" s="138">
        <v>12.4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107</v>
      </c>
      <c r="F888" s="96" t="s">
        <v>106</v>
      </c>
      <c r="G888" s="97">
        <v>46132</v>
      </c>
      <c r="H888" s="98">
        <v>0.4261111111111111</v>
      </c>
      <c r="I888" s="50">
        <v>166004619</v>
      </c>
      <c r="J888" s="96" t="s">
        <v>157</v>
      </c>
      <c r="K888" s="49" t="s">
        <v>1907</v>
      </c>
      <c r="L888" s="39" t="s">
        <v>1908</v>
      </c>
      <c r="M888" s="49" t="s">
        <v>413</v>
      </c>
      <c r="N888" s="39" t="s">
        <v>414</v>
      </c>
      <c r="O888" s="96" t="s">
        <v>1909</v>
      </c>
      <c r="P888" s="49" t="s">
        <v>157</v>
      </c>
      <c r="Q888" s="96" t="s">
        <v>104</v>
      </c>
      <c r="R888" s="52">
        <v>12.4</v>
      </c>
      <c r="S888" s="52">
        <f>R888-T888</f>
        <v>11.071428571428571</v>
      </c>
      <c r="T888" s="52">
        <f>R888*U888/(U888+100)</f>
        <v>1.3285714285714287</v>
      </c>
      <c r="U888" s="50">
        <v>12</v>
      </c>
      <c r="V888" s="53">
        <v>0</v>
      </c>
      <c r="W888" s="147">
        <v>1</v>
      </c>
      <c r="X888" s="148" t="s">
        <v>163</v>
      </c>
      <c r="Y888" s="54">
        <f>R888*W888</f>
        <v>12.4</v>
      </c>
      <c r="Z888" s="52">
        <f>S888*W888</f>
        <v>11.071428571428571</v>
      </c>
      <c r="AA888" s="52">
        <f>T888*W888</f>
        <v>1.3285714285714287</v>
      </c>
      <c r="AB888" s="52">
        <f>V888*W888</f>
        <v>0</v>
      </c>
      <c r="AC888" s="53">
        <f>(R888+V888)*W888</f>
        <v>12.4</v>
      </c>
      <c r="AD888" s="138">
        <v>12.4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107</v>
      </c>
      <c r="F889" s="96" t="s">
        <v>106</v>
      </c>
      <c r="G889" s="97">
        <v>46132</v>
      </c>
      <c r="H889" s="98">
        <v>0.4262037037037037</v>
      </c>
      <c r="I889" s="50">
        <v>166004620</v>
      </c>
      <c r="J889" s="96" t="s">
        <v>157</v>
      </c>
      <c r="K889" s="49" t="s">
        <v>1910</v>
      </c>
      <c r="L889" s="39" t="s">
        <v>1911</v>
      </c>
      <c r="M889" s="49" t="s">
        <v>277</v>
      </c>
      <c r="N889" s="39" t="s">
        <v>751</v>
      </c>
      <c r="O889" s="96" t="s">
        <v>1912</v>
      </c>
      <c r="P889" s="49" t="s">
        <v>235</v>
      </c>
      <c r="Q889" s="96" t="s">
        <v>753</v>
      </c>
      <c r="R889" s="52">
        <v>34.9</v>
      </c>
      <c r="S889" s="52">
        <f>R889-T889</f>
        <v>31.160714285714285</v>
      </c>
      <c r="T889" s="52">
        <f>R889*U889/(U889+100)</f>
        <v>3.739285714285714</v>
      </c>
      <c r="U889" s="50">
        <v>12</v>
      </c>
      <c r="V889" s="53">
        <v>0</v>
      </c>
      <c r="W889" s="147">
        <v>1</v>
      </c>
      <c r="X889" s="148" t="s">
        <v>163</v>
      </c>
      <c r="Y889" s="54">
        <f>R889*W889</f>
        <v>34.9</v>
      </c>
      <c r="Z889" s="52">
        <f>S889*W889</f>
        <v>31.160714285714285</v>
      </c>
      <c r="AA889" s="52">
        <f>T889*W889</f>
        <v>3.739285714285714</v>
      </c>
      <c r="AB889" s="52">
        <f>V889*W889</f>
        <v>0</v>
      </c>
      <c r="AC889" s="53">
        <f>(R889+V889)*W889</f>
        <v>34.9</v>
      </c>
      <c r="AD889" s="138">
        <v>34.9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107</v>
      </c>
      <c r="F890" s="96" t="s">
        <v>106</v>
      </c>
      <c r="G890" s="97">
        <v>46132</v>
      </c>
      <c r="H890" s="98">
        <v>0.4262037037037037</v>
      </c>
      <c r="I890" s="50">
        <v>166004620</v>
      </c>
      <c r="J890" s="96" t="s">
        <v>157</v>
      </c>
      <c r="K890" s="49" t="s">
        <v>1059</v>
      </c>
      <c r="L890" s="39" t="s">
        <v>1060</v>
      </c>
      <c r="M890" s="49" t="s">
        <v>277</v>
      </c>
      <c r="N890" s="39" t="s">
        <v>688</v>
      </c>
      <c r="O890" s="96" t="s">
        <v>1061</v>
      </c>
      <c r="P890" s="49" t="s">
        <v>157</v>
      </c>
      <c r="Q890" s="96" t="s">
        <v>104</v>
      </c>
      <c r="R890" s="52">
        <v>217.9</v>
      </c>
      <c r="S890" s="52">
        <f>R890-T890</f>
        <v>194.55357142857144</v>
      </c>
      <c r="T890" s="52">
        <f>R890*U890/(U890+100)</f>
        <v>23.34642857142857</v>
      </c>
      <c r="U890" s="50">
        <v>12</v>
      </c>
      <c r="V890" s="53">
        <v>0</v>
      </c>
      <c r="W890" s="147">
        <v>0.15</v>
      </c>
      <c r="X890" s="148" t="s">
        <v>193</v>
      </c>
      <c r="Y890" s="54">
        <f>R890*W890</f>
        <v>32.685</v>
      </c>
      <c r="Z890" s="52">
        <f>S890*W890</f>
        <v>29.183035714285715</v>
      </c>
      <c r="AA890" s="52">
        <f>T890*W890</f>
        <v>3.5019642857142856</v>
      </c>
      <c r="AB890" s="52">
        <f>V890*W890</f>
        <v>0</v>
      </c>
      <c r="AC890" s="53">
        <f>(R890+V890)*W890</f>
        <v>32.685</v>
      </c>
      <c r="AD890" s="138">
        <v>217.9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107</v>
      </c>
      <c r="F891" s="96" t="s">
        <v>106</v>
      </c>
      <c r="G891" s="97">
        <v>46132</v>
      </c>
      <c r="H891" s="98">
        <v>0.42648148148148146</v>
      </c>
      <c r="I891" s="50">
        <v>166004621</v>
      </c>
      <c r="J891" s="96" t="s">
        <v>157</v>
      </c>
      <c r="K891" s="49" t="s">
        <v>1570</v>
      </c>
      <c r="L891" s="39" t="s">
        <v>1571</v>
      </c>
      <c r="M891" s="49" t="s">
        <v>1572</v>
      </c>
      <c r="N891" s="39" t="s">
        <v>1573</v>
      </c>
      <c r="O891" s="96" t="s">
        <v>1574</v>
      </c>
      <c r="P891" s="49" t="s">
        <v>157</v>
      </c>
      <c r="Q891" s="96" t="s">
        <v>104</v>
      </c>
      <c r="R891" s="52">
        <v>49.9</v>
      </c>
      <c r="S891" s="52">
        <f>R891-T891</f>
        <v>44.55357142857143</v>
      </c>
      <c r="T891" s="52">
        <f>R891*U891/(U891+100)</f>
        <v>5.346428571428571</v>
      </c>
      <c r="U891" s="50">
        <v>12</v>
      </c>
      <c r="V891" s="53">
        <v>0</v>
      </c>
      <c r="W891" s="147">
        <v>1</v>
      </c>
      <c r="X891" s="148" t="s">
        <v>163</v>
      </c>
      <c r="Y891" s="54">
        <f>R891*W891</f>
        <v>49.9</v>
      </c>
      <c r="Z891" s="52">
        <f>S891*W891</f>
        <v>44.55357142857143</v>
      </c>
      <c r="AA891" s="52">
        <f>T891*W891</f>
        <v>5.346428571428571</v>
      </c>
      <c r="AB891" s="52">
        <f>V891*W891</f>
        <v>0</v>
      </c>
      <c r="AC891" s="53">
        <f>(R891+V891)*W891</f>
        <v>49.9</v>
      </c>
      <c r="AD891" s="138">
        <v>49.9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107</v>
      </c>
      <c r="F892" s="96" t="s">
        <v>106</v>
      </c>
      <c r="G892" s="97">
        <v>46132</v>
      </c>
      <c r="H892" s="98">
        <v>0.42648148148148146</v>
      </c>
      <c r="I892" s="50">
        <v>166004621</v>
      </c>
      <c r="J892" s="96" t="s">
        <v>157</v>
      </c>
      <c r="K892" s="49" t="s">
        <v>767</v>
      </c>
      <c r="L892" s="39" t="s">
        <v>768</v>
      </c>
      <c r="M892" s="49" t="s">
        <v>395</v>
      </c>
      <c r="N892" s="39" t="s">
        <v>167</v>
      </c>
      <c r="O892" s="96" t="s">
        <v>1913</v>
      </c>
      <c r="P892" s="49" t="s">
        <v>157</v>
      </c>
      <c r="Q892" s="96" t="s">
        <v>104</v>
      </c>
      <c r="R892" s="52">
        <v>41.9</v>
      </c>
      <c r="S892" s="52">
        <f>R892-T892</f>
        <v>34.62809917355372</v>
      </c>
      <c r="T892" s="52">
        <f>R892*U892/(U892+100)</f>
        <v>7.271900826446281</v>
      </c>
      <c r="U892" s="50">
        <v>21</v>
      </c>
      <c r="V892" s="53">
        <v>0</v>
      </c>
      <c r="W892" s="147">
        <v>1</v>
      </c>
      <c r="X892" s="148" t="s">
        <v>163</v>
      </c>
      <c r="Y892" s="54">
        <f>R892*W892</f>
        <v>41.9</v>
      </c>
      <c r="Z892" s="52">
        <f>S892*W892</f>
        <v>34.62809917355372</v>
      </c>
      <c r="AA892" s="52">
        <f>T892*W892</f>
        <v>7.271900826446281</v>
      </c>
      <c r="AB892" s="52">
        <f>V892*W892</f>
        <v>0</v>
      </c>
      <c r="AC892" s="53">
        <f>(R892+V892)*W892</f>
        <v>41.9</v>
      </c>
      <c r="AD892" s="138">
        <v>41.9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107</v>
      </c>
      <c r="F893" s="96" t="s">
        <v>106</v>
      </c>
      <c r="G893" s="97">
        <v>46132</v>
      </c>
      <c r="H893" s="98">
        <v>0.43123842592592593</v>
      </c>
      <c r="I893" s="50">
        <v>166004622</v>
      </c>
      <c r="J893" s="96" t="s">
        <v>157</v>
      </c>
      <c r="K893" s="49" t="s">
        <v>1103</v>
      </c>
      <c r="L893" s="39" t="s">
        <v>1104</v>
      </c>
      <c r="M893" s="49" t="s">
        <v>166</v>
      </c>
      <c r="N893" s="39" t="s">
        <v>167</v>
      </c>
      <c r="O893" s="96" t="s">
        <v>1105</v>
      </c>
      <c r="P893" s="49" t="s">
        <v>157</v>
      </c>
      <c r="Q893" s="96" t="s">
        <v>104</v>
      </c>
      <c r="R893" s="52">
        <v>19.9</v>
      </c>
      <c r="S893" s="52">
        <f>R893-T893</f>
        <v>16.446280991735534</v>
      </c>
      <c r="T893" s="52">
        <f>R893*U893/(U893+100)</f>
        <v>3.4537190082644624</v>
      </c>
      <c r="U893" s="50">
        <v>21</v>
      </c>
      <c r="V893" s="53">
        <v>0</v>
      </c>
      <c r="W893" s="147">
        <v>1</v>
      </c>
      <c r="X893" s="148" t="s">
        <v>163</v>
      </c>
      <c r="Y893" s="54">
        <f>R893*W893</f>
        <v>19.9</v>
      </c>
      <c r="Z893" s="52">
        <f>S893*W893</f>
        <v>16.446280991735534</v>
      </c>
      <c r="AA893" s="52">
        <f>T893*W893</f>
        <v>3.4537190082644624</v>
      </c>
      <c r="AB893" s="52">
        <f>V893*W893</f>
        <v>0</v>
      </c>
      <c r="AC893" s="53">
        <f>(R893+V893)*W893</f>
        <v>19.9</v>
      </c>
      <c r="AD893" s="138">
        <v>19.9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107</v>
      </c>
      <c r="F894" s="96" t="s">
        <v>106</v>
      </c>
      <c r="G894" s="97">
        <v>46132</v>
      </c>
      <c r="H894" s="98">
        <v>0.43123842592592593</v>
      </c>
      <c r="I894" s="50">
        <v>166004622</v>
      </c>
      <c r="J894" s="96" t="s">
        <v>157</v>
      </c>
      <c r="K894" s="49" t="s">
        <v>1612</v>
      </c>
      <c r="L894" s="39" t="s">
        <v>1613</v>
      </c>
      <c r="M894" s="49" t="s">
        <v>190</v>
      </c>
      <c r="N894" s="39" t="s">
        <v>462</v>
      </c>
      <c r="O894" s="96" t="s">
        <v>1614</v>
      </c>
      <c r="P894" s="49" t="s">
        <v>157</v>
      </c>
      <c r="Q894" s="96" t="s">
        <v>104</v>
      </c>
      <c r="R894" s="52">
        <v>33.9</v>
      </c>
      <c r="S894" s="52">
        <f>R894-T894</f>
        <v>30.267857142857142</v>
      </c>
      <c r="T894" s="52">
        <f>R894*U894/(U894+100)</f>
        <v>3.6321428571428567</v>
      </c>
      <c r="U894" s="50">
        <v>12</v>
      </c>
      <c r="V894" s="53">
        <v>0</v>
      </c>
      <c r="W894" s="147">
        <v>1</v>
      </c>
      <c r="X894" s="148" t="s">
        <v>163</v>
      </c>
      <c r="Y894" s="54">
        <f>R894*W894</f>
        <v>33.9</v>
      </c>
      <c r="Z894" s="52">
        <f>S894*W894</f>
        <v>30.267857142857142</v>
      </c>
      <c r="AA894" s="52">
        <f>T894*W894</f>
        <v>3.6321428571428567</v>
      </c>
      <c r="AB894" s="52">
        <f>V894*W894</f>
        <v>0</v>
      </c>
      <c r="AC894" s="53">
        <f>(R894+V894)*W894</f>
        <v>33.9</v>
      </c>
      <c r="AD894" s="138">
        <v>33.9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107</v>
      </c>
      <c r="F895" s="96" t="s">
        <v>106</v>
      </c>
      <c r="G895" s="97">
        <v>46132</v>
      </c>
      <c r="H895" s="98">
        <v>0.43149305555555556</v>
      </c>
      <c r="I895" s="50">
        <v>166004623</v>
      </c>
      <c r="J895" s="96" t="s">
        <v>157</v>
      </c>
      <c r="K895" s="49" t="s">
        <v>1914</v>
      </c>
      <c r="L895" s="39" t="s">
        <v>1915</v>
      </c>
      <c r="M895" s="49" t="s">
        <v>972</v>
      </c>
      <c r="N895" s="39" t="s">
        <v>256</v>
      </c>
      <c r="O895" s="96" t="s">
        <v>1916</v>
      </c>
      <c r="P895" s="49" t="s">
        <v>157</v>
      </c>
      <c r="Q895" s="96" t="s">
        <v>104</v>
      </c>
      <c r="R895" s="52">
        <v>19.9</v>
      </c>
      <c r="S895" s="52">
        <f>R895-T895</f>
        <v>16.446280991735534</v>
      </c>
      <c r="T895" s="52">
        <f>R895*U895/(U895+100)</f>
        <v>3.4537190082644624</v>
      </c>
      <c r="U895" s="50">
        <v>21</v>
      </c>
      <c r="V895" s="53">
        <v>0</v>
      </c>
      <c r="W895" s="147">
        <v>1</v>
      </c>
      <c r="X895" s="148" t="s">
        <v>163</v>
      </c>
      <c r="Y895" s="54">
        <f>R895*W895</f>
        <v>19.9</v>
      </c>
      <c r="Z895" s="52">
        <f>S895*W895</f>
        <v>16.446280991735534</v>
      </c>
      <c r="AA895" s="52">
        <f>T895*W895</f>
        <v>3.4537190082644624</v>
      </c>
      <c r="AB895" s="52">
        <f>V895*W895</f>
        <v>0</v>
      </c>
      <c r="AC895" s="53">
        <f>(R895+V895)*W895</f>
        <v>19.9</v>
      </c>
      <c r="AD895" s="138">
        <v>19.9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107</v>
      </c>
      <c r="F896" s="96" t="s">
        <v>106</v>
      </c>
      <c r="G896" s="97">
        <v>46132</v>
      </c>
      <c r="H896" s="98">
        <v>0.43223379629629627</v>
      </c>
      <c r="I896" s="50">
        <v>166004624</v>
      </c>
      <c r="J896" s="96" t="s">
        <v>157</v>
      </c>
      <c r="K896" s="49" t="s">
        <v>382</v>
      </c>
      <c r="L896" s="39" t="s">
        <v>383</v>
      </c>
      <c r="M896" s="49" t="s">
        <v>384</v>
      </c>
      <c r="N896" s="39" t="s">
        <v>264</v>
      </c>
      <c r="O896" s="96" t="s">
        <v>1917</v>
      </c>
      <c r="P896" s="49" t="s">
        <v>157</v>
      </c>
      <c r="Q896" s="96" t="s">
        <v>104</v>
      </c>
      <c r="R896" s="52">
        <v>6.9</v>
      </c>
      <c r="S896" s="52">
        <f>R896-T896</f>
        <v>6.160714285714286</v>
      </c>
      <c r="T896" s="52">
        <f>R896*U896/(U896+100)</f>
        <v>0.7392857142857144</v>
      </c>
      <c r="U896" s="50">
        <v>12</v>
      </c>
      <c r="V896" s="53">
        <v>0</v>
      </c>
      <c r="W896" s="147">
        <v>1</v>
      </c>
      <c r="X896" s="148" t="s">
        <v>163</v>
      </c>
      <c r="Y896" s="54">
        <f>R896*W896</f>
        <v>6.9</v>
      </c>
      <c r="Z896" s="52">
        <f>S896*W896</f>
        <v>6.160714285714286</v>
      </c>
      <c r="AA896" s="52">
        <f>T896*W896</f>
        <v>0.7392857142857144</v>
      </c>
      <c r="AB896" s="52">
        <f>V896*W896</f>
        <v>0</v>
      </c>
      <c r="AC896" s="53">
        <f>(R896+V896)*W896</f>
        <v>6.9</v>
      </c>
      <c r="AD896" s="138">
        <v>6.9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107</v>
      </c>
      <c r="F897" s="96" t="s">
        <v>106</v>
      </c>
      <c r="G897" s="97">
        <v>46132</v>
      </c>
      <c r="H897" s="98">
        <v>0.43223379629629627</v>
      </c>
      <c r="I897" s="50">
        <v>166004624</v>
      </c>
      <c r="J897" s="96" t="s">
        <v>157</v>
      </c>
      <c r="K897" s="49" t="s">
        <v>382</v>
      </c>
      <c r="L897" s="39" t="s">
        <v>383</v>
      </c>
      <c r="M897" s="49" t="s">
        <v>384</v>
      </c>
      <c r="N897" s="39" t="s">
        <v>264</v>
      </c>
      <c r="O897" s="96" t="s">
        <v>1917</v>
      </c>
      <c r="P897" s="49" t="s">
        <v>157</v>
      </c>
      <c r="Q897" s="96" t="s">
        <v>104</v>
      </c>
      <c r="R897" s="52">
        <v>6.9</v>
      </c>
      <c r="S897" s="52">
        <f>R897-T897</f>
        <v>6.160714285714286</v>
      </c>
      <c r="T897" s="52">
        <f>R897*U897/(U897+100)</f>
        <v>0.7392857142857144</v>
      </c>
      <c r="U897" s="50">
        <v>12</v>
      </c>
      <c r="V897" s="53">
        <v>0</v>
      </c>
      <c r="W897" s="147">
        <v>1</v>
      </c>
      <c r="X897" s="148" t="s">
        <v>163</v>
      </c>
      <c r="Y897" s="54">
        <f>R897*W897</f>
        <v>6.9</v>
      </c>
      <c r="Z897" s="52">
        <f>S897*W897</f>
        <v>6.160714285714286</v>
      </c>
      <c r="AA897" s="52">
        <f>T897*W897</f>
        <v>0.7392857142857144</v>
      </c>
      <c r="AB897" s="52">
        <f>V897*W897</f>
        <v>0</v>
      </c>
      <c r="AC897" s="53">
        <f>(R897+V897)*W897</f>
        <v>6.9</v>
      </c>
      <c r="AD897" s="138">
        <v>6.9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107</v>
      </c>
      <c r="F898" s="96" t="s">
        <v>106</v>
      </c>
      <c r="G898" s="97">
        <v>46132</v>
      </c>
      <c r="H898" s="98">
        <v>0.43223379629629627</v>
      </c>
      <c r="I898" s="50">
        <v>166004624</v>
      </c>
      <c r="J898" s="96" t="s">
        <v>157</v>
      </c>
      <c r="K898" s="49" t="s">
        <v>1918</v>
      </c>
      <c r="L898" s="39" t="s">
        <v>1919</v>
      </c>
      <c r="M898" s="49" t="s">
        <v>185</v>
      </c>
      <c r="N898" s="39" t="s">
        <v>476</v>
      </c>
      <c r="O898" s="96" t="s">
        <v>1920</v>
      </c>
      <c r="P898" s="49" t="s">
        <v>157</v>
      </c>
      <c r="Q898" s="96" t="s">
        <v>104</v>
      </c>
      <c r="R898" s="52">
        <v>19.9</v>
      </c>
      <c r="S898" s="52">
        <f>R898-T898</f>
        <v>17.767857142857142</v>
      </c>
      <c r="T898" s="52">
        <f>R898*U898/(U898+100)</f>
        <v>2.132142857142857</v>
      </c>
      <c r="U898" s="50">
        <v>12</v>
      </c>
      <c r="V898" s="53">
        <v>0</v>
      </c>
      <c r="W898" s="147">
        <v>1</v>
      </c>
      <c r="X898" s="148" t="s">
        <v>163</v>
      </c>
      <c r="Y898" s="54">
        <f>R898*W898</f>
        <v>19.9</v>
      </c>
      <c r="Z898" s="52">
        <f>S898*W898</f>
        <v>17.767857142857142</v>
      </c>
      <c r="AA898" s="52">
        <f>T898*W898</f>
        <v>2.132142857142857</v>
      </c>
      <c r="AB898" s="52">
        <f>V898*W898</f>
        <v>0</v>
      </c>
      <c r="AC898" s="53">
        <f>(R898+V898)*W898</f>
        <v>19.9</v>
      </c>
      <c r="AD898" s="138">
        <v>19.9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107</v>
      </c>
      <c r="F899" s="96" t="s">
        <v>106</v>
      </c>
      <c r="G899" s="97">
        <v>46132</v>
      </c>
      <c r="H899" s="98">
        <v>0.43223379629629627</v>
      </c>
      <c r="I899" s="50">
        <v>166004624</v>
      </c>
      <c r="J899" s="96" t="s">
        <v>157</v>
      </c>
      <c r="K899" s="49" t="s">
        <v>1440</v>
      </c>
      <c r="L899" s="39" t="s">
        <v>1441</v>
      </c>
      <c r="M899" s="49" t="s">
        <v>190</v>
      </c>
      <c r="N899" s="39" t="s">
        <v>191</v>
      </c>
      <c r="O899" s="96" t="s">
        <v>1442</v>
      </c>
      <c r="P899" s="49" t="s">
        <v>157</v>
      </c>
      <c r="Q899" s="96" t="s">
        <v>104</v>
      </c>
      <c r="R899" s="52">
        <v>8.9</v>
      </c>
      <c r="S899" s="52">
        <f>R899-T899</f>
        <v>7.946428571428572</v>
      </c>
      <c r="T899" s="52">
        <f>R899*U899/(U899+100)</f>
        <v>0.9535714285714286</v>
      </c>
      <c r="U899" s="50">
        <v>12</v>
      </c>
      <c r="V899" s="53">
        <v>0</v>
      </c>
      <c r="W899" s="147">
        <v>0.78</v>
      </c>
      <c r="X899" s="148" t="s">
        <v>193</v>
      </c>
      <c r="Y899" s="54">
        <f>R899*W899</f>
        <v>6.942</v>
      </c>
      <c r="Z899" s="52">
        <f>S899*W899</f>
        <v>6.198214285714286</v>
      </c>
      <c r="AA899" s="52">
        <f>T899*W899</f>
        <v>0.7437857142857144</v>
      </c>
      <c r="AB899" s="52">
        <f>V899*W899</f>
        <v>0</v>
      </c>
      <c r="AC899" s="53">
        <f>(R899+V899)*W899</f>
        <v>6.942</v>
      </c>
      <c r="AD899" s="138">
        <v>8.9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107</v>
      </c>
      <c r="F900" s="96" t="s">
        <v>106</v>
      </c>
      <c r="G900" s="97">
        <v>46132</v>
      </c>
      <c r="H900" s="98">
        <v>0.43223379629629627</v>
      </c>
      <c r="I900" s="50">
        <v>166004624</v>
      </c>
      <c r="J900" s="96" t="s">
        <v>157</v>
      </c>
      <c r="K900" s="49" t="s">
        <v>553</v>
      </c>
      <c r="L900" s="39" t="s">
        <v>104</v>
      </c>
      <c r="M900" s="49" t="s">
        <v>554</v>
      </c>
      <c r="N900" s="39" t="s">
        <v>296</v>
      </c>
      <c r="O900" s="96" t="s">
        <v>555</v>
      </c>
      <c r="P900" s="49" t="s">
        <v>157</v>
      </c>
      <c r="Q900" s="96" t="s">
        <v>104</v>
      </c>
      <c r="R900" s="52">
        <v>8.9</v>
      </c>
      <c r="S900" s="52">
        <f>R900-T900</f>
        <v>7.946428571428572</v>
      </c>
      <c r="T900" s="52">
        <f>R900*U900/(U900+100)</f>
        <v>0.9535714285714286</v>
      </c>
      <c r="U900" s="50">
        <v>12</v>
      </c>
      <c r="V900" s="53">
        <v>0</v>
      </c>
      <c r="W900" s="147">
        <v>2</v>
      </c>
      <c r="X900" s="148" t="s">
        <v>163</v>
      </c>
      <c r="Y900" s="54">
        <f>R900*W900</f>
        <v>17.8</v>
      </c>
      <c r="Z900" s="52">
        <f>S900*W900</f>
        <v>15.892857142857144</v>
      </c>
      <c r="AA900" s="52">
        <f>T900*W900</f>
        <v>1.9071428571428573</v>
      </c>
      <c r="AB900" s="52">
        <f>V900*W900</f>
        <v>0</v>
      </c>
      <c r="AC900" s="53">
        <f>(R900+V900)*W900</f>
        <v>17.8</v>
      </c>
      <c r="AD900" s="138">
        <v>8.9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107</v>
      </c>
      <c r="F901" s="96" t="s">
        <v>106</v>
      </c>
      <c r="G901" s="97">
        <v>46132</v>
      </c>
      <c r="H901" s="98">
        <v>0.43223379629629627</v>
      </c>
      <c r="I901" s="50">
        <v>166004624</v>
      </c>
      <c r="J901" s="96" t="s">
        <v>157</v>
      </c>
      <c r="K901" s="49" t="s">
        <v>1921</v>
      </c>
      <c r="L901" s="39" t="s">
        <v>1922</v>
      </c>
      <c r="M901" s="49" t="s">
        <v>185</v>
      </c>
      <c r="N901" s="39" t="s">
        <v>688</v>
      </c>
      <c r="O901" s="96" t="s">
        <v>1923</v>
      </c>
      <c r="P901" s="49" t="s">
        <v>157</v>
      </c>
      <c r="Q901" s="96" t="s">
        <v>104</v>
      </c>
      <c r="R901" s="52">
        <v>29.9</v>
      </c>
      <c r="S901" s="52">
        <f>R901-T901</f>
        <v>26.69642857142857</v>
      </c>
      <c r="T901" s="52">
        <f>R901*U901/(U901+100)</f>
        <v>3.2035714285714283</v>
      </c>
      <c r="U901" s="50">
        <v>12</v>
      </c>
      <c r="V901" s="53">
        <v>0</v>
      </c>
      <c r="W901" s="147">
        <v>1</v>
      </c>
      <c r="X901" s="148" t="s">
        <v>163</v>
      </c>
      <c r="Y901" s="54">
        <f>R901*W901</f>
        <v>29.9</v>
      </c>
      <c r="Z901" s="52">
        <f>S901*W901</f>
        <v>26.69642857142857</v>
      </c>
      <c r="AA901" s="52">
        <f>T901*W901</f>
        <v>3.2035714285714283</v>
      </c>
      <c r="AB901" s="52">
        <f>V901*W901</f>
        <v>0</v>
      </c>
      <c r="AC901" s="53">
        <f>(R901+V901)*W901</f>
        <v>29.9</v>
      </c>
      <c r="AD901" s="138">
        <v>29.9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107</v>
      </c>
      <c r="F902" s="96" t="s">
        <v>106</v>
      </c>
      <c r="G902" s="97">
        <v>46132</v>
      </c>
      <c r="H902" s="98">
        <v>0.43269675925925927</v>
      </c>
      <c r="I902" s="50">
        <v>166004625</v>
      </c>
      <c r="J902" s="96" t="s">
        <v>157</v>
      </c>
      <c r="K902" s="49" t="s">
        <v>1924</v>
      </c>
      <c r="L902" s="39" t="s">
        <v>1925</v>
      </c>
      <c r="M902" s="49" t="s">
        <v>1647</v>
      </c>
      <c r="N902" s="39" t="s">
        <v>726</v>
      </c>
      <c r="O902" s="96" t="s">
        <v>1926</v>
      </c>
      <c r="P902" s="49" t="s">
        <v>157</v>
      </c>
      <c r="Q902" s="96" t="s">
        <v>104</v>
      </c>
      <c r="R902" s="52">
        <v>37.9</v>
      </c>
      <c r="S902" s="52">
        <f>R902-T902</f>
        <v>33.839285714285715</v>
      </c>
      <c r="T902" s="52">
        <f>R902*U902/(U902+100)</f>
        <v>4.060714285714285</v>
      </c>
      <c r="U902" s="50">
        <v>12</v>
      </c>
      <c r="V902" s="53">
        <v>0</v>
      </c>
      <c r="W902" s="147">
        <v>1</v>
      </c>
      <c r="X902" s="148" t="s">
        <v>163</v>
      </c>
      <c r="Y902" s="54">
        <f>R902*W902</f>
        <v>37.9</v>
      </c>
      <c r="Z902" s="52">
        <f>S902*W902</f>
        <v>33.839285714285715</v>
      </c>
      <c r="AA902" s="52">
        <f>T902*W902</f>
        <v>4.060714285714285</v>
      </c>
      <c r="AB902" s="52">
        <f>V902*W902</f>
        <v>0</v>
      </c>
      <c r="AC902" s="53">
        <f>(R902+V902)*W902</f>
        <v>37.9</v>
      </c>
      <c r="AD902" s="138">
        <v>37.9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107</v>
      </c>
      <c r="F903" s="96" t="s">
        <v>106</v>
      </c>
      <c r="G903" s="97">
        <v>46132</v>
      </c>
      <c r="H903" s="98">
        <v>0.43269675925925927</v>
      </c>
      <c r="I903" s="50">
        <v>166004625</v>
      </c>
      <c r="J903" s="96" t="s">
        <v>157</v>
      </c>
      <c r="K903" s="49" t="s">
        <v>985</v>
      </c>
      <c r="L903" s="39" t="s">
        <v>986</v>
      </c>
      <c r="M903" s="49" t="s">
        <v>185</v>
      </c>
      <c r="N903" s="39" t="s">
        <v>233</v>
      </c>
      <c r="O903" s="96" t="s">
        <v>987</v>
      </c>
      <c r="P903" s="49" t="s">
        <v>157</v>
      </c>
      <c r="Q903" s="96" t="s">
        <v>104</v>
      </c>
      <c r="R903" s="52">
        <v>9.9</v>
      </c>
      <c r="S903" s="52">
        <f>R903-T903</f>
        <v>8.181818181818182</v>
      </c>
      <c r="T903" s="52">
        <f>R903*U903/(U903+100)</f>
        <v>1.7181818181818183</v>
      </c>
      <c r="U903" s="50">
        <v>21</v>
      </c>
      <c r="V903" s="53">
        <v>0</v>
      </c>
      <c r="W903" s="147">
        <v>1</v>
      </c>
      <c r="X903" s="148" t="s">
        <v>163</v>
      </c>
      <c r="Y903" s="54">
        <f>R903*W903</f>
        <v>9.9</v>
      </c>
      <c r="Z903" s="52">
        <f>S903*W903</f>
        <v>8.181818181818182</v>
      </c>
      <c r="AA903" s="52">
        <f>T903*W903</f>
        <v>1.7181818181818183</v>
      </c>
      <c r="AB903" s="52">
        <f>V903*W903</f>
        <v>0</v>
      </c>
      <c r="AC903" s="53">
        <f>(R903+V903)*W903</f>
        <v>9.9</v>
      </c>
      <c r="AD903" s="138">
        <v>9.9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107</v>
      </c>
      <c r="F904" s="96" t="s">
        <v>106</v>
      </c>
      <c r="G904" s="97">
        <v>46132</v>
      </c>
      <c r="H904" s="98">
        <v>0.43269675925925927</v>
      </c>
      <c r="I904" s="50">
        <v>166004625</v>
      </c>
      <c r="J904" s="96" t="s">
        <v>157</v>
      </c>
      <c r="K904" s="49" t="s">
        <v>1927</v>
      </c>
      <c r="L904" s="39" t="s">
        <v>1928</v>
      </c>
      <c r="M904" s="49" t="s">
        <v>190</v>
      </c>
      <c r="N904" s="39" t="s">
        <v>532</v>
      </c>
      <c r="O904" s="96" t="s">
        <v>1929</v>
      </c>
      <c r="P904" s="49" t="s">
        <v>157</v>
      </c>
      <c r="Q904" s="96" t="s">
        <v>104</v>
      </c>
      <c r="R904" s="52">
        <v>35.9</v>
      </c>
      <c r="S904" s="52">
        <f>R904-T904</f>
        <v>32.05357142857143</v>
      </c>
      <c r="T904" s="52">
        <f>R904*U904/(U904+100)</f>
        <v>3.846428571428571</v>
      </c>
      <c r="U904" s="50">
        <v>12</v>
      </c>
      <c r="V904" s="53">
        <v>0</v>
      </c>
      <c r="W904" s="147">
        <v>0.43</v>
      </c>
      <c r="X904" s="148" t="s">
        <v>193</v>
      </c>
      <c r="Y904" s="54">
        <f>R904*W904</f>
        <v>15.437</v>
      </c>
      <c r="Z904" s="52">
        <f>S904*W904</f>
        <v>13.783035714285715</v>
      </c>
      <c r="AA904" s="52">
        <f>T904*W904</f>
        <v>1.6539642857142856</v>
      </c>
      <c r="AB904" s="52">
        <f>V904*W904</f>
        <v>0</v>
      </c>
      <c r="AC904" s="53">
        <f>(R904+V904)*W904</f>
        <v>15.437</v>
      </c>
      <c r="AD904" s="138">
        <v>35.9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107</v>
      </c>
      <c r="F905" s="96" t="s">
        <v>106</v>
      </c>
      <c r="G905" s="97">
        <v>46132</v>
      </c>
      <c r="H905" s="98">
        <v>0.43269675925925927</v>
      </c>
      <c r="I905" s="50">
        <v>166004625</v>
      </c>
      <c r="J905" s="96" t="s">
        <v>157</v>
      </c>
      <c r="K905" s="49" t="s">
        <v>303</v>
      </c>
      <c r="L905" s="39" t="s">
        <v>304</v>
      </c>
      <c r="M905" s="49" t="s">
        <v>214</v>
      </c>
      <c r="N905" s="39" t="s">
        <v>296</v>
      </c>
      <c r="O905" s="96" t="s">
        <v>305</v>
      </c>
      <c r="P905" s="49" t="s">
        <v>157</v>
      </c>
      <c r="Q905" s="96" t="s">
        <v>104</v>
      </c>
      <c r="R905" s="52">
        <v>11.9</v>
      </c>
      <c r="S905" s="52">
        <f>R905-T905</f>
        <v>10.625</v>
      </c>
      <c r="T905" s="52">
        <f>R905*U905/(U905+100)</f>
        <v>1.2750000000000001</v>
      </c>
      <c r="U905" s="50">
        <v>12</v>
      </c>
      <c r="V905" s="53">
        <v>0</v>
      </c>
      <c r="W905" s="147">
        <v>1</v>
      </c>
      <c r="X905" s="148" t="s">
        <v>163</v>
      </c>
      <c r="Y905" s="54">
        <f>R905*W905</f>
        <v>11.9</v>
      </c>
      <c r="Z905" s="52">
        <f>S905*W905</f>
        <v>10.625</v>
      </c>
      <c r="AA905" s="52">
        <f>T905*W905</f>
        <v>1.2750000000000001</v>
      </c>
      <c r="AB905" s="52">
        <f>V905*W905</f>
        <v>0</v>
      </c>
      <c r="AC905" s="53">
        <f>(R905+V905)*W905</f>
        <v>11.9</v>
      </c>
      <c r="AD905" s="138">
        <v>11.9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107</v>
      </c>
      <c r="F906" s="96" t="s">
        <v>106</v>
      </c>
      <c r="G906" s="97">
        <v>46132</v>
      </c>
      <c r="H906" s="98">
        <v>0.4328356481481481</v>
      </c>
      <c r="I906" s="50">
        <v>166004626</v>
      </c>
      <c r="J906" s="96" t="s">
        <v>157</v>
      </c>
      <c r="K906" s="49" t="s">
        <v>1924</v>
      </c>
      <c r="L906" s="39" t="s">
        <v>1925</v>
      </c>
      <c r="M906" s="49" t="s">
        <v>1647</v>
      </c>
      <c r="N906" s="39" t="s">
        <v>726</v>
      </c>
      <c r="O906" s="96" t="s">
        <v>1926</v>
      </c>
      <c r="P906" s="49" t="s">
        <v>157</v>
      </c>
      <c r="Q906" s="96" t="s">
        <v>104</v>
      </c>
      <c r="R906" s="52">
        <v>37.9</v>
      </c>
      <c r="S906" s="52">
        <f>R906-T906</f>
        <v>33.839285714285715</v>
      </c>
      <c r="T906" s="52">
        <f>R906*U906/(U906+100)</f>
        <v>4.060714285714285</v>
      </c>
      <c r="U906" s="50">
        <v>12</v>
      </c>
      <c r="V906" s="53">
        <v>0</v>
      </c>
      <c r="W906" s="147">
        <v>1</v>
      </c>
      <c r="X906" s="148" t="s">
        <v>163</v>
      </c>
      <c r="Y906" s="54">
        <f>R906*W906</f>
        <v>37.9</v>
      </c>
      <c r="Z906" s="52">
        <f>S906*W906</f>
        <v>33.839285714285715</v>
      </c>
      <c r="AA906" s="52">
        <f>T906*W906</f>
        <v>4.060714285714285</v>
      </c>
      <c r="AB906" s="52">
        <f>V906*W906</f>
        <v>0</v>
      </c>
      <c r="AC906" s="53">
        <f>(R906+V906)*W906</f>
        <v>37.9</v>
      </c>
      <c r="AD906" s="138">
        <v>37.9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107</v>
      </c>
      <c r="F907" s="96" t="s">
        <v>106</v>
      </c>
      <c r="G907" s="97">
        <v>46132</v>
      </c>
      <c r="H907" s="98">
        <v>0.43332175925925925</v>
      </c>
      <c r="I907" s="50">
        <v>166004627</v>
      </c>
      <c r="J907" s="96" t="s">
        <v>157</v>
      </c>
      <c r="K907" s="49" t="s">
        <v>1930</v>
      </c>
      <c r="L907" s="39" t="s">
        <v>1931</v>
      </c>
      <c r="M907" s="49" t="s">
        <v>429</v>
      </c>
      <c r="N907" s="39" t="s">
        <v>348</v>
      </c>
      <c r="O907" s="96" t="s">
        <v>1932</v>
      </c>
      <c r="P907" s="49" t="s">
        <v>235</v>
      </c>
      <c r="Q907" s="96" t="s">
        <v>236</v>
      </c>
      <c r="R907" s="52">
        <v>16.9</v>
      </c>
      <c r="S907" s="52">
        <f>R907-T907</f>
        <v>15.089285714285714</v>
      </c>
      <c r="T907" s="52">
        <f>R907*U907/(U907+100)</f>
        <v>1.8107142857142855</v>
      </c>
      <c r="U907" s="50">
        <v>12</v>
      </c>
      <c r="V907" s="53">
        <v>0</v>
      </c>
      <c r="W907" s="147">
        <v>1</v>
      </c>
      <c r="X907" s="148" t="s">
        <v>163</v>
      </c>
      <c r="Y907" s="54">
        <f>R907*W907</f>
        <v>16.9</v>
      </c>
      <c r="Z907" s="52">
        <f>S907*W907</f>
        <v>15.089285714285714</v>
      </c>
      <c r="AA907" s="52">
        <f>T907*W907</f>
        <v>1.8107142857142855</v>
      </c>
      <c r="AB907" s="52">
        <f>V907*W907</f>
        <v>0</v>
      </c>
      <c r="AC907" s="53">
        <f>(R907+V907)*W907</f>
        <v>16.9</v>
      </c>
      <c r="AD907" s="138">
        <v>16.9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107</v>
      </c>
      <c r="F908" s="96" t="s">
        <v>106</v>
      </c>
      <c r="G908" s="97">
        <v>46132</v>
      </c>
      <c r="H908" s="98">
        <v>0.43332175925925925</v>
      </c>
      <c r="I908" s="50">
        <v>166004627</v>
      </c>
      <c r="J908" s="96" t="s">
        <v>157</v>
      </c>
      <c r="K908" s="49" t="s">
        <v>1930</v>
      </c>
      <c r="L908" s="39" t="s">
        <v>1931</v>
      </c>
      <c r="M908" s="49" t="s">
        <v>429</v>
      </c>
      <c r="N908" s="39" t="s">
        <v>348</v>
      </c>
      <c r="O908" s="96" t="s">
        <v>1932</v>
      </c>
      <c r="P908" s="49" t="s">
        <v>235</v>
      </c>
      <c r="Q908" s="96" t="s">
        <v>236</v>
      </c>
      <c r="R908" s="52">
        <v>16.9</v>
      </c>
      <c r="S908" s="52">
        <f>R908-T908</f>
        <v>15.089285714285714</v>
      </c>
      <c r="T908" s="52">
        <f>R908*U908/(U908+100)</f>
        <v>1.8107142857142855</v>
      </c>
      <c r="U908" s="50">
        <v>12</v>
      </c>
      <c r="V908" s="53">
        <v>0</v>
      </c>
      <c r="W908" s="147">
        <v>1</v>
      </c>
      <c r="X908" s="148" t="s">
        <v>163</v>
      </c>
      <c r="Y908" s="54">
        <f>R908*W908</f>
        <v>16.9</v>
      </c>
      <c r="Z908" s="52">
        <f>S908*W908</f>
        <v>15.089285714285714</v>
      </c>
      <c r="AA908" s="52">
        <f>T908*W908</f>
        <v>1.8107142857142855</v>
      </c>
      <c r="AB908" s="52">
        <f>V908*W908</f>
        <v>0</v>
      </c>
      <c r="AC908" s="53">
        <f>(R908+V908)*W908</f>
        <v>16.9</v>
      </c>
      <c r="AD908" s="138">
        <v>16.9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107</v>
      </c>
      <c r="F909" s="96" t="s">
        <v>106</v>
      </c>
      <c r="G909" s="97">
        <v>46132</v>
      </c>
      <c r="H909" s="98">
        <v>0.43332175925925925</v>
      </c>
      <c r="I909" s="50">
        <v>166004627</v>
      </c>
      <c r="J909" s="96" t="s">
        <v>157</v>
      </c>
      <c r="K909" s="49" t="s">
        <v>1933</v>
      </c>
      <c r="L909" s="39" t="s">
        <v>1934</v>
      </c>
      <c r="M909" s="49" t="s">
        <v>429</v>
      </c>
      <c r="N909" s="39" t="s">
        <v>348</v>
      </c>
      <c r="O909" s="96" t="s">
        <v>1935</v>
      </c>
      <c r="P909" s="49" t="s">
        <v>235</v>
      </c>
      <c r="Q909" s="96" t="s">
        <v>236</v>
      </c>
      <c r="R909" s="52">
        <v>16.9</v>
      </c>
      <c r="S909" s="52">
        <f>R909-T909</f>
        <v>15.089285714285714</v>
      </c>
      <c r="T909" s="52">
        <f>R909*U909/(U909+100)</f>
        <v>1.8107142857142855</v>
      </c>
      <c r="U909" s="50">
        <v>12</v>
      </c>
      <c r="V909" s="53">
        <v>0</v>
      </c>
      <c r="W909" s="147">
        <v>1</v>
      </c>
      <c r="X909" s="148" t="s">
        <v>163</v>
      </c>
      <c r="Y909" s="54">
        <f>R909*W909</f>
        <v>16.9</v>
      </c>
      <c r="Z909" s="52">
        <f>S909*W909</f>
        <v>15.089285714285714</v>
      </c>
      <c r="AA909" s="52">
        <f>T909*W909</f>
        <v>1.8107142857142855</v>
      </c>
      <c r="AB909" s="52">
        <f>V909*W909</f>
        <v>0</v>
      </c>
      <c r="AC909" s="53">
        <f>(R909+V909)*W909</f>
        <v>16.9</v>
      </c>
      <c r="AD909" s="138">
        <v>16.9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107</v>
      </c>
      <c r="F910" s="96" t="s">
        <v>106</v>
      </c>
      <c r="G910" s="97">
        <v>46132</v>
      </c>
      <c r="H910" s="98">
        <v>0.43332175925925925</v>
      </c>
      <c r="I910" s="50">
        <v>166004627</v>
      </c>
      <c r="J910" s="96" t="s">
        <v>157</v>
      </c>
      <c r="K910" s="49" t="s">
        <v>1936</v>
      </c>
      <c r="L910" s="39" t="s">
        <v>1937</v>
      </c>
      <c r="M910" s="49" t="s">
        <v>444</v>
      </c>
      <c r="N910" s="39" t="s">
        <v>558</v>
      </c>
      <c r="O910" s="96" t="s">
        <v>1938</v>
      </c>
      <c r="P910" s="49" t="s">
        <v>157</v>
      </c>
      <c r="Q910" s="96" t="s">
        <v>104</v>
      </c>
      <c r="R910" s="52">
        <v>42.9</v>
      </c>
      <c r="S910" s="52">
        <f>R910-T910</f>
        <v>38.30357142857143</v>
      </c>
      <c r="T910" s="52">
        <f>R910*U910/(U910+100)</f>
        <v>4.596428571428571</v>
      </c>
      <c r="U910" s="50">
        <v>12</v>
      </c>
      <c r="V910" s="53">
        <v>0</v>
      </c>
      <c r="W910" s="147">
        <v>1</v>
      </c>
      <c r="X910" s="148" t="s">
        <v>163</v>
      </c>
      <c r="Y910" s="54">
        <f>R910*W910</f>
        <v>42.9</v>
      </c>
      <c r="Z910" s="52">
        <f>S910*W910</f>
        <v>38.30357142857143</v>
      </c>
      <c r="AA910" s="52">
        <f>T910*W910</f>
        <v>4.596428571428571</v>
      </c>
      <c r="AB910" s="52">
        <f>V910*W910</f>
        <v>0</v>
      </c>
      <c r="AC910" s="53">
        <f>(R910+V910)*W910</f>
        <v>42.9</v>
      </c>
      <c r="AD910" s="138">
        <v>42.9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107</v>
      </c>
      <c r="F911" s="96" t="s">
        <v>106</v>
      </c>
      <c r="G911" s="97">
        <v>46132</v>
      </c>
      <c r="H911" s="98">
        <v>0.43332175925925925</v>
      </c>
      <c r="I911" s="50">
        <v>166004627</v>
      </c>
      <c r="J911" s="96" t="s">
        <v>157</v>
      </c>
      <c r="K911" s="49" t="s">
        <v>717</v>
      </c>
      <c r="L911" s="39" t="s">
        <v>718</v>
      </c>
      <c r="M911" s="49" t="s">
        <v>480</v>
      </c>
      <c r="N911" s="39" t="s">
        <v>476</v>
      </c>
      <c r="O911" s="96" t="s">
        <v>1539</v>
      </c>
      <c r="P911" s="49" t="s">
        <v>235</v>
      </c>
      <c r="Q911" s="96" t="s">
        <v>236</v>
      </c>
      <c r="R911" s="52">
        <v>19.9</v>
      </c>
      <c r="S911" s="52">
        <f>R911-T911</f>
        <v>17.767857142857142</v>
      </c>
      <c r="T911" s="52">
        <f>R911*U911/(U911+100)</f>
        <v>2.132142857142857</v>
      </c>
      <c r="U911" s="50">
        <v>12</v>
      </c>
      <c r="V911" s="53">
        <v>0</v>
      </c>
      <c r="W911" s="147">
        <v>1</v>
      </c>
      <c r="X911" s="148" t="s">
        <v>163</v>
      </c>
      <c r="Y911" s="54">
        <f>R911*W911</f>
        <v>19.9</v>
      </c>
      <c r="Z911" s="52">
        <f>S911*W911</f>
        <v>17.767857142857142</v>
      </c>
      <c r="AA911" s="52">
        <f>T911*W911</f>
        <v>2.132142857142857</v>
      </c>
      <c r="AB911" s="52">
        <f>V911*W911</f>
        <v>0</v>
      </c>
      <c r="AC911" s="53">
        <f>(R911+V911)*W911</f>
        <v>19.9</v>
      </c>
      <c r="AD911" s="138">
        <v>19.9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107</v>
      </c>
      <c r="F912" s="96" t="s">
        <v>106</v>
      </c>
      <c r="G912" s="97">
        <v>46132</v>
      </c>
      <c r="H912" s="98">
        <v>0.43332175925925925</v>
      </c>
      <c r="I912" s="50">
        <v>166004627</v>
      </c>
      <c r="J912" s="96" t="s">
        <v>157</v>
      </c>
      <c r="K912" s="49" t="s">
        <v>1939</v>
      </c>
      <c r="L912" s="39" t="s">
        <v>1940</v>
      </c>
      <c r="M912" s="49" t="s">
        <v>1941</v>
      </c>
      <c r="N912" s="39" t="s">
        <v>1075</v>
      </c>
      <c r="O912" s="96" t="s">
        <v>1942</v>
      </c>
      <c r="P912" s="49" t="s">
        <v>157</v>
      </c>
      <c r="Q912" s="96" t="s">
        <v>104</v>
      </c>
      <c r="R912" s="52">
        <v>13.9</v>
      </c>
      <c r="S912" s="52">
        <f>R912-T912</f>
        <v>11.487603305785123</v>
      </c>
      <c r="T912" s="52">
        <f>R912*U912/(U912+100)</f>
        <v>2.4123966942148765</v>
      </c>
      <c r="U912" s="50">
        <v>21</v>
      </c>
      <c r="V912" s="53">
        <v>0</v>
      </c>
      <c r="W912" s="147">
        <v>1</v>
      </c>
      <c r="X912" s="148" t="s">
        <v>163</v>
      </c>
      <c r="Y912" s="54">
        <f>R912*W912</f>
        <v>13.9</v>
      </c>
      <c r="Z912" s="52">
        <f>S912*W912</f>
        <v>11.487603305785123</v>
      </c>
      <c r="AA912" s="52">
        <f>T912*W912</f>
        <v>2.4123966942148765</v>
      </c>
      <c r="AB912" s="52">
        <f>V912*W912</f>
        <v>0</v>
      </c>
      <c r="AC912" s="53">
        <f>(R912+V912)*W912</f>
        <v>13.9</v>
      </c>
      <c r="AD912" s="138">
        <v>13.9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107</v>
      </c>
      <c r="F913" s="96" t="s">
        <v>106</v>
      </c>
      <c r="G913" s="97">
        <v>46132</v>
      </c>
      <c r="H913" s="98">
        <v>0.43332175925925925</v>
      </c>
      <c r="I913" s="50">
        <v>166004627</v>
      </c>
      <c r="J913" s="96" t="s">
        <v>157</v>
      </c>
      <c r="K913" s="49" t="s">
        <v>350</v>
      </c>
      <c r="L913" s="39" t="s">
        <v>351</v>
      </c>
      <c r="M913" s="49" t="s">
        <v>352</v>
      </c>
      <c r="N913" s="39" t="s">
        <v>353</v>
      </c>
      <c r="O913" s="96" t="s">
        <v>1077</v>
      </c>
      <c r="P913" s="49" t="s">
        <v>157</v>
      </c>
      <c r="Q913" s="96" t="s">
        <v>104</v>
      </c>
      <c r="R913" s="52">
        <v>27.9</v>
      </c>
      <c r="S913" s="52">
        <f>R913-T913</f>
        <v>23.05785123966942</v>
      </c>
      <c r="T913" s="52">
        <f>R913*U913/(U913+100)</f>
        <v>4.842148760330578</v>
      </c>
      <c r="U913" s="50">
        <v>21</v>
      </c>
      <c r="V913" s="53">
        <v>0</v>
      </c>
      <c r="W913" s="147">
        <v>1</v>
      </c>
      <c r="X913" s="148" t="s">
        <v>163</v>
      </c>
      <c r="Y913" s="54">
        <f>R913*W913</f>
        <v>27.9</v>
      </c>
      <c r="Z913" s="52">
        <f>S913*W913</f>
        <v>23.05785123966942</v>
      </c>
      <c r="AA913" s="52">
        <f>T913*W913</f>
        <v>4.842148760330578</v>
      </c>
      <c r="AB913" s="52">
        <f>V913*W913</f>
        <v>0</v>
      </c>
      <c r="AC913" s="53">
        <f>(R913+V913)*W913</f>
        <v>27.9</v>
      </c>
      <c r="AD913" s="138">
        <v>27.9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107</v>
      </c>
      <c r="F914" s="96" t="s">
        <v>106</v>
      </c>
      <c r="G914" s="97">
        <v>46132</v>
      </c>
      <c r="H914" s="98">
        <v>0.43332175925925925</v>
      </c>
      <c r="I914" s="50">
        <v>166004627</v>
      </c>
      <c r="J914" s="96" t="s">
        <v>157</v>
      </c>
      <c r="K914" s="49" t="s">
        <v>350</v>
      </c>
      <c r="L914" s="39" t="s">
        <v>351</v>
      </c>
      <c r="M914" s="49" t="s">
        <v>352</v>
      </c>
      <c r="N914" s="39" t="s">
        <v>353</v>
      </c>
      <c r="O914" s="96" t="s">
        <v>1077</v>
      </c>
      <c r="P914" s="49" t="s">
        <v>157</v>
      </c>
      <c r="Q914" s="96" t="s">
        <v>104</v>
      </c>
      <c r="R914" s="52">
        <v>27.9</v>
      </c>
      <c r="S914" s="52">
        <f>R914-T914</f>
        <v>23.05785123966942</v>
      </c>
      <c r="T914" s="52">
        <f>R914*U914/(U914+100)</f>
        <v>4.842148760330578</v>
      </c>
      <c r="U914" s="50">
        <v>21</v>
      </c>
      <c r="V914" s="53">
        <v>0</v>
      </c>
      <c r="W914" s="147">
        <v>1</v>
      </c>
      <c r="X914" s="148" t="s">
        <v>163</v>
      </c>
      <c r="Y914" s="54">
        <f>R914*W914</f>
        <v>27.9</v>
      </c>
      <c r="Z914" s="52">
        <f>S914*W914</f>
        <v>23.05785123966942</v>
      </c>
      <c r="AA914" s="52">
        <f>T914*W914</f>
        <v>4.842148760330578</v>
      </c>
      <c r="AB914" s="52">
        <f>V914*W914</f>
        <v>0</v>
      </c>
      <c r="AC914" s="53">
        <f>(R914+V914)*W914</f>
        <v>27.9</v>
      </c>
      <c r="AD914" s="138">
        <v>27.9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107</v>
      </c>
      <c r="F915" s="96" t="s">
        <v>106</v>
      </c>
      <c r="G915" s="97">
        <v>46132</v>
      </c>
      <c r="H915" s="98">
        <v>0.43332175925925925</v>
      </c>
      <c r="I915" s="50">
        <v>166004627</v>
      </c>
      <c r="J915" s="96" t="s">
        <v>157</v>
      </c>
      <c r="K915" s="49" t="s">
        <v>1943</v>
      </c>
      <c r="L915" s="39" t="s">
        <v>1944</v>
      </c>
      <c r="M915" s="49" t="s">
        <v>185</v>
      </c>
      <c r="N915" s="39" t="s">
        <v>1945</v>
      </c>
      <c r="O915" s="96" t="s">
        <v>1946</v>
      </c>
      <c r="P915" s="49" t="s">
        <v>157</v>
      </c>
      <c r="Q915" s="96" t="s">
        <v>104</v>
      </c>
      <c r="R915" s="52">
        <v>27.9</v>
      </c>
      <c r="S915" s="52">
        <f>R915-T915</f>
        <v>23.05785123966942</v>
      </c>
      <c r="T915" s="52">
        <f>R915*U915/(U915+100)</f>
        <v>4.842148760330578</v>
      </c>
      <c r="U915" s="50">
        <v>21</v>
      </c>
      <c r="V915" s="53">
        <v>0</v>
      </c>
      <c r="W915" s="147">
        <v>1</v>
      </c>
      <c r="X915" s="148" t="s">
        <v>163</v>
      </c>
      <c r="Y915" s="54">
        <f>R915*W915</f>
        <v>27.9</v>
      </c>
      <c r="Z915" s="52">
        <f>S915*W915</f>
        <v>23.05785123966942</v>
      </c>
      <c r="AA915" s="52">
        <f>T915*W915</f>
        <v>4.842148760330578</v>
      </c>
      <c r="AB915" s="52">
        <f>V915*W915</f>
        <v>0</v>
      </c>
      <c r="AC915" s="53">
        <f>(R915+V915)*W915</f>
        <v>27.9</v>
      </c>
      <c r="AD915" s="138">
        <v>27.9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107</v>
      </c>
      <c r="F916" s="96" t="s">
        <v>106</v>
      </c>
      <c r="G916" s="97">
        <v>46132</v>
      </c>
      <c r="H916" s="98">
        <v>0.43332175925925925</v>
      </c>
      <c r="I916" s="50">
        <v>166004627</v>
      </c>
      <c r="J916" s="96" t="s">
        <v>157</v>
      </c>
      <c r="K916" s="49" t="s">
        <v>1164</v>
      </c>
      <c r="L916" s="39" t="s">
        <v>1165</v>
      </c>
      <c r="M916" s="49" t="s">
        <v>277</v>
      </c>
      <c r="N916" s="39" t="s">
        <v>408</v>
      </c>
      <c r="O916" s="96" t="s">
        <v>1166</v>
      </c>
      <c r="P916" s="49" t="s">
        <v>157</v>
      </c>
      <c r="Q916" s="96" t="s">
        <v>104</v>
      </c>
      <c r="R916" s="52">
        <v>159.9</v>
      </c>
      <c r="S916" s="52">
        <f>R916-T916</f>
        <v>142.76785714285714</v>
      </c>
      <c r="T916" s="52">
        <f>R916*U916/(U916+100)</f>
        <v>17.13214285714286</v>
      </c>
      <c r="U916" s="50">
        <v>12</v>
      </c>
      <c r="V916" s="53">
        <v>0</v>
      </c>
      <c r="W916" s="147">
        <v>0.142</v>
      </c>
      <c r="X916" s="148" t="s">
        <v>410</v>
      </c>
      <c r="Y916" s="54">
        <f>R916*W916</f>
        <v>22.7058</v>
      </c>
      <c r="Z916" s="52">
        <f>S916*W916</f>
        <v>20.27303571428571</v>
      </c>
      <c r="AA916" s="52">
        <f>T916*W916</f>
        <v>2.4327642857142857</v>
      </c>
      <c r="AB916" s="52">
        <f>V916*W916</f>
        <v>0</v>
      </c>
      <c r="AC916" s="53">
        <f>(R916+V916)*W916</f>
        <v>22.7058</v>
      </c>
      <c r="AD916" s="138">
        <v>159.9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107</v>
      </c>
      <c r="F917" s="96" t="s">
        <v>106</v>
      </c>
      <c r="G917" s="97">
        <v>46132</v>
      </c>
      <c r="H917" s="98">
        <v>0.43332175925925925</v>
      </c>
      <c r="I917" s="50">
        <v>166004627</v>
      </c>
      <c r="J917" s="96" t="s">
        <v>157</v>
      </c>
      <c r="K917" s="49" t="s">
        <v>1531</v>
      </c>
      <c r="L917" s="39"/>
      <c r="M917" s="49" t="s">
        <v>295</v>
      </c>
      <c r="N917" s="39" t="s">
        <v>433</v>
      </c>
      <c r="O917" s="96" t="s">
        <v>1532</v>
      </c>
      <c r="P917" s="49" t="s">
        <v>235</v>
      </c>
      <c r="Q917" s="96" t="s">
        <v>1533</v>
      </c>
      <c r="R917" s="52">
        <v>19.9</v>
      </c>
      <c r="S917" s="52">
        <f>R917-T917</f>
        <v>17.767857142857142</v>
      </c>
      <c r="T917" s="52">
        <f>R917*U917/(U917+100)</f>
        <v>2.132142857142857</v>
      </c>
      <c r="U917" s="50">
        <v>12</v>
      </c>
      <c r="V917" s="53">
        <v>0</v>
      </c>
      <c r="W917" s="147">
        <v>1</v>
      </c>
      <c r="X917" s="148" t="s">
        <v>945</v>
      </c>
      <c r="Y917" s="54">
        <f>R917*W917</f>
        <v>19.9</v>
      </c>
      <c r="Z917" s="52">
        <f>S917*W917</f>
        <v>17.767857142857142</v>
      </c>
      <c r="AA917" s="52">
        <f>T917*W917</f>
        <v>2.132142857142857</v>
      </c>
      <c r="AB917" s="52">
        <f>V917*W917</f>
        <v>0</v>
      </c>
      <c r="AC917" s="53">
        <f>(R917+V917)*W917</f>
        <v>19.9</v>
      </c>
      <c r="AD917" s="138">
        <v>19.9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107</v>
      </c>
      <c r="F918" s="96" t="s">
        <v>106</v>
      </c>
      <c r="G918" s="97">
        <v>46132</v>
      </c>
      <c r="H918" s="98">
        <v>0.4345023148148148</v>
      </c>
      <c r="I918" s="50">
        <v>166004628</v>
      </c>
      <c r="J918" s="96" t="s">
        <v>157</v>
      </c>
      <c r="K918" s="49" t="s">
        <v>1947</v>
      </c>
      <c r="L918" s="39" t="s">
        <v>1948</v>
      </c>
      <c r="M918" s="49" t="s">
        <v>812</v>
      </c>
      <c r="N918" s="39" t="s">
        <v>1949</v>
      </c>
      <c r="O918" s="96" t="s">
        <v>1950</v>
      </c>
      <c r="P918" s="49" t="s">
        <v>157</v>
      </c>
      <c r="Q918" s="96" t="s">
        <v>104</v>
      </c>
      <c r="R918" s="52">
        <v>17.9</v>
      </c>
      <c r="S918" s="52">
        <f>R918-T918</f>
        <v>15.982142857142856</v>
      </c>
      <c r="T918" s="52">
        <f>R918*U918/(U918+100)</f>
        <v>1.9178571428571427</v>
      </c>
      <c r="U918" s="50">
        <v>12</v>
      </c>
      <c r="V918" s="53">
        <v>0</v>
      </c>
      <c r="W918" s="147">
        <v>1</v>
      </c>
      <c r="X918" s="148" t="s">
        <v>163</v>
      </c>
      <c r="Y918" s="54">
        <f>R918*W918</f>
        <v>17.9</v>
      </c>
      <c r="Z918" s="52">
        <f>S918*W918</f>
        <v>15.982142857142856</v>
      </c>
      <c r="AA918" s="52">
        <f>T918*W918</f>
        <v>1.9178571428571427</v>
      </c>
      <c r="AB918" s="52">
        <f>V918*W918</f>
        <v>0</v>
      </c>
      <c r="AC918" s="53">
        <f>(R918+V918)*W918</f>
        <v>17.9</v>
      </c>
      <c r="AD918" s="138">
        <v>17.9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107</v>
      </c>
      <c r="F919" s="96" t="s">
        <v>106</v>
      </c>
      <c r="G919" s="97">
        <v>46132</v>
      </c>
      <c r="H919" s="98">
        <v>0.4345023148148148</v>
      </c>
      <c r="I919" s="50">
        <v>166004628</v>
      </c>
      <c r="J919" s="96" t="s">
        <v>157</v>
      </c>
      <c r="K919" s="49" t="s">
        <v>1947</v>
      </c>
      <c r="L919" s="39" t="s">
        <v>1948</v>
      </c>
      <c r="M919" s="49" t="s">
        <v>812</v>
      </c>
      <c r="N919" s="39" t="s">
        <v>1949</v>
      </c>
      <c r="O919" s="96" t="s">
        <v>1950</v>
      </c>
      <c r="P919" s="49" t="s">
        <v>157</v>
      </c>
      <c r="Q919" s="96" t="s">
        <v>104</v>
      </c>
      <c r="R919" s="52">
        <v>17.9</v>
      </c>
      <c r="S919" s="52">
        <f>R919-T919</f>
        <v>15.982142857142856</v>
      </c>
      <c r="T919" s="52">
        <f>R919*U919/(U919+100)</f>
        <v>1.9178571428571427</v>
      </c>
      <c r="U919" s="50">
        <v>12</v>
      </c>
      <c r="V919" s="53">
        <v>0</v>
      </c>
      <c r="W919" s="147">
        <v>1</v>
      </c>
      <c r="X919" s="148" t="s">
        <v>163</v>
      </c>
      <c r="Y919" s="54">
        <f>R919*W919</f>
        <v>17.9</v>
      </c>
      <c r="Z919" s="52">
        <f>S919*W919</f>
        <v>15.982142857142856</v>
      </c>
      <c r="AA919" s="52">
        <f>T919*W919</f>
        <v>1.9178571428571427</v>
      </c>
      <c r="AB919" s="52">
        <f>V919*W919</f>
        <v>0</v>
      </c>
      <c r="AC919" s="53">
        <f>(R919+V919)*W919</f>
        <v>17.9</v>
      </c>
      <c r="AD919" s="138">
        <v>17.9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107</v>
      </c>
      <c r="F920" s="96" t="s">
        <v>106</v>
      </c>
      <c r="G920" s="97">
        <v>46132</v>
      </c>
      <c r="H920" s="98">
        <v>0.4345023148148148</v>
      </c>
      <c r="I920" s="50">
        <v>166004628</v>
      </c>
      <c r="J920" s="96" t="s">
        <v>157</v>
      </c>
      <c r="K920" s="49" t="s">
        <v>1951</v>
      </c>
      <c r="L920" s="39" t="s">
        <v>1952</v>
      </c>
      <c r="M920" s="49" t="s">
        <v>812</v>
      </c>
      <c r="N920" s="39" t="s">
        <v>1949</v>
      </c>
      <c r="O920" s="96" t="s">
        <v>1953</v>
      </c>
      <c r="P920" s="49" t="s">
        <v>157</v>
      </c>
      <c r="Q920" s="96" t="s">
        <v>104</v>
      </c>
      <c r="R920" s="52">
        <v>17.9</v>
      </c>
      <c r="S920" s="52">
        <f>R920-T920</f>
        <v>15.982142857142856</v>
      </c>
      <c r="T920" s="52">
        <f>R920*U920/(U920+100)</f>
        <v>1.9178571428571427</v>
      </c>
      <c r="U920" s="50">
        <v>12</v>
      </c>
      <c r="V920" s="53">
        <v>0</v>
      </c>
      <c r="W920" s="147">
        <v>1</v>
      </c>
      <c r="X920" s="148" t="s">
        <v>163</v>
      </c>
      <c r="Y920" s="54">
        <f>R920*W920</f>
        <v>17.9</v>
      </c>
      <c r="Z920" s="52">
        <f>S920*W920</f>
        <v>15.982142857142856</v>
      </c>
      <c r="AA920" s="52">
        <f>T920*W920</f>
        <v>1.9178571428571427</v>
      </c>
      <c r="AB920" s="52">
        <f>V920*W920</f>
        <v>0</v>
      </c>
      <c r="AC920" s="53">
        <f>(R920+V920)*W920</f>
        <v>17.9</v>
      </c>
      <c r="AD920" s="138">
        <v>17.9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107</v>
      </c>
      <c r="F921" s="96" t="s">
        <v>106</v>
      </c>
      <c r="G921" s="97">
        <v>46132</v>
      </c>
      <c r="H921" s="98">
        <v>0.4345023148148148</v>
      </c>
      <c r="I921" s="50">
        <v>166004628</v>
      </c>
      <c r="J921" s="96" t="s">
        <v>157</v>
      </c>
      <c r="K921" s="49" t="s">
        <v>1951</v>
      </c>
      <c r="L921" s="39" t="s">
        <v>1952</v>
      </c>
      <c r="M921" s="49" t="s">
        <v>812</v>
      </c>
      <c r="N921" s="39" t="s">
        <v>1949</v>
      </c>
      <c r="O921" s="96" t="s">
        <v>1953</v>
      </c>
      <c r="P921" s="49" t="s">
        <v>157</v>
      </c>
      <c r="Q921" s="96" t="s">
        <v>104</v>
      </c>
      <c r="R921" s="52">
        <v>17.9</v>
      </c>
      <c r="S921" s="52">
        <f>R921-T921</f>
        <v>15.982142857142856</v>
      </c>
      <c r="T921" s="52">
        <f>R921*U921/(U921+100)</f>
        <v>1.9178571428571427</v>
      </c>
      <c r="U921" s="50">
        <v>12</v>
      </c>
      <c r="V921" s="53">
        <v>0</v>
      </c>
      <c r="W921" s="147">
        <v>1</v>
      </c>
      <c r="X921" s="148" t="s">
        <v>163</v>
      </c>
      <c r="Y921" s="54">
        <f>R921*W921</f>
        <v>17.9</v>
      </c>
      <c r="Z921" s="52">
        <f>S921*W921</f>
        <v>15.982142857142856</v>
      </c>
      <c r="AA921" s="52">
        <f>T921*W921</f>
        <v>1.9178571428571427</v>
      </c>
      <c r="AB921" s="52">
        <f>V921*W921</f>
        <v>0</v>
      </c>
      <c r="AC921" s="53">
        <f>(R921+V921)*W921</f>
        <v>17.9</v>
      </c>
      <c r="AD921" s="138">
        <v>17.9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107</v>
      </c>
      <c r="F922" s="96" t="s">
        <v>106</v>
      </c>
      <c r="G922" s="97">
        <v>46132</v>
      </c>
      <c r="H922" s="98">
        <v>0.4345023148148148</v>
      </c>
      <c r="I922" s="50">
        <v>166004628</v>
      </c>
      <c r="J922" s="96" t="s">
        <v>157</v>
      </c>
      <c r="K922" s="49" t="s">
        <v>1954</v>
      </c>
      <c r="L922" s="39" t="s">
        <v>1955</v>
      </c>
      <c r="M922" s="49" t="s">
        <v>268</v>
      </c>
      <c r="N922" s="39" t="s">
        <v>1956</v>
      </c>
      <c r="O922" s="96" t="s">
        <v>1957</v>
      </c>
      <c r="P922" s="49" t="s">
        <v>157</v>
      </c>
      <c r="Q922" s="96" t="s">
        <v>104</v>
      </c>
      <c r="R922" s="52">
        <v>33.9</v>
      </c>
      <c r="S922" s="52">
        <f>R922-T922</f>
        <v>30.267857142857142</v>
      </c>
      <c r="T922" s="52">
        <f>R922*U922/(U922+100)</f>
        <v>3.6321428571428567</v>
      </c>
      <c r="U922" s="50">
        <v>12</v>
      </c>
      <c r="V922" s="53">
        <v>0</v>
      </c>
      <c r="W922" s="147">
        <v>1</v>
      </c>
      <c r="X922" s="148" t="s">
        <v>163</v>
      </c>
      <c r="Y922" s="54">
        <f>R922*W922</f>
        <v>33.9</v>
      </c>
      <c r="Z922" s="52">
        <f>S922*W922</f>
        <v>30.267857142857142</v>
      </c>
      <c r="AA922" s="52">
        <f>T922*W922</f>
        <v>3.6321428571428567</v>
      </c>
      <c r="AB922" s="52">
        <f>V922*W922</f>
        <v>0</v>
      </c>
      <c r="AC922" s="53">
        <f>(R922+V922)*W922</f>
        <v>33.9</v>
      </c>
      <c r="AD922" s="138">
        <v>33.9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107</v>
      </c>
      <c r="F923" s="96" t="s">
        <v>106</v>
      </c>
      <c r="G923" s="97">
        <v>46132</v>
      </c>
      <c r="H923" s="98">
        <v>0.4345023148148148</v>
      </c>
      <c r="I923" s="50">
        <v>166004628</v>
      </c>
      <c r="J923" s="96" t="s">
        <v>157</v>
      </c>
      <c r="K923" s="49" t="s">
        <v>1878</v>
      </c>
      <c r="L923" s="39" t="s">
        <v>1879</v>
      </c>
      <c r="M923" s="49" t="s">
        <v>277</v>
      </c>
      <c r="N923" s="39" t="s">
        <v>1732</v>
      </c>
      <c r="O923" s="96" t="s">
        <v>1880</v>
      </c>
      <c r="P923" s="49" t="s">
        <v>157</v>
      </c>
      <c r="Q923" s="96" t="s">
        <v>104</v>
      </c>
      <c r="R923" s="52">
        <v>164.9</v>
      </c>
      <c r="S923" s="52">
        <f>R923-T923</f>
        <v>147.23214285714286</v>
      </c>
      <c r="T923" s="52">
        <f>R923*U923/(U923+100)</f>
        <v>17.667857142857144</v>
      </c>
      <c r="U923" s="50">
        <v>12</v>
      </c>
      <c r="V923" s="53">
        <v>0</v>
      </c>
      <c r="W923" s="147">
        <v>0.096</v>
      </c>
      <c r="X923" s="148" t="s">
        <v>193</v>
      </c>
      <c r="Y923" s="54">
        <f>R923*W923</f>
        <v>15.830400000000001</v>
      </c>
      <c r="Z923" s="52">
        <f>S923*W923</f>
        <v>14.134285714285715</v>
      </c>
      <c r="AA923" s="52">
        <f>T923*W923</f>
        <v>1.696114285714286</v>
      </c>
      <c r="AB923" s="52">
        <f>V923*W923</f>
        <v>0</v>
      </c>
      <c r="AC923" s="53">
        <f>(R923+V923)*W923</f>
        <v>15.830400000000001</v>
      </c>
      <c r="AD923" s="138">
        <v>164.9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107</v>
      </c>
      <c r="F924" s="96" t="s">
        <v>106</v>
      </c>
      <c r="G924" s="97">
        <v>46132</v>
      </c>
      <c r="H924" s="98">
        <v>0.4345023148148148</v>
      </c>
      <c r="I924" s="50">
        <v>166004628</v>
      </c>
      <c r="J924" s="96" t="s">
        <v>157</v>
      </c>
      <c r="K924" s="49" t="s">
        <v>1958</v>
      </c>
      <c r="L924" s="39" t="s">
        <v>1959</v>
      </c>
      <c r="M924" s="49" t="s">
        <v>277</v>
      </c>
      <c r="N924" s="39" t="s">
        <v>1732</v>
      </c>
      <c r="O924" s="96" t="s">
        <v>1960</v>
      </c>
      <c r="P924" s="49" t="s">
        <v>157</v>
      </c>
      <c r="Q924" s="96" t="s">
        <v>104</v>
      </c>
      <c r="R924" s="52">
        <v>193.9</v>
      </c>
      <c r="S924" s="52">
        <f>R924-T924</f>
        <v>173.125</v>
      </c>
      <c r="T924" s="52">
        <f>R924*U924/(U924+100)</f>
        <v>20.775000000000002</v>
      </c>
      <c r="U924" s="50">
        <v>12</v>
      </c>
      <c r="V924" s="53">
        <v>0</v>
      </c>
      <c r="W924" s="147">
        <v>0.142</v>
      </c>
      <c r="X924" s="148" t="s">
        <v>193</v>
      </c>
      <c r="Y924" s="54">
        <f>R924*W924</f>
        <v>27.5338</v>
      </c>
      <c r="Z924" s="52">
        <f>S924*W924</f>
        <v>24.58375</v>
      </c>
      <c r="AA924" s="52">
        <f>T924*W924</f>
        <v>2.95005</v>
      </c>
      <c r="AB924" s="52">
        <f>V924*W924</f>
        <v>0</v>
      </c>
      <c r="AC924" s="53">
        <f>(R924+V924)*W924</f>
        <v>27.5338</v>
      </c>
      <c r="AD924" s="138">
        <v>193.9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107</v>
      </c>
      <c r="F925" s="96" t="s">
        <v>106</v>
      </c>
      <c r="G925" s="97">
        <v>46132</v>
      </c>
      <c r="H925" s="98">
        <v>0.4345023148148148</v>
      </c>
      <c r="I925" s="50">
        <v>166004628</v>
      </c>
      <c r="J925" s="96" t="s">
        <v>157</v>
      </c>
      <c r="K925" s="49" t="s">
        <v>293</v>
      </c>
      <c r="L925" s="39" t="s">
        <v>294</v>
      </c>
      <c r="M925" s="49" t="s">
        <v>295</v>
      </c>
      <c r="N925" s="39" t="s">
        <v>296</v>
      </c>
      <c r="O925" s="96" t="s">
        <v>297</v>
      </c>
      <c r="P925" s="49" t="s">
        <v>157</v>
      </c>
      <c r="Q925" s="96" t="s">
        <v>104</v>
      </c>
      <c r="R925" s="52">
        <v>2.9</v>
      </c>
      <c r="S925" s="52">
        <f>R925-T925</f>
        <v>2.5892857142857144</v>
      </c>
      <c r="T925" s="52">
        <f>R925*U925/(U925+100)</f>
        <v>0.31071428571428567</v>
      </c>
      <c r="U925" s="50">
        <v>12</v>
      </c>
      <c r="V925" s="53">
        <v>0</v>
      </c>
      <c r="W925" s="147">
        <v>3</v>
      </c>
      <c r="X925" s="148" t="s">
        <v>163</v>
      </c>
      <c r="Y925" s="54">
        <f>R925*W925</f>
        <v>8.7</v>
      </c>
      <c r="Z925" s="52">
        <f>S925*W925</f>
        <v>7.767857142857143</v>
      </c>
      <c r="AA925" s="52">
        <f>T925*W925</f>
        <v>0.9321428571428569</v>
      </c>
      <c r="AB925" s="52">
        <f>V925*W925</f>
        <v>0</v>
      </c>
      <c r="AC925" s="53">
        <f>(R925+V925)*W925</f>
        <v>8.7</v>
      </c>
      <c r="AD925" s="138">
        <v>2.9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107</v>
      </c>
      <c r="F926" s="96" t="s">
        <v>106</v>
      </c>
      <c r="G926" s="97">
        <v>46132</v>
      </c>
      <c r="H926" s="98">
        <v>0.4345023148148148</v>
      </c>
      <c r="I926" s="50">
        <v>166004628</v>
      </c>
      <c r="J926" s="96" t="s">
        <v>157</v>
      </c>
      <c r="K926" s="49" t="s">
        <v>1691</v>
      </c>
      <c r="L926" s="39" t="s">
        <v>104</v>
      </c>
      <c r="M926" s="49" t="s">
        <v>554</v>
      </c>
      <c r="N926" s="39" t="s">
        <v>296</v>
      </c>
      <c r="O926" s="96" t="s">
        <v>1692</v>
      </c>
      <c r="P926" s="49" t="s">
        <v>157</v>
      </c>
      <c r="Q926" s="96" t="s">
        <v>104</v>
      </c>
      <c r="R926" s="52">
        <v>11.9</v>
      </c>
      <c r="S926" s="52">
        <f>R926-T926</f>
        <v>10.625</v>
      </c>
      <c r="T926" s="52">
        <f>R926*U926/(U926+100)</f>
        <v>1.2750000000000001</v>
      </c>
      <c r="U926" s="50">
        <v>12</v>
      </c>
      <c r="V926" s="53">
        <v>0</v>
      </c>
      <c r="W926" s="147">
        <v>2</v>
      </c>
      <c r="X926" s="148" t="s">
        <v>163</v>
      </c>
      <c r="Y926" s="54">
        <f>R926*W926</f>
        <v>23.8</v>
      </c>
      <c r="Z926" s="52">
        <f>S926*W926</f>
        <v>21.25</v>
      </c>
      <c r="AA926" s="52">
        <f>T926*W926</f>
        <v>2.5500000000000003</v>
      </c>
      <c r="AB926" s="52">
        <f>V926*W926</f>
        <v>0</v>
      </c>
      <c r="AC926" s="53">
        <f>(R926+V926)*W926</f>
        <v>23.8</v>
      </c>
      <c r="AD926" s="138">
        <v>11.9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107</v>
      </c>
      <c r="F927" s="96" t="s">
        <v>106</v>
      </c>
      <c r="G927" s="97">
        <v>46132</v>
      </c>
      <c r="H927" s="98">
        <v>0.4350925925925926</v>
      </c>
      <c r="I927" s="50">
        <v>166004629</v>
      </c>
      <c r="J927" s="96" t="s">
        <v>157</v>
      </c>
      <c r="K927" s="49" t="s">
        <v>1961</v>
      </c>
      <c r="L927" s="39" t="s">
        <v>1962</v>
      </c>
      <c r="M927" s="49" t="s">
        <v>1445</v>
      </c>
      <c r="N927" s="39" t="s">
        <v>319</v>
      </c>
      <c r="O927" s="96" t="s">
        <v>1963</v>
      </c>
      <c r="P927" s="49" t="s">
        <v>157</v>
      </c>
      <c r="Q927" s="96" t="s">
        <v>104</v>
      </c>
      <c r="R927" s="52">
        <v>33.9</v>
      </c>
      <c r="S927" s="52">
        <f>R927-T927</f>
        <v>30.267857142857142</v>
      </c>
      <c r="T927" s="52">
        <f>R927*U927/(U927+100)</f>
        <v>3.6321428571428567</v>
      </c>
      <c r="U927" s="50">
        <v>12</v>
      </c>
      <c r="V927" s="53">
        <v>0</v>
      </c>
      <c r="W927" s="147">
        <v>1</v>
      </c>
      <c r="X927" s="148" t="s">
        <v>163</v>
      </c>
      <c r="Y927" s="54">
        <f>R927*W927</f>
        <v>33.9</v>
      </c>
      <c r="Z927" s="52">
        <f>S927*W927</f>
        <v>30.267857142857142</v>
      </c>
      <c r="AA927" s="52">
        <f>T927*W927</f>
        <v>3.6321428571428567</v>
      </c>
      <c r="AB927" s="52">
        <f>V927*W927</f>
        <v>0</v>
      </c>
      <c r="AC927" s="53">
        <f>(R927+V927)*W927</f>
        <v>33.9</v>
      </c>
      <c r="AD927" s="138">
        <v>33.9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107</v>
      </c>
      <c r="F928" s="96" t="s">
        <v>106</v>
      </c>
      <c r="G928" s="97">
        <v>46132</v>
      </c>
      <c r="H928" s="98">
        <v>0.4350925925925926</v>
      </c>
      <c r="I928" s="50">
        <v>166004629</v>
      </c>
      <c r="J928" s="96" t="s">
        <v>157</v>
      </c>
      <c r="K928" s="49" t="s">
        <v>1964</v>
      </c>
      <c r="L928" s="39" t="s">
        <v>1965</v>
      </c>
      <c r="M928" s="49" t="s">
        <v>730</v>
      </c>
      <c r="N928" s="39" t="s">
        <v>731</v>
      </c>
      <c r="O928" s="96" t="s">
        <v>1966</v>
      </c>
      <c r="P928" s="49" t="s">
        <v>157</v>
      </c>
      <c r="Q928" s="96" t="s">
        <v>104</v>
      </c>
      <c r="R928" s="52">
        <v>114.9</v>
      </c>
      <c r="S928" s="52">
        <f>R928-T928</f>
        <v>94.95867768595042</v>
      </c>
      <c r="T928" s="52">
        <f>R928*U928/(U928+100)</f>
        <v>19.941322314049586</v>
      </c>
      <c r="U928" s="50">
        <v>21</v>
      </c>
      <c r="V928" s="53">
        <v>0</v>
      </c>
      <c r="W928" s="147">
        <v>1</v>
      </c>
      <c r="X928" s="148" t="s">
        <v>163</v>
      </c>
      <c r="Y928" s="54">
        <f>R928*W928</f>
        <v>114.9</v>
      </c>
      <c r="Z928" s="52">
        <f>S928*W928</f>
        <v>94.95867768595042</v>
      </c>
      <c r="AA928" s="52">
        <f>T928*W928</f>
        <v>19.941322314049586</v>
      </c>
      <c r="AB928" s="52">
        <f>V928*W928</f>
        <v>0</v>
      </c>
      <c r="AC928" s="53">
        <f>(R928+V928)*W928</f>
        <v>114.9</v>
      </c>
      <c r="AD928" s="138">
        <v>114.9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107</v>
      </c>
      <c r="F929" s="96" t="s">
        <v>106</v>
      </c>
      <c r="G929" s="97">
        <v>46132</v>
      </c>
      <c r="H929" s="98">
        <v>0.4350925925925926</v>
      </c>
      <c r="I929" s="50">
        <v>166004629</v>
      </c>
      <c r="J929" s="96" t="s">
        <v>157</v>
      </c>
      <c r="K929" s="49" t="s">
        <v>431</v>
      </c>
      <c r="L929" s="39" t="s">
        <v>432</v>
      </c>
      <c r="M929" s="49" t="s">
        <v>268</v>
      </c>
      <c r="N929" s="39" t="s">
        <v>433</v>
      </c>
      <c r="O929" s="96" t="s">
        <v>1967</v>
      </c>
      <c r="P929" s="49" t="s">
        <v>157</v>
      </c>
      <c r="Q929" s="96" t="s">
        <v>104</v>
      </c>
      <c r="R929" s="52">
        <v>37.9</v>
      </c>
      <c r="S929" s="52">
        <f>R929-T929</f>
        <v>33.839285714285715</v>
      </c>
      <c r="T929" s="52">
        <f>R929*U929/(U929+100)</f>
        <v>4.060714285714285</v>
      </c>
      <c r="U929" s="50">
        <v>12</v>
      </c>
      <c r="V929" s="53">
        <v>0</v>
      </c>
      <c r="W929" s="147">
        <v>1</v>
      </c>
      <c r="X929" s="148" t="s">
        <v>163</v>
      </c>
      <c r="Y929" s="54">
        <f>R929*W929</f>
        <v>37.9</v>
      </c>
      <c r="Z929" s="52">
        <f>S929*W929</f>
        <v>33.839285714285715</v>
      </c>
      <c r="AA929" s="52">
        <f>T929*W929</f>
        <v>4.060714285714285</v>
      </c>
      <c r="AB929" s="52">
        <f>V929*W929</f>
        <v>0</v>
      </c>
      <c r="AC929" s="53">
        <f>(R929+V929)*W929</f>
        <v>37.9</v>
      </c>
      <c r="AD929" s="138">
        <v>37.9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107</v>
      </c>
      <c r="F930" s="96" t="s">
        <v>106</v>
      </c>
      <c r="G930" s="97">
        <v>46132</v>
      </c>
      <c r="H930" s="98">
        <v>0.4350925925925926</v>
      </c>
      <c r="I930" s="50">
        <v>166004629</v>
      </c>
      <c r="J930" s="96" t="s">
        <v>157</v>
      </c>
      <c r="K930" s="49" t="s">
        <v>553</v>
      </c>
      <c r="L930" s="39" t="s">
        <v>104</v>
      </c>
      <c r="M930" s="49" t="s">
        <v>554</v>
      </c>
      <c r="N930" s="39" t="s">
        <v>296</v>
      </c>
      <c r="O930" s="96" t="s">
        <v>555</v>
      </c>
      <c r="P930" s="49" t="s">
        <v>157</v>
      </c>
      <c r="Q930" s="96" t="s">
        <v>104</v>
      </c>
      <c r="R930" s="52">
        <v>8.9</v>
      </c>
      <c r="S930" s="52">
        <f>R930-T930</f>
        <v>7.946428571428572</v>
      </c>
      <c r="T930" s="52">
        <f>R930*U930/(U930+100)</f>
        <v>0.9535714285714286</v>
      </c>
      <c r="U930" s="50">
        <v>12</v>
      </c>
      <c r="V930" s="53">
        <v>0</v>
      </c>
      <c r="W930" s="147">
        <v>4</v>
      </c>
      <c r="X930" s="148" t="s">
        <v>163</v>
      </c>
      <c r="Y930" s="54">
        <f>R930*W930</f>
        <v>35.6</v>
      </c>
      <c r="Z930" s="52">
        <f>S930*W930</f>
        <v>31.78571428571429</v>
      </c>
      <c r="AA930" s="52">
        <f>T930*W930</f>
        <v>3.8142857142857145</v>
      </c>
      <c r="AB930" s="52">
        <f>V930*W930</f>
        <v>0</v>
      </c>
      <c r="AC930" s="53">
        <f>(R930+V930)*W930</f>
        <v>35.6</v>
      </c>
      <c r="AD930" s="138">
        <v>8.9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107</v>
      </c>
      <c r="F931" s="96" t="s">
        <v>106</v>
      </c>
      <c r="G931" s="97">
        <v>46132</v>
      </c>
      <c r="H931" s="98">
        <v>0.4363194444444444</v>
      </c>
      <c r="I931" s="50">
        <v>166004630</v>
      </c>
      <c r="J931" s="96" t="s">
        <v>157</v>
      </c>
      <c r="K931" s="49" t="s">
        <v>1555</v>
      </c>
      <c r="L931" s="39" t="s">
        <v>1556</v>
      </c>
      <c r="M931" s="49" t="s">
        <v>425</v>
      </c>
      <c r="N931" s="39" t="s">
        <v>197</v>
      </c>
      <c r="O931" s="96" t="s">
        <v>1557</v>
      </c>
      <c r="P931" s="49" t="s">
        <v>235</v>
      </c>
      <c r="Q931" s="96" t="s">
        <v>236</v>
      </c>
      <c r="R931" s="52">
        <v>5.9</v>
      </c>
      <c r="S931" s="52">
        <f>R931-T931</f>
        <v>5.267857142857143</v>
      </c>
      <c r="T931" s="52">
        <f>R931*U931/(U931+100)</f>
        <v>0.6321428571428572</v>
      </c>
      <c r="U931" s="50">
        <v>12</v>
      </c>
      <c r="V931" s="53">
        <v>0</v>
      </c>
      <c r="W931" s="147">
        <v>1</v>
      </c>
      <c r="X931" s="148" t="s">
        <v>163</v>
      </c>
      <c r="Y931" s="54">
        <f>R931*W931</f>
        <v>5.9</v>
      </c>
      <c r="Z931" s="52">
        <f>S931*W931</f>
        <v>5.267857142857143</v>
      </c>
      <c r="AA931" s="52">
        <f>T931*W931</f>
        <v>0.6321428571428572</v>
      </c>
      <c r="AB931" s="52">
        <f>V931*W931</f>
        <v>0</v>
      </c>
      <c r="AC931" s="53">
        <f>(R931+V931)*W931</f>
        <v>5.9</v>
      </c>
      <c r="AD931" s="138">
        <v>5.9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107</v>
      </c>
      <c r="F932" s="96" t="s">
        <v>106</v>
      </c>
      <c r="G932" s="97">
        <v>46132</v>
      </c>
      <c r="H932" s="98">
        <v>0.4363194444444444</v>
      </c>
      <c r="I932" s="50">
        <v>166004630</v>
      </c>
      <c r="J932" s="96" t="s">
        <v>157</v>
      </c>
      <c r="K932" s="49" t="s">
        <v>1555</v>
      </c>
      <c r="L932" s="39" t="s">
        <v>1556</v>
      </c>
      <c r="M932" s="49" t="s">
        <v>425</v>
      </c>
      <c r="N932" s="39" t="s">
        <v>197</v>
      </c>
      <c r="O932" s="96" t="s">
        <v>1557</v>
      </c>
      <c r="P932" s="49" t="s">
        <v>235</v>
      </c>
      <c r="Q932" s="96" t="s">
        <v>236</v>
      </c>
      <c r="R932" s="52">
        <v>5.9</v>
      </c>
      <c r="S932" s="52">
        <f>R932-T932</f>
        <v>5.267857142857143</v>
      </c>
      <c r="T932" s="52">
        <f>R932*U932/(U932+100)</f>
        <v>0.6321428571428572</v>
      </c>
      <c r="U932" s="50">
        <v>12</v>
      </c>
      <c r="V932" s="53">
        <v>0</v>
      </c>
      <c r="W932" s="147">
        <v>1</v>
      </c>
      <c r="X932" s="148" t="s">
        <v>163</v>
      </c>
      <c r="Y932" s="54">
        <f>R932*W932</f>
        <v>5.9</v>
      </c>
      <c r="Z932" s="52">
        <f>S932*W932</f>
        <v>5.267857142857143</v>
      </c>
      <c r="AA932" s="52">
        <f>T932*W932</f>
        <v>0.6321428571428572</v>
      </c>
      <c r="AB932" s="52">
        <f>V932*W932</f>
        <v>0</v>
      </c>
      <c r="AC932" s="53">
        <f>(R932+V932)*W932</f>
        <v>5.9</v>
      </c>
      <c r="AD932" s="138">
        <v>5.9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107</v>
      </c>
      <c r="F933" s="96" t="s">
        <v>106</v>
      </c>
      <c r="G933" s="97">
        <v>46132</v>
      </c>
      <c r="H933" s="98">
        <v>0.4363194444444444</v>
      </c>
      <c r="I933" s="50">
        <v>166004630</v>
      </c>
      <c r="J933" s="96" t="s">
        <v>157</v>
      </c>
      <c r="K933" s="49" t="s">
        <v>1555</v>
      </c>
      <c r="L933" s="39" t="s">
        <v>1556</v>
      </c>
      <c r="M933" s="49" t="s">
        <v>425</v>
      </c>
      <c r="N933" s="39" t="s">
        <v>197</v>
      </c>
      <c r="O933" s="96" t="s">
        <v>1557</v>
      </c>
      <c r="P933" s="49" t="s">
        <v>235</v>
      </c>
      <c r="Q933" s="96" t="s">
        <v>236</v>
      </c>
      <c r="R933" s="52">
        <v>5.9</v>
      </c>
      <c r="S933" s="52">
        <f>R933-T933</f>
        <v>5.267857142857143</v>
      </c>
      <c r="T933" s="52">
        <f>R933*U933/(U933+100)</f>
        <v>0.6321428571428572</v>
      </c>
      <c r="U933" s="50">
        <v>12</v>
      </c>
      <c r="V933" s="53">
        <v>0</v>
      </c>
      <c r="W933" s="147">
        <v>1</v>
      </c>
      <c r="X933" s="148" t="s">
        <v>163</v>
      </c>
      <c r="Y933" s="54">
        <f>R933*W933</f>
        <v>5.9</v>
      </c>
      <c r="Z933" s="52">
        <f>S933*W933</f>
        <v>5.267857142857143</v>
      </c>
      <c r="AA933" s="52">
        <f>T933*W933</f>
        <v>0.6321428571428572</v>
      </c>
      <c r="AB933" s="52">
        <f>V933*W933</f>
        <v>0</v>
      </c>
      <c r="AC933" s="53">
        <f>(R933+V933)*W933</f>
        <v>5.9</v>
      </c>
      <c r="AD933" s="138">
        <v>5.9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107</v>
      </c>
      <c r="F934" s="96" t="s">
        <v>106</v>
      </c>
      <c r="G934" s="97">
        <v>46132</v>
      </c>
      <c r="H934" s="98">
        <v>0.4363194444444444</v>
      </c>
      <c r="I934" s="50">
        <v>166004630</v>
      </c>
      <c r="J934" s="96" t="s">
        <v>157</v>
      </c>
      <c r="K934" s="49" t="s">
        <v>1968</v>
      </c>
      <c r="L934" s="39" t="s">
        <v>1969</v>
      </c>
      <c r="M934" s="49" t="s">
        <v>425</v>
      </c>
      <c r="N934" s="39" t="s">
        <v>197</v>
      </c>
      <c r="O934" s="96" t="s">
        <v>1970</v>
      </c>
      <c r="P934" s="49" t="s">
        <v>235</v>
      </c>
      <c r="Q934" s="96" t="s">
        <v>236</v>
      </c>
      <c r="R934" s="52">
        <v>5.9</v>
      </c>
      <c r="S934" s="52">
        <f>R934-T934</f>
        <v>5.267857142857143</v>
      </c>
      <c r="T934" s="52">
        <f>R934*U934/(U934+100)</f>
        <v>0.6321428571428572</v>
      </c>
      <c r="U934" s="50">
        <v>12</v>
      </c>
      <c r="V934" s="53">
        <v>0</v>
      </c>
      <c r="W934" s="147">
        <v>1</v>
      </c>
      <c r="X934" s="148" t="s">
        <v>163</v>
      </c>
      <c r="Y934" s="54">
        <f>R934*W934</f>
        <v>5.9</v>
      </c>
      <c r="Z934" s="52">
        <f>S934*W934</f>
        <v>5.267857142857143</v>
      </c>
      <c r="AA934" s="52">
        <f>T934*W934</f>
        <v>0.6321428571428572</v>
      </c>
      <c r="AB934" s="52">
        <f>V934*W934</f>
        <v>0</v>
      </c>
      <c r="AC934" s="53">
        <f>(R934+V934)*W934</f>
        <v>5.9</v>
      </c>
      <c r="AD934" s="138">
        <v>5.9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107</v>
      </c>
      <c r="F935" s="96" t="s">
        <v>106</v>
      </c>
      <c r="G935" s="97">
        <v>46132</v>
      </c>
      <c r="H935" s="98">
        <v>0.4363194444444444</v>
      </c>
      <c r="I935" s="50">
        <v>166004630</v>
      </c>
      <c r="J935" s="96" t="s">
        <v>157</v>
      </c>
      <c r="K935" s="49" t="s">
        <v>1968</v>
      </c>
      <c r="L935" s="39" t="s">
        <v>1969</v>
      </c>
      <c r="M935" s="49" t="s">
        <v>425</v>
      </c>
      <c r="N935" s="39" t="s">
        <v>197</v>
      </c>
      <c r="O935" s="96" t="s">
        <v>1970</v>
      </c>
      <c r="P935" s="49" t="s">
        <v>235</v>
      </c>
      <c r="Q935" s="96" t="s">
        <v>236</v>
      </c>
      <c r="R935" s="52">
        <v>5.9</v>
      </c>
      <c r="S935" s="52">
        <f>R935-T935</f>
        <v>5.267857142857143</v>
      </c>
      <c r="T935" s="52">
        <f>R935*U935/(U935+100)</f>
        <v>0.6321428571428572</v>
      </c>
      <c r="U935" s="50">
        <v>12</v>
      </c>
      <c r="V935" s="53">
        <v>0</v>
      </c>
      <c r="W935" s="147">
        <v>1</v>
      </c>
      <c r="X935" s="148" t="s">
        <v>163</v>
      </c>
      <c r="Y935" s="54">
        <f>R935*W935</f>
        <v>5.9</v>
      </c>
      <c r="Z935" s="52">
        <f>S935*W935</f>
        <v>5.267857142857143</v>
      </c>
      <c r="AA935" s="52">
        <f>T935*W935</f>
        <v>0.6321428571428572</v>
      </c>
      <c r="AB935" s="52">
        <f>V935*W935</f>
        <v>0</v>
      </c>
      <c r="AC935" s="53">
        <f>(R935+V935)*W935</f>
        <v>5.9</v>
      </c>
      <c r="AD935" s="138">
        <v>5.9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107</v>
      </c>
      <c r="F936" s="96" t="s">
        <v>106</v>
      </c>
      <c r="G936" s="97">
        <v>46132</v>
      </c>
      <c r="H936" s="98">
        <v>0.4363194444444444</v>
      </c>
      <c r="I936" s="50">
        <v>166004630</v>
      </c>
      <c r="J936" s="96" t="s">
        <v>157</v>
      </c>
      <c r="K936" s="49" t="s">
        <v>1968</v>
      </c>
      <c r="L936" s="39" t="s">
        <v>1969</v>
      </c>
      <c r="M936" s="49" t="s">
        <v>425</v>
      </c>
      <c r="N936" s="39" t="s">
        <v>197</v>
      </c>
      <c r="O936" s="96" t="s">
        <v>1970</v>
      </c>
      <c r="P936" s="49" t="s">
        <v>235</v>
      </c>
      <c r="Q936" s="96" t="s">
        <v>236</v>
      </c>
      <c r="R936" s="52">
        <v>5.9</v>
      </c>
      <c r="S936" s="52">
        <f>R936-T936</f>
        <v>5.267857142857143</v>
      </c>
      <c r="T936" s="52">
        <f>R936*U936/(U936+100)</f>
        <v>0.6321428571428572</v>
      </c>
      <c r="U936" s="50">
        <v>12</v>
      </c>
      <c r="V936" s="53">
        <v>0</v>
      </c>
      <c r="W936" s="147">
        <v>1</v>
      </c>
      <c r="X936" s="148" t="s">
        <v>163</v>
      </c>
      <c r="Y936" s="54">
        <f>R936*W936</f>
        <v>5.9</v>
      </c>
      <c r="Z936" s="52">
        <f>S936*W936</f>
        <v>5.267857142857143</v>
      </c>
      <c r="AA936" s="52">
        <f>T936*W936</f>
        <v>0.6321428571428572</v>
      </c>
      <c r="AB936" s="52">
        <f>V936*W936</f>
        <v>0</v>
      </c>
      <c r="AC936" s="53">
        <f>(R936+V936)*W936</f>
        <v>5.9</v>
      </c>
      <c r="AD936" s="138">
        <v>5.9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107</v>
      </c>
      <c r="F937" s="96" t="s">
        <v>106</v>
      </c>
      <c r="G937" s="97">
        <v>46132</v>
      </c>
      <c r="H937" s="98">
        <v>0.4363194444444444</v>
      </c>
      <c r="I937" s="50">
        <v>166004630</v>
      </c>
      <c r="J937" s="96" t="s">
        <v>157</v>
      </c>
      <c r="K937" s="49" t="s">
        <v>1971</v>
      </c>
      <c r="L937" s="39" t="s">
        <v>1972</v>
      </c>
      <c r="M937" s="49" t="s">
        <v>1405</v>
      </c>
      <c r="N937" s="39" t="s">
        <v>301</v>
      </c>
      <c r="O937" s="96" t="s">
        <v>1973</v>
      </c>
      <c r="P937" s="49" t="s">
        <v>157</v>
      </c>
      <c r="Q937" s="96" t="s">
        <v>104</v>
      </c>
      <c r="R937" s="52">
        <v>23.9</v>
      </c>
      <c r="S937" s="52">
        <f>R937-T937</f>
        <v>21.33928571428571</v>
      </c>
      <c r="T937" s="52">
        <f>R937*U937/(U937+100)</f>
        <v>2.5607142857142855</v>
      </c>
      <c r="U937" s="50">
        <v>12</v>
      </c>
      <c r="V937" s="53">
        <v>0</v>
      </c>
      <c r="W937" s="147">
        <v>1</v>
      </c>
      <c r="X937" s="148" t="s">
        <v>163</v>
      </c>
      <c r="Y937" s="54">
        <f>R937*W937</f>
        <v>23.9</v>
      </c>
      <c r="Z937" s="52">
        <f>S937*W937</f>
        <v>21.33928571428571</v>
      </c>
      <c r="AA937" s="52">
        <f>T937*W937</f>
        <v>2.5607142857142855</v>
      </c>
      <c r="AB937" s="52">
        <f>V937*W937</f>
        <v>0</v>
      </c>
      <c r="AC937" s="53">
        <f>(R937+V937)*W937</f>
        <v>23.9</v>
      </c>
      <c r="AD937" s="138">
        <v>23.9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107</v>
      </c>
      <c r="F938" s="96" t="s">
        <v>106</v>
      </c>
      <c r="G938" s="97">
        <v>46132</v>
      </c>
      <c r="H938" s="98">
        <v>0.4363194444444444</v>
      </c>
      <c r="I938" s="50">
        <v>166004630</v>
      </c>
      <c r="J938" s="96" t="s">
        <v>157</v>
      </c>
      <c r="K938" s="49" t="s">
        <v>1974</v>
      </c>
      <c r="L938" s="39" t="s">
        <v>1975</v>
      </c>
      <c r="M938" s="49" t="s">
        <v>364</v>
      </c>
      <c r="N938" s="39" t="s">
        <v>365</v>
      </c>
      <c r="O938" s="96" t="s">
        <v>1976</v>
      </c>
      <c r="P938" s="49" t="s">
        <v>157</v>
      </c>
      <c r="Q938" s="96" t="s">
        <v>104</v>
      </c>
      <c r="R938" s="52">
        <v>64.9</v>
      </c>
      <c r="S938" s="52">
        <f>R938-T938</f>
        <v>57.94642857142858</v>
      </c>
      <c r="T938" s="52">
        <f>R938*U938/(U938+100)</f>
        <v>6.953571428571429</v>
      </c>
      <c r="U938" s="50">
        <v>12</v>
      </c>
      <c r="V938" s="53">
        <v>0</v>
      </c>
      <c r="W938" s="147">
        <v>1</v>
      </c>
      <c r="X938" s="148" t="s">
        <v>163</v>
      </c>
      <c r="Y938" s="54">
        <f>R938*W938</f>
        <v>64.9</v>
      </c>
      <c r="Z938" s="52">
        <f>S938*W938</f>
        <v>57.94642857142858</v>
      </c>
      <c r="AA938" s="52">
        <f>T938*W938</f>
        <v>6.953571428571429</v>
      </c>
      <c r="AB938" s="52">
        <f>V938*W938</f>
        <v>0</v>
      </c>
      <c r="AC938" s="53">
        <f>(R938+V938)*W938</f>
        <v>64.9</v>
      </c>
      <c r="AD938" s="138">
        <v>64.9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107</v>
      </c>
      <c r="F939" s="96" t="s">
        <v>106</v>
      </c>
      <c r="G939" s="97">
        <v>46132</v>
      </c>
      <c r="H939" s="98">
        <v>0.4363194444444444</v>
      </c>
      <c r="I939" s="50">
        <v>166004630</v>
      </c>
      <c r="J939" s="96" t="s">
        <v>157</v>
      </c>
      <c r="K939" s="49" t="s">
        <v>1977</v>
      </c>
      <c r="L939" s="39" t="s">
        <v>1978</v>
      </c>
      <c r="M939" s="49" t="s">
        <v>277</v>
      </c>
      <c r="N939" s="39" t="s">
        <v>751</v>
      </c>
      <c r="O939" s="96" t="s">
        <v>1979</v>
      </c>
      <c r="P939" s="49" t="s">
        <v>157</v>
      </c>
      <c r="Q939" s="96" t="s">
        <v>104</v>
      </c>
      <c r="R939" s="52">
        <v>39.9</v>
      </c>
      <c r="S939" s="52">
        <f>R939-T939</f>
        <v>35.625</v>
      </c>
      <c r="T939" s="52">
        <f>R939*U939/(U939+100)</f>
        <v>4.2749999999999995</v>
      </c>
      <c r="U939" s="50">
        <v>12</v>
      </c>
      <c r="V939" s="53">
        <v>0</v>
      </c>
      <c r="W939" s="147">
        <v>1</v>
      </c>
      <c r="X939" s="148" t="s">
        <v>163</v>
      </c>
      <c r="Y939" s="54">
        <f>R939*W939</f>
        <v>39.9</v>
      </c>
      <c r="Z939" s="52">
        <f>S939*W939</f>
        <v>35.625</v>
      </c>
      <c r="AA939" s="52">
        <f>T939*W939</f>
        <v>4.2749999999999995</v>
      </c>
      <c r="AB939" s="52">
        <f>V939*W939</f>
        <v>0</v>
      </c>
      <c r="AC939" s="53">
        <f>(R939+V939)*W939</f>
        <v>39.9</v>
      </c>
      <c r="AD939" s="138">
        <v>39.9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107</v>
      </c>
      <c r="F940" s="96" t="s">
        <v>106</v>
      </c>
      <c r="G940" s="97">
        <v>46132</v>
      </c>
      <c r="H940" s="98">
        <v>0.4363194444444444</v>
      </c>
      <c r="I940" s="50">
        <v>166004630</v>
      </c>
      <c r="J940" s="96" t="s">
        <v>157</v>
      </c>
      <c r="K940" s="49" t="s">
        <v>1980</v>
      </c>
      <c r="L940" s="39" t="s">
        <v>1981</v>
      </c>
      <c r="M940" s="49" t="s">
        <v>277</v>
      </c>
      <c r="N940" s="39" t="s">
        <v>751</v>
      </c>
      <c r="O940" s="96" t="s">
        <v>1982</v>
      </c>
      <c r="P940" s="49" t="s">
        <v>235</v>
      </c>
      <c r="Q940" s="96" t="s">
        <v>753</v>
      </c>
      <c r="R940" s="52">
        <v>34.9</v>
      </c>
      <c r="S940" s="52">
        <f>R940-T940</f>
        <v>31.160714285714285</v>
      </c>
      <c r="T940" s="52">
        <f>R940*U940/(U940+100)</f>
        <v>3.739285714285714</v>
      </c>
      <c r="U940" s="50">
        <v>12</v>
      </c>
      <c r="V940" s="53">
        <v>0</v>
      </c>
      <c r="W940" s="147">
        <v>1</v>
      </c>
      <c r="X940" s="148" t="s">
        <v>163</v>
      </c>
      <c r="Y940" s="54">
        <f>R940*W940</f>
        <v>34.9</v>
      </c>
      <c r="Z940" s="52">
        <f>S940*W940</f>
        <v>31.160714285714285</v>
      </c>
      <c r="AA940" s="52">
        <f>T940*W940</f>
        <v>3.739285714285714</v>
      </c>
      <c r="AB940" s="52">
        <f>V940*W940</f>
        <v>0</v>
      </c>
      <c r="AC940" s="53">
        <f>(R940+V940)*W940</f>
        <v>34.9</v>
      </c>
      <c r="AD940" s="138">
        <v>34.9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107</v>
      </c>
      <c r="F941" s="96" t="s">
        <v>106</v>
      </c>
      <c r="G941" s="97">
        <v>46132</v>
      </c>
      <c r="H941" s="98">
        <v>0.4363194444444444</v>
      </c>
      <c r="I941" s="50">
        <v>166004630</v>
      </c>
      <c r="J941" s="96" t="s">
        <v>157</v>
      </c>
      <c r="K941" s="49" t="s">
        <v>188</v>
      </c>
      <c r="L941" s="39" t="s">
        <v>189</v>
      </c>
      <c r="M941" s="49" t="s">
        <v>190</v>
      </c>
      <c r="N941" s="39" t="s">
        <v>191</v>
      </c>
      <c r="O941" s="96" t="s">
        <v>192</v>
      </c>
      <c r="P941" s="49" t="s">
        <v>157</v>
      </c>
      <c r="Q941" s="96" t="s">
        <v>104</v>
      </c>
      <c r="R941" s="52">
        <v>33.9</v>
      </c>
      <c r="S941" s="52">
        <f>R941-T941</f>
        <v>30.267857142857142</v>
      </c>
      <c r="T941" s="52">
        <f>R941*U941/(U941+100)</f>
        <v>3.6321428571428567</v>
      </c>
      <c r="U941" s="50">
        <v>12</v>
      </c>
      <c r="V941" s="53">
        <v>0</v>
      </c>
      <c r="W941" s="147">
        <v>0.282</v>
      </c>
      <c r="X941" s="148" t="s">
        <v>193</v>
      </c>
      <c r="Y941" s="54">
        <f>R941*W941</f>
        <v>9.5598</v>
      </c>
      <c r="Z941" s="52">
        <f>S941*W941</f>
        <v>8.535535714285713</v>
      </c>
      <c r="AA941" s="52">
        <f>T941*W941</f>
        <v>1.0242642857142854</v>
      </c>
      <c r="AB941" s="52">
        <f>V941*W941</f>
        <v>0</v>
      </c>
      <c r="AC941" s="53">
        <f>(R941+V941)*W941</f>
        <v>9.5598</v>
      </c>
      <c r="AD941" s="138">
        <v>33.9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107</v>
      </c>
      <c r="F942" s="96" t="s">
        <v>106</v>
      </c>
      <c r="G942" s="97">
        <v>46132</v>
      </c>
      <c r="H942" s="98">
        <v>0.4363194444444444</v>
      </c>
      <c r="I942" s="50">
        <v>166004630</v>
      </c>
      <c r="J942" s="96" t="s">
        <v>157</v>
      </c>
      <c r="K942" s="49" t="s">
        <v>188</v>
      </c>
      <c r="L942" s="39" t="s">
        <v>189</v>
      </c>
      <c r="M942" s="49" t="s">
        <v>190</v>
      </c>
      <c r="N942" s="39" t="s">
        <v>191</v>
      </c>
      <c r="O942" s="96" t="s">
        <v>192</v>
      </c>
      <c r="P942" s="49" t="s">
        <v>157</v>
      </c>
      <c r="Q942" s="96" t="s">
        <v>104</v>
      </c>
      <c r="R942" s="52">
        <v>33.9</v>
      </c>
      <c r="S942" s="52">
        <f>R942-T942</f>
        <v>30.267857142857142</v>
      </c>
      <c r="T942" s="52">
        <f>R942*U942/(U942+100)</f>
        <v>3.6321428571428567</v>
      </c>
      <c r="U942" s="50">
        <v>12</v>
      </c>
      <c r="V942" s="53">
        <v>0</v>
      </c>
      <c r="W942" s="147">
        <v>0.276</v>
      </c>
      <c r="X942" s="148" t="s">
        <v>193</v>
      </c>
      <c r="Y942" s="54">
        <f>R942*W942</f>
        <v>9.3564</v>
      </c>
      <c r="Z942" s="52">
        <f>S942*W942</f>
        <v>8.353928571428572</v>
      </c>
      <c r="AA942" s="52">
        <f>T942*W942</f>
        <v>1.0024714285714285</v>
      </c>
      <c r="AB942" s="52">
        <f>V942*W942</f>
        <v>0</v>
      </c>
      <c r="AC942" s="53">
        <f>(R942+V942)*W942</f>
        <v>9.3564</v>
      </c>
      <c r="AD942" s="138">
        <v>33.9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107</v>
      </c>
      <c r="F943" s="96" t="s">
        <v>106</v>
      </c>
      <c r="G943" s="97">
        <v>46132</v>
      </c>
      <c r="H943" s="98">
        <v>0.4363194444444444</v>
      </c>
      <c r="I943" s="50">
        <v>166004630</v>
      </c>
      <c r="J943" s="96" t="s">
        <v>157</v>
      </c>
      <c r="K943" s="49" t="s">
        <v>1983</v>
      </c>
      <c r="L943" s="39" t="s">
        <v>1984</v>
      </c>
      <c r="M943" s="49" t="s">
        <v>190</v>
      </c>
      <c r="N943" s="39" t="s">
        <v>191</v>
      </c>
      <c r="O943" s="96" t="s">
        <v>1985</v>
      </c>
      <c r="P943" s="49" t="s">
        <v>157</v>
      </c>
      <c r="Q943" s="96" t="s">
        <v>104</v>
      </c>
      <c r="R943" s="52">
        <v>79.9</v>
      </c>
      <c r="S943" s="52">
        <f>R943-T943</f>
        <v>71.33928571428572</v>
      </c>
      <c r="T943" s="52">
        <f>R943*U943/(U943+100)</f>
        <v>8.560714285714287</v>
      </c>
      <c r="U943" s="50">
        <v>12</v>
      </c>
      <c r="V943" s="53">
        <v>0</v>
      </c>
      <c r="W943" s="147">
        <v>0.228</v>
      </c>
      <c r="X943" s="148" t="s">
        <v>193</v>
      </c>
      <c r="Y943" s="54">
        <f>R943*W943</f>
        <v>18.217200000000002</v>
      </c>
      <c r="Z943" s="52">
        <f>S943*W943</f>
        <v>16.265357142857145</v>
      </c>
      <c r="AA943" s="52">
        <f>T943*W943</f>
        <v>1.9518428571428574</v>
      </c>
      <c r="AB943" s="52">
        <f>V943*W943</f>
        <v>0</v>
      </c>
      <c r="AC943" s="53">
        <f>(R943+V943)*W943</f>
        <v>18.217200000000002</v>
      </c>
      <c r="AD943" s="138">
        <v>79.9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107</v>
      </c>
      <c r="F944" s="96" t="s">
        <v>106</v>
      </c>
      <c r="G944" s="97">
        <v>46132</v>
      </c>
      <c r="H944" s="98">
        <v>0.4363194444444444</v>
      </c>
      <c r="I944" s="50">
        <v>166004630</v>
      </c>
      <c r="J944" s="96" t="s">
        <v>157</v>
      </c>
      <c r="K944" s="49" t="s">
        <v>515</v>
      </c>
      <c r="L944" s="39" t="s">
        <v>104</v>
      </c>
      <c r="M944" s="49" t="s">
        <v>214</v>
      </c>
      <c r="N944" s="39" t="s">
        <v>296</v>
      </c>
      <c r="O944" s="96" t="s">
        <v>1109</v>
      </c>
      <c r="P944" s="49" t="s">
        <v>157</v>
      </c>
      <c r="Q944" s="96" t="s">
        <v>104</v>
      </c>
      <c r="R944" s="52">
        <v>15.9</v>
      </c>
      <c r="S944" s="52">
        <f>R944-T944</f>
        <v>14.196428571428571</v>
      </c>
      <c r="T944" s="52">
        <f>R944*U944/(U944+100)</f>
        <v>1.7035714285714287</v>
      </c>
      <c r="U944" s="50">
        <v>12</v>
      </c>
      <c r="V944" s="53">
        <v>0</v>
      </c>
      <c r="W944" s="147">
        <v>3</v>
      </c>
      <c r="X944" s="148" t="s">
        <v>163</v>
      </c>
      <c r="Y944" s="54">
        <f>R944*W944</f>
        <v>47.7</v>
      </c>
      <c r="Z944" s="52">
        <f>S944*W944</f>
        <v>42.589285714285715</v>
      </c>
      <c r="AA944" s="52">
        <f>T944*W944</f>
        <v>5.110714285714286</v>
      </c>
      <c r="AB944" s="52">
        <f>V944*W944</f>
        <v>0</v>
      </c>
      <c r="AC944" s="53">
        <f>(R944+V944)*W944</f>
        <v>47.7</v>
      </c>
      <c r="AD944" s="138">
        <v>15.9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107</v>
      </c>
      <c r="F945" s="96" t="s">
        <v>106</v>
      </c>
      <c r="G945" s="97">
        <v>46132</v>
      </c>
      <c r="H945" s="98">
        <v>0.4363194444444444</v>
      </c>
      <c r="I945" s="50">
        <v>166004630</v>
      </c>
      <c r="J945" s="96" t="s">
        <v>157</v>
      </c>
      <c r="K945" s="49" t="s">
        <v>390</v>
      </c>
      <c r="L945" s="39" t="s">
        <v>391</v>
      </c>
      <c r="M945" s="49" t="s">
        <v>214</v>
      </c>
      <c r="N945" s="39" t="s">
        <v>273</v>
      </c>
      <c r="O945" s="96" t="s">
        <v>1110</v>
      </c>
      <c r="P945" s="49" t="s">
        <v>157</v>
      </c>
      <c r="Q945" s="96" t="s">
        <v>104</v>
      </c>
      <c r="R945" s="52">
        <v>15.9</v>
      </c>
      <c r="S945" s="52">
        <f>R945-T945</f>
        <v>14.196428571428571</v>
      </c>
      <c r="T945" s="52">
        <f>R945*U945/(U945+100)</f>
        <v>1.7035714285714287</v>
      </c>
      <c r="U945" s="50">
        <v>12</v>
      </c>
      <c r="V945" s="53">
        <v>0</v>
      </c>
      <c r="W945" s="147">
        <v>2</v>
      </c>
      <c r="X945" s="148" t="s">
        <v>163</v>
      </c>
      <c r="Y945" s="54">
        <f>R945*W945</f>
        <v>31.8</v>
      </c>
      <c r="Z945" s="52">
        <f>S945*W945</f>
        <v>28.392857142857142</v>
      </c>
      <c r="AA945" s="52">
        <f>T945*W945</f>
        <v>3.4071428571428575</v>
      </c>
      <c r="AB945" s="52">
        <f>V945*W945</f>
        <v>0</v>
      </c>
      <c r="AC945" s="53">
        <f>(R945+V945)*W945</f>
        <v>31.8</v>
      </c>
      <c r="AD945" s="138">
        <v>15.9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107</v>
      </c>
      <c r="F946" s="96" t="s">
        <v>106</v>
      </c>
      <c r="G946" s="97">
        <v>46132</v>
      </c>
      <c r="H946" s="98">
        <v>0.4363194444444444</v>
      </c>
      <c r="I946" s="50">
        <v>166004630</v>
      </c>
      <c r="J946" s="96" t="s">
        <v>157</v>
      </c>
      <c r="K946" s="49" t="s">
        <v>293</v>
      </c>
      <c r="L946" s="39" t="s">
        <v>294</v>
      </c>
      <c r="M946" s="49" t="s">
        <v>295</v>
      </c>
      <c r="N946" s="39" t="s">
        <v>296</v>
      </c>
      <c r="O946" s="96" t="s">
        <v>297</v>
      </c>
      <c r="P946" s="49" t="s">
        <v>157</v>
      </c>
      <c r="Q946" s="96" t="s">
        <v>104</v>
      </c>
      <c r="R946" s="52">
        <v>2.9</v>
      </c>
      <c r="S946" s="52">
        <f>R946-T946</f>
        <v>2.5892857142857144</v>
      </c>
      <c r="T946" s="52">
        <f>R946*U946/(U946+100)</f>
        <v>0.31071428571428567</v>
      </c>
      <c r="U946" s="50">
        <v>12</v>
      </c>
      <c r="V946" s="53">
        <v>0</v>
      </c>
      <c r="W946" s="147">
        <v>6</v>
      </c>
      <c r="X946" s="148" t="s">
        <v>163</v>
      </c>
      <c r="Y946" s="54">
        <f>R946*W946</f>
        <v>17.4</v>
      </c>
      <c r="Z946" s="52">
        <f>S946*W946</f>
        <v>15.535714285714286</v>
      </c>
      <c r="AA946" s="52">
        <f>T946*W946</f>
        <v>1.8642857142857139</v>
      </c>
      <c r="AB946" s="52">
        <f>V946*W946</f>
        <v>0</v>
      </c>
      <c r="AC946" s="53">
        <f>(R946+V946)*W946</f>
        <v>17.4</v>
      </c>
      <c r="AD946" s="138">
        <v>2.9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107</v>
      </c>
      <c r="F947" s="96" t="s">
        <v>106</v>
      </c>
      <c r="G947" s="97">
        <v>46132</v>
      </c>
      <c r="H947" s="98">
        <v>0.4363194444444444</v>
      </c>
      <c r="I947" s="50">
        <v>166004630</v>
      </c>
      <c r="J947" s="96" t="s">
        <v>157</v>
      </c>
      <c r="K947" s="49" t="s">
        <v>1531</v>
      </c>
      <c r="L947" s="39"/>
      <c r="M947" s="49" t="s">
        <v>295</v>
      </c>
      <c r="N947" s="39" t="s">
        <v>433</v>
      </c>
      <c r="O947" s="96" t="s">
        <v>1532</v>
      </c>
      <c r="P947" s="49" t="s">
        <v>235</v>
      </c>
      <c r="Q947" s="96" t="s">
        <v>1533</v>
      </c>
      <c r="R947" s="52">
        <v>19.9</v>
      </c>
      <c r="S947" s="52">
        <f>R947-T947</f>
        <v>17.767857142857142</v>
      </c>
      <c r="T947" s="52">
        <f>R947*U947/(U947+100)</f>
        <v>2.132142857142857</v>
      </c>
      <c r="U947" s="50">
        <v>12</v>
      </c>
      <c r="V947" s="53">
        <v>0</v>
      </c>
      <c r="W947" s="147">
        <v>1</v>
      </c>
      <c r="X947" s="148" t="s">
        <v>945</v>
      </c>
      <c r="Y947" s="54">
        <f>R947*W947</f>
        <v>19.9</v>
      </c>
      <c r="Z947" s="52">
        <f>S947*W947</f>
        <v>17.767857142857142</v>
      </c>
      <c r="AA947" s="52">
        <f>T947*W947</f>
        <v>2.132142857142857</v>
      </c>
      <c r="AB947" s="52">
        <f>V947*W947</f>
        <v>0</v>
      </c>
      <c r="AC947" s="53">
        <f>(R947+V947)*W947</f>
        <v>19.9</v>
      </c>
      <c r="AD947" s="138">
        <v>19.9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107</v>
      </c>
      <c r="F948" s="96" t="s">
        <v>106</v>
      </c>
      <c r="G948" s="97">
        <v>46132</v>
      </c>
      <c r="H948" s="98">
        <v>0.4373958333333333</v>
      </c>
      <c r="I948" s="50">
        <v>166004631</v>
      </c>
      <c r="J948" s="96" t="s">
        <v>157</v>
      </c>
      <c r="K948" s="49" t="s">
        <v>1986</v>
      </c>
      <c r="L948" s="39" t="s">
        <v>1987</v>
      </c>
      <c r="M948" s="49" t="s">
        <v>185</v>
      </c>
      <c r="N948" s="39" t="s">
        <v>264</v>
      </c>
      <c r="O948" s="96" t="s">
        <v>1988</v>
      </c>
      <c r="P948" s="49" t="s">
        <v>157</v>
      </c>
      <c r="Q948" s="96" t="s">
        <v>104</v>
      </c>
      <c r="R948" s="52">
        <v>7.9</v>
      </c>
      <c r="S948" s="52">
        <f>R948-T948</f>
        <v>7.053571428571429</v>
      </c>
      <c r="T948" s="52">
        <f>R948*U948/(U948+100)</f>
        <v>0.8464285714285715</v>
      </c>
      <c r="U948" s="50">
        <v>12</v>
      </c>
      <c r="V948" s="53">
        <v>0</v>
      </c>
      <c r="W948" s="147">
        <v>1</v>
      </c>
      <c r="X948" s="148" t="s">
        <v>163</v>
      </c>
      <c r="Y948" s="54">
        <f>R948*W948</f>
        <v>7.9</v>
      </c>
      <c r="Z948" s="52">
        <f>S948*W948</f>
        <v>7.053571428571429</v>
      </c>
      <c r="AA948" s="52">
        <f>T948*W948</f>
        <v>0.8464285714285715</v>
      </c>
      <c r="AB948" s="52">
        <f>V948*W948</f>
        <v>0</v>
      </c>
      <c r="AC948" s="53">
        <f>(R948+V948)*W948</f>
        <v>7.9</v>
      </c>
      <c r="AD948" s="138">
        <v>7.9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107</v>
      </c>
      <c r="F949" s="96" t="s">
        <v>106</v>
      </c>
      <c r="G949" s="97">
        <v>46132</v>
      </c>
      <c r="H949" s="98">
        <v>0.4373958333333333</v>
      </c>
      <c r="I949" s="50">
        <v>166004631</v>
      </c>
      <c r="J949" s="96" t="s">
        <v>157</v>
      </c>
      <c r="K949" s="49" t="s">
        <v>1986</v>
      </c>
      <c r="L949" s="39" t="s">
        <v>1987</v>
      </c>
      <c r="M949" s="49" t="s">
        <v>185</v>
      </c>
      <c r="N949" s="39" t="s">
        <v>264</v>
      </c>
      <c r="O949" s="96" t="s">
        <v>1988</v>
      </c>
      <c r="P949" s="49" t="s">
        <v>157</v>
      </c>
      <c r="Q949" s="96" t="s">
        <v>104</v>
      </c>
      <c r="R949" s="52">
        <v>7.9</v>
      </c>
      <c r="S949" s="52">
        <f>R949-T949</f>
        <v>7.053571428571429</v>
      </c>
      <c r="T949" s="52">
        <f>R949*U949/(U949+100)</f>
        <v>0.8464285714285715</v>
      </c>
      <c r="U949" s="50">
        <v>12</v>
      </c>
      <c r="V949" s="53">
        <v>0</v>
      </c>
      <c r="W949" s="147">
        <v>1</v>
      </c>
      <c r="X949" s="148" t="s">
        <v>163</v>
      </c>
      <c r="Y949" s="54">
        <f>R949*W949</f>
        <v>7.9</v>
      </c>
      <c r="Z949" s="52">
        <f>S949*W949</f>
        <v>7.053571428571429</v>
      </c>
      <c r="AA949" s="52">
        <f>T949*W949</f>
        <v>0.8464285714285715</v>
      </c>
      <c r="AB949" s="52">
        <f>V949*W949</f>
        <v>0</v>
      </c>
      <c r="AC949" s="53">
        <f>(R949+V949)*W949</f>
        <v>7.9</v>
      </c>
      <c r="AD949" s="138">
        <v>7.9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107</v>
      </c>
      <c r="F950" s="96" t="s">
        <v>106</v>
      </c>
      <c r="G950" s="97">
        <v>46132</v>
      </c>
      <c r="H950" s="98">
        <v>0.4373958333333333</v>
      </c>
      <c r="I950" s="50">
        <v>166004631</v>
      </c>
      <c r="J950" s="96" t="s">
        <v>157</v>
      </c>
      <c r="K950" s="49" t="s">
        <v>1989</v>
      </c>
      <c r="L950" s="39" t="s">
        <v>1990</v>
      </c>
      <c r="M950" s="49" t="s">
        <v>185</v>
      </c>
      <c r="N950" s="39" t="s">
        <v>264</v>
      </c>
      <c r="O950" s="96" t="s">
        <v>1991</v>
      </c>
      <c r="P950" s="49" t="s">
        <v>157</v>
      </c>
      <c r="Q950" s="96" t="s">
        <v>104</v>
      </c>
      <c r="R950" s="52">
        <v>7.9</v>
      </c>
      <c r="S950" s="52">
        <f>R950-T950</f>
        <v>7.053571428571429</v>
      </c>
      <c r="T950" s="52">
        <f>R950*U950/(U950+100)</f>
        <v>0.8464285714285715</v>
      </c>
      <c r="U950" s="50">
        <v>12</v>
      </c>
      <c r="V950" s="53">
        <v>0</v>
      </c>
      <c r="W950" s="147">
        <v>1</v>
      </c>
      <c r="X950" s="148" t="s">
        <v>163</v>
      </c>
      <c r="Y950" s="54">
        <f>R950*W950</f>
        <v>7.9</v>
      </c>
      <c r="Z950" s="52">
        <f>S950*W950</f>
        <v>7.053571428571429</v>
      </c>
      <c r="AA950" s="52">
        <f>T950*W950</f>
        <v>0.8464285714285715</v>
      </c>
      <c r="AB950" s="52">
        <f>V950*W950</f>
        <v>0</v>
      </c>
      <c r="AC950" s="53">
        <f>(R950+V950)*W950</f>
        <v>7.9</v>
      </c>
      <c r="AD950" s="138">
        <v>7.9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107</v>
      </c>
      <c r="F951" s="96" t="s">
        <v>106</v>
      </c>
      <c r="G951" s="97">
        <v>46132</v>
      </c>
      <c r="H951" s="98">
        <v>0.4373958333333333</v>
      </c>
      <c r="I951" s="50">
        <v>166004631</v>
      </c>
      <c r="J951" s="96" t="s">
        <v>157</v>
      </c>
      <c r="K951" s="49" t="s">
        <v>1989</v>
      </c>
      <c r="L951" s="39" t="s">
        <v>1990</v>
      </c>
      <c r="M951" s="49" t="s">
        <v>185</v>
      </c>
      <c r="N951" s="39" t="s">
        <v>264</v>
      </c>
      <c r="O951" s="96" t="s">
        <v>1991</v>
      </c>
      <c r="P951" s="49" t="s">
        <v>157</v>
      </c>
      <c r="Q951" s="96" t="s">
        <v>104</v>
      </c>
      <c r="R951" s="52">
        <v>7.9</v>
      </c>
      <c r="S951" s="52">
        <f>R951-T951</f>
        <v>7.053571428571429</v>
      </c>
      <c r="T951" s="52">
        <f>R951*U951/(U951+100)</f>
        <v>0.8464285714285715</v>
      </c>
      <c r="U951" s="50">
        <v>12</v>
      </c>
      <c r="V951" s="53">
        <v>0</v>
      </c>
      <c r="W951" s="147">
        <v>1</v>
      </c>
      <c r="X951" s="148" t="s">
        <v>163</v>
      </c>
      <c r="Y951" s="54">
        <f>R951*W951</f>
        <v>7.9</v>
      </c>
      <c r="Z951" s="52">
        <f>S951*W951</f>
        <v>7.053571428571429</v>
      </c>
      <c r="AA951" s="52">
        <f>T951*W951</f>
        <v>0.8464285714285715</v>
      </c>
      <c r="AB951" s="52">
        <f>V951*W951</f>
        <v>0</v>
      </c>
      <c r="AC951" s="53">
        <f>(R951+V951)*W951</f>
        <v>7.9</v>
      </c>
      <c r="AD951" s="138">
        <v>7.9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107</v>
      </c>
      <c r="F952" s="96" t="s">
        <v>106</v>
      </c>
      <c r="G952" s="97">
        <v>46132</v>
      </c>
      <c r="H952" s="98">
        <v>0.4373958333333333</v>
      </c>
      <c r="I952" s="50">
        <v>166004631</v>
      </c>
      <c r="J952" s="96" t="s">
        <v>157</v>
      </c>
      <c r="K952" s="49" t="s">
        <v>1681</v>
      </c>
      <c r="L952" s="39" t="s">
        <v>1682</v>
      </c>
      <c r="M952" s="49" t="s">
        <v>425</v>
      </c>
      <c r="N952" s="39" t="s">
        <v>197</v>
      </c>
      <c r="O952" s="96" t="s">
        <v>1683</v>
      </c>
      <c r="P952" s="49" t="s">
        <v>235</v>
      </c>
      <c r="Q952" s="96" t="s">
        <v>236</v>
      </c>
      <c r="R952" s="52">
        <v>5.9</v>
      </c>
      <c r="S952" s="52">
        <f>R952-T952</f>
        <v>5.267857142857143</v>
      </c>
      <c r="T952" s="52">
        <f>R952*U952/(U952+100)</f>
        <v>0.6321428571428572</v>
      </c>
      <c r="U952" s="50">
        <v>12</v>
      </c>
      <c r="V952" s="53">
        <v>0</v>
      </c>
      <c r="W952" s="147">
        <v>1</v>
      </c>
      <c r="X952" s="148" t="s">
        <v>163</v>
      </c>
      <c r="Y952" s="54">
        <f>R952*W952</f>
        <v>5.9</v>
      </c>
      <c r="Z952" s="52">
        <f>S952*W952</f>
        <v>5.267857142857143</v>
      </c>
      <c r="AA952" s="52">
        <f>T952*W952</f>
        <v>0.6321428571428572</v>
      </c>
      <c r="AB952" s="52">
        <f>V952*W952</f>
        <v>0</v>
      </c>
      <c r="AC952" s="53">
        <f>(R952+V952)*W952</f>
        <v>5.9</v>
      </c>
      <c r="AD952" s="138">
        <v>5.9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107</v>
      </c>
      <c r="F953" s="96" t="s">
        <v>106</v>
      </c>
      <c r="G953" s="97">
        <v>46132</v>
      </c>
      <c r="H953" s="98">
        <v>0.4373958333333333</v>
      </c>
      <c r="I953" s="50">
        <v>166004631</v>
      </c>
      <c r="J953" s="96" t="s">
        <v>157</v>
      </c>
      <c r="K953" s="49" t="s">
        <v>1681</v>
      </c>
      <c r="L953" s="39" t="s">
        <v>1682</v>
      </c>
      <c r="M953" s="49" t="s">
        <v>425</v>
      </c>
      <c r="N953" s="39" t="s">
        <v>197</v>
      </c>
      <c r="O953" s="96" t="s">
        <v>1683</v>
      </c>
      <c r="P953" s="49" t="s">
        <v>235</v>
      </c>
      <c r="Q953" s="96" t="s">
        <v>236</v>
      </c>
      <c r="R953" s="52">
        <v>5.9</v>
      </c>
      <c r="S953" s="52">
        <f>R953-T953</f>
        <v>5.267857142857143</v>
      </c>
      <c r="T953" s="52">
        <f>R953*U953/(U953+100)</f>
        <v>0.6321428571428572</v>
      </c>
      <c r="U953" s="50">
        <v>12</v>
      </c>
      <c r="V953" s="53">
        <v>0</v>
      </c>
      <c r="W953" s="147">
        <v>1</v>
      </c>
      <c r="X953" s="148" t="s">
        <v>163</v>
      </c>
      <c r="Y953" s="54">
        <f>R953*W953</f>
        <v>5.9</v>
      </c>
      <c r="Z953" s="52">
        <f>S953*W953</f>
        <v>5.267857142857143</v>
      </c>
      <c r="AA953" s="52">
        <f>T953*W953</f>
        <v>0.6321428571428572</v>
      </c>
      <c r="AB953" s="52">
        <f>V953*W953</f>
        <v>0</v>
      </c>
      <c r="AC953" s="53">
        <f>(R953+V953)*W953</f>
        <v>5.9</v>
      </c>
      <c r="AD953" s="138">
        <v>5.9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107</v>
      </c>
      <c r="F954" s="96" t="s">
        <v>106</v>
      </c>
      <c r="G954" s="97">
        <v>46132</v>
      </c>
      <c r="H954" s="98">
        <v>0.4373958333333333</v>
      </c>
      <c r="I954" s="50">
        <v>166004631</v>
      </c>
      <c r="J954" s="96" t="s">
        <v>157</v>
      </c>
      <c r="K954" s="49" t="s">
        <v>1681</v>
      </c>
      <c r="L954" s="39" t="s">
        <v>1682</v>
      </c>
      <c r="M954" s="49" t="s">
        <v>425</v>
      </c>
      <c r="N954" s="39" t="s">
        <v>197</v>
      </c>
      <c r="O954" s="96" t="s">
        <v>1683</v>
      </c>
      <c r="P954" s="49" t="s">
        <v>235</v>
      </c>
      <c r="Q954" s="96" t="s">
        <v>236</v>
      </c>
      <c r="R954" s="52">
        <v>5.9</v>
      </c>
      <c r="S954" s="52">
        <f>R954-T954</f>
        <v>5.267857142857143</v>
      </c>
      <c r="T954" s="52">
        <f>R954*U954/(U954+100)</f>
        <v>0.6321428571428572</v>
      </c>
      <c r="U954" s="50">
        <v>12</v>
      </c>
      <c r="V954" s="53">
        <v>0</v>
      </c>
      <c r="W954" s="147">
        <v>1</v>
      </c>
      <c r="X954" s="148" t="s">
        <v>163</v>
      </c>
      <c r="Y954" s="54">
        <f>R954*W954</f>
        <v>5.9</v>
      </c>
      <c r="Z954" s="52">
        <f>S954*W954</f>
        <v>5.267857142857143</v>
      </c>
      <c r="AA954" s="52">
        <f>T954*W954</f>
        <v>0.6321428571428572</v>
      </c>
      <c r="AB954" s="52">
        <f>V954*W954</f>
        <v>0</v>
      </c>
      <c r="AC954" s="53">
        <f>(R954+V954)*W954</f>
        <v>5.9</v>
      </c>
      <c r="AD954" s="138">
        <v>5.9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107</v>
      </c>
      <c r="F955" s="96" t="s">
        <v>106</v>
      </c>
      <c r="G955" s="97">
        <v>46132</v>
      </c>
      <c r="H955" s="98">
        <v>0.4373958333333333</v>
      </c>
      <c r="I955" s="50">
        <v>166004631</v>
      </c>
      <c r="J955" s="96" t="s">
        <v>157</v>
      </c>
      <c r="K955" s="49" t="s">
        <v>1968</v>
      </c>
      <c r="L955" s="39" t="s">
        <v>1969</v>
      </c>
      <c r="M955" s="49" t="s">
        <v>425</v>
      </c>
      <c r="N955" s="39" t="s">
        <v>197</v>
      </c>
      <c r="O955" s="96" t="s">
        <v>1970</v>
      </c>
      <c r="P955" s="49" t="s">
        <v>235</v>
      </c>
      <c r="Q955" s="96" t="s">
        <v>236</v>
      </c>
      <c r="R955" s="52">
        <v>5.9</v>
      </c>
      <c r="S955" s="52">
        <f>R955-T955</f>
        <v>5.267857142857143</v>
      </c>
      <c r="T955" s="52">
        <f>R955*U955/(U955+100)</f>
        <v>0.6321428571428572</v>
      </c>
      <c r="U955" s="50">
        <v>12</v>
      </c>
      <c r="V955" s="53">
        <v>0</v>
      </c>
      <c r="W955" s="147">
        <v>1</v>
      </c>
      <c r="X955" s="148" t="s">
        <v>163</v>
      </c>
      <c r="Y955" s="54">
        <f>R955*W955</f>
        <v>5.9</v>
      </c>
      <c r="Z955" s="52">
        <f>S955*W955</f>
        <v>5.267857142857143</v>
      </c>
      <c r="AA955" s="52">
        <f>T955*W955</f>
        <v>0.6321428571428572</v>
      </c>
      <c r="AB955" s="52">
        <f>V955*W955</f>
        <v>0</v>
      </c>
      <c r="AC955" s="53">
        <f>(R955+V955)*W955</f>
        <v>5.9</v>
      </c>
      <c r="AD955" s="138">
        <v>5.9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107</v>
      </c>
      <c r="F956" s="96" t="s">
        <v>106</v>
      </c>
      <c r="G956" s="97">
        <v>46132</v>
      </c>
      <c r="H956" s="98">
        <v>0.4373958333333333</v>
      </c>
      <c r="I956" s="50">
        <v>166004631</v>
      </c>
      <c r="J956" s="96" t="s">
        <v>157</v>
      </c>
      <c r="K956" s="49" t="s">
        <v>1968</v>
      </c>
      <c r="L956" s="39" t="s">
        <v>1969</v>
      </c>
      <c r="M956" s="49" t="s">
        <v>425</v>
      </c>
      <c r="N956" s="39" t="s">
        <v>197</v>
      </c>
      <c r="O956" s="96" t="s">
        <v>1970</v>
      </c>
      <c r="P956" s="49" t="s">
        <v>235</v>
      </c>
      <c r="Q956" s="96" t="s">
        <v>236</v>
      </c>
      <c r="R956" s="52">
        <v>5.9</v>
      </c>
      <c r="S956" s="52">
        <f>R956-T956</f>
        <v>5.267857142857143</v>
      </c>
      <c r="T956" s="52">
        <f>R956*U956/(U956+100)</f>
        <v>0.6321428571428572</v>
      </c>
      <c r="U956" s="50">
        <v>12</v>
      </c>
      <c r="V956" s="53">
        <v>0</v>
      </c>
      <c r="W956" s="147">
        <v>1</v>
      </c>
      <c r="X956" s="148" t="s">
        <v>163</v>
      </c>
      <c r="Y956" s="54">
        <f>R956*W956</f>
        <v>5.9</v>
      </c>
      <c r="Z956" s="52">
        <f>S956*W956</f>
        <v>5.267857142857143</v>
      </c>
      <c r="AA956" s="52">
        <f>T956*W956</f>
        <v>0.6321428571428572</v>
      </c>
      <c r="AB956" s="52">
        <f>V956*W956</f>
        <v>0</v>
      </c>
      <c r="AC956" s="53">
        <f>(R956+V956)*W956</f>
        <v>5.9</v>
      </c>
      <c r="AD956" s="138">
        <v>5.9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107</v>
      </c>
      <c r="F957" s="96" t="s">
        <v>106</v>
      </c>
      <c r="G957" s="97">
        <v>46132</v>
      </c>
      <c r="H957" s="98">
        <v>0.4373958333333333</v>
      </c>
      <c r="I957" s="50">
        <v>166004631</v>
      </c>
      <c r="J957" s="96" t="s">
        <v>157</v>
      </c>
      <c r="K957" s="49" t="s">
        <v>1968</v>
      </c>
      <c r="L957" s="39" t="s">
        <v>1969</v>
      </c>
      <c r="M957" s="49" t="s">
        <v>425</v>
      </c>
      <c r="N957" s="39" t="s">
        <v>197</v>
      </c>
      <c r="O957" s="96" t="s">
        <v>1970</v>
      </c>
      <c r="P957" s="49" t="s">
        <v>235</v>
      </c>
      <c r="Q957" s="96" t="s">
        <v>236</v>
      </c>
      <c r="R957" s="52">
        <v>5.9</v>
      </c>
      <c r="S957" s="52">
        <f>R957-T957</f>
        <v>5.267857142857143</v>
      </c>
      <c r="T957" s="52">
        <f>R957*U957/(U957+100)</f>
        <v>0.6321428571428572</v>
      </c>
      <c r="U957" s="50">
        <v>12</v>
      </c>
      <c r="V957" s="53">
        <v>0</v>
      </c>
      <c r="W957" s="147">
        <v>1</v>
      </c>
      <c r="X957" s="148" t="s">
        <v>163</v>
      </c>
      <c r="Y957" s="54">
        <f>R957*W957</f>
        <v>5.9</v>
      </c>
      <c r="Z957" s="52">
        <f>S957*W957</f>
        <v>5.267857142857143</v>
      </c>
      <c r="AA957" s="52">
        <f>T957*W957</f>
        <v>0.6321428571428572</v>
      </c>
      <c r="AB957" s="52">
        <f>V957*W957</f>
        <v>0</v>
      </c>
      <c r="AC957" s="53">
        <f>(R957+V957)*W957</f>
        <v>5.9</v>
      </c>
      <c r="AD957" s="138">
        <v>5.9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107</v>
      </c>
      <c r="F958" s="96" t="s">
        <v>106</v>
      </c>
      <c r="G958" s="97">
        <v>46132</v>
      </c>
      <c r="H958" s="98">
        <v>0.4373958333333333</v>
      </c>
      <c r="I958" s="50">
        <v>166004631</v>
      </c>
      <c r="J958" s="96" t="s">
        <v>157</v>
      </c>
      <c r="K958" s="49" t="s">
        <v>1992</v>
      </c>
      <c r="L958" s="39" t="s">
        <v>1993</v>
      </c>
      <c r="M958" s="49" t="s">
        <v>243</v>
      </c>
      <c r="N958" s="39" t="s">
        <v>1467</v>
      </c>
      <c r="O958" s="96" t="s">
        <v>1994</v>
      </c>
      <c r="P958" s="49" t="s">
        <v>157</v>
      </c>
      <c r="Q958" s="96" t="s">
        <v>104</v>
      </c>
      <c r="R958" s="52">
        <v>27.9</v>
      </c>
      <c r="S958" s="52">
        <f>R958-T958</f>
        <v>24.910714285714285</v>
      </c>
      <c r="T958" s="52">
        <f>R958*U958/(U958+100)</f>
        <v>2.989285714285714</v>
      </c>
      <c r="U958" s="50">
        <v>12</v>
      </c>
      <c r="V958" s="53">
        <v>0</v>
      </c>
      <c r="W958" s="147">
        <v>1</v>
      </c>
      <c r="X958" s="148" t="s">
        <v>163</v>
      </c>
      <c r="Y958" s="54">
        <f>R958*W958</f>
        <v>27.9</v>
      </c>
      <c r="Z958" s="52">
        <f>S958*W958</f>
        <v>24.910714285714285</v>
      </c>
      <c r="AA958" s="52">
        <f>T958*W958</f>
        <v>2.989285714285714</v>
      </c>
      <c r="AB958" s="52">
        <f>V958*W958</f>
        <v>0</v>
      </c>
      <c r="AC958" s="53">
        <f>(R958+V958)*W958</f>
        <v>27.9</v>
      </c>
      <c r="AD958" s="138">
        <v>27.9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107</v>
      </c>
      <c r="F959" s="96" t="s">
        <v>106</v>
      </c>
      <c r="G959" s="97">
        <v>46132</v>
      </c>
      <c r="H959" s="98">
        <v>0.4373958333333333</v>
      </c>
      <c r="I959" s="50">
        <v>166004631</v>
      </c>
      <c r="J959" s="96" t="s">
        <v>157</v>
      </c>
      <c r="K959" s="49" t="s">
        <v>1995</v>
      </c>
      <c r="L959" s="39" t="s">
        <v>1996</v>
      </c>
      <c r="M959" s="49" t="s">
        <v>568</v>
      </c>
      <c r="N959" s="39" t="s">
        <v>1722</v>
      </c>
      <c r="O959" s="96" t="s">
        <v>1997</v>
      </c>
      <c r="P959" s="49" t="s">
        <v>157</v>
      </c>
      <c r="Q959" s="96" t="s">
        <v>104</v>
      </c>
      <c r="R959" s="52">
        <v>21.9</v>
      </c>
      <c r="S959" s="52">
        <f>R959-T959</f>
        <v>19.553571428571427</v>
      </c>
      <c r="T959" s="52">
        <f>R959*U959/(U959+100)</f>
        <v>2.346428571428571</v>
      </c>
      <c r="U959" s="50">
        <v>12</v>
      </c>
      <c r="V959" s="53">
        <v>0</v>
      </c>
      <c r="W959" s="147">
        <v>1</v>
      </c>
      <c r="X959" s="148" t="s">
        <v>163</v>
      </c>
      <c r="Y959" s="54">
        <f>R959*W959</f>
        <v>21.9</v>
      </c>
      <c r="Z959" s="52">
        <f>S959*W959</f>
        <v>19.553571428571427</v>
      </c>
      <c r="AA959" s="52">
        <f>T959*W959</f>
        <v>2.346428571428571</v>
      </c>
      <c r="AB959" s="52">
        <f>V959*W959</f>
        <v>0</v>
      </c>
      <c r="AC959" s="53">
        <f>(R959+V959)*W959</f>
        <v>21.9</v>
      </c>
      <c r="AD959" s="138">
        <v>21.9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107</v>
      </c>
      <c r="F960" s="96" t="s">
        <v>106</v>
      </c>
      <c r="G960" s="97">
        <v>46132</v>
      </c>
      <c r="H960" s="98">
        <v>0.4373958333333333</v>
      </c>
      <c r="I960" s="50">
        <v>166004631</v>
      </c>
      <c r="J960" s="96" t="s">
        <v>157</v>
      </c>
      <c r="K960" s="49" t="s">
        <v>1998</v>
      </c>
      <c r="L960" s="39" t="s">
        <v>1999</v>
      </c>
      <c r="M960" s="49" t="s">
        <v>568</v>
      </c>
      <c r="N960" s="39" t="s">
        <v>569</v>
      </c>
      <c r="O960" s="96" t="s">
        <v>2000</v>
      </c>
      <c r="P960" s="49" t="s">
        <v>157</v>
      </c>
      <c r="Q960" s="96" t="s">
        <v>104</v>
      </c>
      <c r="R960" s="52">
        <v>21.9</v>
      </c>
      <c r="S960" s="52">
        <f>R960-T960</f>
        <v>19.553571428571427</v>
      </c>
      <c r="T960" s="52">
        <f>R960*U960/(U960+100)</f>
        <v>2.346428571428571</v>
      </c>
      <c r="U960" s="50">
        <v>12</v>
      </c>
      <c r="V960" s="53">
        <v>0</v>
      </c>
      <c r="W960" s="147">
        <v>1</v>
      </c>
      <c r="X960" s="148" t="s">
        <v>163</v>
      </c>
      <c r="Y960" s="54">
        <f>R960*W960</f>
        <v>21.9</v>
      </c>
      <c r="Z960" s="52">
        <f>S960*W960</f>
        <v>19.553571428571427</v>
      </c>
      <c r="AA960" s="52">
        <f>T960*W960</f>
        <v>2.346428571428571</v>
      </c>
      <c r="AB960" s="52">
        <f>V960*W960</f>
        <v>0</v>
      </c>
      <c r="AC960" s="53">
        <f>(R960+V960)*W960</f>
        <v>21.9</v>
      </c>
      <c r="AD960" s="138">
        <v>21.9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107</v>
      </c>
      <c r="F961" s="96" t="s">
        <v>106</v>
      </c>
      <c r="G961" s="97">
        <v>46132</v>
      </c>
      <c r="H961" s="98">
        <v>0.4373958333333333</v>
      </c>
      <c r="I961" s="50">
        <v>166004631</v>
      </c>
      <c r="J961" s="96" t="s">
        <v>157</v>
      </c>
      <c r="K961" s="49" t="s">
        <v>2001</v>
      </c>
      <c r="L961" s="39" t="s">
        <v>2002</v>
      </c>
      <c r="M961" s="49" t="s">
        <v>1222</v>
      </c>
      <c r="N961" s="39" t="s">
        <v>653</v>
      </c>
      <c r="O961" s="96" t="s">
        <v>2003</v>
      </c>
      <c r="P961" s="49" t="s">
        <v>157</v>
      </c>
      <c r="Q961" s="96" t="s">
        <v>104</v>
      </c>
      <c r="R961" s="52">
        <v>64.9</v>
      </c>
      <c r="S961" s="52">
        <f>R961-T961</f>
        <v>53.63636363636364</v>
      </c>
      <c r="T961" s="52">
        <f>R961*U961/(U961+100)</f>
        <v>11.263636363636364</v>
      </c>
      <c r="U961" s="50">
        <v>21</v>
      </c>
      <c r="V961" s="53">
        <v>0</v>
      </c>
      <c r="W961" s="147">
        <v>1</v>
      </c>
      <c r="X961" s="148" t="s">
        <v>163</v>
      </c>
      <c r="Y961" s="54">
        <f>R961*W961</f>
        <v>64.9</v>
      </c>
      <c r="Z961" s="52">
        <f>S961*W961</f>
        <v>53.63636363636364</v>
      </c>
      <c r="AA961" s="52">
        <f>T961*W961</f>
        <v>11.263636363636364</v>
      </c>
      <c r="AB961" s="52">
        <f>V961*W961</f>
        <v>0</v>
      </c>
      <c r="AC961" s="53">
        <f>(R961+V961)*W961</f>
        <v>64.9</v>
      </c>
      <c r="AD961" s="138">
        <v>64.9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107</v>
      </c>
      <c r="F962" s="96" t="s">
        <v>106</v>
      </c>
      <c r="G962" s="97">
        <v>46132</v>
      </c>
      <c r="H962" s="98">
        <v>0.4373958333333333</v>
      </c>
      <c r="I962" s="50">
        <v>166004631</v>
      </c>
      <c r="J962" s="96" t="s">
        <v>157</v>
      </c>
      <c r="K962" s="49" t="s">
        <v>183</v>
      </c>
      <c r="L962" s="39" t="s">
        <v>184</v>
      </c>
      <c r="M962" s="49" t="s">
        <v>185</v>
      </c>
      <c r="N962" s="39" t="s">
        <v>186</v>
      </c>
      <c r="O962" s="96" t="s">
        <v>988</v>
      </c>
      <c r="P962" s="49" t="s">
        <v>157</v>
      </c>
      <c r="Q962" s="96" t="s">
        <v>104</v>
      </c>
      <c r="R962" s="52">
        <v>1.9</v>
      </c>
      <c r="S962" s="52">
        <f>R962-T962</f>
        <v>1.5702479338842974</v>
      </c>
      <c r="T962" s="52">
        <f>R962*U962/(U962+100)</f>
        <v>0.32975206611570246</v>
      </c>
      <c r="U962" s="50">
        <v>21</v>
      </c>
      <c r="V962" s="53">
        <v>0</v>
      </c>
      <c r="W962" s="147">
        <v>1</v>
      </c>
      <c r="X962" s="148" t="s">
        <v>163</v>
      </c>
      <c r="Y962" s="54">
        <f>R962*W962</f>
        <v>1.9</v>
      </c>
      <c r="Z962" s="52">
        <f>S962*W962</f>
        <v>1.5702479338842974</v>
      </c>
      <c r="AA962" s="52">
        <f>T962*W962</f>
        <v>0.32975206611570246</v>
      </c>
      <c r="AB962" s="52">
        <f>V962*W962</f>
        <v>0</v>
      </c>
      <c r="AC962" s="53">
        <f>(R962+V962)*W962</f>
        <v>1.9</v>
      </c>
      <c r="AD962" s="138">
        <v>1.9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107</v>
      </c>
      <c r="F963" s="96" t="s">
        <v>106</v>
      </c>
      <c r="G963" s="97">
        <v>46132</v>
      </c>
      <c r="H963" s="98">
        <v>0.4373958333333333</v>
      </c>
      <c r="I963" s="50">
        <v>166004631</v>
      </c>
      <c r="J963" s="96" t="s">
        <v>157</v>
      </c>
      <c r="K963" s="49" t="s">
        <v>530</v>
      </c>
      <c r="L963" s="39" t="s">
        <v>531</v>
      </c>
      <c r="M963" s="49" t="s">
        <v>190</v>
      </c>
      <c r="N963" s="39" t="s">
        <v>532</v>
      </c>
      <c r="O963" s="96" t="s">
        <v>533</v>
      </c>
      <c r="P963" s="49" t="s">
        <v>157</v>
      </c>
      <c r="Q963" s="96" t="s">
        <v>104</v>
      </c>
      <c r="R963" s="52">
        <v>25.9</v>
      </c>
      <c r="S963" s="52">
        <f>R963-T963</f>
        <v>23.125</v>
      </c>
      <c r="T963" s="52">
        <f>R963*U963/(U963+100)</f>
        <v>2.7749999999999995</v>
      </c>
      <c r="U963" s="50">
        <v>12</v>
      </c>
      <c r="V963" s="53">
        <v>0</v>
      </c>
      <c r="W963" s="147">
        <v>0.354</v>
      </c>
      <c r="X963" s="148" t="s">
        <v>193</v>
      </c>
      <c r="Y963" s="54">
        <f>R963*W963</f>
        <v>9.1686</v>
      </c>
      <c r="Z963" s="52">
        <f>S963*W963</f>
        <v>8.18625</v>
      </c>
      <c r="AA963" s="52">
        <f>T963*W963</f>
        <v>0.9823499999999997</v>
      </c>
      <c r="AB963" s="52">
        <f>V963*W963</f>
        <v>0</v>
      </c>
      <c r="AC963" s="53">
        <f>(R963+V963)*W963</f>
        <v>9.1686</v>
      </c>
      <c r="AD963" s="138">
        <v>25.9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107</v>
      </c>
      <c r="F964" s="96" t="s">
        <v>106</v>
      </c>
      <c r="G964" s="97">
        <v>46132</v>
      </c>
      <c r="H964" s="98">
        <v>0.4373958333333333</v>
      </c>
      <c r="I964" s="50">
        <v>166004631</v>
      </c>
      <c r="J964" s="96" t="s">
        <v>157</v>
      </c>
      <c r="K964" s="49" t="s">
        <v>188</v>
      </c>
      <c r="L964" s="39" t="s">
        <v>189</v>
      </c>
      <c r="M964" s="49" t="s">
        <v>190</v>
      </c>
      <c r="N964" s="39" t="s">
        <v>191</v>
      </c>
      <c r="O964" s="96" t="s">
        <v>192</v>
      </c>
      <c r="P964" s="49" t="s">
        <v>157</v>
      </c>
      <c r="Q964" s="96" t="s">
        <v>104</v>
      </c>
      <c r="R964" s="52">
        <v>33.9</v>
      </c>
      <c r="S964" s="52">
        <f>R964-T964</f>
        <v>30.267857142857142</v>
      </c>
      <c r="T964" s="52">
        <f>R964*U964/(U964+100)</f>
        <v>3.6321428571428567</v>
      </c>
      <c r="U964" s="50">
        <v>12</v>
      </c>
      <c r="V964" s="53">
        <v>0</v>
      </c>
      <c r="W964" s="147">
        <v>0.312</v>
      </c>
      <c r="X964" s="148" t="s">
        <v>193</v>
      </c>
      <c r="Y964" s="54">
        <f>R964*W964</f>
        <v>10.5768</v>
      </c>
      <c r="Z964" s="52">
        <f>S964*W964</f>
        <v>9.443571428571428</v>
      </c>
      <c r="AA964" s="52">
        <f>T964*W964</f>
        <v>1.1332285714285713</v>
      </c>
      <c r="AB964" s="52">
        <f>V964*W964</f>
        <v>0</v>
      </c>
      <c r="AC964" s="53">
        <f>(R964+V964)*W964</f>
        <v>10.5768</v>
      </c>
      <c r="AD964" s="138">
        <v>33.9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107</v>
      </c>
      <c r="F965" s="96" t="s">
        <v>106</v>
      </c>
      <c r="G965" s="97">
        <v>46132</v>
      </c>
      <c r="H965" s="98">
        <v>0.4373958333333333</v>
      </c>
      <c r="I965" s="50">
        <v>166004631</v>
      </c>
      <c r="J965" s="96" t="s">
        <v>157</v>
      </c>
      <c r="K965" s="49" t="s">
        <v>1133</v>
      </c>
      <c r="L965" s="39" t="s">
        <v>1134</v>
      </c>
      <c r="M965" s="49" t="s">
        <v>649</v>
      </c>
      <c r="N965" s="39" t="s">
        <v>440</v>
      </c>
      <c r="O965" s="96" t="s">
        <v>1135</v>
      </c>
      <c r="P965" s="49" t="s">
        <v>157</v>
      </c>
      <c r="Q965" s="96" t="s">
        <v>104</v>
      </c>
      <c r="R965" s="52">
        <v>125.93</v>
      </c>
      <c r="S965" s="52">
        <f>R965-T965</f>
        <v>112.4375</v>
      </c>
      <c r="T965" s="52">
        <f>R965*U965/(U965+100)</f>
        <v>13.492500000000001</v>
      </c>
      <c r="U965" s="50">
        <v>12</v>
      </c>
      <c r="V965" s="53">
        <v>0</v>
      </c>
      <c r="W965" s="147">
        <v>0.162</v>
      </c>
      <c r="X965" s="148" t="s">
        <v>193</v>
      </c>
      <c r="Y965" s="54">
        <f>R965*W965</f>
        <v>20.400660000000002</v>
      </c>
      <c r="Z965" s="52">
        <f>S965*W965</f>
        <v>18.214875</v>
      </c>
      <c r="AA965" s="52">
        <f>T965*W965</f>
        <v>2.185785</v>
      </c>
      <c r="AB965" s="52">
        <f>V965*W965</f>
        <v>0</v>
      </c>
      <c r="AC965" s="53">
        <f>(R965+V965)*W965</f>
        <v>20.400660000000002</v>
      </c>
      <c r="AD965" s="138">
        <v>179.9</v>
      </c>
      <c r="AE965" s="137">
        <v>53.97</v>
      </c>
      <c r="AF965" s="139">
        <v>8.7431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107</v>
      </c>
      <c r="F966" s="96" t="s">
        <v>106</v>
      </c>
      <c r="G966" s="97">
        <v>46132</v>
      </c>
      <c r="H966" s="98">
        <v>0.4373958333333333</v>
      </c>
      <c r="I966" s="50">
        <v>166004631</v>
      </c>
      <c r="J966" s="96" t="s">
        <v>157</v>
      </c>
      <c r="K966" s="49" t="s">
        <v>942</v>
      </c>
      <c r="L966" s="39"/>
      <c r="M966" s="49" t="s">
        <v>295</v>
      </c>
      <c r="N966" s="39" t="s">
        <v>433</v>
      </c>
      <c r="O966" s="96" t="s">
        <v>1332</v>
      </c>
      <c r="P966" s="49" t="s">
        <v>235</v>
      </c>
      <c r="Q966" s="96" t="s">
        <v>944</v>
      </c>
      <c r="R966" s="52">
        <v>9.9</v>
      </c>
      <c r="S966" s="52">
        <f>R966-T966</f>
        <v>8.839285714285715</v>
      </c>
      <c r="T966" s="52">
        <f>R966*U966/(U966+100)</f>
        <v>1.0607142857142857</v>
      </c>
      <c r="U966" s="50">
        <v>12</v>
      </c>
      <c r="V966" s="53">
        <v>0</v>
      </c>
      <c r="W966" s="147">
        <v>1</v>
      </c>
      <c r="X966" s="148" t="s">
        <v>945</v>
      </c>
      <c r="Y966" s="54">
        <f>R966*W966</f>
        <v>9.9</v>
      </c>
      <c r="Z966" s="52">
        <f>S966*W966</f>
        <v>8.839285714285715</v>
      </c>
      <c r="AA966" s="52">
        <f>T966*W966</f>
        <v>1.0607142857142857</v>
      </c>
      <c r="AB966" s="52">
        <f>V966*W966</f>
        <v>0</v>
      </c>
      <c r="AC966" s="53">
        <f>(R966+V966)*W966</f>
        <v>9.9</v>
      </c>
      <c r="AD966" s="138">
        <v>9.9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107</v>
      </c>
      <c r="F967" s="96" t="s">
        <v>106</v>
      </c>
      <c r="G967" s="97">
        <v>46132</v>
      </c>
      <c r="H967" s="98">
        <v>0.4376388888888889</v>
      </c>
      <c r="I967" s="50">
        <v>166004632</v>
      </c>
      <c r="J967" s="96" t="s">
        <v>157</v>
      </c>
      <c r="K967" s="49" t="s">
        <v>2004</v>
      </c>
      <c r="L967" s="39" t="s">
        <v>2005</v>
      </c>
      <c r="M967" s="49" t="s">
        <v>792</v>
      </c>
      <c r="N967" s="39" t="s">
        <v>793</v>
      </c>
      <c r="O967" s="96" t="s">
        <v>2006</v>
      </c>
      <c r="P967" s="49" t="s">
        <v>157</v>
      </c>
      <c r="Q967" s="96" t="s">
        <v>104</v>
      </c>
      <c r="R967" s="52">
        <v>21.9</v>
      </c>
      <c r="S967" s="52">
        <f>R967-T967</f>
        <v>19.553571428571427</v>
      </c>
      <c r="T967" s="52">
        <f>R967*U967/(U967+100)</f>
        <v>2.346428571428571</v>
      </c>
      <c r="U967" s="50">
        <v>12</v>
      </c>
      <c r="V967" s="53">
        <v>0</v>
      </c>
      <c r="W967" s="147">
        <v>1</v>
      </c>
      <c r="X967" s="148" t="s">
        <v>163</v>
      </c>
      <c r="Y967" s="54">
        <f>R967*W967</f>
        <v>21.9</v>
      </c>
      <c r="Z967" s="52">
        <f>S967*W967</f>
        <v>19.553571428571427</v>
      </c>
      <c r="AA967" s="52">
        <f>T967*W967</f>
        <v>2.346428571428571</v>
      </c>
      <c r="AB967" s="52">
        <f>V967*W967</f>
        <v>0</v>
      </c>
      <c r="AC967" s="53">
        <f>(R967+V967)*W967</f>
        <v>21.9</v>
      </c>
      <c r="AD967" s="138">
        <v>21.9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107</v>
      </c>
      <c r="F968" s="96" t="s">
        <v>106</v>
      </c>
      <c r="G968" s="97">
        <v>46132</v>
      </c>
      <c r="H968" s="98">
        <v>0.4379282407407407</v>
      </c>
      <c r="I968" s="50">
        <v>166004633</v>
      </c>
      <c r="J968" s="96" t="s">
        <v>157</v>
      </c>
      <c r="K968" s="49" t="s">
        <v>2007</v>
      </c>
      <c r="L968" s="39" t="s">
        <v>2008</v>
      </c>
      <c r="M968" s="49" t="s">
        <v>862</v>
      </c>
      <c r="N968" s="39" t="s">
        <v>863</v>
      </c>
      <c r="O968" s="96" t="s">
        <v>2009</v>
      </c>
      <c r="P968" s="49" t="s">
        <v>157</v>
      </c>
      <c r="Q968" s="96" t="s">
        <v>104</v>
      </c>
      <c r="R968" s="52">
        <v>161</v>
      </c>
      <c r="S968" s="52">
        <f>R968-T968</f>
        <v>133.05785123966942</v>
      </c>
      <c r="T968" s="52">
        <f>R968*U968/(U968+100)</f>
        <v>27.94214876033058</v>
      </c>
      <c r="U968" s="50">
        <v>21</v>
      </c>
      <c r="V968" s="53">
        <v>0</v>
      </c>
      <c r="W968" s="147">
        <v>1</v>
      </c>
      <c r="X968" s="148" t="s">
        <v>163</v>
      </c>
      <c r="Y968" s="54">
        <f>R968*W968</f>
        <v>161</v>
      </c>
      <c r="Z968" s="52">
        <f>S968*W968</f>
        <v>133.05785123966942</v>
      </c>
      <c r="AA968" s="52">
        <f>T968*W968</f>
        <v>27.94214876033058</v>
      </c>
      <c r="AB968" s="52">
        <f>V968*W968</f>
        <v>0</v>
      </c>
      <c r="AC968" s="53">
        <f>(R968+V968)*W968</f>
        <v>161</v>
      </c>
      <c r="AD968" s="138">
        <v>161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107</v>
      </c>
      <c r="F969" s="96" t="s">
        <v>106</v>
      </c>
      <c r="G969" s="97">
        <v>46132</v>
      </c>
      <c r="H969" s="98">
        <v>0.43881944444444443</v>
      </c>
      <c r="I969" s="50">
        <v>166004634</v>
      </c>
      <c r="J969" s="96" t="s">
        <v>157</v>
      </c>
      <c r="K969" s="49" t="s">
        <v>2010</v>
      </c>
      <c r="L969" s="39" t="s">
        <v>2011</v>
      </c>
      <c r="M969" s="49" t="s">
        <v>429</v>
      </c>
      <c r="N969" s="39" t="s">
        <v>747</v>
      </c>
      <c r="O969" s="96" t="s">
        <v>2012</v>
      </c>
      <c r="P969" s="49" t="s">
        <v>157</v>
      </c>
      <c r="Q969" s="96" t="s">
        <v>104</v>
      </c>
      <c r="R969" s="52">
        <v>11.9</v>
      </c>
      <c r="S969" s="52">
        <f>R969-T969</f>
        <v>10.625</v>
      </c>
      <c r="T969" s="52">
        <f>R969*U969/(U969+100)</f>
        <v>1.2750000000000001</v>
      </c>
      <c r="U969" s="50">
        <v>12</v>
      </c>
      <c r="V969" s="53">
        <v>0</v>
      </c>
      <c r="W969" s="147">
        <v>1</v>
      </c>
      <c r="X969" s="148" t="s">
        <v>163</v>
      </c>
      <c r="Y969" s="54">
        <f>R969*W969</f>
        <v>11.9</v>
      </c>
      <c r="Z969" s="52">
        <f>S969*W969</f>
        <v>10.625</v>
      </c>
      <c r="AA969" s="52">
        <f>T969*W969</f>
        <v>1.2750000000000001</v>
      </c>
      <c r="AB969" s="52">
        <f>V969*W969</f>
        <v>0</v>
      </c>
      <c r="AC969" s="53">
        <f>(R969+V969)*W969</f>
        <v>11.9</v>
      </c>
      <c r="AD969" s="138">
        <v>11.9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107</v>
      </c>
      <c r="F970" s="96" t="s">
        <v>106</v>
      </c>
      <c r="G970" s="97">
        <v>46132</v>
      </c>
      <c r="H970" s="98">
        <v>0.43881944444444443</v>
      </c>
      <c r="I970" s="50">
        <v>166004634</v>
      </c>
      <c r="J970" s="96" t="s">
        <v>157</v>
      </c>
      <c r="K970" s="49" t="s">
        <v>2013</v>
      </c>
      <c r="L970" s="39" t="s">
        <v>2014</v>
      </c>
      <c r="M970" s="49" t="s">
        <v>429</v>
      </c>
      <c r="N970" s="39" t="s">
        <v>348</v>
      </c>
      <c r="O970" s="96" t="s">
        <v>2015</v>
      </c>
      <c r="P970" s="49" t="s">
        <v>235</v>
      </c>
      <c r="Q970" s="96" t="s">
        <v>236</v>
      </c>
      <c r="R970" s="52">
        <v>16.9</v>
      </c>
      <c r="S970" s="52">
        <f>R970-T970</f>
        <v>15.089285714285714</v>
      </c>
      <c r="T970" s="52">
        <f>R970*U970/(U970+100)</f>
        <v>1.8107142857142855</v>
      </c>
      <c r="U970" s="50">
        <v>12</v>
      </c>
      <c r="V970" s="53">
        <v>0</v>
      </c>
      <c r="W970" s="147">
        <v>1</v>
      </c>
      <c r="X970" s="148" t="s">
        <v>163</v>
      </c>
      <c r="Y970" s="54">
        <f>R970*W970</f>
        <v>16.9</v>
      </c>
      <c r="Z970" s="52">
        <f>S970*W970</f>
        <v>15.089285714285714</v>
      </c>
      <c r="AA970" s="52">
        <f>T970*W970</f>
        <v>1.8107142857142855</v>
      </c>
      <c r="AB970" s="52">
        <f>V970*W970</f>
        <v>0</v>
      </c>
      <c r="AC970" s="53">
        <f>(R970+V970)*W970</f>
        <v>16.9</v>
      </c>
      <c r="AD970" s="138">
        <v>16.9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107</v>
      </c>
      <c r="F971" s="96" t="s">
        <v>106</v>
      </c>
      <c r="G971" s="97">
        <v>46132</v>
      </c>
      <c r="H971" s="98">
        <v>0.43881944444444443</v>
      </c>
      <c r="I971" s="50">
        <v>166004634</v>
      </c>
      <c r="J971" s="96" t="s">
        <v>157</v>
      </c>
      <c r="K971" s="49" t="s">
        <v>2013</v>
      </c>
      <c r="L971" s="39" t="s">
        <v>2014</v>
      </c>
      <c r="M971" s="49" t="s">
        <v>429</v>
      </c>
      <c r="N971" s="39" t="s">
        <v>348</v>
      </c>
      <c r="O971" s="96" t="s">
        <v>2015</v>
      </c>
      <c r="P971" s="49" t="s">
        <v>235</v>
      </c>
      <c r="Q971" s="96" t="s">
        <v>236</v>
      </c>
      <c r="R971" s="52">
        <v>16.9</v>
      </c>
      <c r="S971" s="52">
        <f>R971-T971</f>
        <v>15.089285714285714</v>
      </c>
      <c r="T971" s="52">
        <f>R971*U971/(U971+100)</f>
        <v>1.8107142857142855</v>
      </c>
      <c r="U971" s="50">
        <v>12</v>
      </c>
      <c r="V971" s="53">
        <v>0</v>
      </c>
      <c r="W971" s="147">
        <v>1</v>
      </c>
      <c r="X971" s="148" t="s">
        <v>163</v>
      </c>
      <c r="Y971" s="54">
        <f>R971*W971</f>
        <v>16.9</v>
      </c>
      <c r="Z971" s="52">
        <f>S971*W971</f>
        <v>15.089285714285714</v>
      </c>
      <c r="AA971" s="52">
        <f>T971*W971</f>
        <v>1.8107142857142855</v>
      </c>
      <c r="AB971" s="52">
        <f>V971*W971</f>
        <v>0</v>
      </c>
      <c r="AC971" s="53">
        <f>(R971+V971)*W971</f>
        <v>16.9</v>
      </c>
      <c r="AD971" s="138">
        <v>16.9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107</v>
      </c>
      <c r="F972" s="96" t="s">
        <v>106</v>
      </c>
      <c r="G972" s="97">
        <v>46132</v>
      </c>
      <c r="H972" s="98">
        <v>0.43881944444444443</v>
      </c>
      <c r="I972" s="50">
        <v>166004634</v>
      </c>
      <c r="J972" s="96" t="s">
        <v>157</v>
      </c>
      <c r="K972" s="49" t="s">
        <v>2016</v>
      </c>
      <c r="L972" s="39" t="s">
        <v>2017</v>
      </c>
      <c r="M972" s="49" t="s">
        <v>2018</v>
      </c>
      <c r="N972" s="39" t="s">
        <v>1949</v>
      </c>
      <c r="O972" s="96" t="s">
        <v>2019</v>
      </c>
      <c r="P972" s="49" t="s">
        <v>157</v>
      </c>
      <c r="Q972" s="96" t="s">
        <v>104</v>
      </c>
      <c r="R972" s="52">
        <v>19.9</v>
      </c>
      <c r="S972" s="52">
        <f>R972-T972</f>
        <v>17.767857142857142</v>
      </c>
      <c r="T972" s="52">
        <f>R972*U972/(U972+100)</f>
        <v>2.132142857142857</v>
      </c>
      <c r="U972" s="50">
        <v>12</v>
      </c>
      <c r="V972" s="53">
        <v>0</v>
      </c>
      <c r="W972" s="147">
        <v>1</v>
      </c>
      <c r="X972" s="148" t="s">
        <v>163</v>
      </c>
      <c r="Y972" s="54">
        <f>R972*W972</f>
        <v>19.9</v>
      </c>
      <c r="Z972" s="52">
        <f>S972*W972</f>
        <v>17.767857142857142</v>
      </c>
      <c r="AA972" s="52">
        <f>T972*W972</f>
        <v>2.132142857142857</v>
      </c>
      <c r="AB972" s="52">
        <f>V972*W972</f>
        <v>0</v>
      </c>
      <c r="AC972" s="53">
        <f>(R972+V972)*W972</f>
        <v>19.9</v>
      </c>
      <c r="AD972" s="138">
        <v>19.9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107</v>
      </c>
      <c r="F973" s="96" t="s">
        <v>106</v>
      </c>
      <c r="G973" s="97">
        <v>46132</v>
      </c>
      <c r="H973" s="98">
        <v>0.43881944444444443</v>
      </c>
      <c r="I973" s="50">
        <v>166004634</v>
      </c>
      <c r="J973" s="96" t="s">
        <v>157</v>
      </c>
      <c r="K973" s="49" t="s">
        <v>2020</v>
      </c>
      <c r="L973" s="39" t="s">
        <v>2021</v>
      </c>
      <c r="M973" s="49" t="s">
        <v>1405</v>
      </c>
      <c r="N973" s="39" t="s">
        <v>778</v>
      </c>
      <c r="O973" s="96" t="s">
        <v>2022</v>
      </c>
      <c r="P973" s="49" t="s">
        <v>157</v>
      </c>
      <c r="Q973" s="96" t="s">
        <v>104</v>
      </c>
      <c r="R973" s="52">
        <v>17.9</v>
      </c>
      <c r="S973" s="52">
        <f>R973-T973</f>
        <v>15.982142857142856</v>
      </c>
      <c r="T973" s="52">
        <f>R973*U973/(U973+100)</f>
        <v>1.9178571428571427</v>
      </c>
      <c r="U973" s="50">
        <v>12</v>
      </c>
      <c r="V973" s="53">
        <v>0</v>
      </c>
      <c r="W973" s="147">
        <v>1</v>
      </c>
      <c r="X973" s="148" t="s">
        <v>163</v>
      </c>
      <c r="Y973" s="54">
        <f>R973*W973</f>
        <v>17.9</v>
      </c>
      <c r="Z973" s="52">
        <f>S973*W973</f>
        <v>15.982142857142856</v>
      </c>
      <c r="AA973" s="52">
        <f>T973*W973</f>
        <v>1.9178571428571427</v>
      </c>
      <c r="AB973" s="52">
        <f>V973*W973</f>
        <v>0</v>
      </c>
      <c r="AC973" s="53">
        <f>(R973+V973)*W973</f>
        <v>17.9</v>
      </c>
      <c r="AD973" s="138">
        <v>17.9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107</v>
      </c>
      <c r="F974" s="96" t="s">
        <v>106</v>
      </c>
      <c r="G974" s="97">
        <v>46132</v>
      </c>
      <c r="H974" s="98">
        <v>0.43881944444444443</v>
      </c>
      <c r="I974" s="50">
        <v>166004634</v>
      </c>
      <c r="J974" s="96" t="s">
        <v>157</v>
      </c>
      <c r="K974" s="49" t="s">
        <v>2023</v>
      </c>
      <c r="L974" s="39" t="s">
        <v>2024</v>
      </c>
      <c r="M974" s="49" t="s">
        <v>1445</v>
      </c>
      <c r="N974" s="39" t="s">
        <v>202</v>
      </c>
      <c r="O974" s="96" t="s">
        <v>2025</v>
      </c>
      <c r="P974" s="49" t="s">
        <v>157</v>
      </c>
      <c r="Q974" s="96" t="s">
        <v>104</v>
      </c>
      <c r="R974" s="52">
        <v>19.9</v>
      </c>
      <c r="S974" s="52">
        <f>R974-T974</f>
        <v>17.767857142857142</v>
      </c>
      <c r="T974" s="52">
        <f>R974*U974/(U974+100)</f>
        <v>2.132142857142857</v>
      </c>
      <c r="U974" s="50">
        <v>12</v>
      </c>
      <c r="V974" s="53">
        <v>0</v>
      </c>
      <c r="W974" s="147">
        <v>1</v>
      </c>
      <c r="X974" s="148" t="s">
        <v>163</v>
      </c>
      <c r="Y974" s="54">
        <f>R974*W974</f>
        <v>19.9</v>
      </c>
      <c r="Z974" s="52">
        <f>S974*W974</f>
        <v>17.767857142857142</v>
      </c>
      <c r="AA974" s="52">
        <f>T974*W974</f>
        <v>2.132142857142857</v>
      </c>
      <c r="AB974" s="52">
        <f>V974*W974</f>
        <v>0</v>
      </c>
      <c r="AC974" s="53">
        <f>(R974+V974)*W974</f>
        <v>19.9</v>
      </c>
      <c r="AD974" s="138">
        <v>19.9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107</v>
      </c>
      <c r="F975" s="96" t="s">
        <v>106</v>
      </c>
      <c r="G975" s="97">
        <v>46132</v>
      </c>
      <c r="H975" s="98">
        <v>0.43881944444444443</v>
      </c>
      <c r="I975" s="50">
        <v>166004634</v>
      </c>
      <c r="J975" s="96" t="s">
        <v>157</v>
      </c>
      <c r="K975" s="49" t="s">
        <v>2026</v>
      </c>
      <c r="L975" s="39" t="s">
        <v>2027</v>
      </c>
      <c r="M975" s="49" t="s">
        <v>893</v>
      </c>
      <c r="N975" s="39" t="s">
        <v>202</v>
      </c>
      <c r="O975" s="96" t="s">
        <v>2028</v>
      </c>
      <c r="P975" s="49" t="s">
        <v>157</v>
      </c>
      <c r="Q975" s="96" t="s">
        <v>104</v>
      </c>
      <c r="R975" s="52">
        <v>17.9</v>
      </c>
      <c r="S975" s="52">
        <f>R975-T975</f>
        <v>15.982142857142856</v>
      </c>
      <c r="T975" s="52">
        <f>R975*U975/(U975+100)</f>
        <v>1.9178571428571427</v>
      </c>
      <c r="U975" s="50">
        <v>12</v>
      </c>
      <c r="V975" s="53">
        <v>0</v>
      </c>
      <c r="W975" s="147">
        <v>1</v>
      </c>
      <c r="X975" s="148" t="s">
        <v>163</v>
      </c>
      <c r="Y975" s="54">
        <f>R975*W975</f>
        <v>17.9</v>
      </c>
      <c r="Z975" s="52">
        <f>S975*W975</f>
        <v>15.982142857142856</v>
      </c>
      <c r="AA975" s="52">
        <f>T975*W975</f>
        <v>1.9178571428571427</v>
      </c>
      <c r="AB975" s="52">
        <f>V975*W975</f>
        <v>0</v>
      </c>
      <c r="AC975" s="53">
        <f>(R975+V975)*W975</f>
        <v>17.9</v>
      </c>
      <c r="AD975" s="138">
        <v>17.9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107</v>
      </c>
      <c r="F976" s="96" t="s">
        <v>106</v>
      </c>
      <c r="G976" s="97">
        <v>46132</v>
      </c>
      <c r="H976" s="98">
        <v>0.43881944444444443</v>
      </c>
      <c r="I976" s="50">
        <v>166004634</v>
      </c>
      <c r="J976" s="96" t="s">
        <v>157</v>
      </c>
      <c r="K976" s="49" t="s">
        <v>946</v>
      </c>
      <c r="L976" s="39" t="s">
        <v>947</v>
      </c>
      <c r="M976" s="49" t="s">
        <v>318</v>
      </c>
      <c r="N976" s="39" t="s">
        <v>319</v>
      </c>
      <c r="O976" s="96" t="s">
        <v>1512</v>
      </c>
      <c r="P976" s="49" t="s">
        <v>235</v>
      </c>
      <c r="Q976" s="96" t="s">
        <v>236</v>
      </c>
      <c r="R976" s="52">
        <v>16.9</v>
      </c>
      <c r="S976" s="52">
        <f>R976-T976</f>
        <v>15.089285714285714</v>
      </c>
      <c r="T976" s="52">
        <f>R976*U976/(U976+100)</f>
        <v>1.8107142857142855</v>
      </c>
      <c r="U976" s="50">
        <v>12</v>
      </c>
      <c r="V976" s="53">
        <v>0</v>
      </c>
      <c r="W976" s="147">
        <v>1</v>
      </c>
      <c r="X976" s="148" t="s">
        <v>163</v>
      </c>
      <c r="Y976" s="54">
        <f>R976*W976</f>
        <v>16.9</v>
      </c>
      <c r="Z976" s="52">
        <f>S976*W976</f>
        <v>15.089285714285714</v>
      </c>
      <c r="AA976" s="52">
        <f>T976*W976</f>
        <v>1.8107142857142855</v>
      </c>
      <c r="AB976" s="52">
        <f>V976*W976</f>
        <v>0</v>
      </c>
      <c r="AC976" s="53">
        <f>(R976+V976)*W976</f>
        <v>16.9</v>
      </c>
      <c r="AD976" s="138">
        <v>16.9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107</v>
      </c>
      <c r="F977" s="96" t="s">
        <v>106</v>
      </c>
      <c r="G977" s="97">
        <v>46132</v>
      </c>
      <c r="H977" s="98">
        <v>0.43881944444444443</v>
      </c>
      <c r="I977" s="50">
        <v>166004634</v>
      </c>
      <c r="J977" s="96" t="s">
        <v>157</v>
      </c>
      <c r="K977" s="49" t="s">
        <v>946</v>
      </c>
      <c r="L977" s="39" t="s">
        <v>947</v>
      </c>
      <c r="M977" s="49" t="s">
        <v>318</v>
      </c>
      <c r="N977" s="39" t="s">
        <v>319</v>
      </c>
      <c r="O977" s="96" t="s">
        <v>1512</v>
      </c>
      <c r="P977" s="49" t="s">
        <v>235</v>
      </c>
      <c r="Q977" s="96" t="s">
        <v>236</v>
      </c>
      <c r="R977" s="52">
        <v>16.9</v>
      </c>
      <c r="S977" s="52">
        <f>R977-T977</f>
        <v>15.089285714285714</v>
      </c>
      <c r="T977" s="52">
        <f>R977*U977/(U977+100)</f>
        <v>1.8107142857142855</v>
      </c>
      <c r="U977" s="50">
        <v>12</v>
      </c>
      <c r="V977" s="53">
        <v>0</v>
      </c>
      <c r="W977" s="147">
        <v>1</v>
      </c>
      <c r="X977" s="148" t="s">
        <v>163</v>
      </c>
      <c r="Y977" s="54">
        <f>R977*W977</f>
        <v>16.9</v>
      </c>
      <c r="Z977" s="52">
        <f>S977*W977</f>
        <v>15.089285714285714</v>
      </c>
      <c r="AA977" s="52">
        <f>T977*W977</f>
        <v>1.8107142857142855</v>
      </c>
      <c r="AB977" s="52">
        <f>V977*W977</f>
        <v>0</v>
      </c>
      <c r="AC977" s="53">
        <f>(R977+V977)*W977</f>
        <v>16.9</v>
      </c>
      <c r="AD977" s="138">
        <v>16.9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107</v>
      </c>
      <c r="F978" s="96" t="s">
        <v>106</v>
      </c>
      <c r="G978" s="97">
        <v>46132</v>
      </c>
      <c r="H978" s="98">
        <v>0.43881944444444443</v>
      </c>
      <c r="I978" s="50">
        <v>166004634</v>
      </c>
      <c r="J978" s="96" t="s">
        <v>157</v>
      </c>
      <c r="K978" s="49" t="s">
        <v>2029</v>
      </c>
      <c r="L978" s="39" t="s">
        <v>2030</v>
      </c>
      <c r="M978" s="49" t="s">
        <v>282</v>
      </c>
      <c r="N978" s="39" t="s">
        <v>210</v>
      </c>
      <c r="O978" s="96" t="s">
        <v>2031</v>
      </c>
      <c r="P978" s="49" t="s">
        <v>157</v>
      </c>
      <c r="Q978" s="96" t="s">
        <v>104</v>
      </c>
      <c r="R978" s="52">
        <v>19.9</v>
      </c>
      <c r="S978" s="52">
        <f>R978-T978</f>
        <v>17.767857142857142</v>
      </c>
      <c r="T978" s="52">
        <f>R978*U978/(U978+100)</f>
        <v>2.132142857142857</v>
      </c>
      <c r="U978" s="50">
        <v>12</v>
      </c>
      <c r="V978" s="53">
        <v>0</v>
      </c>
      <c r="W978" s="147">
        <v>1</v>
      </c>
      <c r="X978" s="148" t="s">
        <v>163</v>
      </c>
      <c r="Y978" s="54">
        <f>R978*W978</f>
        <v>19.9</v>
      </c>
      <c r="Z978" s="52">
        <f>S978*W978</f>
        <v>17.767857142857142</v>
      </c>
      <c r="AA978" s="52">
        <f>T978*W978</f>
        <v>2.132142857142857</v>
      </c>
      <c r="AB978" s="52">
        <f>V978*W978</f>
        <v>0</v>
      </c>
      <c r="AC978" s="53">
        <f>(R978+V978)*W978</f>
        <v>19.9</v>
      </c>
      <c r="AD978" s="138">
        <v>19.9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107</v>
      </c>
      <c r="F979" s="96" t="s">
        <v>106</v>
      </c>
      <c r="G979" s="97">
        <v>46132</v>
      </c>
      <c r="H979" s="98">
        <v>0.43881944444444443</v>
      </c>
      <c r="I979" s="50">
        <v>166004634</v>
      </c>
      <c r="J979" s="96" t="s">
        <v>157</v>
      </c>
      <c r="K979" s="49" t="s">
        <v>2032</v>
      </c>
      <c r="L979" s="39" t="s">
        <v>2033</v>
      </c>
      <c r="M979" s="49" t="s">
        <v>190</v>
      </c>
      <c r="N979" s="39" t="s">
        <v>532</v>
      </c>
      <c r="O979" s="96" t="s">
        <v>2034</v>
      </c>
      <c r="P979" s="49" t="s">
        <v>157</v>
      </c>
      <c r="Q979" s="96" t="s">
        <v>104</v>
      </c>
      <c r="R979" s="52">
        <v>59.9</v>
      </c>
      <c r="S979" s="52">
        <f>R979-T979</f>
        <v>53.482142857142854</v>
      </c>
      <c r="T979" s="52">
        <f>R979*U979/(U979+100)</f>
        <v>6.417857142857143</v>
      </c>
      <c r="U979" s="50">
        <v>12</v>
      </c>
      <c r="V979" s="53">
        <v>0</v>
      </c>
      <c r="W979" s="147">
        <v>1</v>
      </c>
      <c r="X979" s="148" t="s">
        <v>193</v>
      </c>
      <c r="Y979" s="54">
        <f>R979*W979</f>
        <v>59.9</v>
      </c>
      <c r="Z979" s="52">
        <f>S979*W979</f>
        <v>53.482142857142854</v>
      </c>
      <c r="AA979" s="52">
        <f>T979*W979</f>
        <v>6.417857142857143</v>
      </c>
      <c r="AB979" s="52">
        <f>V979*W979</f>
        <v>0</v>
      </c>
      <c r="AC979" s="53">
        <f>(R979+V979)*W979</f>
        <v>59.9</v>
      </c>
      <c r="AD979" s="138">
        <v>59.9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107</v>
      </c>
      <c r="F980" s="96" t="s">
        <v>106</v>
      </c>
      <c r="G980" s="97">
        <v>46132</v>
      </c>
      <c r="H980" s="98">
        <v>0.43881944444444443</v>
      </c>
      <c r="I980" s="50">
        <v>166004634</v>
      </c>
      <c r="J980" s="96" t="s">
        <v>157</v>
      </c>
      <c r="K980" s="49" t="s">
        <v>1224</v>
      </c>
      <c r="L980" s="39" t="s">
        <v>1225</v>
      </c>
      <c r="M980" s="49" t="s">
        <v>190</v>
      </c>
      <c r="N980" s="39" t="s">
        <v>532</v>
      </c>
      <c r="O980" s="96" t="s">
        <v>1226</v>
      </c>
      <c r="P980" s="49" t="s">
        <v>157</v>
      </c>
      <c r="Q980" s="96" t="s">
        <v>104</v>
      </c>
      <c r="R980" s="52">
        <v>44.9</v>
      </c>
      <c r="S980" s="52">
        <f>R980-T980</f>
        <v>40.089285714285715</v>
      </c>
      <c r="T980" s="52">
        <f>R980*U980/(U980+100)</f>
        <v>4.810714285714285</v>
      </c>
      <c r="U980" s="50">
        <v>12</v>
      </c>
      <c r="V980" s="53">
        <v>0</v>
      </c>
      <c r="W980" s="147">
        <v>0.276</v>
      </c>
      <c r="X980" s="148" t="s">
        <v>193</v>
      </c>
      <c r="Y980" s="54">
        <f>R980*W980</f>
        <v>12.3924</v>
      </c>
      <c r="Z980" s="52">
        <f>S980*W980</f>
        <v>11.064642857142859</v>
      </c>
      <c r="AA980" s="52">
        <f>T980*W980</f>
        <v>1.3277571428571429</v>
      </c>
      <c r="AB980" s="52">
        <f>V980*W980</f>
        <v>0</v>
      </c>
      <c r="AC980" s="53">
        <f>(R980+V980)*W980</f>
        <v>12.3924</v>
      </c>
      <c r="AD980" s="138">
        <v>44.9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107</v>
      </c>
      <c r="F981" s="96" t="s">
        <v>106</v>
      </c>
      <c r="G981" s="97">
        <v>46132</v>
      </c>
      <c r="H981" s="98">
        <v>0.43881944444444443</v>
      </c>
      <c r="I981" s="50">
        <v>166004634</v>
      </c>
      <c r="J981" s="96" t="s">
        <v>157</v>
      </c>
      <c r="K981" s="49" t="s">
        <v>1021</v>
      </c>
      <c r="L981" s="39" t="s">
        <v>1022</v>
      </c>
      <c r="M981" s="49" t="s">
        <v>190</v>
      </c>
      <c r="N981" s="39" t="s">
        <v>532</v>
      </c>
      <c r="O981" s="96" t="s">
        <v>1023</v>
      </c>
      <c r="P981" s="49" t="s">
        <v>157</v>
      </c>
      <c r="Q981" s="96" t="s">
        <v>104</v>
      </c>
      <c r="R981" s="52">
        <v>48.9</v>
      </c>
      <c r="S981" s="52">
        <f>R981-T981</f>
        <v>43.660714285714285</v>
      </c>
      <c r="T981" s="52">
        <f>R981*U981/(U981+100)</f>
        <v>5.239285714285714</v>
      </c>
      <c r="U981" s="50">
        <v>12</v>
      </c>
      <c r="V981" s="53">
        <v>0</v>
      </c>
      <c r="W981" s="147">
        <v>0.478</v>
      </c>
      <c r="X981" s="148" t="s">
        <v>193</v>
      </c>
      <c r="Y981" s="54">
        <f>R981*W981</f>
        <v>23.3742</v>
      </c>
      <c r="Z981" s="52">
        <f>S981*W981</f>
        <v>20.869821428571427</v>
      </c>
      <c r="AA981" s="52">
        <f>T981*W981</f>
        <v>2.504378571428571</v>
      </c>
      <c r="AB981" s="52">
        <f>V981*W981</f>
        <v>0</v>
      </c>
      <c r="AC981" s="53">
        <f>(R981+V981)*W981</f>
        <v>23.3742</v>
      </c>
      <c r="AD981" s="138">
        <v>48.9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107</v>
      </c>
      <c r="F982" s="96" t="s">
        <v>106</v>
      </c>
      <c r="G982" s="97">
        <v>46132</v>
      </c>
      <c r="H982" s="98">
        <v>0.43881944444444443</v>
      </c>
      <c r="I982" s="50">
        <v>166004634</v>
      </c>
      <c r="J982" s="96" t="s">
        <v>157</v>
      </c>
      <c r="K982" s="49" t="s">
        <v>303</v>
      </c>
      <c r="L982" s="39" t="s">
        <v>304</v>
      </c>
      <c r="M982" s="49" t="s">
        <v>214</v>
      </c>
      <c r="N982" s="39" t="s">
        <v>296</v>
      </c>
      <c r="O982" s="96" t="s">
        <v>305</v>
      </c>
      <c r="P982" s="49" t="s">
        <v>157</v>
      </c>
      <c r="Q982" s="96" t="s">
        <v>104</v>
      </c>
      <c r="R982" s="52">
        <v>11.9</v>
      </c>
      <c r="S982" s="52">
        <f>R982-T982</f>
        <v>10.625</v>
      </c>
      <c r="T982" s="52">
        <f>R982*U982/(U982+100)</f>
        <v>1.2750000000000001</v>
      </c>
      <c r="U982" s="50">
        <v>12</v>
      </c>
      <c r="V982" s="53">
        <v>0</v>
      </c>
      <c r="W982" s="147">
        <v>1</v>
      </c>
      <c r="X982" s="148" t="s">
        <v>163</v>
      </c>
      <c r="Y982" s="54">
        <f>R982*W982</f>
        <v>11.9</v>
      </c>
      <c r="Z982" s="52">
        <f>S982*W982</f>
        <v>10.625</v>
      </c>
      <c r="AA982" s="52">
        <f>T982*W982</f>
        <v>1.2750000000000001</v>
      </c>
      <c r="AB982" s="52">
        <f>V982*W982</f>
        <v>0</v>
      </c>
      <c r="AC982" s="53">
        <f>(R982+V982)*W982</f>
        <v>11.9</v>
      </c>
      <c r="AD982" s="138">
        <v>11.9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107</v>
      </c>
      <c r="F983" s="96" t="s">
        <v>106</v>
      </c>
      <c r="G983" s="97">
        <v>46132</v>
      </c>
      <c r="H983" s="98">
        <v>0.43881944444444443</v>
      </c>
      <c r="I983" s="50">
        <v>166004634</v>
      </c>
      <c r="J983" s="96" t="s">
        <v>157</v>
      </c>
      <c r="K983" s="49" t="s">
        <v>2035</v>
      </c>
      <c r="L983" s="39" t="s">
        <v>2036</v>
      </c>
      <c r="M983" s="49" t="s">
        <v>403</v>
      </c>
      <c r="N983" s="39" t="s">
        <v>1732</v>
      </c>
      <c r="O983" s="96" t="s">
        <v>2037</v>
      </c>
      <c r="P983" s="49" t="s">
        <v>157</v>
      </c>
      <c r="Q983" s="96" t="s">
        <v>104</v>
      </c>
      <c r="R983" s="52">
        <v>184.9</v>
      </c>
      <c r="S983" s="52">
        <f>R983-T983</f>
        <v>165.08928571428572</v>
      </c>
      <c r="T983" s="52">
        <f>R983*U983/(U983+100)</f>
        <v>19.810714285714287</v>
      </c>
      <c r="U983" s="50">
        <v>12</v>
      </c>
      <c r="V983" s="53">
        <v>0</v>
      </c>
      <c r="W983" s="147">
        <v>0.28</v>
      </c>
      <c r="X983" s="148" t="s">
        <v>193</v>
      </c>
      <c r="Y983" s="54">
        <f>R983*W983</f>
        <v>51.772000000000006</v>
      </c>
      <c r="Z983" s="52">
        <f>S983*W983</f>
        <v>46.22500000000001</v>
      </c>
      <c r="AA983" s="52">
        <f>T983*W983</f>
        <v>5.547000000000001</v>
      </c>
      <c r="AB983" s="52">
        <f>V983*W983</f>
        <v>0</v>
      </c>
      <c r="AC983" s="53">
        <f>(R983+V983)*W983</f>
        <v>51.772000000000006</v>
      </c>
      <c r="AD983" s="138">
        <v>184.9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107</v>
      </c>
      <c r="F984" s="96" t="s">
        <v>106</v>
      </c>
      <c r="G984" s="97">
        <v>46132</v>
      </c>
      <c r="H984" s="98">
        <v>0.43881944444444443</v>
      </c>
      <c r="I984" s="50">
        <v>166004634</v>
      </c>
      <c r="J984" s="96" t="s">
        <v>157</v>
      </c>
      <c r="K984" s="49" t="s">
        <v>517</v>
      </c>
      <c r="L984" s="39" t="s">
        <v>518</v>
      </c>
      <c r="M984" s="49" t="s">
        <v>214</v>
      </c>
      <c r="N984" s="39" t="s">
        <v>273</v>
      </c>
      <c r="O984" s="96" t="s">
        <v>1111</v>
      </c>
      <c r="P984" s="49" t="s">
        <v>157</v>
      </c>
      <c r="Q984" s="96" t="s">
        <v>104</v>
      </c>
      <c r="R984" s="52">
        <v>15.9</v>
      </c>
      <c r="S984" s="52">
        <f>R984-T984</f>
        <v>14.196428571428571</v>
      </c>
      <c r="T984" s="52">
        <f>R984*U984/(U984+100)</f>
        <v>1.7035714285714287</v>
      </c>
      <c r="U984" s="50">
        <v>12</v>
      </c>
      <c r="V984" s="53">
        <v>0</v>
      </c>
      <c r="W984" s="147">
        <v>1</v>
      </c>
      <c r="X984" s="148" t="s">
        <v>163</v>
      </c>
      <c r="Y984" s="54">
        <f>R984*W984</f>
        <v>15.9</v>
      </c>
      <c r="Z984" s="52">
        <f>S984*W984</f>
        <v>14.196428571428571</v>
      </c>
      <c r="AA984" s="52">
        <f>T984*W984</f>
        <v>1.7035714285714287</v>
      </c>
      <c r="AB984" s="52">
        <f>V984*W984</f>
        <v>0</v>
      </c>
      <c r="AC984" s="53">
        <f>(R984+V984)*W984</f>
        <v>15.9</v>
      </c>
      <c r="AD984" s="138">
        <v>15.9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107</v>
      </c>
      <c r="F985" s="96" t="s">
        <v>106</v>
      </c>
      <c r="G985" s="97">
        <v>46132</v>
      </c>
      <c r="H985" s="98">
        <v>0.43881944444444443</v>
      </c>
      <c r="I985" s="50">
        <v>166004634</v>
      </c>
      <c r="J985" s="96" t="s">
        <v>157</v>
      </c>
      <c r="K985" s="49" t="s">
        <v>293</v>
      </c>
      <c r="L985" s="39" t="s">
        <v>294</v>
      </c>
      <c r="M985" s="49" t="s">
        <v>295</v>
      </c>
      <c r="N985" s="39" t="s">
        <v>296</v>
      </c>
      <c r="O985" s="96" t="s">
        <v>297</v>
      </c>
      <c r="P985" s="49" t="s">
        <v>157</v>
      </c>
      <c r="Q985" s="96" t="s">
        <v>104</v>
      </c>
      <c r="R985" s="52">
        <v>2.9</v>
      </c>
      <c r="S985" s="52">
        <f>R985-T985</f>
        <v>2.5892857142857144</v>
      </c>
      <c r="T985" s="52">
        <f>R985*U985/(U985+100)</f>
        <v>0.31071428571428567</v>
      </c>
      <c r="U985" s="50">
        <v>12</v>
      </c>
      <c r="V985" s="53">
        <v>0</v>
      </c>
      <c r="W985" s="147">
        <v>4</v>
      </c>
      <c r="X985" s="148" t="s">
        <v>163</v>
      </c>
      <c r="Y985" s="54">
        <f>R985*W985</f>
        <v>11.6</v>
      </c>
      <c r="Z985" s="52">
        <f>S985*W985</f>
        <v>10.357142857142858</v>
      </c>
      <c r="AA985" s="52">
        <f>T985*W985</f>
        <v>1.2428571428571427</v>
      </c>
      <c r="AB985" s="52">
        <f>V985*W985</f>
        <v>0</v>
      </c>
      <c r="AC985" s="53">
        <f>(R985+V985)*W985</f>
        <v>11.6</v>
      </c>
      <c r="AD985" s="138">
        <v>2.9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107</v>
      </c>
      <c r="F986" s="96" t="s">
        <v>106</v>
      </c>
      <c r="G986" s="97">
        <v>46132</v>
      </c>
      <c r="H986" s="98">
        <v>0.43881944444444443</v>
      </c>
      <c r="I986" s="50">
        <v>166004634</v>
      </c>
      <c r="J986" s="96" t="s">
        <v>157</v>
      </c>
      <c r="K986" s="49" t="s">
        <v>553</v>
      </c>
      <c r="L986" s="39" t="s">
        <v>104</v>
      </c>
      <c r="M986" s="49" t="s">
        <v>554</v>
      </c>
      <c r="N986" s="39" t="s">
        <v>296</v>
      </c>
      <c r="O986" s="96" t="s">
        <v>555</v>
      </c>
      <c r="P986" s="49" t="s">
        <v>157</v>
      </c>
      <c r="Q986" s="96" t="s">
        <v>104</v>
      </c>
      <c r="R986" s="52">
        <v>8.9</v>
      </c>
      <c r="S986" s="52">
        <f>R986-T986</f>
        <v>7.946428571428572</v>
      </c>
      <c r="T986" s="52">
        <f>R986*U986/(U986+100)</f>
        <v>0.9535714285714286</v>
      </c>
      <c r="U986" s="50">
        <v>12</v>
      </c>
      <c r="V986" s="53">
        <v>0</v>
      </c>
      <c r="W986" s="147">
        <v>3</v>
      </c>
      <c r="X986" s="148" t="s">
        <v>163</v>
      </c>
      <c r="Y986" s="54">
        <f>R986*W986</f>
        <v>26.700000000000003</v>
      </c>
      <c r="Z986" s="52">
        <f>S986*W986</f>
        <v>23.839285714285715</v>
      </c>
      <c r="AA986" s="52">
        <f>T986*W986</f>
        <v>2.8607142857142858</v>
      </c>
      <c r="AB986" s="52">
        <f>V986*W986</f>
        <v>0</v>
      </c>
      <c r="AC986" s="53">
        <f>(R986+V986)*W986</f>
        <v>26.700000000000003</v>
      </c>
      <c r="AD986" s="138">
        <v>8.9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107</v>
      </c>
      <c r="F987" s="96" t="s">
        <v>106</v>
      </c>
      <c r="G987" s="97">
        <v>46132</v>
      </c>
      <c r="H987" s="98">
        <v>0.43881944444444443</v>
      </c>
      <c r="I987" s="50">
        <v>166004634</v>
      </c>
      <c r="J987" s="96" t="s">
        <v>157</v>
      </c>
      <c r="K987" s="49" t="s">
        <v>2038</v>
      </c>
      <c r="L987" s="39" t="s">
        <v>2039</v>
      </c>
      <c r="M987" s="49" t="s">
        <v>2040</v>
      </c>
      <c r="N987" s="39" t="s">
        <v>523</v>
      </c>
      <c r="O987" s="96" t="s">
        <v>2041</v>
      </c>
      <c r="P987" s="49" t="s">
        <v>157</v>
      </c>
      <c r="Q987" s="96" t="s">
        <v>104</v>
      </c>
      <c r="R987" s="52">
        <v>32.9</v>
      </c>
      <c r="S987" s="52">
        <f>R987-T987</f>
        <v>29.375</v>
      </c>
      <c r="T987" s="52">
        <f>R987*U987/(U987+100)</f>
        <v>3.5249999999999995</v>
      </c>
      <c r="U987" s="50">
        <v>12</v>
      </c>
      <c r="V987" s="53">
        <v>0</v>
      </c>
      <c r="W987" s="147">
        <v>1</v>
      </c>
      <c r="X987" s="148" t="s">
        <v>163</v>
      </c>
      <c r="Y987" s="54">
        <f>R987*W987</f>
        <v>32.9</v>
      </c>
      <c r="Z987" s="52">
        <f>S987*W987</f>
        <v>29.375</v>
      </c>
      <c r="AA987" s="52">
        <f>T987*W987</f>
        <v>3.5249999999999995</v>
      </c>
      <c r="AB987" s="52">
        <f>V987*W987</f>
        <v>0</v>
      </c>
      <c r="AC987" s="53">
        <f>(R987+V987)*W987</f>
        <v>32.9</v>
      </c>
      <c r="AD987" s="138">
        <v>32.9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107</v>
      </c>
      <c r="F988" s="96" t="s">
        <v>106</v>
      </c>
      <c r="G988" s="97">
        <v>46132</v>
      </c>
      <c r="H988" s="98">
        <v>0.43925925925925924</v>
      </c>
      <c r="I988" s="50">
        <v>166004635</v>
      </c>
      <c r="J988" s="96" t="s">
        <v>157</v>
      </c>
      <c r="K988" s="49" t="s">
        <v>266</v>
      </c>
      <c r="L988" s="39" t="s">
        <v>267</v>
      </c>
      <c r="M988" s="49" t="s">
        <v>268</v>
      </c>
      <c r="N988" s="39" t="s">
        <v>269</v>
      </c>
      <c r="O988" s="96" t="s">
        <v>1249</v>
      </c>
      <c r="P988" s="49" t="s">
        <v>235</v>
      </c>
      <c r="Q988" s="96" t="s">
        <v>236</v>
      </c>
      <c r="R988" s="52">
        <v>11.9</v>
      </c>
      <c r="S988" s="52">
        <f>R988-T988</f>
        <v>10.625</v>
      </c>
      <c r="T988" s="52">
        <f>R988*U988/(U988+100)</f>
        <v>1.2750000000000001</v>
      </c>
      <c r="U988" s="50">
        <v>12</v>
      </c>
      <c r="V988" s="53">
        <v>0</v>
      </c>
      <c r="W988" s="147">
        <v>2</v>
      </c>
      <c r="X988" s="148" t="s">
        <v>163</v>
      </c>
      <c r="Y988" s="54">
        <f>R988*W988</f>
        <v>23.8</v>
      </c>
      <c r="Z988" s="52">
        <f>S988*W988</f>
        <v>21.25</v>
      </c>
      <c r="AA988" s="52">
        <f>T988*W988</f>
        <v>2.5500000000000003</v>
      </c>
      <c r="AB988" s="52">
        <f>V988*W988</f>
        <v>0</v>
      </c>
      <c r="AC988" s="53">
        <f>(R988+V988)*W988</f>
        <v>23.8</v>
      </c>
      <c r="AD988" s="138">
        <v>11.9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107</v>
      </c>
      <c r="F989" s="96" t="s">
        <v>106</v>
      </c>
      <c r="G989" s="97">
        <v>46132</v>
      </c>
      <c r="H989" s="98">
        <v>0.43925925925925924</v>
      </c>
      <c r="I989" s="50">
        <v>166004635</v>
      </c>
      <c r="J989" s="96" t="s">
        <v>157</v>
      </c>
      <c r="K989" s="49" t="s">
        <v>1085</v>
      </c>
      <c r="L989" s="39" t="s">
        <v>1086</v>
      </c>
      <c r="M989" s="49" t="s">
        <v>1087</v>
      </c>
      <c r="N989" s="39" t="s">
        <v>1088</v>
      </c>
      <c r="O989" s="96" t="s">
        <v>1089</v>
      </c>
      <c r="P989" s="49" t="s">
        <v>157</v>
      </c>
      <c r="Q989" s="96" t="s">
        <v>104</v>
      </c>
      <c r="R989" s="52">
        <v>163.03</v>
      </c>
      <c r="S989" s="52">
        <f>R989-T989</f>
        <v>145.5625</v>
      </c>
      <c r="T989" s="52">
        <f>R989*U989/(U989+100)</f>
        <v>17.4675</v>
      </c>
      <c r="U989" s="50">
        <v>12</v>
      </c>
      <c r="V989" s="53">
        <v>0</v>
      </c>
      <c r="W989" s="147">
        <v>0.2</v>
      </c>
      <c r="X989" s="148" t="s">
        <v>193</v>
      </c>
      <c r="Y989" s="54">
        <f>R989*W989</f>
        <v>32.606</v>
      </c>
      <c r="Z989" s="52">
        <f>S989*W989</f>
        <v>29.1125</v>
      </c>
      <c r="AA989" s="52">
        <f>T989*W989</f>
        <v>3.4935000000000005</v>
      </c>
      <c r="AB989" s="52">
        <f>V989*W989</f>
        <v>0</v>
      </c>
      <c r="AC989" s="53">
        <f>(R989+V989)*W989</f>
        <v>32.606</v>
      </c>
      <c r="AD989" s="138">
        <v>232.9</v>
      </c>
      <c r="AE989" s="137">
        <v>69.87</v>
      </c>
      <c r="AF989" s="139">
        <v>13.974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107</v>
      </c>
      <c r="F990" s="96" t="s">
        <v>106</v>
      </c>
      <c r="G990" s="97">
        <v>46132</v>
      </c>
      <c r="H990" s="98">
        <v>0.43925925925925924</v>
      </c>
      <c r="I990" s="50">
        <v>166004635</v>
      </c>
      <c r="J990" s="96" t="s">
        <v>157</v>
      </c>
      <c r="K990" s="49" t="s">
        <v>303</v>
      </c>
      <c r="L990" s="39" t="s">
        <v>304</v>
      </c>
      <c r="M990" s="49" t="s">
        <v>214</v>
      </c>
      <c r="N990" s="39" t="s">
        <v>296</v>
      </c>
      <c r="O990" s="96" t="s">
        <v>305</v>
      </c>
      <c r="P990" s="49" t="s">
        <v>157</v>
      </c>
      <c r="Q990" s="96" t="s">
        <v>104</v>
      </c>
      <c r="R990" s="52">
        <v>11.9</v>
      </c>
      <c r="S990" s="52">
        <f>R990-T990</f>
        <v>10.625</v>
      </c>
      <c r="T990" s="52">
        <f>R990*U990/(U990+100)</f>
        <v>1.2750000000000001</v>
      </c>
      <c r="U990" s="50">
        <v>12</v>
      </c>
      <c r="V990" s="53">
        <v>0</v>
      </c>
      <c r="W990" s="147">
        <v>2</v>
      </c>
      <c r="X990" s="148" t="s">
        <v>163</v>
      </c>
      <c r="Y990" s="54">
        <f>R990*W990</f>
        <v>23.8</v>
      </c>
      <c r="Z990" s="52">
        <f>S990*W990</f>
        <v>21.25</v>
      </c>
      <c r="AA990" s="52">
        <f>T990*W990</f>
        <v>2.5500000000000003</v>
      </c>
      <c r="AB990" s="52">
        <f>V990*W990</f>
        <v>0</v>
      </c>
      <c r="AC990" s="53">
        <f>(R990+V990)*W990</f>
        <v>23.8</v>
      </c>
      <c r="AD990" s="138">
        <v>11.9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107</v>
      </c>
      <c r="F991" s="96" t="s">
        <v>106</v>
      </c>
      <c r="G991" s="97">
        <v>46132</v>
      </c>
      <c r="H991" s="98">
        <v>0.43960648148148146</v>
      </c>
      <c r="I991" s="50">
        <v>166004636</v>
      </c>
      <c r="J991" s="96" t="s">
        <v>157</v>
      </c>
      <c r="K991" s="49" t="s">
        <v>1085</v>
      </c>
      <c r="L991" s="39" t="s">
        <v>1086</v>
      </c>
      <c r="M991" s="49" t="s">
        <v>1087</v>
      </c>
      <c r="N991" s="39" t="s">
        <v>1088</v>
      </c>
      <c r="O991" s="96" t="s">
        <v>1089</v>
      </c>
      <c r="P991" s="49" t="s">
        <v>157</v>
      </c>
      <c r="Q991" s="96" t="s">
        <v>104</v>
      </c>
      <c r="R991" s="52">
        <v>163.03</v>
      </c>
      <c r="S991" s="52">
        <f>R991-T991</f>
        <v>145.5625</v>
      </c>
      <c r="T991" s="52">
        <f>R991*U991/(U991+100)</f>
        <v>17.4675</v>
      </c>
      <c r="U991" s="50">
        <v>12</v>
      </c>
      <c r="V991" s="53">
        <v>0</v>
      </c>
      <c r="W991" s="147">
        <v>0.102</v>
      </c>
      <c r="X991" s="148" t="s">
        <v>193</v>
      </c>
      <c r="Y991" s="54">
        <f>R991*W991</f>
        <v>16.62906</v>
      </c>
      <c r="Z991" s="52">
        <f>S991*W991</f>
        <v>14.847375</v>
      </c>
      <c r="AA991" s="52">
        <f>T991*W991</f>
        <v>1.781685</v>
      </c>
      <c r="AB991" s="52">
        <f>V991*W991</f>
        <v>0</v>
      </c>
      <c r="AC991" s="53">
        <f>(R991+V991)*W991</f>
        <v>16.62906</v>
      </c>
      <c r="AD991" s="138">
        <v>232.9</v>
      </c>
      <c r="AE991" s="137">
        <v>69.87</v>
      </c>
      <c r="AF991" s="139">
        <v>7.1267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107</v>
      </c>
      <c r="F992" s="96" t="s">
        <v>106</v>
      </c>
      <c r="G992" s="97">
        <v>46132</v>
      </c>
      <c r="H992" s="98">
        <v>0.43960648148148146</v>
      </c>
      <c r="I992" s="50">
        <v>166004636</v>
      </c>
      <c r="J992" s="96" t="s">
        <v>157</v>
      </c>
      <c r="K992" s="49" t="s">
        <v>371</v>
      </c>
      <c r="L992" s="39" t="s">
        <v>372</v>
      </c>
      <c r="M992" s="49" t="s">
        <v>277</v>
      </c>
      <c r="N992" s="39" t="s">
        <v>373</v>
      </c>
      <c r="O992" s="96" t="s">
        <v>2042</v>
      </c>
      <c r="P992" s="49" t="s">
        <v>157</v>
      </c>
      <c r="Q992" s="96" t="s">
        <v>104</v>
      </c>
      <c r="R992" s="52">
        <v>208.9</v>
      </c>
      <c r="S992" s="52">
        <f>R992-T992</f>
        <v>186.51785714285714</v>
      </c>
      <c r="T992" s="52">
        <f>R992*U992/(U992+100)</f>
        <v>22.38214285714286</v>
      </c>
      <c r="U992" s="50">
        <v>12</v>
      </c>
      <c r="V992" s="53">
        <v>0</v>
      </c>
      <c r="W992" s="147">
        <v>0.124</v>
      </c>
      <c r="X992" s="148" t="s">
        <v>193</v>
      </c>
      <c r="Y992" s="54">
        <f>R992*W992</f>
        <v>25.9036</v>
      </c>
      <c r="Z992" s="52">
        <f>S992*W992</f>
        <v>23.128214285714286</v>
      </c>
      <c r="AA992" s="52">
        <f>T992*W992</f>
        <v>2.7753857142857146</v>
      </c>
      <c r="AB992" s="52">
        <f>V992*W992</f>
        <v>0</v>
      </c>
      <c r="AC992" s="53">
        <f>(R992+V992)*W992</f>
        <v>25.9036</v>
      </c>
      <c r="AD992" s="138">
        <v>208.9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107</v>
      </c>
      <c r="F993" s="96" t="s">
        <v>106</v>
      </c>
      <c r="G993" s="97">
        <v>46132</v>
      </c>
      <c r="H993" s="98">
        <v>0.4404976851851852</v>
      </c>
      <c r="I993" s="50">
        <v>166004637</v>
      </c>
      <c r="J993" s="96" t="s">
        <v>157</v>
      </c>
      <c r="K993" s="49" t="s">
        <v>790</v>
      </c>
      <c r="L993" s="39" t="s">
        <v>791</v>
      </c>
      <c r="M993" s="49" t="s">
        <v>792</v>
      </c>
      <c r="N993" s="39" t="s">
        <v>793</v>
      </c>
      <c r="O993" s="96" t="s">
        <v>794</v>
      </c>
      <c r="P993" s="49" t="s">
        <v>157</v>
      </c>
      <c r="Q993" s="96" t="s">
        <v>104</v>
      </c>
      <c r="R993" s="52">
        <v>17.9</v>
      </c>
      <c r="S993" s="52">
        <f>R993-T993</f>
        <v>15.982142857142856</v>
      </c>
      <c r="T993" s="52">
        <f>R993*U993/(U993+100)</f>
        <v>1.9178571428571427</v>
      </c>
      <c r="U993" s="50">
        <v>12</v>
      </c>
      <c r="V993" s="53">
        <v>0</v>
      </c>
      <c r="W993" s="147">
        <v>1</v>
      </c>
      <c r="X993" s="148" t="s">
        <v>163</v>
      </c>
      <c r="Y993" s="54">
        <f>R993*W993</f>
        <v>17.9</v>
      </c>
      <c r="Z993" s="52">
        <f>S993*W993</f>
        <v>15.982142857142856</v>
      </c>
      <c r="AA993" s="52">
        <f>T993*W993</f>
        <v>1.9178571428571427</v>
      </c>
      <c r="AB993" s="52">
        <f>V993*W993</f>
        <v>0</v>
      </c>
      <c r="AC993" s="53">
        <f>(R993+V993)*W993</f>
        <v>17.9</v>
      </c>
      <c r="AD993" s="138">
        <v>17.9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107</v>
      </c>
      <c r="F994" s="96" t="s">
        <v>106</v>
      </c>
      <c r="G994" s="97">
        <v>46132</v>
      </c>
      <c r="H994" s="98">
        <v>0.4404976851851852</v>
      </c>
      <c r="I994" s="50">
        <v>166004637</v>
      </c>
      <c r="J994" s="96" t="s">
        <v>157</v>
      </c>
      <c r="K994" s="49" t="s">
        <v>770</v>
      </c>
      <c r="L994" s="39" t="s">
        <v>771</v>
      </c>
      <c r="M994" s="49" t="s">
        <v>232</v>
      </c>
      <c r="N994" s="39" t="s">
        <v>233</v>
      </c>
      <c r="O994" s="96" t="s">
        <v>1775</v>
      </c>
      <c r="P994" s="49" t="s">
        <v>235</v>
      </c>
      <c r="Q994" s="96" t="s">
        <v>236</v>
      </c>
      <c r="R994" s="52">
        <v>24.9</v>
      </c>
      <c r="S994" s="52">
        <f>R994-T994</f>
        <v>20.578512396694215</v>
      </c>
      <c r="T994" s="52">
        <f>R994*U994/(U994+100)</f>
        <v>4.321487603305785</v>
      </c>
      <c r="U994" s="50">
        <v>21</v>
      </c>
      <c r="V994" s="53">
        <v>0</v>
      </c>
      <c r="W994" s="147">
        <v>1</v>
      </c>
      <c r="X994" s="148" t="s">
        <v>163</v>
      </c>
      <c r="Y994" s="54">
        <f>R994*W994</f>
        <v>24.9</v>
      </c>
      <c r="Z994" s="52">
        <f>S994*W994</f>
        <v>20.578512396694215</v>
      </c>
      <c r="AA994" s="52">
        <f>T994*W994</f>
        <v>4.321487603305785</v>
      </c>
      <c r="AB994" s="52">
        <f>V994*W994</f>
        <v>0</v>
      </c>
      <c r="AC994" s="53">
        <f>(R994+V994)*W994</f>
        <v>24.9</v>
      </c>
      <c r="AD994" s="138">
        <v>24.9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107</v>
      </c>
      <c r="F995" s="96" t="s">
        <v>106</v>
      </c>
      <c r="G995" s="97">
        <v>46132</v>
      </c>
      <c r="H995" s="98">
        <v>0.4415046296296296</v>
      </c>
      <c r="I995" s="50">
        <v>166004638</v>
      </c>
      <c r="J995" s="96" t="s">
        <v>157</v>
      </c>
      <c r="K995" s="49" t="s">
        <v>1210</v>
      </c>
      <c r="L995" s="39" t="s">
        <v>1211</v>
      </c>
      <c r="M995" s="49" t="s">
        <v>429</v>
      </c>
      <c r="N995" s="39" t="s">
        <v>239</v>
      </c>
      <c r="O995" s="96" t="s">
        <v>1212</v>
      </c>
      <c r="P995" s="49" t="s">
        <v>157</v>
      </c>
      <c r="Q995" s="96" t="s">
        <v>104</v>
      </c>
      <c r="R995" s="52">
        <v>17.9</v>
      </c>
      <c r="S995" s="52">
        <f>R995-T995</f>
        <v>15.982142857142856</v>
      </c>
      <c r="T995" s="52">
        <f>R995*U995/(U995+100)</f>
        <v>1.9178571428571427</v>
      </c>
      <c r="U995" s="50">
        <v>12</v>
      </c>
      <c r="V995" s="53">
        <v>0</v>
      </c>
      <c r="W995" s="147">
        <v>1</v>
      </c>
      <c r="X995" s="148" t="s">
        <v>163</v>
      </c>
      <c r="Y995" s="54">
        <f>R995*W995</f>
        <v>17.9</v>
      </c>
      <c r="Z995" s="52">
        <f>S995*W995</f>
        <v>15.982142857142856</v>
      </c>
      <c r="AA995" s="52">
        <f>T995*W995</f>
        <v>1.9178571428571427</v>
      </c>
      <c r="AB995" s="52">
        <f>V995*W995</f>
        <v>0</v>
      </c>
      <c r="AC995" s="53">
        <f>(R995+V995)*W995</f>
        <v>17.9</v>
      </c>
      <c r="AD995" s="138">
        <v>17.9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107</v>
      </c>
      <c r="F996" s="96" t="s">
        <v>106</v>
      </c>
      <c r="G996" s="97">
        <v>46132</v>
      </c>
      <c r="H996" s="98">
        <v>0.4415046296296296</v>
      </c>
      <c r="I996" s="50">
        <v>166004638</v>
      </c>
      <c r="J996" s="96" t="s">
        <v>157</v>
      </c>
      <c r="K996" s="49" t="s">
        <v>1210</v>
      </c>
      <c r="L996" s="39" t="s">
        <v>1211</v>
      </c>
      <c r="M996" s="49" t="s">
        <v>429</v>
      </c>
      <c r="N996" s="39" t="s">
        <v>239</v>
      </c>
      <c r="O996" s="96" t="s">
        <v>1212</v>
      </c>
      <c r="P996" s="49" t="s">
        <v>157</v>
      </c>
      <c r="Q996" s="96" t="s">
        <v>104</v>
      </c>
      <c r="R996" s="52">
        <v>17.9</v>
      </c>
      <c r="S996" s="52">
        <f>R996-T996</f>
        <v>15.982142857142856</v>
      </c>
      <c r="T996" s="52">
        <f>R996*U996/(U996+100)</f>
        <v>1.9178571428571427</v>
      </c>
      <c r="U996" s="50">
        <v>12</v>
      </c>
      <c r="V996" s="53">
        <v>0</v>
      </c>
      <c r="W996" s="147">
        <v>1</v>
      </c>
      <c r="X996" s="148" t="s">
        <v>163</v>
      </c>
      <c r="Y996" s="54">
        <f>R996*W996</f>
        <v>17.9</v>
      </c>
      <c r="Z996" s="52">
        <f>S996*W996</f>
        <v>15.982142857142856</v>
      </c>
      <c r="AA996" s="52">
        <f>T996*W996</f>
        <v>1.9178571428571427</v>
      </c>
      <c r="AB996" s="52">
        <f>V996*W996</f>
        <v>0</v>
      </c>
      <c r="AC996" s="53">
        <f>(R996+V996)*W996</f>
        <v>17.9</v>
      </c>
      <c r="AD996" s="138">
        <v>17.9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107</v>
      </c>
      <c r="F997" s="96" t="s">
        <v>106</v>
      </c>
      <c r="G997" s="97">
        <v>46132</v>
      </c>
      <c r="H997" s="98">
        <v>0.4415046296296296</v>
      </c>
      <c r="I997" s="50">
        <v>166004638</v>
      </c>
      <c r="J997" s="96" t="s">
        <v>157</v>
      </c>
      <c r="K997" s="49" t="s">
        <v>2043</v>
      </c>
      <c r="L997" s="39" t="s">
        <v>2044</v>
      </c>
      <c r="M997" s="49" t="s">
        <v>568</v>
      </c>
      <c r="N997" s="39" t="s">
        <v>2045</v>
      </c>
      <c r="O997" s="96" t="s">
        <v>2046</v>
      </c>
      <c r="P997" s="49" t="s">
        <v>235</v>
      </c>
      <c r="Q997" s="96" t="s">
        <v>236</v>
      </c>
      <c r="R997" s="52">
        <v>14.9</v>
      </c>
      <c r="S997" s="52">
        <f>R997-T997</f>
        <v>13.303571428571429</v>
      </c>
      <c r="T997" s="52">
        <f>R997*U997/(U997+100)</f>
        <v>1.5964285714285715</v>
      </c>
      <c r="U997" s="50">
        <v>12</v>
      </c>
      <c r="V997" s="53">
        <v>0</v>
      </c>
      <c r="W997" s="147">
        <v>1</v>
      </c>
      <c r="X997" s="148" t="s">
        <v>163</v>
      </c>
      <c r="Y997" s="54">
        <f>R997*W997</f>
        <v>14.9</v>
      </c>
      <c r="Z997" s="52">
        <f>S997*W997</f>
        <v>13.303571428571429</v>
      </c>
      <c r="AA997" s="52">
        <f>T997*W997</f>
        <v>1.5964285714285715</v>
      </c>
      <c r="AB997" s="52">
        <f>V997*W997</f>
        <v>0</v>
      </c>
      <c r="AC997" s="53">
        <f>(R997+V997)*W997</f>
        <v>14.9</v>
      </c>
      <c r="AD997" s="138">
        <v>14.9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107</v>
      </c>
      <c r="F998" s="96" t="s">
        <v>106</v>
      </c>
      <c r="G998" s="97">
        <v>46132</v>
      </c>
      <c r="H998" s="98">
        <v>0.4415046296296296</v>
      </c>
      <c r="I998" s="50">
        <v>166004638</v>
      </c>
      <c r="J998" s="96" t="s">
        <v>157</v>
      </c>
      <c r="K998" s="49" t="s">
        <v>2047</v>
      </c>
      <c r="L998" s="39" t="s">
        <v>2048</v>
      </c>
      <c r="M998" s="49" t="s">
        <v>214</v>
      </c>
      <c r="N998" s="39" t="s">
        <v>2049</v>
      </c>
      <c r="O998" s="96" t="s">
        <v>2050</v>
      </c>
      <c r="P998" s="49" t="s">
        <v>157</v>
      </c>
      <c r="Q998" s="96" t="s">
        <v>104</v>
      </c>
      <c r="R998" s="52">
        <v>84.9</v>
      </c>
      <c r="S998" s="52">
        <f>R998-T998</f>
        <v>75.80357142857143</v>
      </c>
      <c r="T998" s="52">
        <f>R998*U998/(U998+100)</f>
        <v>9.096428571428572</v>
      </c>
      <c r="U998" s="50">
        <v>12</v>
      </c>
      <c r="V998" s="53">
        <v>0</v>
      </c>
      <c r="W998" s="147">
        <v>1</v>
      </c>
      <c r="X998" s="148" t="s">
        <v>163</v>
      </c>
      <c r="Y998" s="54">
        <f>R998*W998</f>
        <v>84.9</v>
      </c>
      <c r="Z998" s="52">
        <f>S998*W998</f>
        <v>75.80357142857143</v>
      </c>
      <c r="AA998" s="52">
        <f>T998*W998</f>
        <v>9.096428571428572</v>
      </c>
      <c r="AB998" s="52">
        <f>V998*W998</f>
        <v>0</v>
      </c>
      <c r="AC998" s="53">
        <f>(R998+V998)*W998</f>
        <v>84.9</v>
      </c>
      <c r="AD998" s="138">
        <v>84.9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107</v>
      </c>
      <c r="F999" s="96" t="s">
        <v>106</v>
      </c>
      <c r="G999" s="97">
        <v>46132</v>
      </c>
      <c r="H999" s="98">
        <v>0.4415046296296296</v>
      </c>
      <c r="I999" s="50">
        <v>166004638</v>
      </c>
      <c r="J999" s="96" t="s">
        <v>157</v>
      </c>
      <c r="K999" s="49" t="s">
        <v>507</v>
      </c>
      <c r="L999" s="39" t="s">
        <v>508</v>
      </c>
      <c r="M999" s="49" t="s">
        <v>509</v>
      </c>
      <c r="N999" s="39" t="s">
        <v>256</v>
      </c>
      <c r="O999" s="96" t="s">
        <v>1024</v>
      </c>
      <c r="P999" s="49" t="s">
        <v>235</v>
      </c>
      <c r="Q999" s="96" t="s">
        <v>236</v>
      </c>
      <c r="R999" s="52">
        <v>15.9</v>
      </c>
      <c r="S999" s="52">
        <f>R999-T999</f>
        <v>13.140495867768596</v>
      </c>
      <c r="T999" s="52">
        <f>R999*U999/(U999+100)</f>
        <v>2.759504132231405</v>
      </c>
      <c r="U999" s="50">
        <v>21</v>
      </c>
      <c r="V999" s="53">
        <v>0</v>
      </c>
      <c r="W999" s="147">
        <v>1</v>
      </c>
      <c r="X999" s="148" t="s">
        <v>163</v>
      </c>
      <c r="Y999" s="54">
        <f>R999*W999</f>
        <v>15.9</v>
      </c>
      <c r="Z999" s="52">
        <f>S999*W999</f>
        <v>13.140495867768596</v>
      </c>
      <c r="AA999" s="52">
        <f>T999*W999</f>
        <v>2.759504132231405</v>
      </c>
      <c r="AB999" s="52">
        <f>V999*W999</f>
        <v>0</v>
      </c>
      <c r="AC999" s="53">
        <f>(R999+V999)*W999</f>
        <v>15.9</v>
      </c>
      <c r="AD999" s="138">
        <v>15.9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107</v>
      </c>
      <c r="F1000" s="96" t="s">
        <v>106</v>
      </c>
      <c r="G1000" s="97">
        <v>46132</v>
      </c>
      <c r="H1000" s="98">
        <v>0.4415046296296296</v>
      </c>
      <c r="I1000" s="50">
        <v>166004638</v>
      </c>
      <c r="J1000" s="96" t="s">
        <v>157</v>
      </c>
      <c r="K1000" s="49" t="s">
        <v>507</v>
      </c>
      <c r="L1000" s="39" t="s">
        <v>508</v>
      </c>
      <c r="M1000" s="49" t="s">
        <v>509</v>
      </c>
      <c r="N1000" s="39" t="s">
        <v>256</v>
      </c>
      <c r="O1000" s="96" t="s">
        <v>1024</v>
      </c>
      <c r="P1000" s="49" t="s">
        <v>235</v>
      </c>
      <c r="Q1000" s="96" t="s">
        <v>236</v>
      </c>
      <c r="R1000" s="52">
        <v>15.9</v>
      </c>
      <c r="S1000" s="52">
        <f>R1000-T1000</f>
        <v>13.140495867768596</v>
      </c>
      <c r="T1000" s="52">
        <f>R1000*U1000/(U1000+100)</f>
        <v>2.759504132231405</v>
      </c>
      <c r="U1000" s="50">
        <v>21</v>
      </c>
      <c r="V1000" s="53">
        <v>0</v>
      </c>
      <c r="W1000" s="147">
        <v>1</v>
      </c>
      <c r="X1000" s="148" t="s">
        <v>163</v>
      </c>
      <c r="Y1000" s="54">
        <f>R1000*W1000</f>
        <v>15.9</v>
      </c>
      <c r="Z1000" s="52">
        <f>S1000*W1000</f>
        <v>13.140495867768596</v>
      </c>
      <c r="AA1000" s="52">
        <f>T1000*W1000</f>
        <v>2.759504132231405</v>
      </c>
      <c r="AB1000" s="52">
        <f>V1000*W1000</f>
        <v>0</v>
      </c>
      <c r="AC1000" s="53">
        <f>(R1000+V1000)*W1000</f>
        <v>15.9</v>
      </c>
      <c r="AD1000" s="138">
        <v>15.9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107</v>
      </c>
      <c r="F1001" s="96" t="s">
        <v>106</v>
      </c>
      <c r="G1001" s="97">
        <v>46132</v>
      </c>
      <c r="H1001" s="98">
        <v>0.4415046296296296</v>
      </c>
      <c r="I1001" s="50">
        <v>166004638</v>
      </c>
      <c r="J1001" s="96" t="s">
        <v>157</v>
      </c>
      <c r="K1001" s="49" t="s">
        <v>303</v>
      </c>
      <c r="L1001" s="39" t="s">
        <v>304</v>
      </c>
      <c r="M1001" s="49" t="s">
        <v>214</v>
      </c>
      <c r="N1001" s="39" t="s">
        <v>296</v>
      </c>
      <c r="O1001" s="96" t="s">
        <v>305</v>
      </c>
      <c r="P1001" s="49" t="s">
        <v>157</v>
      </c>
      <c r="Q1001" s="96" t="s">
        <v>104</v>
      </c>
      <c r="R1001" s="52">
        <v>11.9</v>
      </c>
      <c r="S1001" s="52">
        <f>R1001-T1001</f>
        <v>10.625</v>
      </c>
      <c r="T1001" s="52">
        <f>R1001*U1001/(U1001+100)</f>
        <v>1.2750000000000001</v>
      </c>
      <c r="U1001" s="50">
        <v>12</v>
      </c>
      <c r="V1001" s="53">
        <v>0</v>
      </c>
      <c r="W1001" s="147">
        <v>1</v>
      </c>
      <c r="X1001" s="148" t="s">
        <v>163</v>
      </c>
      <c r="Y1001" s="54">
        <f>R1001*W1001</f>
        <v>11.9</v>
      </c>
      <c r="Z1001" s="52">
        <f>S1001*W1001</f>
        <v>10.625</v>
      </c>
      <c r="AA1001" s="52">
        <f>T1001*W1001</f>
        <v>1.2750000000000001</v>
      </c>
      <c r="AB1001" s="52">
        <f>V1001*W1001</f>
        <v>0</v>
      </c>
      <c r="AC1001" s="53">
        <f>(R1001+V1001)*W1001</f>
        <v>11.9</v>
      </c>
      <c r="AD1001" s="138">
        <v>11.9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107</v>
      </c>
      <c r="F1002" s="96" t="s">
        <v>106</v>
      </c>
      <c r="G1002" s="97">
        <v>46132</v>
      </c>
      <c r="H1002" s="98">
        <v>0.4422800925925926</v>
      </c>
      <c r="I1002" s="50">
        <v>166004639</v>
      </c>
      <c r="J1002" s="96" t="s">
        <v>157</v>
      </c>
      <c r="K1002" s="49" t="s">
        <v>2051</v>
      </c>
      <c r="L1002" s="39" t="s">
        <v>2052</v>
      </c>
      <c r="M1002" s="49" t="s">
        <v>255</v>
      </c>
      <c r="N1002" s="39" t="s">
        <v>256</v>
      </c>
      <c r="O1002" s="96" t="s">
        <v>2053</v>
      </c>
      <c r="P1002" s="49" t="s">
        <v>157</v>
      </c>
      <c r="Q1002" s="96" t="s">
        <v>104</v>
      </c>
      <c r="R1002" s="52">
        <v>23.9</v>
      </c>
      <c r="S1002" s="52">
        <f>R1002-T1002</f>
        <v>19.752066115702476</v>
      </c>
      <c r="T1002" s="52">
        <f>R1002*U1002/(U1002+100)</f>
        <v>4.147933884297521</v>
      </c>
      <c r="U1002" s="50">
        <v>21</v>
      </c>
      <c r="V1002" s="53">
        <v>0</v>
      </c>
      <c r="W1002" s="147">
        <v>1</v>
      </c>
      <c r="X1002" s="148" t="s">
        <v>163</v>
      </c>
      <c r="Y1002" s="54">
        <f>R1002*W1002</f>
        <v>23.9</v>
      </c>
      <c r="Z1002" s="52">
        <f>S1002*W1002</f>
        <v>19.752066115702476</v>
      </c>
      <c r="AA1002" s="52">
        <f>T1002*W1002</f>
        <v>4.147933884297521</v>
      </c>
      <c r="AB1002" s="52">
        <f>V1002*W1002</f>
        <v>0</v>
      </c>
      <c r="AC1002" s="53">
        <f>(R1002+V1002)*W1002</f>
        <v>23.9</v>
      </c>
      <c r="AD1002" s="138">
        <v>23.9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107</v>
      </c>
      <c r="F1003" s="96" t="s">
        <v>106</v>
      </c>
      <c r="G1003" s="97">
        <v>46132</v>
      </c>
      <c r="H1003" s="98">
        <v>0.4422800925925926</v>
      </c>
      <c r="I1003" s="50">
        <v>166004639</v>
      </c>
      <c r="J1003" s="96" t="s">
        <v>157</v>
      </c>
      <c r="K1003" s="49" t="s">
        <v>651</v>
      </c>
      <c r="L1003" s="39" t="s">
        <v>652</v>
      </c>
      <c r="M1003" s="49" t="s">
        <v>185</v>
      </c>
      <c r="N1003" s="39" t="s">
        <v>653</v>
      </c>
      <c r="O1003" s="96" t="s">
        <v>2054</v>
      </c>
      <c r="P1003" s="49" t="s">
        <v>157</v>
      </c>
      <c r="Q1003" s="96" t="s">
        <v>104</v>
      </c>
      <c r="R1003" s="52">
        <v>69.9</v>
      </c>
      <c r="S1003" s="52">
        <f>R1003-T1003</f>
        <v>57.76859504132232</v>
      </c>
      <c r="T1003" s="52">
        <f>R1003*U1003/(U1003+100)</f>
        <v>12.131404958677686</v>
      </c>
      <c r="U1003" s="50">
        <v>21</v>
      </c>
      <c r="V1003" s="53">
        <v>0</v>
      </c>
      <c r="W1003" s="147">
        <v>1</v>
      </c>
      <c r="X1003" s="148" t="s">
        <v>163</v>
      </c>
      <c r="Y1003" s="54">
        <f>R1003*W1003</f>
        <v>69.9</v>
      </c>
      <c r="Z1003" s="52">
        <f>S1003*W1003</f>
        <v>57.76859504132232</v>
      </c>
      <c r="AA1003" s="52">
        <f>T1003*W1003</f>
        <v>12.131404958677686</v>
      </c>
      <c r="AB1003" s="52">
        <f>V1003*W1003</f>
        <v>0</v>
      </c>
      <c r="AC1003" s="53">
        <f>(R1003+V1003)*W1003</f>
        <v>69.9</v>
      </c>
      <c r="AD1003" s="138">
        <v>69.9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107</v>
      </c>
      <c r="F1004" s="96" t="s">
        <v>106</v>
      </c>
      <c r="G1004" s="97">
        <v>46132</v>
      </c>
      <c r="H1004" s="98">
        <v>0.4428935185185185</v>
      </c>
      <c r="I1004" s="50">
        <v>166004640</v>
      </c>
      <c r="J1004" s="96" t="s">
        <v>157</v>
      </c>
      <c r="K1004" s="49" t="s">
        <v>1555</v>
      </c>
      <c r="L1004" s="39" t="s">
        <v>1556</v>
      </c>
      <c r="M1004" s="49" t="s">
        <v>425</v>
      </c>
      <c r="N1004" s="39" t="s">
        <v>197</v>
      </c>
      <c r="O1004" s="96" t="s">
        <v>1557</v>
      </c>
      <c r="P1004" s="49" t="s">
        <v>235</v>
      </c>
      <c r="Q1004" s="96" t="s">
        <v>236</v>
      </c>
      <c r="R1004" s="52">
        <v>5.9</v>
      </c>
      <c r="S1004" s="52">
        <f>R1004-T1004</f>
        <v>5.267857142857143</v>
      </c>
      <c r="T1004" s="52">
        <f>R1004*U1004/(U1004+100)</f>
        <v>0.6321428571428572</v>
      </c>
      <c r="U1004" s="50">
        <v>12</v>
      </c>
      <c r="V1004" s="53">
        <v>0</v>
      </c>
      <c r="W1004" s="147">
        <v>1</v>
      </c>
      <c r="X1004" s="148" t="s">
        <v>163</v>
      </c>
      <c r="Y1004" s="54">
        <f>R1004*W1004</f>
        <v>5.9</v>
      </c>
      <c r="Z1004" s="52">
        <f>S1004*W1004</f>
        <v>5.267857142857143</v>
      </c>
      <c r="AA1004" s="52">
        <f>T1004*W1004</f>
        <v>0.6321428571428572</v>
      </c>
      <c r="AB1004" s="52">
        <f>V1004*W1004</f>
        <v>0</v>
      </c>
      <c r="AC1004" s="53">
        <f>(R1004+V1004)*W1004</f>
        <v>5.9</v>
      </c>
      <c r="AD1004" s="138">
        <v>5.9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107</v>
      </c>
      <c r="F1005" s="96" t="s">
        <v>106</v>
      </c>
      <c r="G1005" s="97">
        <v>46132</v>
      </c>
      <c r="H1005" s="98">
        <v>0.4428935185185185</v>
      </c>
      <c r="I1005" s="50">
        <v>166004640</v>
      </c>
      <c r="J1005" s="96" t="s">
        <v>157</v>
      </c>
      <c r="K1005" s="49" t="s">
        <v>1555</v>
      </c>
      <c r="L1005" s="39" t="s">
        <v>1556</v>
      </c>
      <c r="M1005" s="49" t="s">
        <v>425</v>
      </c>
      <c r="N1005" s="39" t="s">
        <v>197</v>
      </c>
      <c r="O1005" s="96" t="s">
        <v>1557</v>
      </c>
      <c r="P1005" s="49" t="s">
        <v>235</v>
      </c>
      <c r="Q1005" s="96" t="s">
        <v>236</v>
      </c>
      <c r="R1005" s="52">
        <v>5.9</v>
      </c>
      <c r="S1005" s="52">
        <f>R1005-T1005</f>
        <v>5.267857142857143</v>
      </c>
      <c r="T1005" s="52">
        <f>R1005*U1005/(U1005+100)</f>
        <v>0.6321428571428572</v>
      </c>
      <c r="U1005" s="50">
        <v>12</v>
      </c>
      <c r="V1005" s="53">
        <v>0</v>
      </c>
      <c r="W1005" s="147">
        <v>1</v>
      </c>
      <c r="X1005" s="148" t="s">
        <v>163</v>
      </c>
      <c r="Y1005" s="54">
        <f>R1005*W1005</f>
        <v>5.9</v>
      </c>
      <c r="Z1005" s="52">
        <f>S1005*W1005</f>
        <v>5.267857142857143</v>
      </c>
      <c r="AA1005" s="52">
        <f>T1005*W1005</f>
        <v>0.6321428571428572</v>
      </c>
      <c r="AB1005" s="52">
        <f>V1005*W1005</f>
        <v>0</v>
      </c>
      <c r="AC1005" s="53">
        <f>(R1005+V1005)*W1005</f>
        <v>5.9</v>
      </c>
      <c r="AD1005" s="138">
        <v>5.9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107</v>
      </c>
      <c r="F1006" s="96" t="s">
        <v>106</v>
      </c>
      <c r="G1006" s="97">
        <v>46132</v>
      </c>
      <c r="H1006" s="98">
        <v>0.4428935185185185</v>
      </c>
      <c r="I1006" s="50">
        <v>166004640</v>
      </c>
      <c r="J1006" s="96" t="s">
        <v>157</v>
      </c>
      <c r="K1006" s="49" t="s">
        <v>1555</v>
      </c>
      <c r="L1006" s="39" t="s">
        <v>1556</v>
      </c>
      <c r="M1006" s="49" t="s">
        <v>425</v>
      </c>
      <c r="N1006" s="39" t="s">
        <v>197</v>
      </c>
      <c r="O1006" s="96" t="s">
        <v>1557</v>
      </c>
      <c r="P1006" s="49" t="s">
        <v>235</v>
      </c>
      <c r="Q1006" s="96" t="s">
        <v>236</v>
      </c>
      <c r="R1006" s="52">
        <v>5.9</v>
      </c>
      <c r="S1006" s="52">
        <f>R1006-T1006</f>
        <v>5.267857142857143</v>
      </c>
      <c r="T1006" s="52">
        <f>R1006*U1006/(U1006+100)</f>
        <v>0.6321428571428572</v>
      </c>
      <c r="U1006" s="50">
        <v>12</v>
      </c>
      <c r="V1006" s="53">
        <v>0</v>
      </c>
      <c r="W1006" s="147">
        <v>1</v>
      </c>
      <c r="X1006" s="148" t="s">
        <v>163</v>
      </c>
      <c r="Y1006" s="54">
        <f>R1006*W1006</f>
        <v>5.9</v>
      </c>
      <c r="Z1006" s="52">
        <f>S1006*W1006</f>
        <v>5.267857142857143</v>
      </c>
      <c r="AA1006" s="52">
        <f>T1006*W1006</f>
        <v>0.6321428571428572</v>
      </c>
      <c r="AB1006" s="52">
        <f>V1006*W1006</f>
        <v>0</v>
      </c>
      <c r="AC1006" s="53">
        <f>(R1006+V1006)*W1006</f>
        <v>5.9</v>
      </c>
      <c r="AD1006" s="138">
        <v>5.9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107</v>
      </c>
      <c r="F1007" s="96" t="s">
        <v>106</v>
      </c>
      <c r="G1007" s="97">
        <v>46132</v>
      </c>
      <c r="H1007" s="98">
        <v>0.4428935185185185</v>
      </c>
      <c r="I1007" s="50">
        <v>166004640</v>
      </c>
      <c r="J1007" s="96" t="s">
        <v>157</v>
      </c>
      <c r="K1007" s="49" t="s">
        <v>1681</v>
      </c>
      <c r="L1007" s="39" t="s">
        <v>1682</v>
      </c>
      <c r="M1007" s="49" t="s">
        <v>425</v>
      </c>
      <c r="N1007" s="39" t="s">
        <v>197</v>
      </c>
      <c r="O1007" s="96" t="s">
        <v>1683</v>
      </c>
      <c r="P1007" s="49" t="s">
        <v>235</v>
      </c>
      <c r="Q1007" s="96" t="s">
        <v>236</v>
      </c>
      <c r="R1007" s="52">
        <v>5.9</v>
      </c>
      <c r="S1007" s="52">
        <f>R1007-T1007</f>
        <v>5.267857142857143</v>
      </c>
      <c r="T1007" s="52">
        <f>R1007*U1007/(U1007+100)</f>
        <v>0.6321428571428572</v>
      </c>
      <c r="U1007" s="50">
        <v>12</v>
      </c>
      <c r="V1007" s="53">
        <v>0</v>
      </c>
      <c r="W1007" s="147">
        <v>1</v>
      </c>
      <c r="X1007" s="148" t="s">
        <v>163</v>
      </c>
      <c r="Y1007" s="54">
        <f>R1007*W1007</f>
        <v>5.9</v>
      </c>
      <c r="Z1007" s="52">
        <f>S1007*W1007</f>
        <v>5.267857142857143</v>
      </c>
      <c r="AA1007" s="52">
        <f>T1007*W1007</f>
        <v>0.6321428571428572</v>
      </c>
      <c r="AB1007" s="52">
        <f>V1007*W1007</f>
        <v>0</v>
      </c>
      <c r="AC1007" s="53">
        <f>(R1007+V1007)*W1007</f>
        <v>5.9</v>
      </c>
      <c r="AD1007" s="138">
        <v>5.9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107</v>
      </c>
      <c r="F1008" s="96" t="s">
        <v>106</v>
      </c>
      <c r="G1008" s="97">
        <v>46132</v>
      </c>
      <c r="H1008" s="98">
        <v>0.4428935185185185</v>
      </c>
      <c r="I1008" s="50">
        <v>166004640</v>
      </c>
      <c r="J1008" s="96" t="s">
        <v>157</v>
      </c>
      <c r="K1008" s="49" t="s">
        <v>1681</v>
      </c>
      <c r="L1008" s="39" t="s">
        <v>1682</v>
      </c>
      <c r="M1008" s="49" t="s">
        <v>425</v>
      </c>
      <c r="N1008" s="39" t="s">
        <v>197</v>
      </c>
      <c r="O1008" s="96" t="s">
        <v>1683</v>
      </c>
      <c r="P1008" s="49" t="s">
        <v>235</v>
      </c>
      <c r="Q1008" s="96" t="s">
        <v>236</v>
      </c>
      <c r="R1008" s="52">
        <v>5.9</v>
      </c>
      <c r="S1008" s="52">
        <f>R1008-T1008</f>
        <v>5.267857142857143</v>
      </c>
      <c r="T1008" s="52">
        <f>R1008*U1008/(U1008+100)</f>
        <v>0.6321428571428572</v>
      </c>
      <c r="U1008" s="50">
        <v>12</v>
      </c>
      <c r="V1008" s="53">
        <v>0</v>
      </c>
      <c r="W1008" s="147">
        <v>1</v>
      </c>
      <c r="X1008" s="148" t="s">
        <v>163</v>
      </c>
      <c r="Y1008" s="54">
        <f>R1008*W1008</f>
        <v>5.9</v>
      </c>
      <c r="Z1008" s="52">
        <f>S1008*W1008</f>
        <v>5.267857142857143</v>
      </c>
      <c r="AA1008" s="52">
        <f>T1008*W1008</f>
        <v>0.6321428571428572</v>
      </c>
      <c r="AB1008" s="52">
        <f>V1008*W1008</f>
        <v>0</v>
      </c>
      <c r="AC1008" s="53">
        <f>(R1008+V1008)*W1008</f>
        <v>5.9</v>
      </c>
      <c r="AD1008" s="138">
        <v>5.9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107</v>
      </c>
      <c r="F1009" s="96" t="s">
        <v>106</v>
      </c>
      <c r="G1009" s="97">
        <v>46132</v>
      </c>
      <c r="H1009" s="98">
        <v>0.4428935185185185</v>
      </c>
      <c r="I1009" s="50">
        <v>166004640</v>
      </c>
      <c r="J1009" s="96" t="s">
        <v>157</v>
      </c>
      <c r="K1009" s="49" t="s">
        <v>1681</v>
      </c>
      <c r="L1009" s="39" t="s">
        <v>1682</v>
      </c>
      <c r="M1009" s="49" t="s">
        <v>425</v>
      </c>
      <c r="N1009" s="39" t="s">
        <v>197</v>
      </c>
      <c r="O1009" s="96" t="s">
        <v>1683</v>
      </c>
      <c r="P1009" s="49" t="s">
        <v>235</v>
      </c>
      <c r="Q1009" s="96" t="s">
        <v>236</v>
      </c>
      <c r="R1009" s="52">
        <v>5.9</v>
      </c>
      <c r="S1009" s="52">
        <f>R1009-T1009</f>
        <v>5.267857142857143</v>
      </c>
      <c r="T1009" s="52">
        <f>R1009*U1009/(U1009+100)</f>
        <v>0.6321428571428572</v>
      </c>
      <c r="U1009" s="50">
        <v>12</v>
      </c>
      <c r="V1009" s="53">
        <v>0</v>
      </c>
      <c r="W1009" s="147">
        <v>1</v>
      </c>
      <c r="X1009" s="148" t="s">
        <v>163</v>
      </c>
      <c r="Y1009" s="54">
        <f>R1009*W1009</f>
        <v>5.9</v>
      </c>
      <c r="Z1009" s="52">
        <f>S1009*W1009</f>
        <v>5.267857142857143</v>
      </c>
      <c r="AA1009" s="52">
        <f>T1009*W1009</f>
        <v>0.6321428571428572</v>
      </c>
      <c r="AB1009" s="52">
        <f>V1009*W1009</f>
        <v>0</v>
      </c>
      <c r="AC1009" s="53">
        <f>(R1009+V1009)*W1009</f>
        <v>5.9</v>
      </c>
      <c r="AD1009" s="138">
        <v>5.9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107</v>
      </c>
      <c r="F1010" s="96" t="s">
        <v>106</v>
      </c>
      <c r="G1010" s="97">
        <v>46132</v>
      </c>
      <c r="H1010" s="98">
        <v>0.4428935185185185</v>
      </c>
      <c r="I1010" s="50">
        <v>166004640</v>
      </c>
      <c r="J1010" s="96" t="s">
        <v>157</v>
      </c>
      <c r="K1010" s="49" t="s">
        <v>1968</v>
      </c>
      <c r="L1010" s="39" t="s">
        <v>1969</v>
      </c>
      <c r="M1010" s="49" t="s">
        <v>425</v>
      </c>
      <c r="N1010" s="39" t="s">
        <v>197</v>
      </c>
      <c r="O1010" s="96" t="s">
        <v>1970</v>
      </c>
      <c r="P1010" s="49" t="s">
        <v>235</v>
      </c>
      <c r="Q1010" s="96" t="s">
        <v>236</v>
      </c>
      <c r="R1010" s="52">
        <v>5.9</v>
      </c>
      <c r="S1010" s="52">
        <f>R1010-T1010</f>
        <v>5.267857142857143</v>
      </c>
      <c r="T1010" s="52">
        <f>R1010*U1010/(U1010+100)</f>
        <v>0.6321428571428572</v>
      </c>
      <c r="U1010" s="50">
        <v>12</v>
      </c>
      <c r="V1010" s="53">
        <v>0</v>
      </c>
      <c r="W1010" s="147">
        <v>1</v>
      </c>
      <c r="X1010" s="148" t="s">
        <v>163</v>
      </c>
      <c r="Y1010" s="54">
        <f>R1010*W1010</f>
        <v>5.9</v>
      </c>
      <c r="Z1010" s="52">
        <f>S1010*W1010</f>
        <v>5.267857142857143</v>
      </c>
      <c r="AA1010" s="52">
        <f>T1010*W1010</f>
        <v>0.6321428571428572</v>
      </c>
      <c r="AB1010" s="52">
        <f>V1010*W1010</f>
        <v>0</v>
      </c>
      <c r="AC1010" s="53">
        <f>(R1010+V1010)*W1010</f>
        <v>5.9</v>
      </c>
      <c r="AD1010" s="138">
        <v>5.9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107</v>
      </c>
      <c r="F1011" s="96" t="s">
        <v>106</v>
      </c>
      <c r="G1011" s="97">
        <v>46132</v>
      </c>
      <c r="H1011" s="98">
        <v>0.4428935185185185</v>
      </c>
      <c r="I1011" s="50">
        <v>166004640</v>
      </c>
      <c r="J1011" s="96" t="s">
        <v>157</v>
      </c>
      <c r="K1011" s="49" t="s">
        <v>1968</v>
      </c>
      <c r="L1011" s="39" t="s">
        <v>1969</v>
      </c>
      <c r="M1011" s="49" t="s">
        <v>425</v>
      </c>
      <c r="N1011" s="39" t="s">
        <v>197</v>
      </c>
      <c r="O1011" s="96" t="s">
        <v>1970</v>
      </c>
      <c r="P1011" s="49" t="s">
        <v>235</v>
      </c>
      <c r="Q1011" s="96" t="s">
        <v>236</v>
      </c>
      <c r="R1011" s="52">
        <v>5.9</v>
      </c>
      <c r="S1011" s="52">
        <f>R1011-T1011</f>
        <v>5.267857142857143</v>
      </c>
      <c r="T1011" s="52">
        <f>R1011*U1011/(U1011+100)</f>
        <v>0.6321428571428572</v>
      </c>
      <c r="U1011" s="50">
        <v>12</v>
      </c>
      <c r="V1011" s="53">
        <v>0</v>
      </c>
      <c r="W1011" s="147">
        <v>1</v>
      </c>
      <c r="X1011" s="148" t="s">
        <v>163</v>
      </c>
      <c r="Y1011" s="54">
        <f>R1011*W1011</f>
        <v>5.9</v>
      </c>
      <c r="Z1011" s="52">
        <f>S1011*W1011</f>
        <v>5.267857142857143</v>
      </c>
      <c r="AA1011" s="52">
        <f>T1011*W1011</f>
        <v>0.6321428571428572</v>
      </c>
      <c r="AB1011" s="52">
        <f>V1011*W1011</f>
        <v>0</v>
      </c>
      <c r="AC1011" s="53">
        <f>(R1011+V1011)*W1011</f>
        <v>5.9</v>
      </c>
      <c r="AD1011" s="138">
        <v>5.9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107</v>
      </c>
      <c r="F1012" s="96" t="s">
        <v>106</v>
      </c>
      <c r="G1012" s="97">
        <v>46132</v>
      </c>
      <c r="H1012" s="98">
        <v>0.4428935185185185</v>
      </c>
      <c r="I1012" s="50">
        <v>166004640</v>
      </c>
      <c r="J1012" s="96" t="s">
        <v>157</v>
      </c>
      <c r="K1012" s="49" t="s">
        <v>1968</v>
      </c>
      <c r="L1012" s="39" t="s">
        <v>1969</v>
      </c>
      <c r="M1012" s="49" t="s">
        <v>425</v>
      </c>
      <c r="N1012" s="39" t="s">
        <v>197</v>
      </c>
      <c r="O1012" s="96" t="s">
        <v>1970</v>
      </c>
      <c r="P1012" s="49" t="s">
        <v>235</v>
      </c>
      <c r="Q1012" s="96" t="s">
        <v>236</v>
      </c>
      <c r="R1012" s="52">
        <v>5.9</v>
      </c>
      <c r="S1012" s="52">
        <f>R1012-T1012</f>
        <v>5.267857142857143</v>
      </c>
      <c r="T1012" s="52">
        <f>R1012*U1012/(U1012+100)</f>
        <v>0.6321428571428572</v>
      </c>
      <c r="U1012" s="50">
        <v>12</v>
      </c>
      <c r="V1012" s="53">
        <v>0</v>
      </c>
      <c r="W1012" s="147">
        <v>1</v>
      </c>
      <c r="X1012" s="148" t="s">
        <v>163</v>
      </c>
      <c r="Y1012" s="54">
        <f>R1012*W1012</f>
        <v>5.9</v>
      </c>
      <c r="Z1012" s="52">
        <f>S1012*W1012</f>
        <v>5.267857142857143</v>
      </c>
      <c r="AA1012" s="52">
        <f>T1012*W1012</f>
        <v>0.6321428571428572</v>
      </c>
      <c r="AB1012" s="52">
        <f>V1012*W1012</f>
        <v>0</v>
      </c>
      <c r="AC1012" s="53">
        <f>(R1012+V1012)*W1012</f>
        <v>5.9</v>
      </c>
      <c r="AD1012" s="138">
        <v>5.9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107</v>
      </c>
      <c r="F1013" s="96" t="s">
        <v>106</v>
      </c>
      <c r="G1013" s="97">
        <v>46132</v>
      </c>
      <c r="H1013" s="98">
        <v>0.4428935185185185</v>
      </c>
      <c r="I1013" s="50">
        <v>166004640</v>
      </c>
      <c r="J1013" s="96" t="s">
        <v>157</v>
      </c>
      <c r="K1013" s="49" t="s">
        <v>2055</v>
      </c>
      <c r="L1013" s="39" t="s">
        <v>2056</v>
      </c>
      <c r="M1013" s="49" t="s">
        <v>1466</v>
      </c>
      <c r="N1013" s="39" t="s">
        <v>1467</v>
      </c>
      <c r="O1013" s="96" t="s">
        <v>2057</v>
      </c>
      <c r="P1013" s="49" t="s">
        <v>157</v>
      </c>
      <c r="Q1013" s="96" t="s">
        <v>104</v>
      </c>
      <c r="R1013" s="52">
        <v>13.9</v>
      </c>
      <c r="S1013" s="52">
        <f>R1013-T1013</f>
        <v>12.410714285714286</v>
      </c>
      <c r="T1013" s="52">
        <f>R1013*U1013/(U1013+100)</f>
        <v>1.4892857142857143</v>
      </c>
      <c r="U1013" s="50">
        <v>12</v>
      </c>
      <c r="V1013" s="53">
        <v>0</v>
      </c>
      <c r="W1013" s="147">
        <v>1</v>
      </c>
      <c r="X1013" s="148" t="s">
        <v>163</v>
      </c>
      <c r="Y1013" s="54">
        <f>R1013*W1013</f>
        <v>13.9</v>
      </c>
      <c r="Z1013" s="52">
        <f>S1013*W1013</f>
        <v>12.410714285714286</v>
      </c>
      <c r="AA1013" s="52">
        <f>T1013*W1013</f>
        <v>1.4892857142857143</v>
      </c>
      <c r="AB1013" s="52">
        <f>V1013*W1013</f>
        <v>0</v>
      </c>
      <c r="AC1013" s="53">
        <f>(R1013+V1013)*W1013</f>
        <v>13.9</v>
      </c>
      <c r="AD1013" s="138">
        <v>13.9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107</v>
      </c>
      <c r="F1014" s="96" t="s">
        <v>106</v>
      </c>
      <c r="G1014" s="97">
        <v>46132</v>
      </c>
      <c r="H1014" s="98">
        <v>0.4428935185185185</v>
      </c>
      <c r="I1014" s="50">
        <v>166004640</v>
      </c>
      <c r="J1014" s="96" t="s">
        <v>157</v>
      </c>
      <c r="K1014" s="49" t="s">
        <v>2055</v>
      </c>
      <c r="L1014" s="39" t="s">
        <v>2056</v>
      </c>
      <c r="M1014" s="49" t="s">
        <v>1466</v>
      </c>
      <c r="N1014" s="39" t="s">
        <v>1467</v>
      </c>
      <c r="O1014" s="96" t="s">
        <v>2057</v>
      </c>
      <c r="P1014" s="49" t="s">
        <v>157</v>
      </c>
      <c r="Q1014" s="96" t="s">
        <v>104</v>
      </c>
      <c r="R1014" s="52">
        <v>13.9</v>
      </c>
      <c r="S1014" s="52">
        <f>R1014-T1014</f>
        <v>12.410714285714286</v>
      </c>
      <c r="T1014" s="52">
        <f>R1014*U1014/(U1014+100)</f>
        <v>1.4892857142857143</v>
      </c>
      <c r="U1014" s="50">
        <v>12</v>
      </c>
      <c r="V1014" s="53">
        <v>0</v>
      </c>
      <c r="W1014" s="147">
        <v>1</v>
      </c>
      <c r="X1014" s="148" t="s">
        <v>163</v>
      </c>
      <c r="Y1014" s="54">
        <f>R1014*W1014</f>
        <v>13.9</v>
      </c>
      <c r="Z1014" s="52">
        <f>S1014*W1014</f>
        <v>12.410714285714286</v>
      </c>
      <c r="AA1014" s="52">
        <f>T1014*W1014</f>
        <v>1.4892857142857143</v>
      </c>
      <c r="AB1014" s="52">
        <f>V1014*W1014</f>
        <v>0</v>
      </c>
      <c r="AC1014" s="53">
        <f>(R1014+V1014)*W1014</f>
        <v>13.9</v>
      </c>
      <c r="AD1014" s="138">
        <v>13.9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107</v>
      </c>
      <c r="F1015" s="96" t="s">
        <v>106</v>
      </c>
      <c r="G1015" s="97">
        <v>46132</v>
      </c>
      <c r="H1015" s="98">
        <v>0.4428935185185185</v>
      </c>
      <c r="I1015" s="50">
        <v>166004640</v>
      </c>
      <c r="J1015" s="96" t="s">
        <v>157</v>
      </c>
      <c r="K1015" s="49" t="s">
        <v>2055</v>
      </c>
      <c r="L1015" s="39" t="s">
        <v>2056</v>
      </c>
      <c r="M1015" s="49" t="s">
        <v>1466</v>
      </c>
      <c r="N1015" s="39" t="s">
        <v>1467</v>
      </c>
      <c r="O1015" s="96" t="s">
        <v>2057</v>
      </c>
      <c r="P1015" s="49" t="s">
        <v>157</v>
      </c>
      <c r="Q1015" s="96" t="s">
        <v>104</v>
      </c>
      <c r="R1015" s="52">
        <v>13.9</v>
      </c>
      <c r="S1015" s="52">
        <f>R1015-T1015</f>
        <v>12.410714285714286</v>
      </c>
      <c r="T1015" s="52">
        <f>R1015*U1015/(U1015+100)</f>
        <v>1.4892857142857143</v>
      </c>
      <c r="U1015" s="50">
        <v>12</v>
      </c>
      <c r="V1015" s="53">
        <v>0</v>
      </c>
      <c r="W1015" s="147">
        <v>1</v>
      </c>
      <c r="X1015" s="148" t="s">
        <v>163</v>
      </c>
      <c r="Y1015" s="54">
        <f>R1015*W1015</f>
        <v>13.9</v>
      </c>
      <c r="Z1015" s="52">
        <f>S1015*W1015</f>
        <v>12.410714285714286</v>
      </c>
      <c r="AA1015" s="52">
        <f>T1015*W1015</f>
        <v>1.4892857142857143</v>
      </c>
      <c r="AB1015" s="52">
        <f>V1015*W1015</f>
        <v>0</v>
      </c>
      <c r="AC1015" s="53">
        <f>(R1015+V1015)*W1015</f>
        <v>13.9</v>
      </c>
      <c r="AD1015" s="138">
        <v>13.9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107</v>
      </c>
      <c r="F1016" s="96" t="s">
        <v>106</v>
      </c>
      <c r="G1016" s="97">
        <v>46132</v>
      </c>
      <c r="H1016" s="98">
        <v>0.4428935185185185</v>
      </c>
      <c r="I1016" s="50">
        <v>166004640</v>
      </c>
      <c r="J1016" s="96" t="s">
        <v>157</v>
      </c>
      <c r="K1016" s="49" t="s">
        <v>2055</v>
      </c>
      <c r="L1016" s="39" t="s">
        <v>2056</v>
      </c>
      <c r="M1016" s="49" t="s">
        <v>1466</v>
      </c>
      <c r="N1016" s="39" t="s">
        <v>1467</v>
      </c>
      <c r="O1016" s="96" t="s">
        <v>2057</v>
      </c>
      <c r="P1016" s="49" t="s">
        <v>157</v>
      </c>
      <c r="Q1016" s="96" t="s">
        <v>104</v>
      </c>
      <c r="R1016" s="52">
        <v>13.9</v>
      </c>
      <c r="S1016" s="52">
        <f>R1016-T1016</f>
        <v>12.410714285714286</v>
      </c>
      <c r="T1016" s="52">
        <f>R1016*U1016/(U1016+100)</f>
        <v>1.4892857142857143</v>
      </c>
      <c r="U1016" s="50">
        <v>12</v>
      </c>
      <c r="V1016" s="53">
        <v>0</v>
      </c>
      <c r="W1016" s="147">
        <v>1</v>
      </c>
      <c r="X1016" s="148" t="s">
        <v>163</v>
      </c>
      <c r="Y1016" s="54">
        <f>R1016*W1016</f>
        <v>13.9</v>
      </c>
      <c r="Z1016" s="52">
        <f>S1016*W1016</f>
        <v>12.410714285714286</v>
      </c>
      <c r="AA1016" s="52">
        <f>T1016*W1016</f>
        <v>1.4892857142857143</v>
      </c>
      <c r="AB1016" s="52">
        <f>V1016*W1016</f>
        <v>0</v>
      </c>
      <c r="AC1016" s="53">
        <f>(R1016+V1016)*W1016</f>
        <v>13.9</v>
      </c>
      <c r="AD1016" s="138">
        <v>13.9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107</v>
      </c>
      <c r="F1017" s="96" t="s">
        <v>106</v>
      </c>
      <c r="G1017" s="97">
        <v>46132</v>
      </c>
      <c r="H1017" s="98">
        <v>0.4428935185185185</v>
      </c>
      <c r="I1017" s="50">
        <v>166004640</v>
      </c>
      <c r="J1017" s="96" t="s">
        <v>157</v>
      </c>
      <c r="K1017" s="49" t="s">
        <v>1438</v>
      </c>
      <c r="L1017" s="39" t="s">
        <v>104</v>
      </c>
      <c r="M1017" s="49" t="s">
        <v>214</v>
      </c>
      <c r="N1017" s="39" t="s">
        <v>756</v>
      </c>
      <c r="O1017" s="96" t="s">
        <v>1439</v>
      </c>
      <c r="P1017" s="49" t="s">
        <v>157</v>
      </c>
      <c r="Q1017" s="96" t="s">
        <v>104</v>
      </c>
      <c r="R1017" s="52">
        <v>23.9</v>
      </c>
      <c r="S1017" s="52">
        <f>R1017-T1017</f>
        <v>21.33928571428571</v>
      </c>
      <c r="T1017" s="52">
        <f>R1017*U1017/(U1017+100)</f>
        <v>2.5607142857142855</v>
      </c>
      <c r="U1017" s="50">
        <v>12</v>
      </c>
      <c r="V1017" s="53">
        <v>0</v>
      </c>
      <c r="W1017" s="147">
        <v>1</v>
      </c>
      <c r="X1017" s="148" t="s">
        <v>163</v>
      </c>
      <c r="Y1017" s="54">
        <f>R1017*W1017</f>
        <v>23.9</v>
      </c>
      <c r="Z1017" s="52">
        <f>S1017*W1017</f>
        <v>21.33928571428571</v>
      </c>
      <c r="AA1017" s="52">
        <f>T1017*W1017</f>
        <v>2.5607142857142855</v>
      </c>
      <c r="AB1017" s="52">
        <f>V1017*W1017</f>
        <v>0</v>
      </c>
      <c r="AC1017" s="53">
        <f>(R1017+V1017)*W1017</f>
        <v>23.9</v>
      </c>
      <c r="AD1017" s="138">
        <v>23.9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107</v>
      </c>
      <c r="F1018" s="96" t="s">
        <v>106</v>
      </c>
      <c r="G1018" s="97">
        <v>46132</v>
      </c>
      <c r="H1018" s="98">
        <v>0.4428935185185185</v>
      </c>
      <c r="I1018" s="50">
        <v>166004640</v>
      </c>
      <c r="J1018" s="96" t="s">
        <v>157</v>
      </c>
      <c r="K1018" s="49" t="s">
        <v>183</v>
      </c>
      <c r="L1018" s="39" t="s">
        <v>184</v>
      </c>
      <c r="M1018" s="49" t="s">
        <v>185</v>
      </c>
      <c r="N1018" s="39" t="s">
        <v>186</v>
      </c>
      <c r="O1018" s="96" t="s">
        <v>988</v>
      </c>
      <c r="P1018" s="49" t="s">
        <v>157</v>
      </c>
      <c r="Q1018" s="96" t="s">
        <v>104</v>
      </c>
      <c r="R1018" s="52">
        <v>1.9</v>
      </c>
      <c r="S1018" s="52">
        <f>R1018-T1018</f>
        <v>1.5702479338842974</v>
      </c>
      <c r="T1018" s="52">
        <f>R1018*U1018/(U1018+100)</f>
        <v>0.32975206611570246</v>
      </c>
      <c r="U1018" s="50">
        <v>21</v>
      </c>
      <c r="V1018" s="53">
        <v>0</v>
      </c>
      <c r="W1018" s="147">
        <v>1</v>
      </c>
      <c r="X1018" s="148" t="s">
        <v>163</v>
      </c>
      <c r="Y1018" s="54">
        <f>R1018*W1018</f>
        <v>1.9</v>
      </c>
      <c r="Z1018" s="52">
        <f>S1018*W1018</f>
        <v>1.5702479338842974</v>
      </c>
      <c r="AA1018" s="52">
        <f>T1018*W1018</f>
        <v>0.32975206611570246</v>
      </c>
      <c r="AB1018" s="52">
        <f>V1018*W1018</f>
        <v>0</v>
      </c>
      <c r="AC1018" s="53">
        <f>(R1018+V1018)*W1018</f>
        <v>1.9</v>
      </c>
      <c r="AD1018" s="138">
        <v>1.9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107</v>
      </c>
      <c r="F1019" s="96" t="s">
        <v>106</v>
      </c>
      <c r="G1019" s="97">
        <v>46132</v>
      </c>
      <c r="H1019" s="98">
        <v>0.4434375</v>
      </c>
      <c r="I1019" s="50">
        <v>166004641</v>
      </c>
      <c r="J1019" s="96" t="s">
        <v>157</v>
      </c>
      <c r="K1019" s="49" t="s">
        <v>1210</v>
      </c>
      <c r="L1019" s="39" t="s">
        <v>1211</v>
      </c>
      <c r="M1019" s="49" t="s">
        <v>429</v>
      </c>
      <c r="N1019" s="39" t="s">
        <v>239</v>
      </c>
      <c r="O1019" s="96" t="s">
        <v>1212</v>
      </c>
      <c r="P1019" s="49" t="s">
        <v>157</v>
      </c>
      <c r="Q1019" s="96" t="s">
        <v>104</v>
      </c>
      <c r="R1019" s="52">
        <v>17.9</v>
      </c>
      <c r="S1019" s="52">
        <f>R1019-T1019</f>
        <v>15.982142857142856</v>
      </c>
      <c r="T1019" s="52">
        <f>R1019*U1019/(U1019+100)</f>
        <v>1.9178571428571427</v>
      </c>
      <c r="U1019" s="50">
        <v>12</v>
      </c>
      <c r="V1019" s="53">
        <v>0</v>
      </c>
      <c r="W1019" s="147">
        <v>1</v>
      </c>
      <c r="X1019" s="148" t="s">
        <v>163</v>
      </c>
      <c r="Y1019" s="54">
        <f>R1019*W1019</f>
        <v>17.9</v>
      </c>
      <c r="Z1019" s="52">
        <f>S1019*W1019</f>
        <v>15.982142857142856</v>
      </c>
      <c r="AA1019" s="52">
        <f>T1019*W1019</f>
        <v>1.9178571428571427</v>
      </c>
      <c r="AB1019" s="52">
        <f>V1019*W1019</f>
        <v>0</v>
      </c>
      <c r="AC1019" s="53">
        <f>(R1019+V1019)*W1019</f>
        <v>17.9</v>
      </c>
      <c r="AD1019" s="138">
        <v>17.9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107</v>
      </c>
      <c r="F1020" s="96" t="s">
        <v>106</v>
      </c>
      <c r="G1020" s="97">
        <v>46132</v>
      </c>
      <c r="H1020" s="98">
        <v>0.4434375</v>
      </c>
      <c r="I1020" s="50">
        <v>166004641</v>
      </c>
      <c r="J1020" s="96" t="s">
        <v>157</v>
      </c>
      <c r="K1020" s="49" t="s">
        <v>2058</v>
      </c>
      <c r="L1020" s="39" t="s">
        <v>2059</v>
      </c>
      <c r="M1020" s="49" t="s">
        <v>429</v>
      </c>
      <c r="N1020" s="39" t="s">
        <v>348</v>
      </c>
      <c r="O1020" s="96" t="s">
        <v>2060</v>
      </c>
      <c r="P1020" s="49" t="s">
        <v>235</v>
      </c>
      <c r="Q1020" s="96" t="s">
        <v>236</v>
      </c>
      <c r="R1020" s="52">
        <v>16.9</v>
      </c>
      <c r="S1020" s="52">
        <f>R1020-T1020</f>
        <v>15.089285714285714</v>
      </c>
      <c r="T1020" s="52">
        <f>R1020*U1020/(U1020+100)</f>
        <v>1.8107142857142855</v>
      </c>
      <c r="U1020" s="50">
        <v>12</v>
      </c>
      <c r="V1020" s="53">
        <v>0</v>
      </c>
      <c r="W1020" s="147">
        <v>1</v>
      </c>
      <c r="X1020" s="148" t="s">
        <v>163</v>
      </c>
      <c r="Y1020" s="54">
        <f>R1020*W1020</f>
        <v>16.9</v>
      </c>
      <c r="Z1020" s="52">
        <f>S1020*W1020</f>
        <v>15.089285714285714</v>
      </c>
      <c r="AA1020" s="52">
        <f>T1020*W1020</f>
        <v>1.8107142857142855</v>
      </c>
      <c r="AB1020" s="52">
        <f>V1020*W1020</f>
        <v>0</v>
      </c>
      <c r="AC1020" s="53">
        <f>(R1020+V1020)*W1020</f>
        <v>16.9</v>
      </c>
      <c r="AD1020" s="138">
        <v>16.9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107</v>
      </c>
      <c r="F1021" s="96" t="s">
        <v>106</v>
      </c>
      <c r="G1021" s="97">
        <v>46132</v>
      </c>
      <c r="H1021" s="98">
        <v>0.4434375</v>
      </c>
      <c r="I1021" s="50">
        <v>166004641</v>
      </c>
      <c r="J1021" s="96" t="s">
        <v>157</v>
      </c>
      <c r="K1021" s="49" t="s">
        <v>2058</v>
      </c>
      <c r="L1021" s="39" t="s">
        <v>2059</v>
      </c>
      <c r="M1021" s="49" t="s">
        <v>429</v>
      </c>
      <c r="N1021" s="39" t="s">
        <v>348</v>
      </c>
      <c r="O1021" s="96" t="s">
        <v>2060</v>
      </c>
      <c r="P1021" s="49" t="s">
        <v>235</v>
      </c>
      <c r="Q1021" s="96" t="s">
        <v>236</v>
      </c>
      <c r="R1021" s="52">
        <v>16.9</v>
      </c>
      <c r="S1021" s="52">
        <f>R1021-T1021</f>
        <v>15.089285714285714</v>
      </c>
      <c r="T1021" s="52">
        <f>R1021*U1021/(U1021+100)</f>
        <v>1.8107142857142855</v>
      </c>
      <c r="U1021" s="50">
        <v>12</v>
      </c>
      <c r="V1021" s="53">
        <v>0</v>
      </c>
      <c r="W1021" s="147">
        <v>1</v>
      </c>
      <c r="X1021" s="148" t="s">
        <v>163</v>
      </c>
      <c r="Y1021" s="54">
        <f>R1021*W1021</f>
        <v>16.9</v>
      </c>
      <c r="Z1021" s="52">
        <f>S1021*W1021</f>
        <v>15.089285714285714</v>
      </c>
      <c r="AA1021" s="52">
        <f>T1021*W1021</f>
        <v>1.8107142857142855</v>
      </c>
      <c r="AB1021" s="52">
        <f>V1021*W1021</f>
        <v>0</v>
      </c>
      <c r="AC1021" s="53">
        <f>(R1021+V1021)*W1021</f>
        <v>16.9</v>
      </c>
      <c r="AD1021" s="138">
        <v>16.9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107</v>
      </c>
      <c r="F1022" s="96" t="s">
        <v>106</v>
      </c>
      <c r="G1022" s="97">
        <v>46132</v>
      </c>
      <c r="H1022" s="98">
        <v>0.4434375</v>
      </c>
      <c r="I1022" s="50">
        <v>166004641</v>
      </c>
      <c r="J1022" s="96" t="s">
        <v>157</v>
      </c>
      <c r="K1022" s="49" t="s">
        <v>2061</v>
      </c>
      <c r="L1022" s="39" t="s">
        <v>2062</v>
      </c>
      <c r="M1022" s="49" t="s">
        <v>2063</v>
      </c>
      <c r="N1022" s="39" t="s">
        <v>172</v>
      </c>
      <c r="O1022" s="96" t="s">
        <v>2064</v>
      </c>
      <c r="P1022" s="49" t="s">
        <v>157</v>
      </c>
      <c r="Q1022" s="96" t="s">
        <v>104</v>
      </c>
      <c r="R1022" s="52">
        <v>13.9</v>
      </c>
      <c r="S1022" s="52">
        <f>R1022-T1022</f>
        <v>12.410714285714286</v>
      </c>
      <c r="T1022" s="52">
        <f>R1022*U1022/(U1022+100)</f>
        <v>1.4892857142857143</v>
      </c>
      <c r="U1022" s="50">
        <v>12</v>
      </c>
      <c r="V1022" s="53">
        <v>0</v>
      </c>
      <c r="W1022" s="147">
        <v>1</v>
      </c>
      <c r="X1022" s="148" t="s">
        <v>163</v>
      </c>
      <c r="Y1022" s="54">
        <f>R1022*W1022</f>
        <v>13.9</v>
      </c>
      <c r="Z1022" s="52">
        <f>S1022*W1022</f>
        <v>12.410714285714286</v>
      </c>
      <c r="AA1022" s="52">
        <f>T1022*W1022</f>
        <v>1.4892857142857143</v>
      </c>
      <c r="AB1022" s="52">
        <f>V1022*W1022</f>
        <v>0</v>
      </c>
      <c r="AC1022" s="53">
        <f>(R1022+V1022)*W1022</f>
        <v>13.9</v>
      </c>
      <c r="AD1022" s="138">
        <v>13.9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107</v>
      </c>
      <c r="F1023" s="96" t="s">
        <v>106</v>
      </c>
      <c r="G1023" s="97">
        <v>46132</v>
      </c>
      <c r="H1023" s="98">
        <v>0.4434375</v>
      </c>
      <c r="I1023" s="50">
        <v>166004641</v>
      </c>
      <c r="J1023" s="96" t="s">
        <v>157</v>
      </c>
      <c r="K1023" s="49" t="s">
        <v>2061</v>
      </c>
      <c r="L1023" s="39" t="s">
        <v>2062</v>
      </c>
      <c r="M1023" s="49" t="s">
        <v>2063</v>
      </c>
      <c r="N1023" s="39" t="s">
        <v>172</v>
      </c>
      <c r="O1023" s="96" t="s">
        <v>2064</v>
      </c>
      <c r="P1023" s="49" t="s">
        <v>157</v>
      </c>
      <c r="Q1023" s="96" t="s">
        <v>104</v>
      </c>
      <c r="R1023" s="52">
        <v>13.9</v>
      </c>
      <c r="S1023" s="52">
        <f>R1023-T1023</f>
        <v>12.410714285714286</v>
      </c>
      <c r="T1023" s="52">
        <f>R1023*U1023/(U1023+100)</f>
        <v>1.4892857142857143</v>
      </c>
      <c r="U1023" s="50">
        <v>12</v>
      </c>
      <c r="V1023" s="53">
        <v>0</v>
      </c>
      <c r="W1023" s="147">
        <v>1</v>
      </c>
      <c r="X1023" s="148" t="s">
        <v>163</v>
      </c>
      <c r="Y1023" s="54">
        <f>R1023*W1023</f>
        <v>13.9</v>
      </c>
      <c r="Z1023" s="52">
        <f>S1023*W1023</f>
        <v>12.410714285714286</v>
      </c>
      <c r="AA1023" s="52">
        <f>T1023*W1023</f>
        <v>1.4892857142857143</v>
      </c>
      <c r="AB1023" s="52">
        <f>V1023*W1023</f>
        <v>0</v>
      </c>
      <c r="AC1023" s="53">
        <f>(R1023+V1023)*W1023</f>
        <v>13.9</v>
      </c>
      <c r="AD1023" s="138">
        <v>13.9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107</v>
      </c>
      <c r="F1024" s="96" t="s">
        <v>106</v>
      </c>
      <c r="G1024" s="97">
        <v>46132</v>
      </c>
      <c r="H1024" s="98">
        <v>0.4434375</v>
      </c>
      <c r="I1024" s="50">
        <v>166004641</v>
      </c>
      <c r="J1024" s="96" t="s">
        <v>157</v>
      </c>
      <c r="K1024" s="49" t="s">
        <v>2061</v>
      </c>
      <c r="L1024" s="39" t="s">
        <v>2062</v>
      </c>
      <c r="M1024" s="49" t="s">
        <v>2063</v>
      </c>
      <c r="N1024" s="39" t="s">
        <v>172</v>
      </c>
      <c r="O1024" s="96" t="s">
        <v>2064</v>
      </c>
      <c r="P1024" s="49" t="s">
        <v>157</v>
      </c>
      <c r="Q1024" s="96" t="s">
        <v>104</v>
      </c>
      <c r="R1024" s="52">
        <v>13.9</v>
      </c>
      <c r="S1024" s="52">
        <f>R1024-T1024</f>
        <v>12.410714285714286</v>
      </c>
      <c r="T1024" s="52">
        <f>R1024*U1024/(U1024+100)</f>
        <v>1.4892857142857143</v>
      </c>
      <c r="U1024" s="50">
        <v>12</v>
      </c>
      <c r="V1024" s="53">
        <v>0</v>
      </c>
      <c r="W1024" s="147">
        <v>1</v>
      </c>
      <c r="X1024" s="148" t="s">
        <v>163</v>
      </c>
      <c r="Y1024" s="54">
        <f>R1024*W1024</f>
        <v>13.9</v>
      </c>
      <c r="Z1024" s="52">
        <f>S1024*W1024</f>
        <v>12.410714285714286</v>
      </c>
      <c r="AA1024" s="52">
        <f>T1024*W1024</f>
        <v>1.4892857142857143</v>
      </c>
      <c r="AB1024" s="52">
        <f>V1024*W1024</f>
        <v>0</v>
      </c>
      <c r="AC1024" s="53">
        <f>(R1024+V1024)*W1024</f>
        <v>13.9</v>
      </c>
      <c r="AD1024" s="138">
        <v>13.9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107</v>
      </c>
      <c r="F1025" s="96" t="s">
        <v>106</v>
      </c>
      <c r="G1025" s="97">
        <v>46132</v>
      </c>
      <c r="H1025" s="98">
        <v>0.4434375</v>
      </c>
      <c r="I1025" s="50">
        <v>166004641</v>
      </c>
      <c r="J1025" s="96" t="s">
        <v>157</v>
      </c>
      <c r="K1025" s="49" t="s">
        <v>2061</v>
      </c>
      <c r="L1025" s="39" t="s">
        <v>2062</v>
      </c>
      <c r="M1025" s="49" t="s">
        <v>2063</v>
      </c>
      <c r="N1025" s="39" t="s">
        <v>172</v>
      </c>
      <c r="O1025" s="96" t="s">
        <v>2064</v>
      </c>
      <c r="P1025" s="49" t="s">
        <v>157</v>
      </c>
      <c r="Q1025" s="96" t="s">
        <v>104</v>
      </c>
      <c r="R1025" s="52">
        <v>13.9</v>
      </c>
      <c r="S1025" s="52">
        <f>R1025-T1025</f>
        <v>12.410714285714286</v>
      </c>
      <c r="T1025" s="52">
        <f>R1025*U1025/(U1025+100)</f>
        <v>1.4892857142857143</v>
      </c>
      <c r="U1025" s="50">
        <v>12</v>
      </c>
      <c r="V1025" s="53">
        <v>0</v>
      </c>
      <c r="W1025" s="147">
        <v>1</v>
      </c>
      <c r="X1025" s="148" t="s">
        <v>163</v>
      </c>
      <c r="Y1025" s="54">
        <f>R1025*W1025</f>
        <v>13.9</v>
      </c>
      <c r="Z1025" s="52">
        <f>S1025*W1025</f>
        <v>12.410714285714286</v>
      </c>
      <c r="AA1025" s="52">
        <f>T1025*W1025</f>
        <v>1.4892857142857143</v>
      </c>
      <c r="AB1025" s="52">
        <f>V1025*W1025</f>
        <v>0</v>
      </c>
      <c r="AC1025" s="53">
        <f>(R1025+V1025)*W1025</f>
        <v>13.9</v>
      </c>
      <c r="AD1025" s="138">
        <v>13.9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107</v>
      </c>
      <c r="F1026" s="96" t="s">
        <v>106</v>
      </c>
      <c r="G1026" s="97">
        <v>46132</v>
      </c>
      <c r="H1026" s="98">
        <v>0.4434375</v>
      </c>
      <c r="I1026" s="50">
        <v>166004641</v>
      </c>
      <c r="J1026" s="96" t="s">
        <v>157</v>
      </c>
      <c r="K1026" s="49" t="s">
        <v>2061</v>
      </c>
      <c r="L1026" s="39" t="s">
        <v>2062</v>
      </c>
      <c r="M1026" s="49" t="s">
        <v>2063</v>
      </c>
      <c r="N1026" s="39" t="s">
        <v>172</v>
      </c>
      <c r="O1026" s="96" t="s">
        <v>2064</v>
      </c>
      <c r="P1026" s="49" t="s">
        <v>157</v>
      </c>
      <c r="Q1026" s="96" t="s">
        <v>104</v>
      </c>
      <c r="R1026" s="52">
        <v>13.9</v>
      </c>
      <c r="S1026" s="52">
        <f>R1026-T1026</f>
        <v>12.410714285714286</v>
      </c>
      <c r="T1026" s="52">
        <f>R1026*U1026/(U1026+100)</f>
        <v>1.4892857142857143</v>
      </c>
      <c r="U1026" s="50">
        <v>12</v>
      </c>
      <c r="V1026" s="53">
        <v>0</v>
      </c>
      <c r="W1026" s="147">
        <v>1</v>
      </c>
      <c r="X1026" s="148" t="s">
        <v>163</v>
      </c>
      <c r="Y1026" s="54">
        <f>R1026*W1026</f>
        <v>13.9</v>
      </c>
      <c r="Z1026" s="52">
        <f>S1026*W1026</f>
        <v>12.410714285714286</v>
      </c>
      <c r="AA1026" s="52">
        <f>T1026*W1026</f>
        <v>1.4892857142857143</v>
      </c>
      <c r="AB1026" s="52">
        <f>V1026*W1026</f>
        <v>0</v>
      </c>
      <c r="AC1026" s="53">
        <f>(R1026+V1026)*W1026</f>
        <v>13.9</v>
      </c>
      <c r="AD1026" s="138">
        <v>13.9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107</v>
      </c>
      <c r="F1027" s="96" t="s">
        <v>106</v>
      </c>
      <c r="G1027" s="97">
        <v>46132</v>
      </c>
      <c r="H1027" s="98">
        <v>0.4434375</v>
      </c>
      <c r="I1027" s="50">
        <v>166004641</v>
      </c>
      <c r="J1027" s="96" t="s">
        <v>157</v>
      </c>
      <c r="K1027" s="49" t="s">
        <v>949</v>
      </c>
      <c r="L1027" s="39" t="s">
        <v>950</v>
      </c>
      <c r="M1027" s="49" t="s">
        <v>185</v>
      </c>
      <c r="N1027" s="39" t="s">
        <v>874</v>
      </c>
      <c r="O1027" s="96" t="s">
        <v>1296</v>
      </c>
      <c r="P1027" s="49" t="s">
        <v>157</v>
      </c>
      <c r="Q1027" s="96" t="s">
        <v>104</v>
      </c>
      <c r="R1027" s="52">
        <v>24.9</v>
      </c>
      <c r="S1027" s="52">
        <f>R1027-T1027</f>
        <v>22.232142857142858</v>
      </c>
      <c r="T1027" s="52">
        <f>R1027*U1027/(U1027+100)</f>
        <v>2.6678571428571423</v>
      </c>
      <c r="U1027" s="50">
        <v>12</v>
      </c>
      <c r="V1027" s="53">
        <v>0</v>
      </c>
      <c r="W1027" s="147">
        <v>1</v>
      </c>
      <c r="X1027" s="148" t="s">
        <v>163</v>
      </c>
      <c r="Y1027" s="54">
        <f>R1027*W1027</f>
        <v>24.9</v>
      </c>
      <c r="Z1027" s="52">
        <f>S1027*W1027</f>
        <v>22.232142857142858</v>
      </c>
      <c r="AA1027" s="52">
        <f>T1027*W1027</f>
        <v>2.6678571428571423</v>
      </c>
      <c r="AB1027" s="52">
        <f>V1027*W1027</f>
        <v>0</v>
      </c>
      <c r="AC1027" s="53">
        <f>(R1027+V1027)*W1027</f>
        <v>24.9</v>
      </c>
      <c r="AD1027" s="138">
        <v>24.9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107</v>
      </c>
      <c r="F1028" s="96" t="s">
        <v>106</v>
      </c>
      <c r="G1028" s="97">
        <v>46132</v>
      </c>
      <c r="H1028" s="98">
        <v>0.4434375</v>
      </c>
      <c r="I1028" s="50">
        <v>166004641</v>
      </c>
      <c r="J1028" s="96" t="s">
        <v>157</v>
      </c>
      <c r="K1028" s="49" t="s">
        <v>271</v>
      </c>
      <c r="L1028" s="39" t="s">
        <v>272</v>
      </c>
      <c r="M1028" s="49" t="s">
        <v>214</v>
      </c>
      <c r="N1028" s="39" t="s">
        <v>273</v>
      </c>
      <c r="O1028" s="96" t="s">
        <v>1715</v>
      </c>
      <c r="P1028" s="49" t="s">
        <v>157</v>
      </c>
      <c r="Q1028" s="96" t="s">
        <v>104</v>
      </c>
      <c r="R1028" s="52">
        <v>13.9</v>
      </c>
      <c r="S1028" s="52">
        <f>R1028-T1028</f>
        <v>12.410714285714286</v>
      </c>
      <c r="T1028" s="52">
        <f>R1028*U1028/(U1028+100)</f>
        <v>1.4892857142857143</v>
      </c>
      <c r="U1028" s="50">
        <v>12</v>
      </c>
      <c r="V1028" s="53">
        <v>0</v>
      </c>
      <c r="W1028" s="147">
        <v>1</v>
      </c>
      <c r="X1028" s="148" t="s">
        <v>163</v>
      </c>
      <c r="Y1028" s="54">
        <f>R1028*W1028</f>
        <v>13.9</v>
      </c>
      <c r="Z1028" s="52">
        <f>S1028*W1028</f>
        <v>12.410714285714286</v>
      </c>
      <c r="AA1028" s="52">
        <f>T1028*W1028</f>
        <v>1.4892857142857143</v>
      </c>
      <c r="AB1028" s="52">
        <f>V1028*W1028</f>
        <v>0</v>
      </c>
      <c r="AC1028" s="53">
        <f>(R1028+V1028)*W1028</f>
        <v>13.9</v>
      </c>
      <c r="AD1028" s="138">
        <v>13.9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107</v>
      </c>
      <c r="F1029" s="96" t="s">
        <v>106</v>
      </c>
      <c r="G1029" s="97">
        <v>46132</v>
      </c>
      <c r="H1029" s="98">
        <v>0.4434375</v>
      </c>
      <c r="I1029" s="50">
        <v>166004641</v>
      </c>
      <c r="J1029" s="96" t="s">
        <v>157</v>
      </c>
      <c r="K1029" s="49" t="s">
        <v>271</v>
      </c>
      <c r="L1029" s="39" t="s">
        <v>272</v>
      </c>
      <c r="M1029" s="49" t="s">
        <v>214</v>
      </c>
      <c r="N1029" s="39" t="s">
        <v>273</v>
      </c>
      <c r="O1029" s="96" t="s">
        <v>1715</v>
      </c>
      <c r="P1029" s="49" t="s">
        <v>157</v>
      </c>
      <c r="Q1029" s="96" t="s">
        <v>104</v>
      </c>
      <c r="R1029" s="52">
        <v>13.9</v>
      </c>
      <c r="S1029" s="52">
        <f>R1029-T1029</f>
        <v>12.410714285714286</v>
      </c>
      <c r="T1029" s="52">
        <f>R1029*U1029/(U1029+100)</f>
        <v>1.4892857142857143</v>
      </c>
      <c r="U1029" s="50">
        <v>12</v>
      </c>
      <c r="V1029" s="53">
        <v>0</v>
      </c>
      <c r="W1029" s="147">
        <v>1</v>
      </c>
      <c r="X1029" s="148" t="s">
        <v>163</v>
      </c>
      <c r="Y1029" s="54">
        <f>R1029*W1029</f>
        <v>13.9</v>
      </c>
      <c r="Z1029" s="52">
        <f>S1029*W1029</f>
        <v>12.410714285714286</v>
      </c>
      <c r="AA1029" s="52">
        <f>T1029*W1029</f>
        <v>1.4892857142857143</v>
      </c>
      <c r="AB1029" s="52">
        <f>V1029*W1029</f>
        <v>0</v>
      </c>
      <c r="AC1029" s="53">
        <f>(R1029+V1029)*W1029</f>
        <v>13.9</v>
      </c>
      <c r="AD1029" s="138">
        <v>13.9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107</v>
      </c>
      <c r="F1030" s="96" t="s">
        <v>106</v>
      </c>
      <c r="G1030" s="97">
        <v>46132</v>
      </c>
      <c r="H1030" s="98">
        <v>0.4434375</v>
      </c>
      <c r="I1030" s="50">
        <v>166004641</v>
      </c>
      <c r="J1030" s="96" t="s">
        <v>157</v>
      </c>
      <c r="K1030" s="49" t="s">
        <v>1059</v>
      </c>
      <c r="L1030" s="39" t="s">
        <v>1060</v>
      </c>
      <c r="M1030" s="49" t="s">
        <v>277</v>
      </c>
      <c r="N1030" s="39" t="s">
        <v>688</v>
      </c>
      <c r="O1030" s="96" t="s">
        <v>1061</v>
      </c>
      <c r="P1030" s="49" t="s">
        <v>157</v>
      </c>
      <c r="Q1030" s="96" t="s">
        <v>104</v>
      </c>
      <c r="R1030" s="52">
        <v>217.9</v>
      </c>
      <c r="S1030" s="52">
        <f>R1030-T1030</f>
        <v>194.55357142857144</v>
      </c>
      <c r="T1030" s="52">
        <f>R1030*U1030/(U1030+100)</f>
        <v>23.34642857142857</v>
      </c>
      <c r="U1030" s="50">
        <v>12</v>
      </c>
      <c r="V1030" s="53">
        <v>0</v>
      </c>
      <c r="W1030" s="147">
        <v>0.148</v>
      </c>
      <c r="X1030" s="148" t="s">
        <v>193</v>
      </c>
      <c r="Y1030" s="54">
        <f>R1030*W1030</f>
        <v>32.2492</v>
      </c>
      <c r="Z1030" s="52">
        <f>S1030*W1030</f>
        <v>28.793928571428573</v>
      </c>
      <c r="AA1030" s="52">
        <f>T1030*W1030</f>
        <v>3.4552714285714283</v>
      </c>
      <c r="AB1030" s="52">
        <f>V1030*W1030</f>
        <v>0</v>
      </c>
      <c r="AC1030" s="53">
        <f>(R1030+V1030)*W1030</f>
        <v>32.2492</v>
      </c>
      <c r="AD1030" s="138">
        <v>217.9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107</v>
      </c>
      <c r="F1031" s="96" t="s">
        <v>106</v>
      </c>
      <c r="G1031" s="97">
        <v>46132</v>
      </c>
      <c r="H1031" s="98">
        <v>0.4434375</v>
      </c>
      <c r="I1031" s="50">
        <v>166004641</v>
      </c>
      <c r="J1031" s="96" t="s">
        <v>157</v>
      </c>
      <c r="K1031" s="49" t="s">
        <v>2065</v>
      </c>
      <c r="L1031" s="39" t="s">
        <v>2066</v>
      </c>
      <c r="M1031" s="49" t="s">
        <v>277</v>
      </c>
      <c r="N1031" s="39" t="s">
        <v>490</v>
      </c>
      <c r="O1031" s="96" t="s">
        <v>2067</v>
      </c>
      <c r="P1031" s="49" t="s">
        <v>157</v>
      </c>
      <c r="Q1031" s="96" t="s">
        <v>104</v>
      </c>
      <c r="R1031" s="52">
        <v>41.9</v>
      </c>
      <c r="S1031" s="52">
        <f>R1031-T1031</f>
        <v>37.410714285714285</v>
      </c>
      <c r="T1031" s="52">
        <f>R1031*U1031/(U1031+100)</f>
        <v>4.489285714285714</v>
      </c>
      <c r="U1031" s="50">
        <v>12</v>
      </c>
      <c r="V1031" s="53">
        <v>0</v>
      </c>
      <c r="W1031" s="147">
        <v>1</v>
      </c>
      <c r="X1031" s="148" t="s">
        <v>163</v>
      </c>
      <c r="Y1031" s="54">
        <f>R1031*W1031</f>
        <v>41.9</v>
      </c>
      <c r="Z1031" s="52">
        <f>S1031*W1031</f>
        <v>37.410714285714285</v>
      </c>
      <c r="AA1031" s="52">
        <f>T1031*W1031</f>
        <v>4.489285714285714</v>
      </c>
      <c r="AB1031" s="52">
        <f>V1031*W1031</f>
        <v>0</v>
      </c>
      <c r="AC1031" s="53">
        <f>(R1031+V1031)*W1031</f>
        <v>41.9</v>
      </c>
      <c r="AD1031" s="138">
        <v>41.9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107</v>
      </c>
      <c r="F1032" s="96" t="s">
        <v>106</v>
      </c>
      <c r="G1032" s="97">
        <v>46132</v>
      </c>
      <c r="H1032" s="98">
        <v>0.4434375</v>
      </c>
      <c r="I1032" s="50">
        <v>166004641</v>
      </c>
      <c r="J1032" s="96" t="s">
        <v>157</v>
      </c>
      <c r="K1032" s="49" t="s">
        <v>560</v>
      </c>
      <c r="L1032" s="39" t="s">
        <v>104</v>
      </c>
      <c r="M1032" s="49" t="s">
        <v>554</v>
      </c>
      <c r="N1032" s="39" t="s">
        <v>296</v>
      </c>
      <c r="O1032" s="96" t="s">
        <v>561</v>
      </c>
      <c r="P1032" s="49" t="s">
        <v>157</v>
      </c>
      <c r="Q1032" s="96" t="s">
        <v>104</v>
      </c>
      <c r="R1032" s="52">
        <v>8.9</v>
      </c>
      <c r="S1032" s="52">
        <f>R1032-T1032</f>
        <v>7.946428571428572</v>
      </c>
      <c r="T1032" s="52">
        <f>R1032*U1032/(U1032+100)</f>
        <v>0.9535714285714286</v>
      </c>
      <c r="U1032" s="50">
        <v>12</v>
      </c>
      <c r="V1032" s="53">
        <v>0</v>
      </c>
      <c r="W1032" s="147">
        <v>1</v>
      </c>
      <c r="X1032" s="148" t="s">
        <v>163</v>
      </c>
      <c r="Y1032" s="54">
        <f>R1032*W1032</f>
        <v>8.9</v>
      </c>
      <c r="Z1032" s="52">
        <f>S1032*W1032</f>
        <v>7.946428571428572</v>
      </c>
      <c r="AA1032" s="52">
        <f>T1032*W1032</f>
        <v>0.9535714285714286</v>
      </c>
      <c r="AB1032" s="52">
        <f>V1032*W1032</f>
        <v>0</v>
      </c>
      <c r="AC1032" s="53">
        <f>(R1032+V1032)*W1032</f>
        <v>8.9</v>
      </c>
      <c r="AD1032" s="138">
        <v>8.9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107</v>
      </c>
      <c r="F1033" s="96" t="s">
        <v>106</v>
      </c>
      <c r="G1033" s="97">
        <v>46132</v>
      </c>
      <c r="H1033" s="98">
        <v>0.4434375</v>
      </c>
      <c r="I1033" s="50">
        <v>166004641</v>
      </c>
      <c r="J1033" s="96" t="s">
        <v>157</v>
      </c>
      <c r="K1033" s="49" t="s">
        <v>553</v>
      </c>
      <c r="L1033" s="39" t="s">
        <v>104</v>
      </c>
      <c r="M1033" s="49" t="s">
        <v>554</v>
      </c>
      <c r="N1033" s="39" t="s">
        <v>296</v>
      </c>
      <c r="O1033" s="96" t="s">
        <v>555</v>
      </c>
      <c r="P1033" s="49" t="s">
        <v>157</v>
      </c>
      <c r="Q1033" s="96" t="s">
        <v>104</v>
      </c>
      <c r="R1033" s="52">
        <v>8.9</v>
      </c>
      <c r="S1033" s="52">
        <f>R1033-T1033</f>
        <v>7.946428571428572</v>
      </c>
      <c r="T1033" s="52">
        <f>R1033*U1033/(U1033+100)</f>
        <v>0.9535714285714286</v>
      </c>
      <c r="U1033" s="50">
        <v>12</v>
      </c>
      <c r="V1033" s="53">
        <v>0</v>
      </c>
      <c r="W1033" s="147">
        <v>1</v>
      </c>
      <c r="X1033" s="148" t="s">
        <v>163</v>
      </c>
      <c r="Y1033" s="54">
        <f>R1033*W1033</f>
        <v>8.9</v>
      </c>
      <c r="Z1033" s="52">
        <f>S1033*W1033</f>
        <v>7.946428571428572</v>
      </c>
      <c r="AA1033" s="52">
        <f>T1033*W1033</f>
        <v>0.9535714285714286</v>
      </c>
      <c r="AB1033" s="52">
        <f>V1033*W1033</f>
        <v>0</v>
      </c>
      <c r="AC1033" s="53">
        <f>(R1033+V1033)*W1033</f>
        <v>8.9</v>
      </c>
      <c r="AD1033" s="138">
        <v>8.9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107</v>
      </c>
      <c r="F1034" s="96" t="s">
        <v>106</v>
      </c>
      <c r="G1034" s="97">
        <v>46132</v>
      </c>
      <c r="H1034" s="98">
        <v>0.4434375</v>
      </c>
      <c r="I1034" s="50">
        <v>166004641</v>
      </c>
      <c r="J1034" s="96" t="s">
        <v>157</v>
      </c>
      <c r="K1034" s="49" t="s">
        <v>553</v>
      </c>
      <c r="L1034" s="39" t="s">
        <v>104</v>
      </c>
      <c r="M1034" s="49" t="s">
        <v>554</v>
      </c>
      <c r="N1034" s="39" t="s">
        <v>296</v>
      </c>
      <c r="O1034" s="96" t="s">
        <v>555</v>
      </c>
      <c r="P1034" s="49" t="s">
        <v>157</v>
      </c>
      <c r="Q1034" s="96" t="s">
        <v>104</v>
      </c>
      <c r="R1034" s="52">
        <v>8.9</v>
      </c>
      <c r="S1034" s="52">
        <f>R1034-T1034</f>
        <v>7.946428571428572</v>
      </c>
      <c r="T1034" s="52">
        <f>R1034*U1034/(U1034+100)</f>
        <v>0.9535714285714286</v>
      </c>
      <c r="U1034" s="50">
        <v>12</v>
      </c>
      <c r="V1034" s="53">
        <v>0</v>
      </c>
      <c r="W1034" s="147">
        <v>1</v>
      </c>
      <c r="X1034" s="148" t="s">
        <v>163</v>
      </c>
      <c r="Y1034" s="54">
        <f>R1034*W1034</f>
        <v>8.9</v>
      </c>
      <c r="Z1034" s="52">
        <f>S1034*W1034</f>
        <v>7.946428571428572</v>
      </c>
      <c r="AA1034" s="52">
        <f>T1034*W1034</f>
        <v>0.9535714285714286</v>
      </c>
      <c r="AB1034" s="52">
        <f>V1034*W1034</f>
        <v>0</v>
      </c>
      <c r="AC1034" s="53">
        <f>(R1034+V1034)*W1034</f>
        <v>8.9</v>
      </c>
      <c r="AD1034" s="138">
        <v>8.9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107</v>
      </c>
      <c r="F1035" s="96" t="s">
        <v>106</v>
      </c>
      <c r="G1035" s="97">
        <v>46132</v>
      </c>
      <c r="H1035" s="98">
        <v>0.44439814814814815</v>
      </c>
      <c r="I1035" s="50">
        <v>166004642</v>
      </c>
      <c r="J1035" s="96" t="s">
        <v>157</v>
      </c>
      <c r="K1035" s="49" t="s">
        <v>2068</v>
      </c>
      <c r="L1035" s="39" t="s">
        <v>2069</v>
      </c>
      <c r="M1035" s="49" t="s">
        <v>429</v>
      </c>
      <c r="N1035" s="39" t="s">
        <v>348</v>
      </c>
      <c r="O1035" s="96" t="s">
        <v>2070</v>
      </c>
      <c r="P1035" s="49" t="s">
        <v>235</v>
      </c>
      <c r="Q1035" s="96" t="s">
        <v>236</v>
      </c>
      <c r="R1035" s="52">
        <v>16.9</v>
      </c>
      <c r="S1035" s="52">
        <f>R1035-T1035</f>
        <v>15.089285714285714</v>
      </c>
      <c r="T1035" s="52">
        <f>R1035*U1035/(U1035+100)</f>
        <v>1.8107142857142855</v>
      </c>
      <c r="U1035" s="50">
        <v>12</v>
      </c>
      <c r="V1035" s="53">
        <v>0</v>
      </c>
      <c r="W1035" s="147">
        <v>1</v>
      </c>
      <c r="X1035" s="148" t="s">
        <v>163</v>
      </c>
      <c r="Y1035" s="54">
        <f>R1035*W1035</f>
        <v>16.9</v>
      </c>
      <c r="Z1035" s="52">
        <f>S1035*W1035</f>
        <v>15.089285714285714</v>
      </c>
      <c r="AA1035" s="52">
        <f>T1035*W1035</f>
        <v>1.8107142857142855</v>
      </c>
      <c r="AB1035" s="52">
        <f>V1035*W1035</f>
        <v>0</v>
      </c>
      <c r="AC1035" s="53">
        <f>(R1035+V1035)*W1035</f>
        <v>16.9</v>
      </c>
      <c r="AD1035" s="138">
        <v>16.9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107</v>
      </c>
      <c r="F1036" s="96" t="s">
        <v>106</v>
      </c>
      <c r="G1036" s="97">
        <v>46132</v>
      </c>
      <c r="H1036" s="98">
        <v>0.44439814814814815</v>
      </c>
      <c r="I1036" s="50">
        <v>166004642</v>
      </c>
      <c r="J1036" s="96" t="s">
        <v>157</v>
      </c>
      <c r="K1036" s="49" t="s">
        <v>1806</v>
      </c>
      <c r="L1036" s="39" t="s">
        <v>1807</v>
      </c>
      <c r="M1036" s="49" t="s">
        <v>214</v>
      </c>
      <c r="N1036" s="39" t="s">
        <v>756</v>
      </c>
      <c r="O1036" s="96" t="s">
        <v>1808</v>
      </c>
      <c r="P1036" s="49" t="s">
        <v>157</v>
      </c>
      <c r="Q1036" s="96" t="s">
        <v>104</v>
      </c>
      <c r="R1036" s="52">
        <v>15.9</v>
      </c>
      <c r="S1036" s="52">
        <f>R1036-T1036</f>
        <v>14.196428571428571</v>
      </c>
      <c r="T1036" s="52">
        <f>R1036*U1036/(U1036+100)</f>
        <v>1.7035714285714287</v>
      </c>
      <c r="U1036" s="50">
        <v>12</v>
      </c>
      <c r="V1036" s="53">
        <v>0</v>
      </c>
      <c r="W1036" s="147">
        <v>5</v>
      </c>
      <c r="X1036" s="148" t="s">
        <v>163</v>
      </c>
      <c r="Y1036" s="54">
        <f>R1036*W1036</f>
        <v>79.5</v>
      </c>
      <c r="Z1036" s="52">
        <f>S1036*W1036</f>
        <v>70.98214285714286</v>
      </c>
      <c r="AA1036" s="52">
        <f>T1036*W1036</f>
        <v>8.517857142857144</v>
      </c>
      <c r="AB1036" s="52">
        <f>V1036*W1036</f>
        <v>0</v>
      </c>
      <c r="AC1036" s="53">
        <f>(R1036+V1036)*W1036</f>
        <v>79.5</v>
      </c>
      <c r="AD1036" s="138">
        <v>15.9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107</v>
      </c>
      <c r="F1037" s="96" t="s">
        <v>106</v>
      </c>
      <c r="G1037" s="97">
        <v>46132</v>
      </c>
      <c r="H1037" s="98">
        <v>0.44439814814814815</v>
      </c>
      <c r="I1037" s="50">
        <v>166004642</v>
      </c>
      <c r="J1037" s="96" t="s">
        <v>157</v>
      </c>
      <c r="K1037" s="49" t="s">
        <v>2071</v>
      </c>
      <c r="L1037" s="39" t="s">
        <v>2072</v>
      </c>
      <c r="M1037" s="49" t="s">
        <v>185</v>
      </c>
      <c r="N1037" s="39" t="s">
        <v>2073</v>
      </c>
      <c r="O1037" s="96" t="s">
        <v>2074</v>
      </c>
      <c r="P1037" s="49" t="s">
        <v>157</v>
      </c>
      <c r="Q1037" s="96" t="s">
        <v>104</v>
      </c>
      <c r="R1037" s="52">
        <v>37.9</v>
      </c>
      <c r="S1037" s="52">
        <f>R1037-T1037</f>
        <v>31.322314049586776</v>
      </c>
      <c r="T1037" s="52">
        <f>R1037*U1037/(U1037+100)</f>
        <v>6.577685950413223</v>
      </c>
      <c r="U1037" s="50">
        <v>21</v>
      </c>
      <c r="V1037" s="53">
        <v>0</v>
      </c>
      <c r="W1037" s="147">
        <v>1</v>
      </c>
      <c r="X1037" s="148" t="s">
        <v>163</v>
      </c>
      <c r="Y1037" s="54">
        <f>R1037*W1037</f>
        <v>37.9</v>
      </c>
      <c r="Z1037" s="52">
        <f>S1037*W1037</f>
        <v>31.322314049586776</v>
      </c>
      <c r="AA1037" s="52">
        <f>T1037*W1037</f>
        <v>6.577685950413223</v>
      </c>
      <c r="AB1037" s="52">
        <f>V1037*W1037</f>
        <v>0</v>
      </c>
      <c r="AC1037" s="53">
        <f>(R1037+V1037)*W1037</f>
        <v>37.9</v>
      </c>
      <c r="AD1037" s="138">
        <v>37.9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107</v>
      </c>
      <c r="F1038" s="96" t="s">
        <v>106</v>
      </c>
      <c r="G1038" s="97">
        <v>46132</v>
      </c>
      <c r="H1038" s="98">
        <v>0.44439814814814815</v>
      </c>
      <c r="I1038" s="50">
        <v>166004642</v>
      </c>
      <c r="J1038" s="96" t="s">
        <v>157</v>
      </c>
      <c r="K1038" s="49" t="s">
        <v>1612</v>
      </c>
      <c r="L1038" s="39" t="s">
        <v>1613</v>
      </c>
      <c r="M1038" s="49" t="s">
        <v>190</v>
      </c>
      <c r="N1038" s="39" t="s">
        <v>462</v>
      </c>
      <c r="O1038" s="96" t="s">
        <v>1614</v>
      </c>
      <c r="P1038" s="49" t="s">
        <v>157</v>
      </c>
      <c r="Q1038" s="96" t="s">
        <v>104</v>
      </c>
      <c r="R1038" s="52">
        <v>33.9</v>
      </c>
      <c r="S1038" s="52">
        <f>R1038-T1038</f>
        <v>30.267857142857142</v>
      </c>
      <c r="T1038" s="52">
        <f>R1038*U1038/(U1038+100)</f>
        <v>3.6321428571428567</v>
      </c>
      <c r="U1038" s="50">
        <v>12</v>
      </c>
      <c r="V1038" s="53">
        <v>0</v>
      </c>
      <c r="W1038" s="147">
        <v>1</v>
      </c>
      <c r="X1038" s="148" t="s">
        <v>163</v>
      </c>
      <c r="Y1038" s="54">
        <f>R1038*W1038</f>
        <v>33.9</v>
      </c>
      <c r="Z1038" s="52">
        <f>S1038*W1038</f>
        <v>30.267857142857142</v>
      </c>
      <c r="AA1038" s="52">
        <f>T1038*W1038</f>
        <v>3.6321428571428567</v>
      </c>
      <c r="AB1038" s="52">
        <f>V1038*W1038</f>
        <v>0</v>
      </c>
      <c r="AC1038" s="53">
        <f>(R1038+V1038)*W1038</f>
        <v>33.9</v>
      </c>
      <c r="AD1038" s="138">
        <v>33.9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107</v>
      </c>
      <c r="F1039" s="96" t="s">
        <v>106</v>
      </c>
      <c r="G1039" s="97">
        <v>46132</v>
      </c>
      <c r="H1039" s="98">
        <v>0.44439814814814815</v>
      </c>
      <c r="I1039" s="50">
        <v>166004642</v>
      </c>
      <c r="J1039" s="96" t="s">
        <v>157</v>
      </c>
      <c r="K1039" s="49" t="s">
        <v>336</v>
      </c>
      <c r="L1039" s="39" t="s">
        <v>337</v>
      </c>
      <c r="M1039" s="49" t="s">
        <v>190</v>
      </c>
      <c r="N1039" s="39" t="s">
        <v>191</v>
      </c>
      <c r="O1039" s="96" t="s">
        <v>338</v>
      </c>
      <c r="P1039" s="49" t="s">
        <v>157</v>
      </c>
      <c r="Q1039" s="96" t="s">
        <v>104</v>
      </c>
      <c r="R1039" s="52">
        <v>11.9</v>
      </c>
      <c r="S1039" s="52">
        <f>R1039-T1039</f>
        <v>10.625</v>
      </c>
      <c r="T1039" s="52">
        <f>R1039*U1039/(U1039+100)</f>
        <v>1.2750000000000001</v>
      </c>
      <c r="U1039" s="50">
        <v>12</v>
      </c>
      <c r="V1039" s="53">
        <v>0</v>
      </c>
      <c r="W1039" s="147">
        <v>0.636</v>
      </c>
      <c r="X1039" s="148" t="s">
        <v>193</v>
      </c>
      <c r="Y1039" s="54">
        <f>R1039*W1039</f>
        <v>7.5684000000000005</v>
      </c>
      <c r="Z1039" s="52">
        <f>S1039*W1039</f>
        <v>6.7575</v>
      </c>
      <c r="AA1039" s="52">
        <f>T1039*W1039</f>
        <v>0.8109000000000001</v>
      </c>
      <c r="AB1039" s="52">
        <f>V1039*W1039</f>
        <v>0</v>
      </c>
      <c r="AC1039" s="53">
        <f>(R1039+V1039)*W1039</f>
        <v>7.5684000000000005</v>
      </c>
      <c r="AD1039" s="138">
        <v>11.9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107</v>
      </c>
      <c r="F1040" s="96" t="s">
        <v>106</v>
      </c>
      <c r="G1040" s="97">
        <v>46132</v>
      </c>
      <c r="H1040" s="98">
        <v>0.44439814814814815</v>
      </c>
      <c r="I1040" s="50">
        <v>166004642</v>
      </c>
      <c r="J1040" s="96" t="s">
        <v>157</v>
      </c>
      <c r="K1040" s="49" t="s">
        <v>1224</v>
      </c>
      <c r="L1040" s="39" t="s">
        <v>1225</v>
      </c>
      <c r="M1040" s="49" t="s">
        <v>190</v>
      </c>
      <c r="N1040" s="39" t="s">
        <v>532</v>
      </c>
      <c r="O1040" s="96" t="s">
        <v>1226</v>
      </c>
      <c r="P1040" s="49" t="s">
        <v>157</v>
      </c>
      <c r="Q1040" s="96" t="s">
        <v>104</v>
      </c>
      <c r="R1040" s="52">
        <v>44.9</v>
      </c>
      <c r="S1040" s="52">
        <f>R1040-T1040</f>
        <v>40.089285714285715</v>
      </c>
      <c r="T1040" s="52">
        <f>R1040*U1040/(U1040+100)</f>
        <v>4.810714285714285</v>
      </c>
      <c r="U1040" s="50">
        <v>12</v>
      </c>
      <c r="V1040" s="53">
        <v>0</v>
      </c>
      <c r="W1040" s="147">
        <v>0.538</v>
      </c>
      <c r="X1040" s="148" t="s">
        <v>193</v>
      </c>
      <c r="Y1040" s="54">
        <f>R1040*W1040</f>
        <v>24.156200000000002</v>
      </c>
      <c r="Z1040" s="52">
        <f>S1040*W1040</f>
        <v>21.568035714285717</v>
      </c>
      <c r="AA1040" s="52">
        <f>T1040*W1040</f>
        <v>2.5881642857142855</v>
      </c>
      <c r="AB1040" s="52">
        <f>V1040*W1040</f>
        <v>0</v>
      </c>
      <c r="AC1040" s="53">
        <f>(R1040+V1040)*W1040</f>
        <v>24.156200000000002</v>
      </c>
      <c r="AD1040" s="138">
        <v>44.9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107</v>
      </c>
      <c r="F1041" s="96" t="s">
        <v>106</v>
      </c>
      <c r="G1041" s="97">
        <v>46132</v>
      </c>
      <c r="H1041" s="98">
        <v>0.44439814814814815</v>
      </c>
      <c r="I1041" s="50">
        <v>166004642</v>
      </c>
      <c r="J1041" s="96" t="s">
        <v>157</v>
      </c>
      <c r="K1041" s="49" t="s">
        <v>530</v>
      </c>
      <c r="L1041" s="39" t="s">
        <v>531</v>
      </c>
      <c r="M1041" s="49" t="s">
        <v>190</v>
      </c>
      <c r="N1041" s="39" t="s">
        <v>532</v>
      </c>
      <c r="O1041" s="96" t="s">
        <v>533</v>
      </c>
      <c r="P1041" s="49" t="s">
        <v>157</v>
      </c>
      <c r="Q1041" s="96" t="s">
        <v>104</v>
      </c>
      <c r="R1041" s="52">
        <v>25.9</v>
      </c>
      <c r="S1041" s="52">
        <f>R1041-T1041</f>
        <v>23.125</v>
      </c>
      <c r="T1041" s="52">
        <f>R1041*U1041/(U1041+100)</f>
        <v>2.7749999999999995</v>
      </c>
      <c r="U1041" s="50">
        <v>12</v>
      </c>
      <c r="V1041" s="53">
        <v>0</v>
      </c>
      <c r="W1041" s="147">
        <v>0.69</v>
      </c>
      <c r="X1041" s="148" t="s">
        <v>193</v>
      </c>
      <c r="Y1041" s="54">
        <f>R1041*W1041</f>
        <v>17.871</v>
      </c>
      <c r="Z1041" s="52">
        <f>S1041*W1041</f>
        <v>15.956249999999999</v>
      </c>
      <c r="AA1041" s="52">
        <f>T1041*W1041</f>
        <v>1.9147499999999995</v>
      </c>
      <c r="AB1041" s="52">
        <f>V1041*W1041</f>
        <v>0</v>
      </c>
      <c r="AC1041" s="53">
        <f>(R1041+V1041)*W1041</f>
        <v>17.871</v>
      </c>
      <c r="AD1041" s="138">
        <v>25.9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107</v>
      </c>
      <c r="F1042" s="96" t="s">
        <v>106</v>
      </c>
      <c r="G1042" s="97">
        <v>46132</v>
      </c>
      <c r="H1042" s="98">
        <v>0.44439814814814815</v>
      </c>
      <c r="I1042" s="50">
        <v>166004642</v>
      </c>
      <c r="J1042" s="96" t="s">
        <v>157</v>
      </c>
      <c r="K1042" s="49" t="s">
        <v>188</v>
      </c>
      <c r="L1042" s="39" t="s">
        <v>189</v>
      </c>
      <c r="M1042" s="49" t="s">
        <v>190</v>
      </c>
      <c r="N1042" s="39" t="s">
        <v>191</v>
      </c>
      <c r="O1042" s="96" t="s">
        <v>192</v>
      </c>
      <c r="P1042" s="49" t="s">
        <v>157</v>
      </c>
      <c r="Q1042" s="96" t="s">
        <v>104</v>
      </c>
      <c r="R1042" s="52">
        <v>33.9</v>
      </c>
      <c r="S1042" s="52">
        <f>R1042-T1042</f>
        <v>30.267857142857142</v>
      </c>
      <c r="T1042" s="52">
        <f>R1042*U1042/(U1042+100)</f>
        <v>3.6321428571428567</v>
      </c>
      <c r="U1042" s="50">
        <v>12</v>
      </c>
      <c r="V1042" s="53">
        <v>0</v>
      </c>
      <c r="W1042" s="147">
        <v>0.26</v>
      </c>
      <c r="X1042" s="148" t="s">
        <v>193</v>
      </c>
      <c r="Y1042" s="54">
        <f>R1042*W1042</f>
        <v>8.814</v>
      </c>
      <c r="Z1042" s="52">
        <f>S1042*W1042</f>
        <v>7.869642857142857</v>
      </c>
      <c r="AA1042" s="52">
        <f>T1042*W1042</f>
        <v>0.9443571428571428</v>
      </c>
      <c r="AB1042" s="52">
        <f>V1042*W1042</f>
        <v>0</v>
      </c>
      <c r="AC1042" s="53">
        <f>(R1042+V1042)*W1042</f>
        <v>8.814</v>
      </c>
      <c r="AD1042" s="138">
        <v>33.9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107</v>
      </c>
      <c r="F1043" s="96" t="s">
        <v>106</v>
      </c>
      <c r="G1043" s="97">
        <v>46132</v>
      </c>
      <c r="H1043" s="98">
        <v>0.44439814814814815</v>
      </c>
      <c r="I1043" s="50">
        <v>166004642</v>
      </c>
      <c r="J1043" s="96" t="s">
        <v>157</v>
      </c>
      <c r="K1043" s="49" t="s">
        <v>658</v>
      </c>
      <c r="L1043" s="39" t="s">
        <v>104</v>
      </c>
      <c r="M1043" s="49" t="s">
        <v>190</v>
      </c>
      <c r="N1043" s="39" t="s">
        <v>462</v>
      </c>
      <c r="O1043" s="96" t="s">
        <v>1871</v>
      </c>
      <c r="P1043" s="49" t="s">
        <v>157</v>
      </c>
      <c r="Q1043" s="96" t="s">
        <v>104</v>
      </c>
      <c r="R1043" s="52">
        <v>13.9</v>
      </c>
      <c r="S1043" s="52">
        <f>R1043-T1043</f>
        <v>12.410714285714286</v>
      </c>
      <c r="T1043" s="52">
        <f>R1043*U1043/(U1043+100)</f>
        <v>1.4892857142857143</v>
      </c>
      <c r="U1043" s="50">
        <v>12</v>
      </c>
      <c r="V1043" s="53">
        <v>0</v>
      </c>
      <c r="W1043" s="147">
        <v>1</v>
      </c>
      <c r="X1043" s="148" t="s">
        <v>163</v>
      </c>
      <c r="Y1043" s="54">
        <f>R1043*W1043</f>
        <v>13.9</v>
      </c>
      <c r="Z1043" s="52">
        <f>S1043*W1043</f>
        <v>12.410714285714286</v>
      </c>
      <c r="AA1043" s="52">
        <f>T1043*W1043</f>
        <v>1.4892857142857143</v>
      </c>
      <c r="AB1043" s="52">
        <f>V1043*W1043</f>
        <v>0</v>
      </c>
      <c r="AC1043" s="53">
        <f>(R1043+V1043)*W1043</f>
        <v>13.9</v>
      </c>
      <c r="AD1043" s="138">
        <v>13.9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107</v>
      </c>
      <c r="F1044" s="96" t="s">
        <v>106</v>
      </c>
      <c r="G1044" s="97">
        <v>46132</v>
      </c>
      <c r="H1044" s="98">
        <v>0.44439814814814815</v>
      </c>
      <c r="I1044" s="50">
        <v>166004642</v>
      </c>
      <c r="J1044" s="96" t="s">
        <v>157</v>
      </c>
      <c r="K1044" s="49" t="s">
        <v>293</v>
      </c>
      <c r="L1044" s="39" t="s">
        <v>294</v>
      </c>
      <c r="M1044" s="49" t="s">
        <v>295</v>
      </c>
      <c r="N1044" s="39" t="s">
        <v>296</v>
      </c>
      <c r="O1044" s="96" t="s">
        <v>297</v>
      </c>
      <c r="P1044" s="49" t="s">
        <v>157</v>
      </c>
      <c r="Q1044" s="96" t="s">
        <v>104</v>
      </c>
      <c r="R1044" s="52">
        <v>2.9</v>
      </c>
      <c r="S1044" s="52">
        <f>R1044-T1044</f>
        <v>2.5892857142857144</v>
      </c>
      <c r="T1044" s="52">
        <f>R1044*U1044/(U1044+100)</f>
        <v>0.31071428571428567</v>
      </c>
      <c r="U1044" s="50">
        <v>12</v>
      </c>
      <c r="V1044" s="53">
        <v>0</v>
      </c>
      <c r="W1044" s="147">
        <v>5</v>
      </c>
      <c r="X1044" s="148" t="s">
        <v>163</v>
      </c>
      <c r="Y1044" s="54">
        <f>R1044*W1044</f>
        <v>14.5</v>
      </c>
      <c r="Z1044" s="52">
        <f>S1044*W1044</f>
        <v>12.946428571428573</v>
      </c>
      <c r="AA1044" s="52">
        <f>T1044*W1044</f>
        <v>1.5535714285714284</v>
      </c>
      <c r="AB1044" s="52">
        <f>V1044*W1044</f>
        <v>0</v>
      </c>
      <c r="AC1044" s="53">
        <f>(R1044+V1044)*W1044</f>
        <v>14.5</v>
      </c>
      <c r="AD1044" s="138">
        <v>2.9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107</v>
      </c>
      <c r="F1045" s="96" t="s">
        <v>106</v>
      </c>
      <c r="G1045" s="97">
        <v>46132</v>
      </c>
      <c r="H1045" s="98">
        <v>0.4447685185185185</v>
      </c>
      <c r="I1045" s="50">
        <v>166004643</v>
      </c>
      <c r="J1045" s="96" t="s">
        <v>157</v>
      </c>
      <c r="K1045" s="49" t="s">
        <v>2075</v>
      </c>
      <c r="L1045" s="39" t="s">
        <v>2076</v>
      </c>
      <c r="M1045" s="49" t="s">
        <v>1525</v>
      </c>
      <c r="N1045" s="39" t="s">
        <v>1230</v>
      </c>
      <c r="O1045" s="96" t="s">
        <v>2077</v>
      </c>
      <c r="P1045" s="49" t="s">
        <v>157</v>
      </c>
      <c r="Q1045" s="96" t="s">
        <v>104</v>
      </c>
      <c r="R1045" s="52">
        <v>19.9</v>
      </c>
      <c r="S1045" s="52">
        <f>R1045-T1045</f>
        <v>17.767857142857142</v>
      </c>
      <c r="T1045" s="52">
        <f>R1045*U1045/(U1045+100)</f>
        <v>2.132142857142857</v>
      </c>
      <c r="U1045" s="50">
        <v>12</v>
      </c>
      <c r="V1045" s="53">
        <v>0</v>
      </c>
      <c r="W1045" s="147">
        <v>1</v>
      </c>
      <c r="X1045" s="148" t="s">
        <v>163</v>
      </c>
      <c r="Y1045" s="54">
        <f>R1045*W1045</f>
        <v>19.9</v>
      </c>
      <c r="Z1045" s="52">
        <f>S1045*W1045</f>
        <v>17.767857142857142</v>
      </c>
      <c r="AA1045" s="52">
        <f>T1045*W1045</f>
        <v>2.132142857142857</v>
      </c>
      <c r="AB1045" s="52">
        <f>V1045*W1045</f>
        <v>0</v>
      </c>
      <c r="AC1045" s="53">
        <f>(R1045+V1045)*W1045</f>
        <v>19.9</v>
      </c>
      <c r="AD1045" s="138">
        <v>19.9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107</v>
      </c>
      <c r="F1046" s="96" t="s">
        <v>106</v>
      </c>
      <c r="G1046" s="97">
        <v>46132</v>
      </c>
      <c r="H1046" s="98">
        <v>0.4447685185185185</v>
      </c>
      <c r="I1046" s="50">
        <v>166004643</v>
      </c>
      <c r="J1046" s="96" t="s">
        <v>157</v>
      </c>
      <c r="K1046" s="49" t="s">
        <v>2078</v>
      </c>
      <c r="L1046" s="39" t="s">
        <v>2079</v>
      </c>
      <c r="M1046" s="49" t="s">
        <v>214</v>
      </c>
      <c r="N1046" s="39" t="s">
        <v>1752</v>
      </c>
      <c r="O1046" s="96" t="s">
        <v>2080</v>
      </c>
      <c r="P1046" s="49" t="s">
        <v>157</v>
      </c>
      <c r="Q1046" s="96" t="s">
        <v>104</v>
      </c>
      <c r="R1046" s="52">
        <v>47.9</v>
      </c>
      <c r="S1046" s="52">
        <f>R1046-T1046</f>
        <v>42.76785714285714</v>
      </c>
      <c r="T1046" s="52">
        <f>R1046*U1046/(U1046+100)</f>
        <v>5.132142857142857</v>
      </c>
      <c r="U1046" s="50">
        <v>12</v>
      </c>
      <c r="V1046" s="53">
        <v>0</v>
      </c>
      <c r="W1046" s="147">
        <v>1</v>
      </c>
      <c r="X1046" s="148" t="s">
        <v>163</v>
      </c>
      <c r="Y1046" s="54">
        <f>R1046*W1046</f>
        <v>47.9</v>
      </c>
      <c r="Z1046" s="52">
        <f>S1046*W1046</f>
        <v>42.76785714285714</v>
      </c>
      <c r="AA1046" s="52">
        <f>T1046*W1046</f>
        <v>5.132142857142857</v>
      </c>
      <c r="AB1046" s="52">
        <f>V1046*W1046</f>
        <v>0</v>
      </c>
      <c r="AC1046" s="53">
        <f>(R1046+V1046)*W1046</f>
        <v>47.9</v>
      </c>
      <c r="AD1046" s="138">
        <v>47.9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107</v>
      </c>
      <c r="F1047" s="96" t="s">
        <v>106</v>
      </c>
      <c r="G1047" s="97">
        <v>46132</v>
      </c>
      <c r="H1047" s="98">
        <v>0.4447685185185185</v>
      </c>
      <c r="I1047" s="50">
        <v>166004643</v>
      </c>
      <c r="J1047" s="96" t="s">
        <v>157</v>
      </c>
      <c r="K1047" s="49" t="s">
        <v>2081</v>
      </c>
      <c r="L1047" s="39" t="s">
        <v>2082</v>
      </c>
      <c r="M1047" s="49" t="s">
        <v>2083</v>
      </c>
      <c r="N1047" s="39" t="s">
        <v>731</v>
      </c>
      <c r="O1047" s="96" t="s">
        <v>2084</v>
      </c>
      <c r="P1047" s="49" t="s">
        <v>157</v>
      </c>
      <c r="Q1047" s="96" t="s">
        <v>104</v>
      </c>
      <c r="R1047" s="52">
        <v>112.9</v>
      </c>
      <c r="S1047" s="52">
        <f>R1047-T1047</f>
        <v>93.30578512396694</v>
      </c>
      <c r="T1047" s="52">
        <f>R1047*U1047/(U1047+100)</f>
        <v>19.59421487603306</v>
      </c>
      <c r="U1047" s="50">
        <v>21</v>
      </c>
      <c r="V1047" s="53">
        <v>0</v>
      </c>
      <c r="W1047" s="147">
        <v>1</v>
      </c>
      <c r="X1047" s="148" t="s">
        <v>163</v>
      </c>
      <c r="Y1047" s="54">
        <f>R1047*W1047</f>
        <v>112.9</v>
      </c>
      <c r="Z1047" s="52">
        <f>S1047*W1047</f>
        <v>93.30578512396694</v>
      </c>
      <c r="AA1047" s="52">
        <f>T1047*W1047</f>
        <v>19.59421487603306</v>
      </c>
      <c r="AB1047" s="52">
        <f>V1047*W1047</f>
        <v>0</v>
      </c>
      <c r="AC1047" s="53">
        <f>(R1047+V1047)*W1047</f>
        <v>112.9</v>
      </c>
      <c r="AD1047" s="138">
        <v>112.9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107</v>
      </c>
      <c r="F1048" s="96" t="s">
        <v>106</v>
      </c>
      <c r="G1048" s="97">
        <v>46132</v>
      </c>
      <c r="H1048" s="98">
        <v>0.4447685185185185</v>
      </c>
      <c r="I1048" s="50">
        <v>166004643</v>
      </c>
      <c r="J1048" s="96" t="s">
        <v>157</v>
      </c>
      <c r="K1048" s="49" t="s">
        <v>507</v>
      </c>
      <c r="L1048" s="39" t="s">
        <v>508</v>
      </c>
      <c r="M1048" s="49" t="s">
        <v>509</v>
      </c>
      <c r="N1048" s="39" t="s">
        <v>256</v>
      </c>
      <c r="O1048" s="96" t="s">
        <v>1024</v>
      </c>
      <c r="P1048" s="49" t="s">
        <v>235</v>
      </c>
      <c r="Q1048" s="96" t="s">
        <v>236</v>
      </c>
      <c r="R1048" s="52">
        <v>15.9</v>
      </c>
      <c r="S1048" s="52">
        <f>R1048-T1048</f>
        <v>13.140495867768596</v>
      </c>
      <c r="T1048" s="52">
        <f>R1048*U1048/(U1048+100)</f>
        <v>2.759504132231405</v>
      </c>
      <c r="U1048" s="50">
        <v>21</v>
      </c>
      <c r="V1048" s="53">
        <v>0</v>
      </c>
      <c r="W1048" s="147">
        <v>1</v>
      </c>
      <c r="X1048" s="148" t="s">
        <v>163</v>
      </c>
      <c r="Y1048" s="54">
        <f>R1048*W1048</f>
        <v>15.9</v>
      </c>
      <c r="Z1048" s="52">
        <f>S1048*W1048</f>
        <v>13.140495867768596</v>
      </c>
      <c r="AA1048" s="52">
        <f>T1048*W1048</f>
        <v>2.759504132231405</v>
      </c>
      <c r="AB1048" s="52">
        <f>V1048*W1048</f>
        <v>0</v>
      </c>
      <c r="AC1048" s="53">
        <f>(R1048+V1048)*W1048</f>
        <v>15.9</v>
      </c>
      <c r="AD1048" s="138">
        <v>15.9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107</v>
      </c>
      <c r="F1049" s="96" t="s">
        <v>106</v>
      </c>
      <c r="G1049" s="97">
        <v>46132</v>
      </c>
      <c r="H1049" s="98">
        <v>0.4447685185185185</v>
      </c>
      <c r="I1049" s="50">
        <v>166004643</v>
      </c>
      <c r="J1049" s="96" t="s">
        <v>157</v>
      </c>
      <c r="K1049" s="49" t="s">
        <v>507</v>
      </c>
      <c r="L1049" s="39" t="s">
        <v>508</v>
      </c>
      <c r="M1049" s="49" t="s">
        <v>509</v>
      </c>
      <c r="N1049" s="39" t="s">
        <v>256</v>
      </c>
      <c r="O1049" s="96" t="s">
        <v>1024</v>
      </c>
      <c r="P1049" s="49" t="s">
        <v>235</v>
      </c>
      <c r="Q1049" s="96" t="s">
        <v>236</v>
      </c>
      <c r="R1049" s="52">
        <v>15.9</v>
      </c>
      <c r="S1049" s="52">
        <f>R1049-T1049</f>
        <v>13.140495867768596</v>
      </c>
      <c r="T1049" s="52">
        <f>R1049*U1049/(U1049+100)</f>
        <v>2.759504132231405</v>
      </c>
      <c r="U1049" s="50">
        <v>21</v>
      </c>
      <c r="V1049" s="53">
        <v>0</v>
      </c>
      <c r="W1049" s="147">
        <v>1</v>
      </c>
      <c r="X1049" s="148" t="s">
        <v>163</v>
      </c>
      <c r="Y1049" s="54">
        <f>R1049*W1049</f>
        <v>15.9</v>
      </c>
      <c r="Z1049" s="52">
        <f>S1049*W1049</f>
        <v>13.140495867768596</v>
      </c>
      <c r="AA1049" s="52">
        <f>T1049*W1049</f>
        <v>2.759504132231405</v>
      </c>
      <c r="AB1049" s="52">
        <f>V1049*W1049</f>
        <v>0</v>
      </c>
      <c r="AC1049" s="53">
        <f>(R1049+V1049)*W1049</f>
        <v>15.9</v>
      </c>
      <c r="AD1049" s="138">
        <v>15.9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107</v>
      </c>
      <c r="F1050" s="96" t="s">
        <v>106</v>
      </c>
      <c r="G1050" s="97">
        <v>46132</v>
      </c>
      <c r="H1050" s="98">
        <v>0.445</v>
      </c>
      <c r="I1050" s="50">
        <v>166004644</v>
      </c>
      <c r="J1050" s="96" t="s">
        <v>157</v>
      </c>
      <c r="K1050" s="49" t="s">
        <v>329</v>
      </c>
      <c r="L1050" s="39" t="s">
        <v>330</v>
      </c>
      <c r="M1050" s="49" t="s">
        <v>185</v>
      </c>
      <c r="N1050" s="39" t="s">
        <v>331</v>
      </c>
      <c r="O1050" s="96" t="s">
        <v>1640</v>
      </c>
      <c r="P1050" s="49" t="s">
        <v>157</v>
      </c>
      <c r="Q1050" s="96" t="s">
        <v>104</v>
      </c>
      <c r="R1050" s="52">
        <v>49.9</v>
      </c>
      <c r="S1050" s="52">
        <f>R1050-T1050</f>
        <v>44.55357142857143</v>
      </c>
      <c r="T1050" s="52">
        <f>R1050*U1050/(U1050+100)</f>
        <v>5.346428571428571</v>
      </c>
      <c r="U1050" s="50">
        <v>12</v>
      </c>
      <c r="V1050" s="53">
        <v>0</v>
      </c>
      <c r="W1050" s="147">
        <v>1</v>
      </c>
      <c r="X1050" s="148" t="s">
        <v>163</v>
      </c>
      <c r="Y1050" s="54">
        <f>R1050*W1050</f>
        <v>49.9</v>
      </c>
      <c r="Z1050" s="52">
        <f>S1050*W1050</f>
        <v>44.55357142857143</v>
      </c>
      <c r="AA1050" s="52">
        <f>T1050*W1050</f>
        <v>5.346428571428571</v>
      </c>
      <c r="AB1050" s="52">
        <f>V1050*W1050</f>
        <v>0</v>
      </c>
      <c r="AC1050" s="53">
        <f>(R1050+V1050)*W1050</f>
        <v>49.9</v>
      </c>
      <c r="AD1050" s="138">
        <v>49.9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107</v>
      </c>
      <c r="F1051" s="96" t="s">
        <v>106</v>
      </c>
      <c r="G1051" s="97">
        <v>46132</v>
      </c>
      <c r="H1051" s="98">
        <v>0.445</v>
      </c>
      <c r="I1051" s="50">
        <v>166004644</v>
      </c>
      <c r="J1051" s="96" t="s">
        <v>157</v>
      </c>
      <c r="K1051" s="49" t="s">
        <v>303</v>
      </c>
      <c r="L1051" s="39" t="s">
        <v>304</v>
      </c>
      <c r="M1051" s="49" t="s">
        <v>214</v>
      </c>
      <c r="N1051" s="39" t="s">
        <v>296</v>
      </c>
      <c r="O1051" s="96" t="s">
        <v>305</v>
      </c>
      <c r="P1051" s="49" t="s">
        <v>157</v>
      </c>
      <c r="Q1051" s="96" t="s">
        <v>104</v>
      </c>
      <c r="R1051" s="52">
        <v>11.9</v>
      </c>
      <c r="S1051" s="52">
        <f>R1051-T1051</f>
        <v>10.625</v>
      </c>
      <c r="T1051" s="52">
        <f>R1051*U1051/(U1051+100)</f>
        <v>1.2750000000000001</v>
      </c>
      <c r="U1051" s="50">
        <v>12</v>
      </c>
      <c r="V1051" s="53">
        <v>0</v>
      </c>
      <c r="W1051" s="147">
        <v>1</v>
      </c>
      <c r="X1051" s="148" t="s">
        <v>163</v>
      </c>
      <c r="Y1051" s="54">
        <f>R1051*W1051</f>
        <v>11.9</v>
      </c>
      <c r="Z1051" s="52">
        <f>S1051*W1051</f>
        <v>10.625</v>
      </c>
      <c r="AA1051" s="52">
        <f>T1051*W1051</f>
        <v>1.2750000000000001</v>
      </c>
      <c r="AB1051" s="52">
        <f>V1051*W1051</f>
        <v>0</v>
      </c>
      <c r="AC1051" s="53">
        <f>(R1051+V1051)*W1051</f>
        <v>11.9</v>
      </c>
      <c r="AD1051" s="138">
        <v>11.9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107</v>
      </c>
      <c r="F1052" s="96" t="s">
        <v>106</v>
      </c>
      <c r="G1052" s="97">
        <v>46132</v>
      </c>
      <c r="H1052" s="98">
        <v>0.4456712962962963</v>
      </c>
      <c r="I1052" s="50">
        <v>166004645</v>
      </c>
      <c r="J1052" s="96" t="s">
        <v>157</v>
      </c>
      <c r="K1052" s="49" t="s">
        <v>499</v>
      </c>
      <c r="L1052" s="39" t="s">
        <v>500</v>
      </c>
      <c r="M1052" s="49" t="s">
        <v>214</v>
      </c>
      <c r="N1052" s="39" t="s">
        <v>501</v>
      </c>
      <c r="O1052" s="96" t="s">
        <v>1295</v>
      </c>
      <c r="P1052" s="49" t="s">
        <v>157</v>
      </c>
      <c r="Q1052" s="96" t="s">
        <v>104</v>
      </c>
      <c r="R1052" s="52">
        <v>29.9</v>
      </c>
      <c r="S1052" s="52">
        <f>R1052-T1052</f>
        <v>26.69642857142857</v>
      </c>
      <c r="T1052" s="52">
        <f>R1052*U1052/(U1052+100)</f>
        <v>3.2035714285714283</v>
      </c>
      <c r="U1052" s="50">
        <v>12</v>
      </c>
      <c r="V1052" s="53">
        <v>0</v>
      </c>
      <c r="W1052" s="147">
        <v>1</v>
      </c>
      <c r="X1052" s="148" t="s">
        <v>163</v>
      </c>
      <c r="Y1052" s="54">
        <f>R1052*W1052</f>
        <v>29.9</v>
      </c>
      <c r="Z1052" s="52">
        <f>S1052*W1052</f>
        <v>26.69642857142857</v>
      </c>
      <c r="AA1052" s="52">
        <f>T1052*W1052</f>
        <v>3.2035714285714283</v>
      </c>
      <c r="AB1052" s="52">
        <f>V1052*W1052</f>
        <v>0</v>
      </c>
      <c r="AC1052" s="53">
        <f>(R1052+V1052)*W1052</f>
        <v>29.9</v>
      </c>
      <c r="AD1052" s="138">
        <v>29.9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107</v>
      </c>
      <c r="F1053" s="96" t="s">
        <v>106</v>
      </c>
      <c r="G1053" s="97">
        <v>46132</v>
      </c>
      <c r="H1053" s="98">
        <v>0.4456712962962963</v>
      </c>
      <c r="I1053" s="50">
        <v>166004645</v>
      </c>
      <c r="J1053" s="96" t="s">
        <v>157</v>
      </c>
      <c r="K1053" s="49" t="s">
        <v>2007</v>
      </c>
      <c r="L1053" s="39" t="s">
        <v>2008</v>
      </c>
      <c r="M1053" s="49" t="s">
        <v>862</v>
      </c>
      <c r="N1053" s="39" t="s">
        <v>863</v>
      </c>
      <c r="O1053" s="96" t="s">
        <v>2009</v>
      </c>
      <c r="P1053" s="49" t="s">
        <v>157</v>
      </c>
      <c r="Q1053" s="96" t="s">
        <v>104</v>
      </c>
      <c r="R1053" s="52">
        <v>161</v>
      </c>
      <c r="S1053" s="52">
        <f>R1053-T1053</f>
        <v>133.05785123966942</v>
      </c>
      <c r="T1053" s="52">
        <f>R1053*U1053/(U1053+100)</f>
        <v>27.94214876033058</v>
      </c>
      <c r="U1053" s="50">
        <v>21</v>
      </c>
      <c r="V1053" s="53">
        <v>0</v>
      </c>
      <c r="W1053" s="147">
        <v>1</v>
      </c>
      <c r="X1053" s="148" t="s">
        <v>163</v>
      </c>
      <c r="Y1053" s="54">
        <f>R1053*W1053</f>
        <v>161</v>
      </c>
      <c r="Z1053" s="52">
        <f>S1053*W1053</f>
        <v>133.05785123966942</v>
      </c>
      <c r="AA1053" s="52">
        <f>T1053*W1053</f>
        <v>27.94214876033058</v>
      </c>
      <c r="AB1053" s="52">
        <f>V1053*W1053</f>
        <v>0</v>
      </c>
      <c r="AC1053" s="53">
        <f>(R1053+V1053)*W1053</f>
        <v>161</v>
      </c>
      <c r="AD1053" s="138">
        <v>161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107</v>
      </c>
      <c r="F1054" s="96" t="s">
        <v>106</v>
      </c>
      <c r="G1054" s="97">
        <v>46132</v>
      </c>
      <c r="H1054" s="98">
        <v>0.4456712962962963</v>
      </c>
      <c r="I1054" s="50">
        <v>166004645</v>
      </c>
      <c r="J1054" s="96" t="s">
        <v>157</v>
      </c>
      <c r="K1054" s="49" t="s">
        <v>266</v>
      </c>
      <c r="L1054" s="39" t="s">
        <v>267</v>
      </c>
      <c r="M1054" s="49" t="s">
        <v>268</v>
      </c>
      <c r="N1054" s="39" t="s">
        <v>269</v>
      </c>
      <c r="O1054" s="96" t="s">
        <v>1249</v>
      </c>
      <c r="P1054" s="49" t="s">
        <v>235</v>
      </c>
      <c r="Q1054" s="96" t="s">
        <v>236</v>
      </c>
      <c r="R1054" s="52">
        <v>11.9</v>
      </c>
      <c r="S1054" s="52">
        <f>R1054-T1054</f>
        <v>10.625</v>
      </c>
      <c r="T1054" s="52">
        <f>R1054*U1054/(U1054+100)</f>
        <v>1.2750000000000001</v>
      </c>
      <c r="U1054" s="50">
        <v>12</v>
      </c>
      <c r="V1054" s="53">
        <v>0</v>
      </c>
      <c r="W1054" s="147">
        <v>1</v>
      </c>
      <c r="X1054" s="148" t="s">
        <v>163</v>
      </c>
      <c r="Y1054" s="54">
        <f>R1054*W1054</f>
        <v>11.9</v>
      </c>
      <c r="Z1054" s="52">
        <f>S1054*W1054</f>
        <v>10.625</v>
      </c>
      <c r="AA1054" s="52">
        <f>T1054*W1054</f>
        <v>1.2750000000000001</v>
      </c>
      <c r="AB1054" s="52">
        <f>V1054*W1054</f>
        <v>0</v>
      </c>
      <c r="AC1054" s="53">
        <f>(R1054+V1054)*W1054</f>
        <v>11.9</v>
      </c>
      <c r="AD1054" s="138">
        <v>11.9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107</v>
      </c>
      <c r="F1055" s="96" t="s">
        <v>106</v>
      </c>
      <c r="G1055" s="97">
        <v>46132</v>
      </c>
      <c r="H1055" s="98">
        <v>0.4456712962962963</v>
      </c>
      <c r="I1055" s="50">
        <v>166004645</v>
      </c>
      <c r="J1055" s="96" t="s">
        <v>157</v>
      </c>
      <c r="K1055" s="49" t="s">
        <v>293</v>
      </c>
      <c r="L1055" s="39" t="s">
        <v>294</v>
      </c>
      <c r="M1055" s="49" t="s">
        <v>295</v>
      </c>
      <c r="N1055" s="39" t="s">
        <v>296</v>
      </c>
      <c r="O1055" s="96" t="s">
        <v>297</v>
      </c>
      <c r="P1055" s="49" t="s">
        <v>157</v>
      </c>
      <c r="Q1055" s="96" t="s">
        <v>104</v>
      </c>
      <c r="R1055" s="52">
        <v>2.9</v>
      </c>
      <c r="S1055" s="52">
        <f>R1055-T1055</f>
        <v>2.5892857142857144</v>
      </c>
      <c r="T1055" s="52">
        <f>R1055*U1055/(U1055+100)</f>
        <v>0.31071428571428567</v>
      </c>
      <c r="U1055" s="50">
        <v>12</v>
      </c>
      <c r="V1055" s="53">
        <v>0</v>
      </c>
      <c r="W1055" s="147">
        <v>8</v>
      </c>
      <c r="X1055" s="148" t="s">
        <v>163</v>
      </c>
      <c r="Y1055" s="54">
        <f>R1055*W1055</f>
        <v>23.2</v>
      </c>
      <c r="Z1055" s="52">
        <f>S1055*W1055</f>
        <v>20.714285714285715</v>
      </c>
      <c r="AA1055" s="52">
        <f>T1055*W1055</f>
        <v>2.4857142857142853</v>
      </c>
      <c r="AB1055" s="52">
        <f>V1055*W1055</f>
        <v>0</v>
      </c>
      <c r="AC1055" s="53">
        <f>(R1055+V1055)*W1055</f>
        <v>23.2</v>
      </c>
      <c r="AD1055" s="138">
        <v>2.9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107</v>
      </c>
      <c r="F1056" s="96" t="s">
        <v>106</v>
      </c>
      <c r="G1056" s="97">
        <v>46132</v>
      </c>
      <c r="H1056" s="98">
        <v>0.44590277777777776</v>
      </c>
      <c r="I1056" s="50">
        <v>166004646</v>
      </c>
      <c r="J1056" s="96" t="s">
        <v>157</v>
      </c>
      <c r="K1056" s="49" t="s">
        <v>1164</v>
      </c>
      <c r="L1056" s="39" t="s">
        <v>1165</v>
      </c>
      <c r="M1056" s="49" t="s">
        <v>277</v>
      </c>
      <c r="N1056" s="39" t="s">
        <v>408</v>
      </c>
      <c r="O1056" s="96" t="s">
        <v>1166</v>
      </c>
      <c r="P1056" s="49" t="s">
        <v>157</v>
      </c>
      <c r="Q1056" s="96" t="s">
        <v>104</v>
      </c>
      <c r="R1056" s="52">
        <v>159.9</v>
      </c>
      <c r="S1056" s="52">
        <f>R1056-T1056</f>
        <v>142.76785714285714</v>
      </c>
      <c r="T1056" s="52">
        <f>R1056*U1056/(U1056+100)</f>
        <v>17.13214285714286</v>
      </c>
      <c r="U1056" s="50">
        <v>12</v>
      </c>
      <c r="V1056" s="53">
        <v>0</v>
      </c>
      <c r="W1056" s="147">
        <v>0.15</v>
      </c>
      <c r="X1056" s="148" t="s">
        <v>410</v>
      </c>
      <c r="Y1056" s="54">
        <f>R1056*W1056</f>
        <v>23.985</v>
      </c>
      <c r="Z1056" s="52">
        <f>S1056*W1056</f>
        <v>21.41517857142857</v>
      </c>
      <c r="AA1056" s="52">
        <f>T1056*W1056</f>
        <v>2.5698214285714287</v>
      </c>
      <c r="AB1056" s="52">
        <f>V1056*W1056</f>
        <v>0</v>
      </c>
      <c r="AC1056" s="53">
        <f>(R1056+V1056)*W1056</f>
        <v>23.985</v>
      </c>
      <c r="AD1056" s="138">
        <v>159.9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107</v>
      </c>
      <c r="F1057" s="96" t="s">
        <v>106</v>
      </c>
      <c r="G1057" s="97">
        <v>46132</v>
      </c>
      <c r="H1057" s="98">
        <v>0.446400462962963</v>
      </c>
      <c r="I1057" s="50">
        <v>166004647</v>
      </c>
      <c r="J1057" s="96" t="s">
        <v>157</v>
      </c>
      <c r="K1057" s="49" t="s">
        <v>1509</v>
      </c>
      <c r="L1057" s="39" t="s">
        <v>1510</v>
      </c>
      <c r="M1057" s="49" t="s">
        <v>893</v>
      </c>
      <c r="N1057" s="39" t="s">
        <v>319</v>
      </c>
      <c r="O1057" s="96" t="s">
        <v>1511</v>
      </c>
      <c r="P1057" s="49" t="s">
        <v>235</v>
      </c>
      <c r="Q1057" s="96" t="s">
        <v>236</v>
      </c>
      <c r="R1057" s="52">
        <v>24.9</v>
      </c>
      <c r="S1057" s="52">
        <f>R1057-T1057</f>
        <v>22.232142857142858</v>
      </c>
      <c r="T1057" s="52">
        <f>R1057*U1057/(U1057+100)</f>
        <v>2.6678571428571423</v>
      </c>
      <c r="U1057" s="50">
        <v>12</v>
      </c>
      <c r="V1057" s="53">
        <v>0</v>
      </c>
      <c r="W1057" s="147">
        <v>1</v>
      </c>
      <c r="X1057" s="148" t="s">
        <v>163</v>
      </c>
      <c r="Y1057" s="54">
        <f>R1057*W1057</f>
        <v>24.9</v>
      </c>
      <c r="Z1057" s="52">
        <f>S1057*W1057</f>
        <v>22.232142857142858</v>
      </c>
      <c r="AA1057" s="52">
        <f>T1057*W1057</f>
        <v>2.6678571428571423</v>
      </c>
      <c r="AB1057" s="52">
        <f>V1057*W1057</f>
        <v>0</v>
      </c>
      <c r="AC1057" s="53">
        <f>(R1057+V1057)*W1057</f>
        <v>24.9</v>
      </c>
      <c r="AD1057" s="138">
        <v>24.9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107</v>
      </c>
      <c r="F1058" s="96" t="s">
        <v>106</v>
      </c>
      <c r="G1058" s="97">
        <v>46132</v>
      </c>
      <c r="H1058" s="98">
        <v>0.446400462962963</v>
      </c>
      <c r="I1058" s="50">
        <v>166004647</v>
      </c>
      <c r="J1058" s="96" t="s">
        <v>157</v>
      </c>
      <c r="K1058" s="49" t="s">
        <v>707</v>
      </c>
      <c r="L1058" s="39" t="s">
        <v>708</v>
      </c>
      <c r="M1058" s="49" t="s">
        <v>709</v>
      </c>
      <c r="N1058" s="39" t="s">
        <v>319</v>
      </c>
      <c r="O1058" s="96" t="s">
        <v>1504</v>
      </c>
      <c r="P1058" s="49" t="s">
        <v>235</v>
      </c>
      <c r="Q1058" s="96" t="s">
        <v>236</v>
      </c>
      <c r="R1058" s="52">
        <v>19.9</v>
      </c>
      <c r="S1058" s="52">
        <f>R1058-T1058</f>
        <v>17.767857142857142</v>
      </c>
      <c r="T1058" s="52">
        <f>R1058*U1058/(U1058+100)</f>
        <v>2.132142857142857</v>
      </c>
      <c r="U1058" s="50">
        <v>12</v>
      </c>
      <c r="V1058" s="53">
        <v>0</v>
      </c>
      <c r="W1058" s="147">
        <v>1</v>
      </c>
      <c r="X1058" s="148" t="s">
        <v>163</v>
      </c>
      <c r="Y1058" s="54">
        <f>R1058*W1058</f>
        <v>19.9</v>
      </c>
      <c r="Z1058" s="52">
        <f>S1058*W1058</f>
        <v>17.767857142857142</v>
      </c>
      <c r="AA1058" s="52">
        <f>T1058*W1058</f>
        <v>2.132142857142857</v>
      </c>
      <c r="AB1058" s="52">
        <f>V1058*W1058</f>
        <v>0</v>
      </c>
      <c r="AC1058" s="53">
        <f>(R1058+V1058)*W1058</f>
        <v>19.9</v>
      </c>
      <c r="AD1058" s="138">
        <v>19.9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107</v>
      </c>
      <c r="F1059" s="96" t="s">
        <v>106</v>
      </c>
      <c r="G1059" s="97">
        <v>46132</v>
      </c>
      <c r="H1059" s="98">
        <v>0.446400462962963</v>
      </c>
      <c r="I1059" s="50">
        <v>166004647</v>
      </c>
      <c r="J1059" s="96" t="s">
        <v>157</v>
      </c>
      <c r="K1059" s="49" t="s">
        <v>707</v>
      </c>
      <c r="L1059" s="39" t="s">
        <v>708</v>
      </c>
      <c r="M1059" s="49" t="s">
        <v>709</v>
      </c>
      <c r="N1059" s="39" t="s">
        <v>319</v>
      </c>
      <c r="O1059" s="96" t="s">
        <v>1504</v>
      </c>
      <c r="P1059" s="49" t="s">
        <v>235</v>
      </c>
      <c r="Q1059" s="96" t="s">
        <v>236</v>
      </c>
      <c r="R1059" s="52">
        <v>19.9</v>
      </c>
      <c r="S1059" s="52">
        <f>R1059-T1059</f>
        <v>17.767857142857142</v>
      </c>
      <c r="T1059" s="52">
        <f>R1059*U1059/(U1059+100)</f>
        <v>2.132142857142857</v>
      </c>
      <c r="U1059" s="50">
        <v>12</v>
      </c>
      <c r="V1059" s="53">
        <v>0</v>
      </c>
      <c r="W1059" s="147">
        <v>1</v>
      </c>
      <c r="X1059" s="148" t="s">
        <v>163</v>
      </c>
      <c r="Y1059" s="54">
        <f>R1059*W1059</f>
        <v>19.9</v>
      </c>
      <c r="Z1059" s="52">
        <f>S1059*W1059</f>
        <v>17.767857142857142</v>
      </c>
      <c r="AA1059" s="52">
        <f>T1059*W1059</f>
        <v>2.132142857142857</v>
      </c>
      <c r="AB1059" s="52">
        <f>V1059*W1059</f>
        <v>0</v>
      </c>
      <c r="AC1059" s="53">
        <f>(R1059+V1059)*W1059</f>
        <v>19.9</v>
      </c>
      <c r="AD1059" s="138">
        <v>19.9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107</v>
      </c>
      <c r="F1060" s="96" t="s">
        <v>106</v>
      </c>
      <c r="G1060" s="97">
        <v>46132</v>
      </c>
      <c r="H1060" s="98">
        <v>0.446400462962963</v>
      </c>
      <c r="I1060" s="50">
        <v>166004647</v>
      </c>
      <c r="J1060" s="96" t="s">
        <v>157</v>
      </c>
      <c r="K1060" s="49" t="s">
        <v>1371</v>
      </c>
      <c r="L1060" s="39" t="s">
        <v>1372</v>
      </c>
      <c r="M1060" s="49" t="s">
        <v>1373</v>
      </c>
      <c r="N1060" s="39" t="s">
        <v>481</v>
      </c>
      <c r="O1060" s="96" t="s">
        <v>1374</v>
      </c>
      <c r="P1060" s="49" t="s">
        <v>157</v>
      </c>
      <c r="Q1060" s="96" t="s">
        <v>104</v>
      </c>
      <c r="R1060" s="52">
        <v>39.9</v>
      </c>
      <c r="S1060" s="52">
        <f>R1060-T1060</f>
        <v>35.625</v>
      </c>
      <c r="T1060" s="52">
        <f>R1060*U1060/(U1060+100)</f>
        <v>4.2749999999999995</v>
      </c>
      <c r="U1060" s="50">
        <v>12</v>
      </c>
      <c r="V1060" s="53">
        <v>0</v>
      </c>
      <c r="W1060" s="147">
        <v>1</v>
      </c>
      <c r="X1060" s="148" t="s">
        <v>163</v>
      </c>
      <c r="Y1060" s="54">
        <f>R1060*W1060</f>
        <v>39.9</v>
      </c>
      <c r="Z1060" s="52">
        <f>S1060*W1060</f>
        <v>35.625</v>
      </c>
      <c r="AA1060" s="52">
        <f>T1060*W1060</f>
        <v>4.2749999999999995</v>
      </c>
      <c r="AB1060" s="52">
        <f>V1060*W1060</f>
        <v>0</v>
      </c>
      <c r="AC1060" s="53">
        <f>(R1060+V1060)*W1060</f>
        <v>39.9</v>
      </c>
      <c r="AD1060" s="138">
        <v>39.9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107</v>
      </c>
      <c r="F1061" s="96" t="s">
        <v>106</v>
      </c>
      <c r="G1061" s="97">
        <v>46132</v>
      </c>
      <c r="H1061" s="98">
        <v>0.446400462962963</v>
      </c>
      <c r="I1061" s="50">
        <v>166004647</v>
      </c>
      <c r="J1061" s="96" t="s">
        <v>157</v>
      </c>
      <c r="K1061" s="49" t="s">
        <v>530</v>
      </c>
      <c r="L1061" s="39" t="s">
        <v>531</v>
      </c>
      <c r="M1061" s="49" t="s">
        <v>190</v>
      </c>
      <c r="N1061" s="39" t="s">
        <v>532</v>
      </c>
      <c r="O1061" s="96" t="s">
        <v>533</v>
      </c>
      <c r="P1061" s="49" t="s">
        <v>157</v>
      </c>
      <c r="Q1061" s="96" t="s">
        <v>104</v>
      </c>
      <c r="R1061" s="52">
        <v>25.9</v>
      </c>
      <c r="S1061" s="52">
        <f>R1061-T1061</f>
        <v>23.125</v>
      </c>
      <c r="T1061" s="52">
        <f>R1061*U1061/(U1061+100)</f>
        <v>2.7749999999999995</v>
      </c>
      <c r="U1061" s="50">
        <v>12</v>
      </c>
      <c r="V1061" s="53">
        <v>0</v>
      </c>
      <c r="W1061" s="147">
        <v>1.234</v>
      </c>
      <c r="X1061" s="148" t="s">
        <v>193</v>
      </c>
      <c r="Y1061" s="54">
        <f>R1061*W1061</f>
        <v>31.9606</v>
      </c>
      <c r="Z1061" s="52">
        <f>S1061*W1061</f>
        <v>28.53625</v>
      </c>
      <c r="AA1061" s="52">
        <f>T1061*W1061</f>
        <v>3.424349999999999</v>
      </c>
      <c r="AB1061" s="52">
        <f>V1061*W1061</f>
        <v>0</v>
      </c>
      <c r="AC1061" s="53">
        <f>(R1061+V1061)*W1061</f>
        <v>31.9606</v>
      </c>
      <c r="AD1061" s="138">
        <v>25.9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107</v>
      </c>
      <c r="F1062" s="96" t="s">
        <v>106</v>
      </c>
      <c r="G1062" s="97">
        <v>46132</v>
      </c>
      <c r="H1062" s="98">
        <v>0.446400462962963</v>
      </c>
      <c r="I1062" s="50">
        <v>166004647</v>
      </c>
      <c r="J1062" s="96" t="s">
        <v>157</v>
      </c>
      <c r="K1062" s="49" t="s">
        <v>2085</v>
      </c>
      <c r="L1062" s="39" t="s">
        <v>2086</v>
      </c>
      <c r="M1062" s="49" t="s">
        <v>997</v>
      </c>
      <c r="N1062" s="39" t="s">
        <v>1542</v>
      </c>
      <c r="O1062" s="96" t="s">
        <v>2087</v>
      </c>
      <c r="P1062" s="49" t="s">
        <v>157</v>
      </c>
      <c r="Q1062" s="96" t="s">
        <v>104</v>
      </c>
      <c r="R1062" s="52">
        <v>38</v>
      </c>
      <c r="S1062" s="52">
        <f>R1062-T1062</f>
        <v>33.92857142857143</v>
      </c>
      <c r="T1062" s="52">
        <f>R1062*U1062/(U1062+100)</f>
        <v>4.071428571428571</v>
      </c>
      <c r="U1062" s="50">
        <v>12</v>
      </c>
      <c r="V1062" s="53">
        <v>0</v>
      </c>
      <c r="W1062" s="147">
        <v>1</v>
      </c>
      <c r="X1062" s="148" t="s">
        <v>945</v>
      </c>
      <c r="Y1062" s="54">
        <f>R1062*W1062</f>
        <v>38</v>
      </c>
      <c r="Z1062" s="52">
        <f>S1062*W1062</f>
        <v>33.92857142857143</v>
      </c>
      <c r="AA1062" s="52">
        <f>T1062*W1062</f>
        <v>4.071428571428571</v>
      </c>
      <c r="AB1062" s="52">
        <f>V1062*W1062</f>
        <v>0</v>
      </c>
      <c r="AC1062" s="53">
        <f>(R1062+V1062)*W1062</f>
        <v>38</v>
      </c>
      <c r="AD1062" s="138">
        <v>38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107</v>
      </c>
      <c r="F1063" s="96" t="s">
        <v>106</v>
      </c>
      <c r="G1063" s="97">
        <v>46132</v>
      </c>
      <c r="H1063" s="98">
        <v>0.4467013888888889</v>
      </c>
      <c r="I1063" s="50">
        <v>166004648</v>
      </c>
      <c r="J1063" s="96" t="s">
        <v>157</v>
      </c>
      <c r="K1063" s="49" t="s">
        <v>2088</v>
      </c>
      <c r="L1063" s="39" t="s">
        <v>2089</v>
      </c>
      <c r="M1063" s="49" t="s">
        <v>429</v>
      </c>
      <c r="N1063" s="39" t="s">
        <v>1485</v>
      </c>
      <c r="O1063" s="96" t="s">
        <v>2090</v>
      </c>
      <c r="P1063" s="49" t="s">
        <v>157</v>
      </c>
      <c r="Q1063" s="96" t="s">
        <v>104</v>
      </c>
      <c r="R1063" s="52">
        <v>19.9</v>
      </c>
      <c r="S1063" s="52">
        <f>R1063-T1063</f>
        <v>17.767857142857142</v>
      </c>
      <c r="T1063" s="52">
        <f>R1063*U1063/(U1063+100)</f>
        <v>2.132142857142857</v>
      </c>
      <c r="U1063" s="50">
        <v>12</v>
      </c>
      <c r="V1063" s="53">
        <v>0</v>
      </c>
      <c r="W1063" s="147">
        <v>1</v>
      </c>
      <c r="X1063" s="148" t="s">
        <v>163</v>
      </c>
      <c r="Y1063" s="54">
        <f>R1063*W1063</f>
        <v>19.9</v>
      </c>
      <c r="Z1063" s="52">
        <f>S1063*W1063</f>
        <v>17.767857142857142</v>
      </c>
      <c r="AA1063" s="52">
        <f>T1063*W1063</f>
        <v>2.132142857142857</v>
      </c>
      <c r="AB1063" s="52">
        <f>V1063*W1063</f>
        <v>0</v>
      </c>
      <c r="AC1063" s="53">
        <f>(R1063+V1063)*W1063</f>
        <v>19.9</v>
      </c>
      <c r="AD1063" s="138">
        <v>19.9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107</v>
      </c>
      <c r="F1064" s="96" t="s">
        <v>106</v>
      </c>
      <c r="G1064" s="97">
        <v>46132</v>
      </c>
      <c r="H1064" s="98">
        <v>0.4467013888888889</v>
      </c>
      <c r="I1064" s="50">
        <v>166004648</v>
      </c>
      <c r="J1064" s="96" t="s">
        <v>157</v>
      </c>
      <c r="K1064" s="49" t="s">
        <v>2091</v>
      </c>
      <c r="L1064" s="39" t="s">
        <v>2092</v>
      </c>
      <c r="M1064" s="49" t="s">
        <v>429</v>
      </c>
      <c r="N1064" s="39" t="s">
        <v>2093</v>
      </c>
      <c r="O1064" s="96" t="s">
        <v>2094</v>
      </c>
      <c r="P1064" s="49" t="s">
        <v>157</v>
      </c>
      <c r="Q1064" s="96" t="s">
        <v>104</v>
      </c>
      <c r="R1064" s="52">
        <v>14.9</v>
      </c>
      <c r="S1064" s="52">
        <f>R1064-T1064</f>
        <v>13.303571428571429</v>
      </c>
      <c r="T1064" s="52">
        <f>R1064*U1064/(U1064+100)</f>
        <v>1.5964285714285715</v>
      </c>
      <c r="U1064" s="50">
        <v>12</v>
      </c>
      <c r="V1064" s="53">
        <v>0</v>
      </c>
      <c r="W1064" s="147">
        <v>1</v>
      </c>
      <c r="X1064" s="148" t="s">
        <v>163</v>
      </c>
      <c r="Y1064" s="54">
        <f>R1064*W1064</f>
        <v>14.9</v>
      </c>
      <c r="Z1064" s="52">
        <f>S1064*W1064</f>
        <v>13.303571428571429</v>
      </c>
      <c r="AA1064" s="52">
        <f>T1064*W1064</f>
        <v>1.5964285714285715</v>
      </c>
      <c r="AB1064" s="52">
        <f>V1064*W1064</f>
        <v>0</v>
      </c>
      <c r="AC1064" s="53">
        <f>(R1064+V1064)*W1064</f>
        <v>14.9</v>
      </c>
      <c r="AD1064" s="138">
        <v>14.9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107</v>
      </c>
      <c r="F1065" s="96" t="s">
        <v>106</v>
      </c>
      <c r="G1065" s="97">
        <v>46132</v>
      </c>
      <c r="H1065" s="98">
        <v>0.4467013888888889</v>
      </c>
      <c r="I1065" s="50">
        <v>166004648</v>
      </c>
      <c r="J1065" s="96" t="s">
        <v>157</v>
      </c>
      <c r="K1065" s="49" t="s">
        <v>2095</v>
      </c>
      <c r="L1065" s="39" t="s">
        <v>2096</v>
      </c>
      <c r="M1065" s="49" t="s">
        <v>282</v>
      </c>
      <c r="N1065" s="39" t="s">
        <v>210</v>
      </c>
      <c r="O1065" s="96" t="s">
        <v>2097</v>
      </c>
      <c r="P1065" s="49" t="s">
        <v>157</v>
      </c>
      <c r="Q1065" s="96" t="s">
        <v>104</v>
      </c>
      <c r="R1065" s="52">
        <v>25.9</v>
      </c>
      <c r="S1065" s="52">
        <f>R1065-T1065</f>
        <v>23.125</v>
      </c>
      <c r="T1065" s="52">
        <f>R1065*U1065/(U1065+100)</f>
        <v>2.7749999999999995</v>
      </c>
      <c r="U1065" s="50">
        <v>12</v>
      </c>
      <c r="V1065" s="53">
        <v>0</v>
      </c>
      <c r="W1065" s="147">
        <v>1</v>
      </c>
      <c r="X1065" s="148" t="s">
        <v>163</v>
      </c>
      <c r="Y1065" s="54">
        <f>R1065*W1065</f>
        <v>25.9</v>
      </c>
      <c r="Z1065" s="52">
        <f>S1065*W1065</f>
        <v>23.125</v>
      </c>
      <c r="AA1065" s="52">
        <f>T1065*W1065</f>
        <v>2.7749999999999995</v>
      </c>
      <c r="AB1065" s="52">
        <f>V1065*W1065</f>
        <v>0</v>
      </c>
      <c r="AC1065" s="53">
        <f>(R1065+V1065)*W1065</f>
        <v>25.9</v>
      </c>
      <c r="AD1065" s="138">
        <v>25.9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107</v>
      </c>
      <c r="F1066" s="96" t="s">
        <v>106</v>
      </c>
      <c r="G1066" s="97">
        <v>46132</v>
      </c>
      <c r="H1066" s="98">
        <v>0.4467013888888889</v>
      </c>
      <c r="I1066" s="50">
        <v>166004648</v>
      </c>
      <c r="J1066" s="96" t="s">
        <v>157</v>
      </c>
      <c r="K1066" s="49" t="s">
        <v>1813</v>
      </c>
      <c r="L1066" s="39" t="s">
        <v>1814</v>
      </c>
      <c r="M1066" s="49" t="s">
        <v>201</v>
      </c>
      <c r="N1066" s="39" t="s">
        <v>609</v>
      </c>
      <c r="O1066" s="96" t="s">
        <v>1815</v>
      </c>
      <c r="P1066" s="49" t="s">
        <v>157</v>
      </c>
      <c r="Q1066" s="96" t="s">
        <v>104</v>
      </c>
      <c r="R1066" s="52">
        <v>13.9</v>
      </c>
      <c r="S1066" s="52">
        <f>R1066-T1066</f>
        <v>12.410714285714286</v>
      </c>
      <c r="T1066" s="52">
        <f>R1066*U1066/(U1066+100)</f>
        <v>1.4892857142857143</v>
      </c>
      <c r="U1066" s="50">
        <v>12</v>
      </c>
      <c r="V1066" s="53">
        <v>0</v>
      </c>
      <c r="W1066" s="147">
        <v>1</v>
      </c>
      <c r="X1066" s="148" t="s">
        <v>163</v>
      </c>
      <c r="Y1066" s="54">
        <f>R1066*W1066</f>
        <v>13.9</v>
      </c>
      <c r="Z1066" s="52">
        <f>S1066*W1066</f>
        <v>12.410714285714286</v>
      </c>
      <c r="AA1066" s="52">
        <f>T1066*W1066</f>
        <v>1.4892857142857143</v>
      </c>
      <c r="AB1066" s="52">
        <f>V1066*W1066</f>
        <v>0</v>
      </c>
      <c r="AC1066" s="53">
        <f>(R1066+V1066)*W1066</f>
        <v>13.9</v>
      </c>
      <c r="AD1066" s="138">
        <v>13.9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107</v>
      </c>
      <c r="F1067" s="96" t="s">
        <v>106</v>
      </c>
      <c r="G1067" s="97">
        <v>46132</v>
      </c>
      <c r="H1067" s="98">
        <v>0.4467013888888889</v>
      </c>
      <c r="I1067" s="50">
        <v>166004648</v>
      </c>
      <c r="J1067" s="96" t="s">
        <v>157</v>
      </c>
      <c r="K1067" s="49" t="s">
        <v>1136</v>
      </c>
      <c r="L1067" s="39" t="s">
        <v>1137</v>
      </c>
      <c r="M1067" s="49" t="s">
        <v>201</v>
      </c>
      <c r="N1067" s="39" t="s">
        <v>609</v>
      </c>
      <c r="O1067" s="96" t="s">
        <v>1138</v>
      </c>
      <c r="P1067" s="49" t="s">
        <v>157</v>
      </c>
      <c r="Q1067" s="96" t="s">
        <v>104</v>
      </c>
      <c r="R1067" s="52">
        <v>13.9</v>
      </c>
      <c r="S1067" s="52">
        <f>R1067-T1067</f>
        <v>12.410714285714286</v>
      </c>
      <c r="T1067" s="52">
        <f>R1067*U1067/(U1067+100)</f>
        <v>1.4892857142857143</v>
      </c>
      <c r="U1067" s="50">
        <v>12</v>
      </c>
      <c r="V1067" s="53">
        <v>0</v>
      </c>
      <c r="W1067" s="147">
        <v>1</v>
      </c>
      <c r="X1067" s="148" t="s">
        <v>163</v>
      </c>
      <c r="Y1067" s="54">
        <f>R1067*W1067</f>
        <v>13.9</v>
      </c>
      <c r="Z1067" s="52">
        <f>S1067*W1067</f>
        <v>12.410714285714286</v>
      </c>
      <c r="AA1067" s="52">
        <f>T1067*W1067</f>
        <v>1.4892857142857143</v>
      </c>
      <c r="AB1067" s="52">
        <f>V1067*W1067</f>
        <v>0</v>
      </c>
      <c r="AC1067" s="53">
        <f>(R1067+V1067)*W1067</f>
        <v>13.9</v>
      </c>
      <c r="AD1067" s="138">
        <v>13.9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107</v>
      </c>
      <c r="F1068" s="96" t="s">
        <v>106</v>
      </c>
      <c r="G1068" s="97">
        <v>46132</v>
      </c>
      <c r="H1068" s="98">
        <v>0.4467013888888889</v>
      </c>
      <c r="I1068" s="50">
        <v>166004648</v>
      </c>
      <c r="J1068" s="96" t="s">
        <v>157</v>
      </c>
      <c r="K1068" s="49" t="s">
        <v>2098</v>
      </c>
      <c r="L1068" s="39" t="s">
        <v>2099</v>
      </c>
      <c r="M1068" s="49" t="s">
        <v>709</v>
      </c>
      <c r="N1068" s="39" t="s">
        <v>874</v>
      </c>
      <c r="O1068" s="96" t="s">
        <v>2100</v>
      </c>
      <c r="P1068" s="49" t="s">
        <v>157</v>
      </c>
      <c r="Q1068" s="96" t="s">
        <v>104</v>
      </c>
      <c r="R1068" s="52">
        <v>39.9</v>
      </c>
      <c r="S1068" s="52">
        <f>R1068-T1068</f>
        <v>35.625</v>
      </c>
      <c r="T1068" s="52">
        <f>R1068*U1068/(U1068+100)</f>
        <v>4.2749999999999995</v>
      </c>
      <c r="U1068" s="50">
        <v>12</v>
      </c>
      <c r="V1068" s="53">
        <v>0</v>
      </c>
      <c r="W1068" s="147">
        <v>1</v>
      </c>
      <c r="X1068" s="148" t="s">
        <v>163</v>
      </c>
      <c r="Y1068" s="54">
        <f>R1068*W1068</f>
        <v>39.9</v>
      </c>
      <c r="Z1068" s="52">
        <f>S1068*W1068</f>
        <v>35.625</v>
      </c>
      <c r="AA1068" s="52">
        <f>T1068*W1068</f>
        <v>4.2749999999999995</v>
      </c>
      <c r="AB1068" s="52">
        <f>V1068*W1068</f>
        <v>0</v>
      </c>
      <c r="AC1068" s="53">
        <f>(R1068+V1068)*W1068</f>
        <v>39.9</v>
      </c>
      <c r="AD1068" s="138">
        <v>39.9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107</v>
      </c>
      <c r="F1069" s="96" t="s">
        <v>106</v>
      </c>
      <c r="G1069" s="97">
        <v>46132</v>
      </c>
      <c r="H1069" s="98">
        <v>0.4467013888888889</v>
      </c>
      <c r="I1069" s="50">
        <v>166004648</v>
      </c>
      <c r="J1069" s="96" t="s">
        <v>157</v>
      </c>
      <c r="K1069" s="49" t="s">
        <v>2101</v>
      </c>
      <c r="L1069" s="39" t="s">
        <v>2102</v>
      </c>
      <c r="M1069" s="49" t="s">
        <v>837</v>
      </c>
      <c r="N1069" s="39" t="s">
        <v>838</v>
      </c>
      <c r="O1069" s="96" t="s">
        <v>2103</v>
      </c>
      <c r="P1069" s="49" t="s">
        <v>157</v>
      </c>
      <c r="Q1069" s="96" t="s">
        <v>104</v>
      </c>
      <c r="R1069" s="52">
        <v>99.9</v>
      </c>
      <c r="S1069" s="52">
        <f>R1069-T1069</f>
        <v>89.19642857142857</v>
      </c>
      <c r="T1069" s="52">
        <f>R1069*U1069/(U1069+100)</f>
        <v>10.703571428571431</v>
      </c>
      <c r="U1069" s="50">
        <v>12</v>
      </c>
      <c r="V1069" s="53">
        <v>0</v>
      </c>
      <c r="W1069" s="147">
        <v>1</v>
      </c>
      <c r="X1069" s="148" t="s">
        <v>163</v>
      </c>
      <c r="Y1069" s="54">
        <f>R1069*W1069</f>
        <v>99.9</v>
      </c>
      <c r="Z1069" s="52">
        <f>S1069*W1069</f>
        <v>89.19642857142857</v>
      </c>
      <c r="AA1069" s="52">
        <f>T1069*W1069</f>
        <v>10.703571428571431</v>
      </c>
      <c r="AB1069" s="52">
        <f>V1069*W1069</f>
        <v>0</v>
      </c>
      <c r="AC1069" s="53">
        <f>(R1069+V1069)*W1069</f>
        <v>99.9</v>
      </c>
      <c r="AD1069" s="138">
        <v>99.9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107</v>
      </c>
      <c r="F1070" s="96" t="s">
        <v>106</v>
      </c>
      <c r="G1070" s="97">
        <v>46132</v>
      </c>
      <c r="H1070" s="98">
        <v>0.44849537037037035</v>
      </c>
      <c r="I1070" s="50">
        <v>166004649</v>
      </c>
      <c r="J1070" s="96" t="s">
        <v>157</v>
      </c>
      <c r="K1070" s="49" t="s">
        <v>860</v>
      </c>
      <c r="L1070" s="39" t="s">
        <v>861</v>
      </c>
      <c r="M1070" s="49" t="s">
        <v>862</v>
      </c>
      <c r="N1070" s="39" t="s">
        <v>863</v>
      </c>
      <c r="O1070" s="96" t="s">
        <v>2104</v>
      </c>
      <c r="P1070" s="49" t="s">
        <v>157</v>
      </c>
      <c r="Q1070" s="96" t="s">
        <v>104</v>
      </c>
      <c r="R1070" s="52">
        <v>162</v>
      </c>
      <c r="S1070" s="52">
        <f>R1070-T1070</f>
        <v>133.88429752066116</v>
      </c>
      <c r="T1070" s="52">
        <f>R1070*U1070/(U1070+100)</f>
        <v>28.115702479338843</v>
      </c>
      <c r="U1070" s="50">
        <v>21</v>
      </c>
      <c r="V1070" s="53">
        <v>0</v>
      </c>
      <c r="W1070" s="147">
        <v>1</v>
      </c>
      <c r="X1070" s="148" t="s">
        <v>163</v>
      </c>
      <c r="Y1070" s="54">
        <f>R1070*W1070</f>
        <v>162</v>
      </c>
      <c r="Z1070" s="52">
        <f>S1070*W1070</f>
        <v>133.88429752066116</v>
      </c>
      <c r="AA1070" s="52">
        <f>T1070*W1070</f>
        <v>28.115702479338843</v>
      </c>
      <c r="AB1070" s="52">
        <f>V1070*W1070</f>
        <v>0</v>
      </c>
      <c r="AC1070" s="53">
        <f>(R1070+V1070)*W1070</f>
        <v>162</v>
      </c>
      <c r="AD1070" s="138">
        <v>162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107</v>
      </c>
      <c r="F1071" s="96" t="s">
        <v>106</v>
      </c>
      <c r="G1071" s="97">
        <v>46132</v>
      </c>
      <c r="H1071" s="98">
        <v>0.44871527777777775</v>
      </c>
      <c r="I1071" s="50">
        <v>166004650</v>
      </c>
      <c r="J1071" s="96" t="s">
        <v>157</v>
      </c>
      <c r="K1071" s="49" t="s">
        <v>2105</v>
      </c>
      <c r="L1071" s="39" t="s">
        <v>2106</v>
      </c>
      <c r="M1071" s="49" t="s">
        <v>1405</v>
      </c>
      <c r="N1071" s="39" t="s">
        <v>301</v>
      </c>
      <c r="O1071" s="96" t="s">
        <v>2107</v>
      </c>
      <c r="P1071" s="49" t="s">
        <v>157</v>
      </c>
      <c r="Q1071" s="96" t="s">
        <v>104</v>
      </c>
      <c r="R1071" s="52">
        <v>24.9</v>
      </c>
      <c r="S1071" s="52">
        <f>R1071-T1071</f>
        <v>22.232142857142858</v>
      </c>
      <c r="T1071" s="52">
        <f>R1071*U1071/(U1071+100)</f>
        <v>2.6678571428571423</v>
      </c>
      <c r="U1071" s="50">
        <v>12</v>
      </c>
      <c r="V1071" s="53">
        <v>0</v>
      </c>
      <c r="W1071" s="147">
        <v>1</v>
      </c>
      <c r="X1071" s="148" t="s">
        <v>163</v>
      </c>
      <c r="Y1071" s="54">
        <f>R1071*W1071</f>
        <v>24.9</v>
      </c>
      <c r="Z1071" s="52">
        <f>S1071*W1071</f>
        <v>22.232142857142858</v>
      </c>
      <c r="AA1071" s="52">
        <f>T1071*W1071</f>
        <v>2.6678571428571423</v>
      </c>
      <c r="AB1071" s="52">
        <f>V1071*W1071</f>
        <v>0</v>
      </c>
      <c r="AC1071" s="53">
        <f>(R1071+V1071)*W1071</f>
        <v>24.9</v>
      </c>
      <c r="AD1071" s="138">
        <v>24.9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107</v>
      </c>
      <c r="F1072" s="96" t="s">
        <v>106</v>
      </c>
      <c r="G1072" s="97">
        <v>46132</v>
      </c>
      <c r="H1072" s="98">
        <v>0.44871527777777775</v>
      </c>
      <c r="I1072" s="50">
        <v>166004650</v>
      </c>
      <c r="J1072" s="96" t="s">
        <v>157</v>
      </c>
      <c r="K1072" s="49" t="s">
        <v>967</v>
      </c>
      <c r="L1072" s="39" t="s">
        <v>968</v>
      </c>
      <c r="M1072" s="49" t="s">
        <v>444</v>
      </c>
      <c r="N1072" s="39" t="s">
        <v>445</v>
      </c>
      <c r="O1072" s="96" t="s">
        <v>981</v>
      </c>
      <c r="P1072" s="49" t="s">
        <v>157</v>
      </c>
      <c r="Q1072" s="96" t="s">
        <v>104</v>
      </c>
      <c r="R1072" s="52">
        <v>16.9</v>
      </c>
      <c r="S1072" s="52">
        <f>R1072-T1072</f>
        <v>15.089285714285714</v>
      </c>
      <c r="T1072" s="52">
        <f>R1072*U1072/(U1072+100)</f>
        <v>1.8107142857142855</v>
      </c>
      <c r="U1072" s="50">
        <v>12</v>
      </c>
      <c r="V1072" s="53">
        <v>0</v>
      </c>
      <c r="W1072" s="147">
        <v>1</v>
      </c>
      <c r="X1072" s="148" t="s">
        <v>163</v>
      </c>
      <c r="Y1072" s="54">
        <f>R1072*W1072</f>
        <v>16.9</v>
      </c>
      <c r="Z1072" s="52">
        <f>S1072*W1072</f>
        <v>15.089285714285714</v>
      </c>
      <c r="AA1072" s="52">
        <f>T1072*W1072</f>
        <v>1.8107142857142855</v>
      </c>
      <c r="AB1072" s="52">
        <f>V1072*W1072</f>
        <v>0</v>
      </c>
      <c r="AC1072" s="53">
        <f>(R1072+V1072)*W1072</f>
        <v>16.9</v>
      </c>
      <c r="AD1072" s="138">
        <v>16.9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107</v>
      </c>
      <c r="F1073" s="96" t="s">
        <v>106</v>
      </c>
      <c r="G1073" s="97">
        <v>46132</v>
      </c>
      <c r="H1073" s="98">
        <v>0.4508101851851852</v>
      </c>
      <c r="I1073" s="50">
        <v>166004651</v>
      </c>
      <c r="J1073" s="96" t="s">
        <v>157</v>
      </c>
      <c r="K1073" s="49" t="s">
        <v>2108</v>
      </c>
      <c r="L1073" s="39" t="s">
        <v>2109</v>
      </c>
      <c r="M1073" s="49" t="s">
        <v>196</v>
      </c>
      <c r="N1073" s="39" t="s">
        <v>197</v>
      </c>
      <c r="O1073" s="96" t="s">
        <v>2110</v>
      </c>
      <c r="P1073" s="49" t="s">
        <v>157</v>
      </c>
      <c r="Q1073" s="96" t="s">
        <v>104</v>
      </c>
      <c r="R1073" s="52">
        <v>6.9</v>
      </c>
      <c r="S1073" s="52">
        <f>R1073-T1073</f>
        <v>6.160714285714286</v>
      </c>
      <c r="T1073" s="52">
        <f>R1073*U1073/(U1073+100)</f>
        <v>0.7392857142857144</v>
      </c>
      <c r="U1073" s="50">
        <v>12</v>
      </c>
      <c r="V1073" s="53">
        <v>0</v>
      </c>
      <c r="W1073" s="147">
        <v>1</v>
      </c>
      <c r="X1073" s="148" t="s">
        <v>163</v>
      </c>
      <c r="Y1073" s="54">
        <f>R1073*W1073</f>
        <v>6.9</v>
      </c>
      <c r="Z1073" s="52">
        <f>S1073*W1073</f>
        <v>6.160714285714286</v>
      </c>
      <c r="AA1073" s="52">
        <f>T1073*W1073</f>
        <v>0.7392857142857144</v>
      </c>
      <c r="AB1073" s="52">
        <f>V1073*W1073</f>
        <v>0</v>
      </c>
      <c r="AC1073" s="53">
        <f>(R1073+V1073)*W1073</f>
        <v>6.9</v>
      </c>
      <c r="AD1073" s="138">
        <v>6.9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107</v>
      </c>
      <c r="F1074" s="96" t="s">
        <v>106</v>
      </c>
      <c r="G1074" s="97">
        <v>46132</v>
      </c>
      <c r="H1074" s="98">
        <v>0.4508101851851852</v>
      </c>
      <c r="I1074" s="50">
        <v>166004651</v>
      </c>
      <c r="J1074" s="96" t="s">
        <v>157</v>
      </c>
      <c r="K1074" s="49" t="s">
        <v>660</v>
      </c>
      <c r="L1074" s="39" t="s">
        <v>661</v>
      </c>
      <c r="M1074" s="49" t="s">
        <v>196</v>
      </c>
      <c r="N1074" s="39" t="s">
        <v>197</v>
      </c>
      <c r="O1074" s="96" t="s">
        <v>2111</v>
      </c>
      <c r="P1074" s="49" t="s">
        <v>157</v>
      </c>
      <c r="Q1074" s="96" t="s">
        <v>104</v>
      </c>
      <c r="R1074" s="52">
        <v>6.9</v>
      </c>
      <c r="S1074" s="52">
        <f>R1074-T1074</f>
        <v>6.160714285714286</v>
      </c>
      <c r="T1074" s="52">
        <f>R1074*U1074/(U1074+100)</f>
        <v>0.7392857142857144</v>
      </c>
      <c r="U1074" s="50">
        <v>12</v>
      </c>
      <c r="V1074" s="53">
        <v>0</v>
      </c>
      <c r="W1074" s="147">
        <v>1</v>
      </c>
      <c r="X1074" s="148" t="s">
        <v>163</v>
      </c>
      <c r="Y1074" s="54">
        <f>R1074*W1074</f>
        <v>6.9</v>
      </c>
      <c r="Z1074" s="52">
        <f>S1074*W1074</f>
        <v>6.160714285714286</v>
      </c>
      <c r="AA1074" s="52">
        <f>T1074*W1074</f>
        <v>0.7392857142857144</v>
      </c>
      <c r="AB1074" s="52">
        <f>V1074*W1074</f>
        <v>0</v>
      </c>
      <c r="AC1074" s="53">
        <f>(R1074+V1074)*W1074</f>
        <v>6.9</v>
      </c>
      <c r="AD1074" s="138">
        <v>6.9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107</v>
      </c>
      <c r="F1075" s="96" t="s">
        <v>106</v>
      </c>
      <c r="G1075" s="97">
        <v>46132</v>
      </c>
      <c r="H1075" s="98">
        <v>0.4508101851851852</v>
      </c>
      <c r="I1075" s="50">
        <v>166004651</v>
      </c>
      <c r="J1075" s="96" t="s">
        <v>157</v>
      </c>
      <c r="K1075" s="49" t="s">
        <v>663</v>
      </c>
      <c r="L1075" s="39" t="s">
        <v>664</v>
      </c>
      <c r="M1075" s="49" t="s">
        <v>196</v>
      </c>
      <c r="N1075" s="39" t="s">
        <v>197</v>
      </c>
      <c r="O1075" s="96" t="s">
        <v>2112</v>
      </c>
      <c r="P1075" s="49" t="s">
        <v>157</v>
      </c>
      <c r="Q1075" s="96" t="s">
        <v>104</v>
      </c>
      <c r="R1075" s="52">
        <v>6.9</v>
      </c>
      <c r="S1075" s="52">
        <f>R1075-T1075</f>
        <v>6.160714285714286</v>
      </c>
      <c r="T1075" s="52">
        <f>R1075*U1075/(U1075+100)</f>
        <v>0.7392857142857144</v>
      </c>
      <c r="U1075" s="50">
        <v>12</v>
      </c>
      <c r="V1075" s="53">
        <v>0</v>
      </c>
      <c r="W1075" s="147">
        <v>1</v>
      </c>
      <c r="X1075" s="148" t="s">
        <v>163</v>
      </c>
      <c r="Y1075" s="54">
        <f>R1075*W1075</f>
        <v>6.9</v>
      </c>
      <c r="Z1075" s="52">
        <f>S1075*W1075</f>
        <v>6.160714285714286</v>
      </c>
      <c r="AA1075" s="52">
        <f>T1075*W1075</f>
        <v>0.7392857142857144</v>
      </c>
      <c r="AB1075" s="52">
        <f>V1075*W1075</f>
        <v>0</v>
      </c>
      <c r="AC1075" s="53">
        <f>(R1075+V1075)*W1075</f>
        <v>6.9</v>
      </c>
      <c r="AD1075" s="138">
        <v>6.9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107</v>
      </c>
      <c r="F1076" s="96" t="s">
        <v>106</v>
      </c>
      <c r="G1076" s="97">
        <v>46132</v>
      </c>
      <c r="H1076" s="98">
        <v>0.4508101851851852</v>
      </c>
      <c r="I1076" s="50">
        <v>166004651</v>
      </c>
      <c r="J1076" s="96" t="s">
        <v>157</v>
      </c>
      <c r="K1076" s="49" t="s">
        <v>246</v>
      </c>
      <c r="L1076" s="39" t="s">
        <v>247</v>
      </c>
      <c r="M1076" s="49" t="s">
        <v>248</v>
      </c>
      <c r="N1076" s="39" t="s">
        <v>244</v>
      </c>
      <c r="O1076" s="96" t="s">
        <v>249</v>
      </c>
      <c r="P1076" s="49" t="s">
        <v>157</v>
      </c>
      <c r="Q1076" s="96" t="s">
        <v>104</v>
      </c>
      <c r="R1076" s="52">
        <v>13.9</v>
      </c>
      <c r="S1076" s="52">
        <f>R1076-T1076</f>
        <v>12.410714285714286</v>
      </c>
      <c r="T1076" s="52">
        <f>R1076*U1076/(U1076+100)</f>
        <v>1.4892857142857143</v>
      </c>
      <c r="U1076" s="50">
        <v>12</v>
      </c>
      <c r="V1076" s="53">
        <v>0</v>
      </c>
      <c r="W1076" s="147">
        <v>1</v>
      </c>
      <c r="X1076" s="148" t="s">
        <v>163</v>
      </c>
      <c r="Y1076" s="54">
        <f>R1076*W1076</f>
        <v>13.9</v>
      </c>
      <c r="Z1076" s="52">
        <f>S1076*W1076</f>
        <v>12.410714285714286</v>
      </c>
      <c r="AA1076" s="52">
        <f>T1076*W1076</f>
        <v>1.4892857142857143</v>
      </c>
      <c r="AB1076" s="52">
        <f>V1076*W1076</f>
        <v>0</v>
      </c>
      <c r="AC1076" s="53">
        <f>(R1076+V1076)*W1076</f>
        <v>13.9</v>
      </c>
      <c r="AD1076" s="138">
        <v>13.9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107</v>
      </c>
      <c r="F1077" s="96" t="s">
        <v>106</v>
      </c>
      <c r="G1077" s="97">
        <v>46132</v>
      </c>
      <c r="H1077" s="98">
        <v>0.4508101851851852</v>
      </c>
      <c r="I1077" s="50">
        <v>166004651</v>
      </c>
      <c r="J1077" s="96" t="s">
        <v>157</v>
      </c>
      <c r="K1077" s="49" t="s">
        <v>2113</v>
      </c>
      <c r="L1077" s="39" t="s">
        <v>2114</v>
      </c>
      <c r="M1077" s="49" t="s">
        <v>429</v>
      </c>
      <c r="N1077" s="39" t="s">
        <v>348</v>
      </c>
      <c r="O1077" s="96" t="s">
        <v>2115</v>
      </c>
      <c r="P1077" s="49" t="s">
        <v>157</v>
      </c>
      <c r="Q1077" s="96" t="s">
        <v>104</v>
      </c>
      <c r="R1077" s="52">
        <v>27.9</v>
      </c>
      <c r="S1077" s="52">
        <f>R1077-T1077</f>
        <v>24.910714285714285</v>
      </c>
      <c r="T1077" s="52">
        <f>R1077*U1077/(U1077+100)</f>
        <v>2.989285714285714</v>
      </c>
      <c r="U1077" s="50">
        <v>12</v>
      </c>
      <c r="V1077" s="53">
        <v>0</v>
      </c>
      <c r="W1077" s="147">
        <v>1</v>
      </c>
      <c r="X1077" s="148" t="s">
        <v>163</v>
      </c>
      <c r="Y1077" s="54">
        <f>R1077*W1077</f>
        <v>27.9</v>
      </c>
      <c r="Z1077" s="52">
        <f>S1077*W1077</f>
        <v>24.910714285714285</v>
      </c>
      <c r="AA1077" s="52">
        <f>T1077*W1077</f>
        <v>2.989285714285714</v>
      </c>
      <c r="AB1077" s="52">
        <f>V1077*W1077</f>
        <v>0</v>
      </c>
      <c r="AC1077" s="53">
        <f>(R1077+V1077)*W1077</f>
        <v>27.9</v>
      </c>
      <c r="AD1077" s="138">
        <v>27.9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107</v>
      </c>
      <c r="F1078" s="96" t="s">
        <v>106</v>
      </c>
      <c r="G1078" s="97">
        <v>46132</v>
      </c>
      <c r="H1078" s="98">
        <v>0.4508101851851852</v>
      </c>
      <c r="I1078" s="50">
        <v>166004651</v>
      </c>
      <c r="J1078" s="96" t="s">
        <v>157</v>
      </c>
      <c r="K1078" s="49" t="s">
        <v>2058</v>
      </c>
      <c r="L1078" s="39" t="s">
        <v>2059</v>
      </c>
      <c r="M1078" s="49" t="s">
        <v>429</v>
      </c>
      <c r="N1078" s="39" t="s">
        <v>348</v>
      </c>
      <c r="O1078" s="96" t="s">
        <v>2060</v>
      </c>
      <c r="P1078" s="49" t="s">
        <v>235</v>
      </c>
      <c r="Q1078" s="96" t="s">
        <v>236</v>
      </c>
      <c r="R1078" s="52">
        <v>16.9</v>
      </c>
      <c r="S1078" s="52">
        <f>R1078-T1078</f>
        <v>15.089285714285714</v>
      </c>
      <c r="T1078" s="52">
        <f>R1078*U1078/(U1078+100)</f>
        <v>1.8107142857142855</v>
      </c>
      <c r="U1078" s="50">
        <v>12</v>
      </c>
      <c r="V1078" s="53">
        <v>0</v>
      </c>
      <c r="W1078" s="147">
        <v>1</v>
      </c>
      <c r="X1078" s="148" t="s">
        <v>163</v>
      </c>
      <c r="Y1078" s="54">
        <f>R1078*W1078</f>
        <v>16.9</v>
      </c>
      <c r="Z1078" s="52">
        <f>S1078*W1078</f>
        <v>15.089285714285714</v>
      </c>
      <c r="AA1078" s="52">
        <f>T1078*W1078</f>
        <v>1.8107142857142855</v>
      </c>
      <c r="AB1078" s="52">
        <f>V1078*W1078</f>
        <v>0</v>
      </c>
      <c r="AC1078" s="53">
        <f>(R1078+V1078)*W1078</f>
        <v>16.9</v>
      </c>
      <c r="AD1078" s="138">
        <v>16.9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107</v>
      </c>
      <c r="F1079" s="96" t="s">
        <v>106</v>
      </c>
      <c r="G1079" s="97">
        <v>46132</v>
      </c>
      <c r="H1079" s="98">
        <v>0.4508101851851852</v>
      </c>
      <c r="I1079" s="50">
        <v>166004651</v>
      </c>
      <c r="J1079" s="96" t="s">
        <v>157</v>
      </c>
      <c r="K1079" s="49" t="s">
        <v>2116</v>
      </c>
      <c r="L1079" s="39" t="s">
        <v>2117</v>
      </c>
      <c r="M1079" s="49" t="s">
        <v>300</v>
      </c>
      <c r="N1079" s="39" t="s">
        <v>778</v>
      </c>
      <c r="O1079" s="96" t="s">
        <v>2118</v>
      </c>
      <c r="P1079" s="49" t="s">
        <v>157</v>
      </c>
      <c r="Q1079" s="96" t="s">
        <v>104</v>
      </c>
      <c r="R1079" s="52">
        <v>19.9</v>
      </c>
      <c r="S1079" s="52">
        <f>R1079-T1079</f>
        <v>17.767857142857142</v>
      </c>
      <c r="T1079" s="52">
        <f>R1079*U1079/(U1079+100)</f>
        <v>2.132142857142857</v>
      </c>
      <c r="U1079" s="50">
        <v>12</v>
      </c>
      <c r="V1079" s="53">
        <v>0</v>
      </c>
      <c r="W1079" s="147">
        <v>1</v>
      </c>
      <c r="X1079" s="148" t="s">
        <v>163</v>
      </c>
      <c r="Y1079" s="54">
        <f>R1079*W1079</f>
        <v>19.9</v>
      </c>
      <c r="Z1079" s="52">
        <f>S1079*W1079</f>
        <v>17.767857142857142</v>
      </c>
      <c r="AA1079" s="52">
        <f>T1079*W1079</f>
        <v>2.132142857142857</v>
      </c>
      <c r="AB1079" s="52">
        <f>V1079*W1079</f>
        <v>0</v>
      </c>
      <c r="AC1079" s="53">
        <f>(R1079+V1079)*W1079</f>
        <v>19.9</v>
      </c>
      <c r="AD1079" s="138">
        <v>19.9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107</v>
      </c>
      <c r="F1080" s="96" t="s">
        <v>106</v>
      </c>
      <c r="G1080" s="97">
        <v>46132</v>
      </c>
      <c r="H1080" s="98">
        <v>0.4508101851851852</v>
      </c>
      <c r="I1080" s="50">
        <v>166004651</v>
      </c>
      <c r="J1080" s="96" t="s">
        <v>157</v>
      </c>
      <c r="K1080" s="49" t="s">
        <v>2119</v>
      </c>
      <c r="L1080" s="39" t="s">
        <v>2120</v>
      </c>
      <c r="M1080" s="49" t="s">
        <v>1405</v>
      </c>
      <c r="N1080" s="39" t="s">
        <v>301</v>
      </c>
      <c r="O1080" s="96" t="s">
        <v>2121</v>
      </c>
      <c r="P1080" s="49" t="s">
        <v>157</v>
      </c>
      <c r="Q1080" s="96" t="s">
        <v>104</v>
      </c>
      <c r="R1080" s="52">
        <v>12.4</v>
      </c>
      <c r="S1080" s="52">
        <f>R1080-T1080</f>
        <v>11.071428571428571</v>
      </c>
      <c r="T1080" s="52">
        <f>R1080*U1080/(U1080+100)</f>
        <v>1.3285714285714287</v>
      </c>
      <c r="U1080" s="50">
        <v>12</v>
      </c>
      <c r="V1080" s="53">
        <v>0</v>
      </c>
      <c r="W1080" s="147">
        <v>1</v>
      </c>
      <c r="X1080" s="148" t="s">
        <v>163</v>
      </c>
      <c r="Y1080" s="54">
        <f>R1080*W1080</f>
        <v>12.4</v>
      </c>
      <c r="Z1080" s="52">
        <f>S1080*W1080</f>
        <v>11.071428571428571</v>
      </c>
      <c r="AA1080" s="52">
        <f>T1080*W1080</f>
        <v>1.3285714285714287</v>
      </c>
      <c r="AB1080" s="52">
        <f>V1080*W1080</f>
        <v>0</v>
      </c>
      <c r="AC1080" s="53">
        <f>(R1080+V1080)*W1080</f>
        <v>12.4</v>
      </c>
      <c r="AD1080" s="138">
        <v>12.4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107</v>
      </c>
      <c r="F1081" s="96" t="s">
        <v>106</v>
      </c>
      <c r="G1081" s="97">
        <v>46132</v>
      </c>
      <c r="H1081" s="98">
        <v>0.4508101851851852</v>
      </c>
      <c r="I1081" s="50">
        <v>166004651</v>
      </c>
      <c r="J1081" s="96" t="s">
        <v>157</v>
      </c>
      <c r="K1081" s="49" t="s">
        <v>2119</v>
      </c>
      <c r="L1081" s="39" t="s">
        <v>2120</v>
      </c>
      <c r="M1081" s="49" t="s">
        <v>1405</v>
      </c>
      <c r="N1081" s="39" t="s">
        <v>301</v>
      </c>
      <c r="O1081" s="96" t="s">
        <v>2121</v>
      </c>
      <c r="P1081" s="49" t="s">
        <v>157</v>
      </c>
      <c r="Q1081" s="96" t="s">
        <v>104</v>
      </c>
      <c r="R1081" s="52">
        <v>12.4</v>
      </c>
      <c r="S1081" s="52">
        <f>R1081-T1081</f>
        <v>11.071428571428571</v>
      </c>
      <c r="T1081" s="52">
        <f>R1081*U1081/(U1081+100)</f>
        <v>1.3285714285714287</v>
      </c>
      <c r="U1081" s="50">
        <v>12</v>
      </c>
      <c r="V1081" s="53">
        <v>0</v>
      </c>
      <c r="W1081" s="147">
        <v>1</v>
      </c>
      <c r="X1081" s="148" t="s">
        <v>163</v>
      </c>
      <c r="Y1081" s="54">
        <f>R1081*W1081</f>
        <v>12.4</v>
      </c>
      <c r="Z1081" s="52">
        <f>S1081*W1081</f>
        <v>11.071428571428571</v>
      </c>
      <c r="AA1081" s="52">
        <f>T1081*W1081</f>
        <v>1.3285714285714287</v>
      </c>
      <c r="AB1081" s="52">
        <f>V1081*W1081</f>
        <v>0</v>
      </c>
      <c r="AC1081" s="53">
        <f>(R1081+V1081)*W1081</f>
        <v>12.4</v>
      </c>
      <c r="AD1081" s="138">
        <v>12.4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107</v>
      </c>
      <c r="F1082" s="96" t="s">
        <v>106</v>
      </c>
      <c r="G1082" s="97">
        <v>46132</v>
      </c>
      <c r="H1082" s="98">
        <v>0.4508101851851852</v>
      </c>
      <c r="I1082" s="50">
        <v>166004651</v>
      </c>
      <c r="J1082" s="96" t="s">
        <v>157</v>
      </c>
      <c r="K1082" s="49" t="s">
        <v>707</v>
      </c>
      <c r="L1082" s="39" t="s">
        <v>708</v>
      </c>
      <c r="M1082" s="49" t="s">
        <v>709</v>
      </c>
      <c r="N1082" s="39" t="s">
        <v>319</v>
      </c>
      <c r="O1082" s="96" t="s">
        <v>1504</v>
      </c>
      <c r="P1082" s="49" t="s">
        <v>235</v>
      </c>
      <c r="Q1082" s="96" t="s">
        <v>236</v>
      </c>
      <c r="R1082" s="52">
        <v>19.9</v>
      </c>
      <c r="S1082" s="52">
        <f>R1082-T1082</f>
        <v>17.767857142857142</v>
      </c>
      <c r="T1082" s="52">
        <f>R1082*U1082/(U1082+100)</f>
        <v>2.132142857142857</v>
      </c>
      <c r="U1082" s="50">
        <v>12</v>
      </c>
      <c r="V1082" s="53">
        <v>0</v>
      </c>
      <c r="W1082" s="147">
        <v>1</v>
      </c>
      <c r="X1082" s="148" t="s">
        <v>163</v>
      </c>
      <c r="Y1082" s="54">
        <f>R1082*W1082</f>
        <v>19.9</v>
      </c>
      <c r="Z1082" s="52">
        <f>S1082*W1082</f>
        <v>17.767857142857142</v>
      </c>
      <c r="AA1082" s="52">
        <f>T1082*W1082</f>
        <v>2.132142857142857</v>
      </c>
      <c r="AB1082" s="52">
        <f>V1082*W1082</f>
        <v>0</v>
      </c>
      <c r="AC1082" s="53">
        <f>(R1082+V1082)*W1082</f>
        <v>19.9</v>
      </c>
      <c r="AD1082" s="138">
        <v>19.9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107</v>
      </c>
      <c r="F1083" s="96" t="s">
        <v>106</v>
      </c>
      <c r="G1083" s="97">
        <v>46132</v>
      </c>
      <c r="H1083" s="98">
        <v>0.4508101851851852</v>
      </c>
      <c r="I1083" s="50">
        <v>166004651</v>
      </c>
      <c r="J1083" s="96" t="s">
        <v>157</v>
      </c>
      <c r="K1083" s="49" t="s">
        <v>707</v>
      </c>
      <c r="L1083" s="39" t="s">
        <v>708</v>
      </c>
      <c r="M1083" s="49" t="s">
        <v>709</v>
      </c>
      <c r="N1083" s="39" t="s">
        <v>319</v>
      </c>
      <c r="O1083" s="96" t="s">
        <v>1504</v>
      </c>
      <c r="P1083" s="49" t="s">
        <v>235</v>
      </c>
      <c r="Q1083" s="96" t="s">
        <v>236</v>
      </c>
      <c r="R1083" s="52">
        <v>19.9</v>
      </c>
      <c r="S1083" s="52">
        <f>R1083-T1083</f>
        <v>17.767857142857142</v>
      </c>
      <c r="T1083" s="52">
        <f>R1083*U1083/(U1083+100)</f>
        <v>2.132142857142857</v>
      </c>
      <c r="U1083" s="50">
        <v>12</v>
      </c>
      <c r="V1083" s="53">
        <v>0</v>
      </c>
      <c r="W1083" s="147">
        <v>1</v>
      </c>
      <c r="X1083" s="148" t="s">
        <v>163</v>
      </c>
      <c r="Y1083" s="54">
        <f>R1083*W1083</f>
        <v>19.9</v>
      </c>
      <c r="Z1083" s="52">
        <f>S1083*W1083</f>
        <v>17.767857142857142</v>
      </c>
      <c r="AA1083" s="52">
        <f>T1083*W1083</f>
        <v>2.132142857142857</v>
      </c>
      <c r="AB1083" s="52">
        <f>V1083*W1083</f>
        <v>0</v>
      </c>
      <c r="AC1083" s="53">
        <f>(R1083+V1083)*W1083</f>
        <v>19.9</v>
      </c>
      <c r="AD1083" s="138">
        <v>19.9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107</v>
      </c>
      <c r="F1084" s="96" t="s">
        <v>106</v>
      </c>
      <c r="G1084" s="97">
        <v>46132</v>
      </c>
      <c r="H1084" s="98">
        <v>0.4508101851851852</v>
      </c>
      <c r="I1084" s="50">
        <v>166004651</v>
      </c>
      <c r="J1084" s="96" t="s">
        <v>157</v>
      </c>
      <c r="K1084" s="49" t="s">
        <v>293</v>
      </c>
      <c r="L1084" s="39" t="s">
        <v>294</v>
      </c>
      <c r="M1084" s="49" t="s">
        <v>295</v>
      </c>
      <c r="N1084" s="39" t="s">
        <v>296</v>
      </c>
      <c r="O1084" s="96" t="s">
        <v>297</v>
      </c>
      <c r="P1084" s="49" t="s">
        <v>157</v>
      </c>
      <c r="Q1084" s="96" t="s">
        <v>104</v>
      </c>
      <c r="R1084" s="52">
        <v>2.9</v>
      </c>
      <c r="S1084" s="52">
        <f>R1084-T1084</f>
        <v>2.5892857142857144</v>
      </c>
      <c r="T1084" s="52">
        <f>R1084*U1084/(U1084+100)</f>
        <v>0.31071428571428567</v>
      </c>
      <c r="U1084" s="50">
        <v>12</v>
      </c>
      <c r="V1084" s="53">
        <v>0</v>
      </c>
      <c r="W1084" s="147">
        <v>4</v>
      </c>
      <c r="X1084" s="148" t="s">
        <v>163</v>
      </c>
      <c r="Y1084" s="54">
        <f>R1084*W1084</f>
        <v>11.6</v>
      </c>
      <c r="Z1084" s="52">
        <f>S1084*W1084</f>
        <v>10.357142857142858</v>
      </c>
      <c r="AA1084" s="52">
        <f>T1084*W1084</f>
        <v>1.2428571428571427</v>
      </c>
      <c r="AB1084" s="52">
        <f>V1084*W1084</f>
        <v>0</v>
      </c>
      <c r="AC1084" s="53">
        <f>(R1084+V1084)*W1084</f>
        <v>11.6</v>
      </c>
      <c r="AD1084" s="138">
        <v>2.9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107</v>
      </c>
      <c r="F1085" s="96" t="s">
        <v>106</v>
      </c>
      <c r="G1085" s="97">
        <v>46132</v>
      </c>
      <c r="H1085" s="98">
        <v>0.4508101851851852</v>
      </c>
      <c r="I1085" s="50">
        <v>166004651</v>
      </c>
      <c r="J1085" s="96" t="s">
        <v>157</v>
      </c>
      <c r="K1085" s="49" t="s">
        <v>2122</v>
      </c>
      <c r="L1085" s="39" t="s">
        <v>2123</v>
      </c>
      <c r="M1085" s="49" t="s">
        <v>277</v>
      </c>
      <c r="N1085" s="39" t="s">
        <v>408</v>
      </c>
      <c r="O1085" s="96" t="s">
        <v>2124</v>
      </c>
      <c r="P1085" s="49" t="s">
        <v>157</v>
      </c>
      <c r="Q1085" s="96" t="s">
        <v>104</v>
      </c>
      <c r="R1085" s="52">
        <v>218.9</v>
      </c>
      <c r="S1085" s="52">
        <f>R1085-T1085</f>
        <v>195.44642857142858</v>
      </c>
      <c r="T1085" s="52">
        <f>R1085*U1085/(U1085+100)</f>
        <v>23.45357142857143</v>
      </c>
      <c r="U1085" s="50">
        <v>12</v>
      </c>
      <c r="V1085" s="53">
        <v>0</v>
      </c>
      <c r="W1085" s="147">
        <v>0.228</v>
      </c>
      <c r="X1085" s="148" t="s">
        <v>410</v>
      </c>
      <c r="Y1085" s="54">
        <f>R1085*W1085</f>
        <v>49.909200000000006</v>
      </c>
      <c r="Z1085" s="52">
        <f>S1085*W1085</f>
        <v>44.56178571428572</v>
      </c>
      <c r="AA1085" s="52">
        <f>T1085*W1085</f>
        <v>5.347414285714286</v>
      </c>
      <c r="AB1085" s="52">
        <f>V1085*W1085</f>
        <v>0</v>
      </c>
      <c r="AC1085" s="53">
        <f>(R1085+V1085)*W1085</f>
        <v>49.909200000000006</v>
      </c>
      <c r="AD1085" s="138">
        <v>218.9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107</v>
      </c>
      <c r="F1086" s="96" t="s">
        <v>106</v>
      </c>
      <c r="G1086" s="97">
        <v>46132</v>
      </c>
      <c r="H1086" s="98">
        <v>0.4508101851851852</v>
      </c>
      <c r="I1086" s="50">
        <v>166004651</v>
      </c>
      <c r="J1086" s="96" t="s">
        <v>157</v>
      </c>
      <c r="K1086" s="49" t="s">
        <v>942</v>
      </c>
      <c r="L1086" s="39"/>
      <c r="M1086" s="49" t="s">
        <v>295</v>
      </c>
      <c r="N1086" s="39" t="s">
        <v>433</v>
      </c>
      <c r="O1086" s="96" t="s">
        <v>1332</v>
      </c>
      <c r="P1086" s="49" t="s">
        <v>235</v>
      </c>
      <c r="Q1086" s="96" t="s">
        <v>944</v>
      </c>
      <c r="R1086" s="52">
        <v>9.9</v>
      </c>
      <c r="S1086" s="52">
        <f>R1086-T1086</f>
        <v>8.839285714285715</v>
      </c>
      <c r="T1086" s="52">
        <f>R1086*U1086/(U1086+100)</f>
        <v>1.0607142857142857</v>
      </c>
      <c r="U1086" s="50">
        <v>12</v>
      </c>
      <c r="V1086" s="53">
        <v>0</v>
      </c>
      <c r="W1086" s="147">
        <v>1</v>
      </c>
      <c r="X1086" s="148" t="s">
        <v>945</v>
      </c>
      <c r="Y1086" s="54">
        <f>R1086*W1086</f>
        <v>9.9</v>
      </c>
      <c r="Z1086" s="52">
        <f>S1086*W1086</f>
        <v>8.839285714285715</v>
      </c>
      <c r="AA1086" s="52">
        <f>T1086*W1086</f>
        <v>1.0607142857142857</v>
      </c>
      <c r="AB1086" s="52">
        <f>V1086*W1086</f>
        <v>0</v>
      </c>
      <c r="AC1086" s="53">
        <f>(R1086+V1086)*W1086</f>
        <v>9.9</v>
      </c>
      <c r="AD1086" s="138">
        <v>9.9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107</v>
      </c>
      <c r="F1087" s="96" t="s">
        <v>106</v>
      </c>
      <c r="G1087" s="97">
        <v>46132</v>
      </c>
      <c r="H1087" s="98">
        <v>0.4508101851851852</v>
      </c>
      <c r="I1087" s="50">
        <v>166004651</v>
      </c>
      <c r="J1087" s="96" t="s">
        <v>157</v>
      </c>
      <c r="K1087" s="49" t="s">
        <v>942</v>
      </c>
      <c r="L1087" s="39"/>
      <c r="M1087" s="49" t="s">
        <v>295</v>
      </c>
      <c r="N1087" s="39" t="s">
        <v>433</v>
      </c>
      <c r="O1087" s="96" t="s">
        <v>1332</v>
      </c>
      <c r="P1087" s="49" t="s">
        <v>235</v>
      </c>
      <c r="Q1087" s="96" t="s">
        <v>944</v>
      </c>
      <c r="R1087" s="52">
        <v>9.9</v>
      </c>
      <c r="S1087" s="52">
        <f>R1087-T1087</f>
        <v>8.839285714285715</v>
      </c>
      <c r="T1087" s="52">
        <f>R1087*U1087/(U1087+100)</f>
        <v>1.0607142857142857</v>
      </c>
      <c r="U1087" s="50">
        <v>12</v>
      </c>
      <c r="V1087" s="53">
        <v>0</v>
      </c>
      <c r="W1087" s="147">
        <v>1</v>
      </c>
      <c r="X1087" s="148" t="s">
        <v>945</v>
      </c>
      <c r="Y1087" s="54">
        <f>R1087*W1087</f>
        <v>9.9</v>
      </c>
      <c r="Z1087" s="52">
        <f>S1087*W1087</f>
        <v>8.839285714285715</v>
      </c>
      <c r="AA1087" s="52">
        <f>T1087*W1087</f>
        <v>1.0607142857142857</v>
      </c>
      <c r="AB1087" s="52">
        <f>V1087*W1087</f>
        <v>0</v>
      </c>
      <c r="AC1087" s="53">
        <f>(R1087+V1087)*W1087</f>
        <v>9.9</v>
      </c>
      <c r="AD1087" s="138">
        <v>9.9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107</v>
      </c>
      <c r="F1088" s="96" t="s">
        <v>106</v>
      </c>
      <c r="G1088" s="97">
        <v>46132</v>
      </c>
      <c r="H1088" s="98">
        <v>0.45100694444444445</v>
      </c>
      <c r="I1088" s="50">
        <v>166004652</v>
      </c>
      <c r="J1088" s="96" t="s">
        <v>157</v>
      </c>
      <c r="K1088" s="49" t="s">
        <v>566</v>
      </c>
      <c r="L1088" s="39" t="s">
        <v>567</v>
      </c>
      <c r="M1088" s="49" t="s">
        <v>568</v>
      </c>
      <c r="N1088" s="39" t="s">
        <v>569</v>
      </c>
      <c r="O1088" s="96" t="s">
        <v>2125</v>
      </c>
      <c r="P1088" s="49" t="s">
        <v>157</v>
      </c>
      <c r="Q1088" s="96" t="s">
        <v>104</v>
      </c>
      <c r="R1088" s="52">
        <v>21.9</v>
      </c>
      <c r="S1088" s="52">
        <f>R1088-T1088</f>
        <v>19.553571428571427</v>
      </c>
      <c r="T1088" s="52">
        <f>R1088*U1088/(U1088+100)</f>
        <v>2.346428571428571</v>
      </c>
      <c r="U1088" s="50">
        <v>12</v>
      </c>
      <c r="V1088" s="53">
        <v>0</v>
      </c>
      <c r="W1088" s="147">
        <v>1</v>
      </c>
      <c r="X1088" s="148" t="s">
        <v>163</v>
      </c>
      <c r="Y1088" s="54">
        <f>R1088*W1088</f>
        <v>21.9</v>
      </c>
      <c r="Z1088" s="52">
        <f>S1088*W1088</f>
        <v>19.553571428571427</v>
      </c>
      <c r="AA1088" s="52">
        <f>T1088*W1088</f>
        <v>2.346428571428571</v>
      </c>
      <c r="AB1088" s="52">
        <f>V1088*W1088</f>
        <v>0</v>
      </c>
      <c r="AC1088" s="53">
        <f>(R1088+V1088)*W1088</f>
        <v>21.9</v>
      </c>
      <c r="AD1088" s="138">
        <v>21.9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107</v>
      </c>
      <c r="F1089" s="96" t="s">
        <v>106</v>
      </c>
      <c r="G1089" s="97">
        <v>46132</v>
      </c>
      <c r="H1089" s="98">
        <v>0.45100694444444445</v>
      </c>
      <c r="I1089" s="50">
        <v>166004652</v>
      </c>
      <c r="J1089" s="96" t="s">
        <v>157</v>
      </c>
      <c r="K1089" s="49" t="s">
        <v>1705</v>
      </c>
      <c r="L1089" s="39" t="s">
        <v>1706</v>
      </c>
      <c r="M1089" s="49" t="s">
        <v>466</v>
      </c>
      <c r="N1089" s="39" t="s">
        <v>1703</v>
      </c>
      <c r="O1089" s="96" t="s">
        <v>1707</v>
      </c>
      <c r="P1089" s="49" t="s">
        <v>157</v>
      </c>
      <c r="Q1089" s="96" t="s">
        <v>104</v>
      </c>
      <c r="R1089" s="52">
        <v>12.9</v>
      </c>
      <c r="S1089" s="52">
        <f>R1089-T1089</f>
        <v>11.517857142857142</v>
      </c>
      <c r="T1089" s="52">
        <f>R1089*U1089/(U1089+100)</f>
        <v>1.3821428571428573</v>
      </c>
      <c r="U1089" s="50">
        <v>12</v>
      </c>
      <c r="V1089" s="53">
        <v>0</v>
      </c>
      <c r="W1089" s="147">
        <v>1</v>
      </c>
      <c r="X1089" s="148" t="s">
        <v>163</v>
      </c>
      <c r="Y1089" s="54">
        <f>R1089*W1089</f>
        <v>12.9</v>
      </c>
      <c r="Z1089" s="52">
        <f>S1089*W1089</f>
        <v>11.517857142857142</v>
      </c>
      <c r="AA1089" s="52">
        <f>T1089*W1089</f>
        <v>1.3821428571428573</v>
      </c>
      <c r="AB1089" s="52">
        <f>V1089*W1089</f>
        <v>0</v>
      </c>
      <c r="AC1089" s="53">
        <f>(R1089+V1089)*W1089</f>
        <v>12.9</v>
      </c>
      <c r="AD1089" s="138">
        <v>12.9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107</v>
      </c>
      <c r="F1090" s="96" t="s">
        <v>106</v>
      </c>
      <c r="G1090" s="97">
        <v>46132</v>
      </c>
      <c r="H1090" s="98">
        <v>0.45100694444444445</v>
      </c>
      <c r="I1090" s="50">
        <v>166004652</v>
      </c>
      <c r="J1090" s="96" t="s">
        <v>157</v>
      </c>
      <c r="K1090" s="49" t="s">
        <v>1705</v>
      </c>
      <c r="L1090" s="39" t="s">
        <v>1706</v>
      </c>
      <c r="M1090" s="49" t="s">
        <v>466</v>
      </c>
      <c r="N1090" s="39" t="s">
        <v>1703</v>
      </c>
      <c r="O1090" s="96" t="s">
        <v>1707</v>
      </c>
      <c r="P1090" s="49" t="s">
        <v>157</v>
      </c>
      <c r="Q1090" s="96" t="s">
        <v>104</v>
      </c>
      <c r="R1090" s="52">
        <v>12.9</v>
      </c>
      <c r="S1090" s="52">
        <f>R1090-T1090</f>
        <v>11.517857142857142</v>
      </c>
      <c r="T1090" s="52">
        <f>R1090*U1090/(U1090+100)</f>
        <v>1.3821428571428573</v>
      </c>
      <c r="U1090" s="50">
        <v>12</v>
      </c>
      <c r="V1090" s="53">
        <v>0</v>
      </c>
      <c r="W1090" s="147">
        <v>1</v>
      </c>
      <c r="X1090" s="148" t="s">
        <v>163</v>
      </c>
      <c r="Y1090" s="54">
        <f>R1090*W1090</f>
        <v>12.9</v>
      </c>
      <c r="Z1090" s="52">
        <f>S1090*W1090</f>
        <v>11.517857142857142</v>
      </c>
      <c r="AA1090" s="52">
        <f>T1090*W1090</f>
        <v>1.3821428571428573</v>
      </c>
      <c r="AB1090" s="52">
        <f>V1090*W1090</f>
        <v>0</v>
      </c>
      <c r="AC1090" s="53">
        <f>(R1090+V1090)*W1090</f>
        <v>12.9</v>
      </c>
      <c r="AD1090" s="138">
        <v>12.9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107</v>
      </c>
      <c r="F1091" s="96" t="s">
        <v>106</v>
      </c>
      <c r="G1091" s="97">
        <v>46132</v>
      </c>
      <c r="H1091" s="98">
        <v>0.45144675925925926</v>
      </c>
      <c r="I1091" s="50">
        <v>166004653</v>
      </c>
      <c r="J1091" s="96" t="s">
        <v>157</v>
      </c>
      <c r="K1091" s="49" t="s">
        <v>2126</v>
      </c>
      <c r="L1091" s="39" t="s">
        <v>2127</v>
      </c>
      <c r="M1091" s="49" t="s">
        <v>645</v>
      </c>
      <c r="N1091" s="39" t="s">
        <v>319</v>
      </c>
      <c r="O1091" s="96" t="s">
        <v>2128</v>
      </c>
      <c r="P1091" s="49" t="s">
        <v>157</v>
      </c>
      <c r="Q1091" s="96" t="s">
        <v>104</v>
      </c>
      <c r="R1091" s="52">
        <v>35.9</v>
      </c>
      <c r="S1091" s="52">
        <f>R1091-T1091</f>
        <v>32.05357142857143</v>
      </c>
      <c r="T1091" s="52">
        <f>R1091*U1091/(U1091+100)</f>
        <v>3.846428571428571</v>
      </c>
      <c r="U1091" s="50">
        <v>12</v>
      </c>
      <c r="V1091" s="53">
        <v>0</v>
      </c>
      <c r="W1091" s="147">
        <v>1</v>
      </c>
      <c r="X1091" s="148" t="s">
        <v>163</v>
      </c>
      <c r="Y1091" s="54">
        <f>R1091*W1091</f>
        <v>35.9</v>
      </c>
      <c r="Z1091" s="52">
        <f>S1091*W1091</f>
        <v>32.05357142857143</v>
      </c>
      <c r="AA1091" s="52">
        <f>T1091*W1091</f>
        <v>3.846428571428571</v>
      </c>
      <c r="AB1091" s="52">
        <f>V1091*W1091</f>
        <v>0</v>
      </c>
      <c r="AC1091" s="53">
        <f>(R1091+V1091)*W1091</f>
        <v>35.9</v>
      </c>
      <c r="AD1091" s="138">
        <v>35.9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107</v>
      </c>
      <c r="F1092" s="96" t="s">
        <v>106</v>
      </c>
      <c r="G1092" s="97">
        <v>46132</v>
      </c>
      <c r="H1092" s="98">
        <v>0.45144675925925926</v>
      </c>
      <c r="I1092" s="50">
        <v>166004653</v>
      </c>
      <c r="J1092" s="96" t="s">
        <v>157</v>
      </c>
      <c r="K1092" s="49" t="s">
        <v>2129</v>
      </c>
      <c r="L1092" s="39" t="s">
        <v>2130</v>
      </c>
      <c r="M1092" s="49" t="s">
        <v>722</v>
      </c>
      <c r="N1092" s="39" t="s">
        <v>476</v>
      </c>
      <c r="O1092" s="96" t="s">
        <v>2131</v>
      </c>
      <c r="P1092" s="49" t="s">
        <v>157</v>
      </c>
      <c r="Q1092" s="96" t="s">
        <v>104</v>
      </c>
      <c r="R1092" s="52">
        <v>24.9</v>
      </c>
      <c r="S1092" s="52">
        <f>R1092-T1092</f>
        <v>22.232142857142858</v>
      </c>
      <c r="T1092" s="52">
        <f>R1092*U1092/(U1092+100)</f>
        <v>2.6678571428571423</v>
      </c>
      <c r="U1092" s="50">
        <v>12</v>
      </c>
      <c r="V1092" s="53">
        <v>0</v>
      </c>
      <c r="W1092" s="147">
        <v>1</v>
      </c>
      <c r="X1092" s="148" t="s">
        <v>163</v>
      </c>
      <c r="Y1092" s="54">
        <f>R1092*W1092</f>
        <v>24.9</v>
      </c>
      <c r="Z1092" s="52">
        <f>S1092*W1092</f>
        <v>22.232142857142858</v>
      </c>
      <c r="AA1092" s="52">
        <f>T1092*W1092</f>
        <v>2.6678571428571423</v>
      </c>
      <c r="AB1092" s="52">
        <f>V1092*W1092</f>
        <v>0</v>
      </c>
      <c r="AC1092" s="53">
        <f>(R1092+V1092)*W1092</f>
        <v>24.9</v>
      </c>
      <c r="AD1092" s="138">
        <v>24.9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107</v>
      </c>
      <c r="F1093" s="96" t="s">
        <v>106</v>
      </c>
      <c r="G1093" s="97">
        <v>46132</v>
      </c>
      <c r="H1093" s="98">
        <v>0.45144675925925926</v>
      </c>
      <c r="I1093" s="50">
        <v>166004653</v>
      </c>
      <c r="J1093" s="96" t="s">
        <v>157</v>
      </c>
      <c r="K1093" s="49" t="s">
        <v>2132</v>
      </c>
      <c r="L1093" s="39" t="s">
        <v>2133</v>
      </c>
      <c r="M1093" s="49" t="s">
        <v>1222</v>
      </c>
      <c r="N1093" s="39" t="s">
        <v>653</v>
      </c>
      <c r="O1093" s="96" t="s">
        <v>2134</v>
      </c>
      <c r="P1093" s="49" t="s">
        <v>157</v>
      </c>
      <c r="Q1093" s="96" t="s">
        <v>104</v>
      </c>
      <c r="R1093" s="52">
        <v>49.9</v>
      </c>
      <c r="S1093" s="52">
        <f>R1093-T1093</f>
        <v>41.239669421487605</v>
      </c>
      <c r="T1093" s="52">
        <f>R1093*U1093/(U1093+100)</f>
        <v>8.660330578512395</v>
      </c>
      <c r="U1093" s="50">
        <v>21</v>
      </c>
      <c r="V1093" s="53">
        <v>0</v>
      </c>
      <c r="W1093" s="147">
        <v>1</v>
      </c>
      <c r="X1093" s="148" t="s">
        <v>163</v>
      </c>
      <c r="Y1093" s="54">
        <f>R1093*W1093</f>
        <v>49.9</v>
      </c>
      <c r="Z1093" s="52">
        <f>S1093*W1093</f>
        <v>41.239669421487605</v>
      </c>
      <c r="AA1093" s="52">
        <f>T1093*W1093</f>
        <v>8.660330578512395</v>
      </c>
      <c r="AB1093" s="52">
        <f>V1093*W1093</f>
        <v>0</v>
      </c>
      <c r="AC1093" s="53">
        <f>(R1093+V1093)*W1093</f>
        <v>49.9</v>
      </c>
      <c r="AD1093" s="138">
        <v>49.9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107</v>
      </c>
      <c r="F1094" s="96" t="s">
        <v>106</v>
      </c>
      <c r="G1094" s="97">
        <v>46132</v>
      </c>
      <c r="H1094" s="98">
        <v>0.45199074074074075</v>
      </c>
      <c r="I1094" s="50">
        <v>166004654</v>
      </c>
      <c r="J1094" s="96" t="s">
        <v>157</v>
      </c>
      <c r="K1094" s="49" t="s">
        <v>2135</v>
      </c>
      <c r="L1094" s="39" t="s">
        <v>2136</v>
      </c>
      <c r="M1094" s="49" t="s">
        <v>2137</v>
      </c>
      <c r="N1094" s="39" t="s">
        <v>2093</v>
      </c>
      <c r="O1094" s="96" t="s">
        <v>2138</v>
      </c>
      <c r="P1094" s="49" t="s">
        <v>157</v>
      </c>
      <c r="Q1094" s="96" t="s">
        <v>104</v>
      </c>
      <c r="R1094" s="52">
        <v>12.4</v>
      </c>
      <c r="S1094" s="52">
        <f>R1094-T1094</f>
        <v>11.071428571428571</v>
      </c>
      <c r="T1094" s="52">
        <f>R1094*U1094/(U1094+100)</f>
        <v>1.3285714285714287</v>
      </c>
      <c r="U1094" s="50">
        <v>12</v>
      </c>
      <c r="V1094" s="53">
        <v>0</v>
      </c>
      <c r="W1094" s="147">
        <v>1</v>
      </c>
      <c r="X1094" s="148" t="s">
        <v>163</v>
      </c>
      <c r="Y1094" s="54">
        <f>R1094*W1094</f>
        <v>12.4</v>
      </c>
      <c r="Z1094" s="52">
        <f>S1094*W1094</f>
        <v>11.071428571428571</v>
      </c>
      <c r="AA1094" s="52">
        <f>T1094*W1094</f>
        <v>1.3285714285714287</v>
      </c>
      <c r="AB1094" s="52">
        <f>V1094*W1094</f>
        <v>0</v>
      </c>
      <c r="AC1094" s="53">
        <f>(R1094+V1094)*W1094</f>
        <v>12.4</v>
      </c>
      <c r="AD1094" s="138">
        <v>12.4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107</v>
      </c>
      <c r="F1095" s="96" t="s">
        <v>106</v>
      </c>
      <c r="G1095" s="97">
        <v>46132</v>
      </c>
      <c r="H1095" s="98">
        <v>0.45199074074074075</v>
      </c>
      <c r="I1095" s="50">
        <v>166004654</v>
      </c>
      <c r="J1095" s="96" t="s">
        <v>157</v>
      </c>
      <c r="K1095" s="49" t="s">
        <v>2139</v>
      </c>
      <c r="L1095" s="39" t="s">
        <v>2140</v>
      </c>
      <c r="M1095" s="49" t="s">
        <v>2137</v>
      </c>
      <c r="N1095" s="39" t="s">
        <v>2093</v>
      </c>
      <c r="O1095" s="96" t="s">
        <v>2141</v>
      </c>
      <c r="P1095" s="49" t="s">
        <v>157</v>
      </c>
      <c r="Q1095" s="96" t="s">
        <v>104</v>
      </c>
      <c r="R1095" s="52">
        <v>12.4</v>
      </c>
      <c r="S1095" s="52">
        <f>R1095-T1095</f>
        <v>11.071428571428571</v>
      </c>
      <c r="T1095" s="52">
        <f>R1095*U1095/(U1095+100)</f>
        <v>1.3285714285714287</v>
      </c>
      <c r="U1095" s="50">
        <v>12</v>
      </c>
      <c r="V1095" s="53">
        <v>0</v>
      </c>
      <c r="W1095" s="147">
        <v>1</v>
      </c>
      <c r="X1095" s="148" t="s">
        <v>163</v>
      </c>
      <c r="Y1095" s="54">
        <f>R1095*W1095</f>
        <v>12.4</v>
      </c>
      <c r="Z1095" s="52">
        <f>S1095*W1095</f>
        <v>11.071428571428571</v>
      </c>
      <c r="AA1095" s="52">
        <f>T1095*W1095</f>
        <v>1.3285714285714287</v>
      </c>
      <c r="AB1095" s="52">
        <f>V1095*W1095</f>
        <v>0</v>
      </c>
      <c r="AC1095" s="53">
        <f>(R1095+V1095)*W1095</f>
        <v>12.4</v>
      </c>
      <c r="AD1095" s="138">
        <v>12.4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107</v>
      </c>
      <c r="F1096" s="96" t="s">
        <v>106</v>
      </c>
      <c r="G1096" s="97">
        <v>46132</v>
      </c>
      <c r="H1096" s="98">
        <v>0.45199074074074075</v>
      </c>
      <c r="I1096" s="50">
        <v>166004654</v>
      </c>
      <c r="J1096" s="96" t="s">
        <v>157</v>
      </c>
      <c r="K1096" s="49" t="s">
        <v>2142</v>
      </c>
      <c r="L1096" s="39" t="s">
        <v>2143</v>
      </c>
      <c r="M1096" s="49" t="s">
        <v>2137</v>
      </c>
      <c r="N1096" s="39" t="s">
        <v>2093</v>
      </c>
      <c r="O1096" s="96" t="s">
        <v>2144</v>
      </c>
      <c r="P1096" s="49" t="s">
        <v>157</v>
      </c>
      <c r="Q1096" s="96" t="s">
        <v>104</v>
      </c>
      <c r="R1096" s="52">
        <v>12.4</v>
      </c>
      <c r="S1096" s="52">
        <f>R1096-T1096</f>
        <v>11.071428571428571</v>
      </c>
      <c r="T1096" s="52">
        <f>R1096*U1096/(U1096+100)</f>
        <v>1.3285714285714287</v>
      </c>
      <c r="U1096" s="50">
        <v>12</v>
      </c>
      <c r="V1096" s="53">
        <v>0</v>
      </c>
      <c r="W1096" s="147">
        <v>1</v>
      </c>
      <c r="X1096" s="148" t="s">
        <v>163</v>
      </c>
      <c r="Y1096" s="54">
        <f>R1096*W1096</f>
        <v>12.4</v>
      </c>
      <c r="Z1096" s="52">
        <f>S1096*W1096</f>
        <v>11.071428571428571</v>
      </c>
      <c r="AA1096" s="52">
        <f>T1096*W1096</f>
        <v>1.3285714285714287</v>
      </c>
      <c r="AB1096" s="52">
        <f>V1096*W1096</f>
        <v>0</v>
      </c>
      <c r="AC1096" s="53">
        <f>(R1096+V1096)*W1096</f>
        <v>12.4</v>
      </c>
      <c r="AD1096" s="138">
        <v>12.4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107</v>
      </c>
      <c r="F1097" s="96" t="s">
        <v>106</v>
      </c>
      <c r="G1097" s="97">
        <v>46132</v>
      </c>
      <c r="H1097" s="98">
        <v>0.45199074074074075</v>
      </c>
      <c r="I1097" s="50">
        <v>166004654</v>
      </c>
      <c r="J1097" s="96" t="s">
        <v>157</v>
      </c>
      <c r="K1097" s="49" t="s">
        <v>2142</v>
      </c>
      <c r="L1097" s="39" t="s">
        <v>2143</v>
      </c>
      <c r="M1097" s="49" t="s">
        <v>2137</v>
      </c>
      <c r="N1097" s="39" t="s">
        <v>2093</v>
      </c>
      <c r="O1097" s="96" t="s">
        <v>2144</v>
      </c>
      <c r="P1097" s="49" t="s">
        <v>157</v>
      </c>
      <c r="Q1097" s="96" t="s">
        <v>104</v>
      </c>
      <c r="R1097" s="52">
        <v>12.4</v>
      </c>
      <c r="S1097" s="52">
        <f>R1097-T1097</f>
        <v>11.071428571428571</v>
      </c>
      <c r="T1097" s="52">
        <f>R1097*U1097/(U1097+100)</f>
        <v>1.3285714285714287</v>
      </c>
      <c r="U1097" s="50">
        <v>12</v>
      </c>
      <c r="V1097" s="53">
        <v>0</v>
      </c>
      <c r="W1097" s="147">
        <v>1</v>
      </c>
      <c r="X1097" s="148" t="s">
        <v>163</v>
      </c>
      <c r="Y1097" s="54">
        <f>R1097*W1097</f>
        <v>12.4</v>
      </c>
      <c r="Z1097" s="52">
        <f>S1097*W1097</f>
        <v>11.071428571428571</v>
      </c>
      <c r="AA1097" s="52">
        <f>T1097*W1097</f>
        <v>1.3285714285714287</v>
      </c>
      <c r="AB1097" s="52">
        <f>V1097*W1097</f>
        <v>0</v>
      </c>
      <c r="AC1097" s="53">
        <f>(R1097+V1097)*W1097</f>
        <v>12.4</v>
      </c>
      <c r="AD1097" s="138">
        <v>12.4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107</v>
      </c>
      <c r="F1098" s="96" t="s">
        <v>106</v>
      </c>
      <c r="G1098" s="97">
        <v>46132</v>
      </c>
      <c r="H1098" s="98">
        <v>0.45199074074074075</v>
      </c>
      <c r="I1098" s="50">
        <v>166004654</v>
      </c>
      <c r="J1098" s="96" t="s">
        <v>157</v>
      </c>
      <c r="K1098" s="49" t="s">
        <v>1085</v>
      </c>
      <c r="L1098" s="39" t="s">
        <v>1086</v>
      </c>
      <c r="M1098" s="49" t="s">
        <v>1087</v>
      </c>
      <c r="N1098" s="39" t="s">
        <v>1088</v>
      </c>
      <c r="O1098" s="96" t="s">
        <v>1089</v>
      </c>
      <c r="P1098" s="49" t="s">
        <v>157</v>
      </c>
      <c r="Q1098" s="96" t="s">
        <v>104</v>
      </c>
      <c r="R1098" s="52">
        <v>163.03</v>
      </c>
      <c r="S1098" s="52">
        <f>R1098-T1098</f>
        <v>145.5625</v>
      </c>
      <c r="T1098" s="52">
        <f>R1098*U1098/(U1098+100)</f>
        <v>17.4675</v>
      </c>
      <c r="U1098" s="50">
        <v>12</v>
      </c>
      <c r="V1098" s="53">
        <v>0</v>
      </c>
      <c r="W1098" s="147">
        <v>0.212</v>
      </c>
      <c r="X1098" s="148" t="s">
        <v>193</v>
      </c>
      <c r="Y1098" s="54">
        <f>R1098*W1098</f>
        <v>34.56236</v>
      </c>
      <c r="Z1098" s="52">
        <f>S1098*W1098</f>
        <v>30.85925</v>
      </c>
      <c r="AA1098" s="52">
        <f>T1098*W1098</f>
        <v>3.70311</v>
      </c>
      <c r="AB1098" s="52">
        <f>V1098*W1098</f>
        <v>0</v>
      </c>
      <c r="AC1098" s="53">
        <f>(R1098+V1098)*W1098</f>
        <v>34.56236</v>
      </c>
      <c r="AD1098" s="138">
        <v>232.9</v>
      </c>
      <c r="AE1098" s="137">
        <v>69.87</v>
      </c>
      <c r="AF1098" s="139">
        <v>14.8124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107</v>
      </c>
      <c r="F1099" s="96" t="s">
        <v>106</v>
      </c>
      <c r="G1099" s="97">
        <v>46132</v>
      </c>
      <c r="H1099" s="98">
        <v>0.45199074074074075</v>
      </c>
      <c r="I1099" s="50">
        <v>166004654</v>
      </c>
      <c r="J1099" s="96" t="s">
        <v>157</v>
      </c>
      <c r="K1099" s="49" t="s">
        <v>1133</v>
      </c>
      <c r="L1099" s="39" t="s">
        <v>1134</v>
      </c>
      <c r="M1099" s="49" t="s">
        <v>649</v>
      </c>
      <c r="N1099" s="39" t="s">
        <v>440</v>
      </c>
      <c r="O1099" s="96" t="s">
        <v>1135</v>
      </c>
      <c r="P1099" s="49" t="s">
        <v>157</v>
      </c>
      <c r="Q1099" s="96" t="s">
        <v>104</v>
      </c>
      <c r="R1099" s="52">
        <v>125.93</v>
      </c>
      <c r="S1099" s="52">
        <f>R1099-T1099</f>
        <v>112.4375</v>
      </c>
      <c r="T1099" s="52">
        <f>R1099*U1099/(U1099+100)</f>
        <v>13.492500000000001</v>
      </c>
      <c r="U1099" s="50">
        <v>12</v>
      </c>
      <c r="V1099" s="53">
        <v>0</v>
      </c>
      <c r="W1099" s="147">
        <v>0.168</v>
      </c>
      <c r="X1099" s="148" t="s">
        <v>193</v>
      </c>
      <c r="Y1099" s="54">
        <f>R1099*W1099</f>
        <v>21.156240000000004</v>
      </c>
      <c r="Z1099" s="52">
        <f>S1099*W1099</f>
        <v>18.8895</v>
      </c>
      <c r="AA1099" s="52">
        <f>T1099*W1099</f>
        <v>2.2667400000000004</v>
      </c>
      <c r="AB1099" s="52">
        <f>V1099*W1099</f>
        <v>0</v>
      </c>
      <c r="AC1099" s="53">
        <f>(R1099+V1099)*W1099</f>
        <v>21.156240000000004</v>
      </c>
      <c r="AD1099" s="138">
        <v>179.9</v>
      </c>
      <c r="AE1099" s="137">
        <v>53.97</v>
      </c>
      <c r="AF1099" s="139">
        <v>9.067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107</v>
      </c>
      <c r="F1100" s="96" t="s">
        <v>106</v>
      </c>
      <c r="G1100" s="97">
        <v>46132</v>
      </c>
      <c r="H1100" s="98">
        <v>0.45233796296296297</v>
      </c>
      <c r="I1100" s="50">
        <v>166004655</v>
      </c>
      <c r="J1100" s="96" t="s">
        <v>157</v>
      </c>
      <c r="K1100" s="49" t="s">
        <v>2145</v>
      </c>
      <c r="L1100" s="39" t="s">
        <v>2146</v>
      </c>
      <c r="M1100" s="49" t="s">
        <v>709</v>
      </c>
      <c r="N1100" s="39" t="s">
        <v>319</v>
      </c>
      <c r="O1100" s="96" t="s">
        <v>2147</v>
      </c>
      <c r="P1100" s="49" t="s">
        <v>235</v>
      </c>
      <c r="Q1100" s="96" t="s">
        <v>236</v>
      </c>
      <c r="R1100" s="52">
        <v>149</v>
      </c>
      <c r="S1100" s="52">
        <f>R1100-T1100</f>
        <v>133.03571428571428</v>
      </c>
      <c r="T1100" s="52">
        <f>R1100*U1100/(U1100+100)</f>
        <v>15.964285714285714</v>
      </c>
      <c r="U1100" s="50">
        <v>12</v>
      </c>
      <c r="V1100" s="53">
        <v>0</v>
      </c>
      <c r="W1100" s="147">
        <v>0.228</v>
      </c>
      <c r="X1100" s="148" t="s">
        <v>193</v>
      </c>
      <c r="Y1100" s="54">
        <f>R1100*W1100</f>
        <v>33.972</v>
      </c>
      <c r="Z1100" s="52">
        <f>S1100*W1100</f>
        <v>30.332142857142856</v>
      </c>
      <c r="AA1100" s="52">
        <f>T1100*W1100</f>
        <v>3.6398571428571427</v>
      </c>
      <c r="AB1100" s="52">
        <f>V1100*W1100</f>
        <v>0</v>
      </c>
      <c r="AC1100" s="53">
        <f>(R1100+V1100)*W1100</f>
        <v>33.972</v>
      </c>
      <c r="AD1100" s="138">
        <v>149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107</v>
      </c>
      <c r="F1101" s="96" t="s">
        <v>106</v>
      </c>
      <c r="G1101" s="97">
        <v>46132</v>
      </c>
      <c r="H1101" s="98">
        <v>0.45262731481481483</v>
      </c>
      <c r="I1101" s="50">
        <v>166004656</v>
      </c>
      <c r="J1101" s="96" t="s">
        <v>157</v>
      </c>
      <c r="K1101" s="49" t="s">
        <v>1426</v>
      </c>
      <c r="L1101" s="39" t="s">
        <v>1427</v>
      </c>
      <c r="M1101" s="49" t="s">
        <v>1428</v>
      </c>
      <c r="N1101" s="39" t="s">
        <v>609</v>
      </c>
      <c r="O1101" s="96" t="s">
        <v>1429</v>
      </c>
      <c r="P1101" s="49" t="s">
        <v>157</v>
      </c>
      <c r="Q1101" s="96" t="s">
        <v>104</v>
      </c>
      <c r="R1101" s="52">
        <v>22.9</v>
      </c>
      <c r="S1101" s="52">
        <f>R1101-T1101</f>
        <v>20.44642857142857</v>
      </c>
      <c r="T1101" s="52">
        <f>R1101*U1101/(U1101+100)</f>
        <v>2.4535714285714283</v>
      </c>
      <c r="U1101" s="50">
        <v>12</v>
      </c>
      <c r="V1101" s="53">
        <v>0</v>
      </c>
      <c r="W1101" s="147">
        <v>1</v>
      </c>
      <c r="X1101" s="148" t="s">
        <v>163</v>
      </c>
      <c r="Y1101" s="54">
        <f>R1101*W1101</f>
        <v>22.9</v>
      </c>
      <c r="Z1101" s="52">
        <f>S1101*W1101</f>
        <v>20.44642857142857</v>
      </c>
      <c r="AA1101" s="52">
        <f>T1101*W1101</f>
        <v>2.4535714285714283</v>
      </c>
      <c r="AB1101" s="52">
        <f>V1101*W1101</f>
        <v>0</v>
      </c>
      <c r="AC1101" s="53">
        <f>(R1101+V1101)*W1101</f>
        <v>22.9</v>
      </c>
      <c r="AD1101" s="138">
        <v>22.9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107</v>
      </c>
      <c r="F1102" s="96" t="s">
        <v>106</v>
      </c>
      <c r="G1102" s="97">
        <v>46132</v>
      </c>
      <c r="H1102" s="98">
        <v>0.45262731481481483</v>
      </c>
      <c r="I1102" s="50">
        <v>166004656</v>
      </c>
      <c r="J1102" s="96" t="s">
        <v>157</v>
      </c>
      <c r="K1102" s="49" t="s">
        <v>507</v>
      </c>
      <c r="L1102" s="39" t="s">
        <v>508</v>
      </c>
      <c r="M1102" s="49" t="s">
        <v>509</v>
      </c>
      <c r="N1102" s="39" t="s">
        <v>256</v>
      </c>
      <c r="O1102" s="96" t="s">
        <v>1024</v>
      </c>
      <c r="P1102" s="49" t="s">
        <v>235</v>
      </c>
      <c r="Q1102" s="96" t="s">
        <v>236</v>
      </c>
      <c r="R1102" s="52">
        <v>15.9</v>
      </c>
      <c r="S1102" s="52">
        <f>R1102-T1102</f>
        <v>13.140495867768596</v>
      </c>
      <c r="T1102" s="52">
        <f>R1102*U1102/(U1102+100)</f>
        <v>2.759504132231405</v>
      </c>
      <c r="U1102" s="50">
        <v>21</v>
      </c>
      <c r="V1102" s="53">
        <v>0</v>
      </c>
      <c r="W1102" s="147">
        <v>1</v>
      </c>
      <c r="X1102" s="148" t="s">
        <v>163</v>
      </c>
      <c r="Y1102" s="54">
        <f>R1102*W1102</f>
        <v>15.9</v>
      </c>
      <c r="Z1102" s="52">
        <f>S1102*W1102</f>
        <v>13.140495867768596</v>
      </c>
      <c r="AA1102" s="52">
        <f>T1102*W1102</f>
        <v>2.759504132231405</v>
      </c>
      <c r="AB1102" s="52">
        <f>V1102*W1102</f>
        <v>0</v>
      </c>
      <c r="AC1102" s="53">
        <f>(R1102+V1102)*W1102</f>
        <v>15.9</v>
      </c>
      <c r="AD1102" s="138">
        <v>15.9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107</v>
      </c>
      <c r="F1103" s="96" t="s">
        <v>106</v>
      </c>
      <c r="G1103" s="97">
        <v>46132</v>
      </c>
      <c r="H1103" s="98">
        <v>0.4564699074074074</v>
      </c>
      <c r="I1103" s="50">
        <v>166004657</v>
      </c>
      <c r="J1103" s="96" t="s">
        <v>157</v>
      </c>
      <c r="K1103" s="49" t="s">
        <v>329</v>
      </c>
      <c r="L1103" s="39" t="s">
        <v>330</v>
      </c>
      <c r="M1103" s="49" t="s">
        <v>185</v>
      </c>
      <c r="N1103" s="39" t="s">
        <v>331</v>
      </c>
      <c r="O1103" s="96" t="s">
        <v>1640</v>
      </c>
      <c r="P1103" s="49" t="s">
        <v>157</v>
      </c>
      <c r="Q1103" s="96" t="s">
        <v>104</v>
      </c>
      <c r="R1103" s="52">
        <v>49.9</v>
      </c>
      <c r="S1103" s="52">
        <f>R1103-T1103</f>
        <v>44.55357142857143</v>
      </c>
      <c r="T1103" s="52">
        <f>R1103*U1103/(U1103+100)</f>
        <v>5.346428571428571</v>
      </c>
      <c r="U1103" s="50">
        <v>12</v>
      </c>
      <c r="V1103" s="53">
        <v>0</v>
      </c>
      <c r="W1103" s="147">
        <v>1</v>
      </c>
      <c r="X1103" s="148" t="s">
        <v>163</v>
      </c>
      <c r="Y1103" s="54">
        <f>R1103*W1103</f>
        <v>49.9</v>
      </c>
      <c r="Z1103" s="52">
        <f>S1103*W1103</f>
        <v>44.55357142857143</v>
      </c>
      <c r="AA1103" s="52">
        <f>T1103*W1103</f>
        <v>5.346428571428571</v>
      </c>
      <c r="AB1103" s="52">
        <f>V1103*W1103</f>
        <v>0</v>
      </c>
      <c r="AC1103" s="53">
        <f>(R1103+V1103)*W1103</f>
        <v>49.9</v>
      </c>
      <c r="AD1103" s="138">
        <v>49.9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107</v>
      </c>
      <c r="F1104" s="96" t="s">
        <v>106</v>
      </c>
      <c r="G1104" s="97">
        <v>46132</v>
      </c>
      <c r="H1104" s="98">
        <v>0.4564699074074074</v>
      </c>
      <c r="I1104" s="50">
        <v>166004657</v>
      </c>
      <c r="J1104" s="96" t="s">
        <v>157</v>
      </c>
      <c r="K1104" s="49" t="s">
        <v>2148</v>
      </c>
      <c r="L1104" s="39" t="s">
        <v>2149</v>
      </c>
      <c r="M1104" s="49" t="s">
        <v>360</v>
      </c>
      <c r="N1104" s="39" t="s">
        <v>167</v>
      </c>
      <c r="O1104" s="96" t="s">
        <v>2150</v>
      </c>
      <c r="P1104" s="49" t="s">
        <v>157</v>
      </c>
      <c r="Q1104" s="96" t="s">
        <v>104</v>
      </c>
      <c r="R1104" s="52">
        <v>11.4</v>
      </c>
      <c r="S1104" s="52">
        <f>R1104-T1104</f>
        <v>9.421487603305785</v>
      </c>
      <c r="T1104" s="52">
        <f>R1104*U1104/(U1104+100)</f>
        <v>1.9785123966942149</v>
      </c>
      <c r="U1104" s="50">
        <v>21</v>
      </c>
      <c r="V1104" s="53">
        <v>0</v>
      </c>
      <c r="W1104" s="147">
        <v>1</v>
      </c>
      <c r="X1104" s="148" t="s">
        <v>163</v>
      </c>
      <c r="Y1104" s="54">
        <f>R1104*W1104</f>
        <v>11.4</v>
      </c>
      <c r="Z1104" s="52">
        <f>S1104*W1104</f>
        <v>9.421487603305785</v>
      </c>
      <c r="AA1104" s="52">
        <f>T1104*W1104</f>
        <v>1.9785123966942149</v>
      </c>
      <c r="AB1104" s="52">
        <f>V1104*W1104</f>
        <v>0</v>
      </c>
      <c r="AC1104" s="53">
        <f>(R1104+V1104)*W1104</f>
        <v>11.4</v>
      </c>
      <c r="AD1104" s="138">
        <v>11.4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107</v>
      </c>
      <c r="F1105" s="96" t="s">
        <v>106</v>
      </c>
      <c r="G1105" s="97">
        <v>46132</v>
      </c>
      <c r="H1105" s="98">
        <v>0.4564699074074074</v>
      </c>
      <c r="I1105" s="50">
        <v>166004657</v>
      </c>
      <c r="J1105" s="96" t="s">
        <v>157</v>
      </c>
      <c r="K1105" s="49" t="s">
        <v>992</v>
      </c>
      <c r="L1105" s="39" t="s">
        <v>993</v>
      </c>
      <c r="M1105" s="49" t="s">
        <v>214</v>
      </c>
      <c r="N1105" s="39" t="s">
        <v>501</v>
      </c>
      <c r="O1105" s="96" t="s">
        <v>994</v>
      </c>
      <c r="P1105" s="49" t="s">
        <v>157</v>
      </c>
      <c r="Q1105" s="96" t="s">
        <v>104</v>
      </c>
      <c r="R1105" s="52">
        <v>6.9</v>
      </c>
      <c r="S1105" s="52">
        <f>R1105-T1105</f>
        <v>6.160714285714286</v>
      </c>
      <c r="T1105" s="52">
        <f>R1105*U1105/(U1105+100)</f>
        <v>0.7392857142857144</v>
      </c>
      <c r="U1105" s="50">
        <v>12</v>
      </c>
      <c r="V1105" s="53">
        <v>0</v>
      </c>
      <c r="W1105" s="147">
        <v>4</v>
      </c>
      <c r="X1105" s="148" t="s">
        <v>163</v>
      </c>
      <c r="Y1105" s="54">
        <f>R1105*W1105</f>
        <v>27.6</v>
      </c>
      <c r="Z1105" s="52">
        <f>S1105*W1105</f>
        <v>24.642857142857142</v>
      </c>
      <c r="AA1105" s="52">
        <f>T1105*W1105</f>
        <v>2.9571428571428577</v>
      </c>
      <c r="AB1105" s="52">
        <f>V1105*W1105</f>
        <v>0</v>
      </c>
      <c r="AC1105" s="53">
        <f>(R1105+V1105)*W1105</f>
        <v>27.6</v>
      </c>
      <c r="AD1105" s="138">
        <v>6.9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107</v>
      </c>
      <c r="F1106" s="96" t="s">
        <v>106</v>
      </c>
      <c r="G1106" s="97">
        <v>46132</v>
      </c>
      <c r="H1106" s="98">
        <v>0.4564699074074074</v>
      </c>
      <c r="I1106" s="50">
        <v>166004657</v>
      </c>
      <c r="J1106" s="96" t="s">
        <v>157</v>
      </c>
      <c r="K1106" s="49" t="s">
        <v>183</v>
      </c>
      <c r="L1106" s="39" t="s">
        <v>184</v>
      </c>
      <c r="M1106" s="49" t="s">
        <v>185</v>
      </c>
      <c r="N1106" s="39" t="s">
        <v>186</v>
      </c>
      <c r="O1106" s="96" t="s">
        <v>988</v>
      </c>
      <c r="P1106" s="49" t="s">
        <v>157</v>
      </c>
      <c r="Q1106" s="96" t="s">
        <v>104</v>
      </c>
      <c r="R1106" s="52">
        <v>1.9</v>
      </c>
      <c r="S1106" s="52">
        <f>R1106-T1106</f>
        <v>1.5702479338842974</v>
      </c>
      <c r="T1106" s="52">
        <f>R1106*U1106/(U1106+100)</f>
        <v>0.32975206611570246</v>
      </c>
      <c r="U1106" s="50">
        <v>21</v>
      </c>
      <c r="V1106" s="53">
        <v>0</v>
      </c>
      <c r="W1106" s="147">
        <v>1</v>
      </c>
      <c r="X1106" s="148" t="s">
        <v>163</v>
      </c>
      <c r="Y1106" s="54">
        <f>R1106*W1106</f>
        <v>1.9</v>
      </c>
      <c r="Z1106" s="52">
        <f>S1106*W1106</f>
        <v>1.5702479338842974</v>
      </c>
      <c r="AA1106" s="52">
        <f>T1106*W1106</f>
        <v>0.32975206611570246</v>
      </c>
      <c r="AB1106" s="52">
        <f>V1106*W1106</f>
        <v>0</v>
      </c>
      <c r="AC1106" s="53">
        <f>(R1106+V1106)*W1106</f>
        <v>1.9</v>
      </c>
      <c r="AD1106" s="138">
        <v>1.9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107</v>
      </c>
      <c r="F1107" s="96" t="s">
        <v>106</v>
      </c>
      <c r="G1107" s="97">
        <v>46132</v>
      </c>
      <c r="H1107" s="98">
        <v>0.4564699074074074</v>
      </c>
      <c r="I1107" s="50">
        <v>166004657</v>
      </c>
      <c r="J1107" s="96" t="s">
        <v>157</v>
      </c>
      <c r="K1107" s="49" t="s">
        <v>1513</v>
      </c>
      <c r="L1107" s="39" t="s">
        <v>104</v>
      </c>
      <c r="M1107" s="49" t="s">
        <v>190</v>
      </c>
      <c r="N1107" s="39" t="s">
        <v>462</v>
      </c>
      <c r="O1107" s="96" t="s">
        <v>1514</v>
      </c>
      <c r="P1107" s="49" t="s">
        <v>157</v>
      </c>
      <c r="Q1107" s="96" t="s">
        <v>104</v>
      </c>
      <c r="R1107" s="52">
        <v>12.4</v>
      </c>
      <c r="S1107" s="52">
        <f>R1107-T1107</f>
        <v>11.071428571428571</v>
      </c>
      <c r="T1107" s="52">
        <f>R1107*U1107/(U1107+100)</f>
        <v>1.3285714285714287</v>
      </c>
      <c r="U1107" s="50">
        <v>12</v>
      </c>
      <c r="V1107" s="53">
        <v>0</v>
      </c>
      <c r="W1107" s="147">
        <v>1</v>
      </c>
      <c r="X1107" s="148" t="s">
        <v>163</v>
      </c>
      <c r="Y1107" s="54">
        <f>R1107*W1107</f>
        <v>12.4</v>
      </c>
      <c r="Z1107" s="52">
        <f>S1107*W1107</f>
        <v>11.071428571428571</v>
      </c>
      <c r="AA1107" s="52">
        <f>T1107*W1107</f>
        <v>1.3285714285714287</v>
      </c>
      <c r="AB1107" s="52">
        <f>V1107*W1107</f>
        <v>0</v>
      </c>
      <c r="AC1107" s="53">
        <f>(R1107+V1107)*W1107</f>
        <v>12.4</v>
      </c>
      <c r="AD1107" s="138">
        <v>12.4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107</v>
      </c>
      <c r="F1108" s="96" t="s">
        <v>106</v>
      </c>
      <c r="G1108" s="97">
        <v>46132</v>
      </c>
      <c r="H1108" s="98">
        <v>0.4564699074074074</v>
      </c>
      <c r="I1108" s="50">
        <v>166004657</v>
      </c>
      <c r="J1108" s="96" t="s">
        <v>157</v>
      </c>
      <c r="K1108" s="49" t="s">
        <v>212</v>
      </c>
      <c r="L1108" s="39" t="s">
        <v>213</v>
      </c>
      <c r="M1108" s="49" t="s">
        <v>214</v>
      </c>
      <c r="N1108" s="39" t="s">
        <v>215</v>
      </c>
      <c r="O1108" s="96" t="s">
        <v>2151</v>
      </c>
      <c r="P1108" s="49" t="s">
        <v>157</v>
      </c>
      <c r="Q1108" s="96" t="s">
        <v>104</v>
      </c>
      <c r="R1108" s="52">
        <v>24.9</v>
      </c>
      <c r="S1108" s="52">
        <f>R1108-T1108</f>
        <v>22.232142857142858</v>
      </c>
      <c r="T1108" s="52">
        <f>R1108*U1108/(U1108+100)</f>
        <v>2.6678571428571423</v>
      </c>
      <c r="U1108" s="50">
        <v>12</v>
      </c>
      <c r="V1108" s="53">
        <v>0</v>
      </c>
      <c r="W1108" s="147">
        <v>3</v>
      </c>
      <c r="X1108" s="148" t="s">
        <v>163</v>
      </c>
      <c r="Y1108" s="54">
        <f>R1108*W1108</f>
        <v>74.69999999999999</v>
      </c>
      <c r="Z1108" s="52">
        <f>S1108*W1108</f>
        <v>66.69642857142857</v>
      </c>
      <c r="AA1108" s="52">
        <f>T1108*W1108</f>
        <v>8.003571428571426</v>
      </c>
      <c r="AB1108" s="52">
        <f>V1108*W1108</f>
        <v>0</v>
      </c>
      <c r="AC1108" s="53">
        <f>(R1108+V1108)*W1108</f>
        <v>74.69999999999999</v>
      </c>
      <c r="AD1108" s="138">
        <v>24.9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107</v>
      </c>
      <c r="F1109" s="96" t="s">
        <v>106</v>
      </c>
      <c r="G1109" s="97">
        <v>46132</v>
      </c>
      <c r="H1109" s="98">
        <v>0.4564699074074074</v>
      </c>
      <c r="I1109" s="50">
        <v>166004657</v>
      </c>
      <c r="J1109" s="96" t="s">
        <v>157</v>
      </c>
      <c r="K1109" s="49" t="s">
        <v>2152</v>
      </c>
      <c r="L1109" s="39" t="s">
        <v>2153</v>
      </c>
      <c r="M1109" s="49" t="s">
        <v>649</v>
      </c>
      <c r="N1109" s="39" t="s">
        <v>440</v>
      </c>
      <c r="O1109" s="96" t="s">
        <v>2154</v>
      </c>
      <c r="P1109" s="49" t="s">
        <v>157</v>
      </c>
      <c r="Q1109" s="96" t="s">
        <v>104</v>
      </c>
      <c r="R1109" s="52">
        <v>32.9</v>
      </c>
      <c r="S1109" s="52">
        <f>R1109-T1109</f>
        <v>29.375</v>
      </c>
      <c r="T1109" s="52">
        <f>R1109*U1109/(U1109+100)</f>
        <v>3.5249999999999995</v>
      </c>
      <c r="U1109" s="50">
        <v>12</v>
      </c>
      <c r="V1109" s="53">
        <v>0</v>
      </c>
      <c r="W1109" s="147">
        <v>1</v>
      </c>
      <c r="X1109" s="148" t="s">
        <v>163</v>
      </c>
      <c r="Y1109" s="54">
        <f>R1109*W1109</f>
        <v>32.9</v>
      </c>
      <c r="Z1109" s="52">
        <f>S1109*W1109</f>
        <v>29.375</v>
      </c>
      <c r="AA1109" s="52">
        <f>T1109*W1109</f>
        <v>3.5249999999999995</v>
      </c>
      <c r="AB1109" s="52">
        <f>V1109*W1109</f>
        <v>0</v>
      </c>
      <c r="AC1109" s="53">
        <f>(R1109+V1109)*W1109</f>
        <v>32.9</v>
      </c>
      <c r="AD1109" s="138">
        <v>32.9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107</v>
      </c>
      <c r="F1110" s="96" t="s">
        <v>106</v>
      </c>
      <c r="G1110" s="97">
        <v>46132</v>
      </c>
      <c r="H1110" s="98">
        <v>0.4564699074074074</v>
      </c>
      <c r="I1110" s="50">
        <v>166004657</v>
      </c>
      <c r="J1110" s="96" t="s">
        <v>157</v>
      </c>
      <c r="K1110" s="49" t="s">
        <v>293</v>
      </c>
      <c r="L1110" s="39" t="s">
        <v>294</v>
      </c>
      <c r="M1110" s="49" t="s">
        <v>295</v>
      </c>
      <c r="N1110" s="39" t="s">
        <v>296</v>
      </c>
      <c r="O1110" s="96" t="s">
        <v>297</v>
      </c>
      <c r="P1110" s="49" t="s">
        <v>157</v>
      </c>
      <c r="Q1110" s="96" t="s">
        <v>104</v>
      </c>
      <c r="R1110" s="52">
        <v>2.9</v>
      </c>
      <c r="S1110" s="52">
        <f>R1110-T1110</f>
        <v>2.5892857142857144</v>
      </c>
      <c r="T1110" s="52">
        <f>R1110*U1110/(U1110+100)</f>
        <v>0.31071428571428567</v>
      </c>
      <c r="U1110" s="50">
        <v>12</v>
      </c>
      <c r="V1110" s="53">
        <v>0</v>
      </c>
      <c r="W1110" s="147">
        <v>4</v>
      </c>
      <c r="X1110" s="148" t="s">
        <v>163</v>
      </c>
      <c r="Y1110" s="54">
        <f>R1110*W1110</f>
        <v>11.6</v>
      </c>
      <c r="Z1110" s="52">
        <f>S1110*W1110</f>
        <v>10.357142857142858</v>
      </c>
      <c r="AA1110" s="52">
        <f>T1110*W1110</f>
        <v>1.2428571428571427</v>
      </c>
      <c r="AB1110" s="52">
        <f>V1110*W1110</f>
        <v>0</v>
      </c>
      <c r="AC1110" s="53">
        <f>(R1110+V1110)*W1110</f>
        <v>11.6</v>
      </c>
      <c r="AD1110" s="138">
        <v>2.9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107</v>
      </c>
      <c r="F1111" s="96" t="s">
        <v>106</v>
      </c>
      <c r="G1111" s="97">
        <v>46132</v>
      </c>
      <c r="H1111" s="98">
        <v>0.4564699074074074</v>
      </c>
      <c r="I1111" s="50">
        <v>166004657</v>
      </c>
      <c r="J1111" s="96" t="s">
        <v>157</v>
      </c>
      <c r="K1111" s="49" t="s">
        <v>942</v>
      </c>
      <c r="L1111" s="39"/>
      <c r="M1111" s="49" t="s">
        <v>295</v>
      </c>
      <c r="N1111" s="39" t="s">
        <v>433</v>
      </c>
      <c r="O1111" s="96" t="s">
        <v>1332</v>
      </c>
      <c r="P1111" s="49" t="s">
        <v>235</v>
      </c>
      <c r="Q1111" s="96" t="s">
        <v>944</v>
      </c>
      <c r="R1111" s="52">
        <v>9.9</v>
      </c>
      <c r="S1111" s="52">
        <f>R1111-T1111</f>
        <v>8.839285714285715</v>
      </c>
      <c r="T1111" s="52">
        <f>R1111*U1111/(U1111+100)</f>
        <v>1.0607142857142857</v>
      </c>
      <c r="U1111" s="50">
        <v>12</v>
      </c>
      <c r="V1111" s="53">
        <v>0</v>
      </c>
      <c r="W1111" s="147">
        <v>1</v>
      </c>
      <c r="X1111" s="148" t="s">
        <v>945</v>
      </c>
      <c r="Y1111" s="54">
        <f>R1111*W1111</f>
        <v>9.9</v>
      </c>
      <c r="Z1111" s="52">
        <f>S1111*W1111</f>
        <v>8.839285714285715</v>
      </c>
      <c r="AA1111" s="52">
        <f>T1111*W1111</f>
        <v>1.0607142857142857</v>
      </c>
      <c r="AB1111" s="52">
        <f>V1111*W1111</f>
        <v>0</v>
      </c>
      <c r="AC1111" s="53">
        <f>(R1111+V1111)*W1111</f>
        <v>9.9</v>
      </c>
      <c r="AD1111" s="138">
        <v>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107</v>
      </c>
      <c r="F1112" s="96" t="s">
        <v>106</v>
      </c>
      <c r="G1112" s="97">
        <v>46132</v>
      </c>
      <c r="H1112" s="98">
        <v>0.4568402777777778</v>
      </c>
      <c r="I1112" s="50">
        <v>166004658</v>
      </c>
      <c r="J1112" s="96" t="s">
        <v>157</v>
      </c>
      <c r="K1112" s="49" t="s">
        <v>2155</v>
      </c>
      <c r="L1112" s="39" t="s">
        <v>2156</v>
      </c>
      <c r="M1112" s="49" t="s">
        <v>1428</v>
      </c>
      <c r="N1112" s="39" t="s">
        <v>609</v>
      </c>
      <c r="O1112" s="96" t="s">
        <v>2157</v>
      </c>
      <c r="P1112" s="49" t="s">
        <v>157</v>
      </c>
      <c r="Q1112" s="96" t="s">
        <v>104</v>
      </c>
      <c r="R1112" s="52">
        <v>11.9</v>
      </c>
      <c r="S1112" s="52">
        <f>R1112-T1112</f>
        <v>10.625</v>
      </c>
      <c r="T1112" s="52">
        <f>R1112*U1112/(U1112+100)</f>
        <v>1.2750000000000001</v>
      </c>
      <c r="U1112" s="50">
        <v>12</v>
      </c>
      <c r="V1112" s="53">
        <v>0</v>
      </c>
      <c r="W1112" s="147">
        <v>1</v>
      </c>
      <c r="X1112" s="148" t="s">
        <v>163</v>
      </c>
      <c r="Y1112" s="54">
        <f>R1112*W1112</f>
        <v>11.9</v>
      </c>
      <c r="Z1112" s="52">
        <f>S1112*W1112</f>
        <v>10.625</v>
      </c>
      <c r="AA1112" s="52">
        <f>T1112*W1112</f>
        <v>1.2750000000000001</v>
      </c>
      <c r="AB1112" s="52">
        <f>V1112*W1112</f>
        <v>0</v>
      </c>
      <c r="AC1112" s="53">
        <f>(R1112+V1112)*W1112</f>
        <v>11.9</v>
      </c>
      <c r="AD1112" s="138">
        <v>11.9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107</v>
      </c>
      <c r="F1113" s="96" t="s">
        <v>106</v>
      </c>
      <c r="G1113" s="97">
        <v>46132</v>
      </c>
      <c r="H1113" s="98">
        <v>0.4568402777777778</v>
      </c>
      <c r="I1113" s="50">
        <v>166004658</v>
      </c>
      <c r="J1113" s="96" t="s">
        <v>157</v>
      </c>
      <c r="K1113" s="49" t="s">
        <v>2155</v>
      </c>
      <c r="L1113" s="39" t="s">
        <v>2156</v>
      </c>
      <c r="M1113" s="49" t="s">
        <v>1428</v>
      </c>
      <c r="N1113" s="39" t="s">
        <v>609</v>
      </c>
      <c r="O1113" s="96" t="s">
        <v>2157</v>
      </c>
      <c r="P1113" s="49" t="s">
        <v>157</v>
      </c>
      <c r="Q1113" s="96" t="s">
        <v>104</v>
      </c>
      <c r="R1113" s="52">
        <v>11.9</v>
      </c>
      <c r="S1113" s="52">
        <f>R1113-T1113</f>
        <v>10.625</v>
      </c>
      <c r="T1113" s="52">
        <f>R1113*U1113/(U1113+100)</f>
        <v>1.2750000000000001</v>
      </c>
      <c r="U1113" s="50">
        <v>12</v>
      </c>
      <c r="V1113" s="53">
        <v>0</v>
      </c>
      <c r="W1113" s="147">
        <v>1</v>
      </c>
      <c r="X1113" s="148" t="s">
        <v>163</v>
      </c>
      <c r="Y1113" s="54">
        <f>R1113*W1113</f>
        <v>11.9</v>
      </c>
      <c r="Z1113" s="52">
        <f>S1113*W1113</f>
        <v>10.625</v>
      </c>
      <c r="AA1113" s="52">
        <f>T1113*W1113</f>
        <v>1.2750000000000001</v>
      </c>
      <c r="AB1113" s="52">
        <f>V1113*W1113</f>
        <v>0</v>
      </c>
      <c r="AC1113" s="53">
        <f>(R1113+V1113)*W1113</f>
        <v>11.9</v>
      </c>
      <c r="AD1113" s="138">
        <v>11.9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107</v>
      </c>
      <c r="F1114" s="96" t="s">
        <v>106</v>
      </c>
      <c r="G1114" s="97">
        <v>46132</v>
      </c>
      <c r="H1114" s="98">
        <v>0.4568402777777778</v>
      </c>
      <c r="I1114" s="50">
        <v>166004658</v>
      </c>
      <c r="J1114" s="96" t="s">
        <v>157</v>
      </c>
      <c r="K1114" s="49" t="s">
        <v>2155</v>
      </c>
      <c r="L1114" s="39" t="s">
        <v>2156</v>
      </c>
      <c r="M1114" s="49" t="s">
        <v>1428</v>
      </c>
      <c r="N1114" s="39" t="s">
        <v>609</v>
      </c>
      <c r="O1114" s="96" t="s">
        <v>2157</v>
      </c>
      <c r="P1114" s="49" t="s">
        <v>157</v>
      </c>
      <c r="Q1114" s="96" t="s">
        <v>104</v>
      </c>
      <c r="R1114" s="52">
        <v>11.9</v>
      </c>
      <c r="S1114" s="52">
        <f>R1114-T1114</f>
        <v>10.625</v>
      </c>
      <c r="T1114" s="52">
        <f>R1114*U1114/(U1114+100)</f>
        <v>1.2750000000000001</v>
      </c>
      <c r="U1114" s="50">
        <v>12</v>
      </c>
      <c r="V1114" s="53">
        <v>0</v>
      </c>
      <c r="W1114" s="147">
        <v>1</v>
      </c>
      <c r="X1114" s="148" t="s">
        <v>163</v>
      </c>
      <c r="Y1114" s="54">
        <f>R1114*W1114</f>
        <v>11.9</v>
      </c>
      <c r="Z1114" s="52">
        <f>S1114*W1114</f>
        <v>10.625</v>
      </c>
      <c r="AA1114" s="52">
        <f>T1114*W1114</f>
        <v>1.2750000000000001</v>
      </c>
      <c r="AB1114" s="52">
        <f>V1114*W1114</f>
        <v>0</v>
      </c>
      <c r="AC1114" s="53">
        <f>(R1114+V1114)*W1114</f>
        <v>11.9</v>
      </c>
      <c r="AD1114" s="138">
        <v>11.9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107</v>
      </c>
      <c r="F1115" s="96" t="s">
        <v>106</v>
      </c>
      <c r="G1115" s="97">
        <v>46132</v>
      </c>
      <c r="H1115" s="98">
        <v>0.4568402777777778</v>
      </c>
      <c r="I1115" s="50">
        <v>166004658</v>
      </c>
      <c r="J1115" s="96" t="s">
        <v>157</v>
      </c>
      <c r="K1115" s="49" t="s">
        <v>250</v>
      </c>
      <c r="L1115" s="39" t="s">
        <v>251</v>
      </c>
      <c r="M1115" s="49" t="s">
        <v>209</v>
      </c>
      <c r="N1115" s="39" t="s">
        <v>228</v>
      </c>
      <c r="O1115" s="96" t="s">
        <v>981</v>
      </c>
      <c r="P1115" s="49" t="s">
        <v>157</v>
      </c>
      <c r="Q1115" s="96" t="s">
        <v>104</v>
      </c>
      <c r="R1115" s="52">
        <v>27.9</v>
      </c>
      <c r="S1115" s="52">
        <f>R1115-T1115</f>
        <v>24.910714285714285</v>
      </c>
      <c r="T1115" s="52">
        <f>R1115*U1115/(U1115+100)</f>
        <v>2.989285714285714</v>
      </c>
      <c r="U1115" s="50">
        <v>12</v>
      </c>
      <c r="V1115" s="53">
        <v>0</v>
      </c>
      <c r="W1115" s="147">
        <v>1</v>
      </c>
      <c r="X1115" s="148" t="s">
        <v>163</v>
      </c>
      <c r="Y1115" s="54">
        <f>R1115*W1115</f>
        <v>27.9</v>
      </c>
      <c r="Z1115" s="52">
        <f>S1115*W1115</f>
        <v>24.910714285714285</v>
      </c>
      <c r="AA1115" s="52">
        <f>T1115*W1115</f>
        <v>2.989285714285714</v>
      </c>
      <c r="AB1115" s="52">
        <f>V1115*W1115</f>
        <v>0</v>
      </c>
      <c r="AC1115" s="53">
        <f>(R1115+V1115)*W1115</f>
        <v>27.9</v>
      </c>
      <c r="AD1115" s="138">
        <v>27.9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107</v>
      </c>
      <c r="F1116" s="96" t="s">
        <v>106</v>
      </c>
      <c r="G1116" s="97">
        <v>46132</v>
      </c>
      <c r="H1116" s="98">
        <v>0.4576851851851852</v>
      </c>
      <c r="I1116" s="50">
        <v>166004659</v>
      </c>
      <c r="J1116" s="96" t="s">
        <v>157</v>
      </c>
      <c r="K1116" s="49" t="s">
        <v>1986</v>
      </c>
      <c r="L1116" s="39" t="s">
        <v>1987</v>
      </c>
      <c r="M1116" s="49" t="s">
        <v>185</v>
      </c>
      <c r="N1116" s="39" t="s">
        <v>264</v>
      </c>
      <c r="O1116" s="96" t="s">
        <v>1988</v>
      </c>
      <c r="P1116" s="49" t="s">
        <v>157</v>
      </c>
      <c r="Q1116" s="96" t="s">
        <v>104</v>
      </c>
      <c r="R1116" s="52">
        <v>7.9</v>
      </c>
      <c r="S1116" s="52">
        <f>R1116-T1116</f>
        <v>7.053571428571429</v>
      </c>
      <c r="T1116" s="52">
        <f>R1116*U1116/(U1116+100)</f>
        <v>0.8464285714285715</v>
      </c>
      <c r="U1116" s="50">
        <v>12</v>
      </c>
      <c r="V1116" s="53">
        <v>0</v>
      </c>
      <c r="W1116" s="147">
        <v>1</v>
      </c>
      <c r="X1116" s="148" t="s">
        <v>163</v>
      </c>
      <c r="Y1116" s="54">
        <f>R1116*W1116</f>
        <v>7.9</v>
      </c>
      <c r="Z1116" s="52">
        <f>S1116*W1116</f>
        <v>7.053571428571429</v>
      </c>
      <c r="AA1116" s="52">
        <f>T1116*W1116</f>
        <v>0.8464285714285715</v>
      </c>
      <c r="AB1116" s="52">
        <f>V1116*W1116</f>
        <v>0</v>
      </c>
      <c r="AC1116" s="53">
        <f>(R1116+V1116)*W1116</f>
        <v>7.9</v>
      </c>
      <c r="AD1116" s="138">
        <v>7.9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107</v>
      </c>
      <c r="F1117" s="96" t="s">
        <v>106</v>
      </c>
      <c r="G1117" s="97">
        <v>46132</v>
      </c>
      <c r="H1117" s="98">
        <v>0.4576851851851852</v>
      </c>
      <c r="I1117" s="50">
        <v>166004659</v>
      </c>
      <c r="J1117" s="96" t="s">
        <v>157</v>
      </c>
      <c r="K1117" s="49" t="s">
        <v>1986</v>
      </c>
      <c r="L1117" s="39" t="s">
        <v>1987</v>
      </c>
      <c r="M1117" s="49" t="s">
        <v>185</v>
      </c>
      <c r="N1117" s="39" t="s">
        <v>264</v>
      </c>
      <c r="O1117" s="96" t="s">
        <v>1988</v>
      </c>
      <c r="P1117" s="49" t="s">
        <v>157</v>
      </c>
      <c r="Q1117" s="96" t="s">
        <v>104</v>
      </c>
      <c r="R1117" s="52">
        <v>7.9</v>
      </c>
      <c r="S1117" s="52">
        <f>R1117-T1117</f>
        <v>7.053571428571429</v>
      </c>
      <c r="T1117" s="52">
        <f>R1117*U1117/(U1117+100)</f>
        <v>0.8464285714285715</v>
      </c>
      <c r="U1117" s="50">
        <v>12</v>
      </c>
      <c r="V1117" s="53">
        <v>0</v>
      </c>
      <c r="W1117" s="147">
        <v>1</v>
      </c>
      <c r="X1117" s="148" t="s">
        <v>163</v>
      </c>
      <c r="Y1117" s="54">
        <f>R1117*W1117</f>
        <v>7.9</v>
      </c>
      <c r="Z1117" s="52">
        <f>S1117*W1117</f>
        <v>7.053571428571429</v>
      </c>
      <c r="AA1117" s="52">
        <f>T1117*W1117</f>
        <v>0.8464285714285715</v>
      </c>
      <c r="AB1117" s="52">
        <f>V1117*W1117</f>
        <v>0</v>
      </c>
      <c r="AC1117" s="53">
        <f>(R1117+V1117)*W1117</f>
        <v>7.9</v>
      </c>
      <c r="AD1117" s="138">
        <v>7.9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107</v>
      </c>
      <c r="F1118" s="96" t="s">
        <v>106</v>
      </c>
      <c r="G1118" s="97">
        <v>46132</v>
      </c>
      <c r="H1118" s="98">
        <v>0.4576851851851852</v>
      </c>
      <c r="I1118" s="50">
        <v>166004659</v>
      </c>
      <c r="J1118" s="96" t="s">
        <v>157</v>
      </c>
      <c r="K1118" s="49" t="s">
        <v>2158</v>
      </c>
      <c r="L1118" s="39" t="s">
        <v>2159</v>
      </c>
      <c r="M1118" s="49" t="s">
        <v>444</v>
      </c>
      <c r="N1118" s="39" t="s">
        <v>558</v>
      </c>
      <c r="O1118" s="96" t="s">
        <v>2160</v>
      </c>
      <c r="P1118" s="49" t="s">
        <v>157</v>
      </c>
      <c r="Q1118" s="96" t="s">
        <v>104</v>
      </c>
      <c r="R1118" s="52">
        <v>64.9</v>
      </c>
      <c r="S1118" s="52">
        <f>R1118-T1118</f>
        <v>57.94642857142858</v>
      </c>
      <c r="T1118" s="52">
        <f>R1118*U1118/(U1118+100)</f>
        <v>6.953571428571429</v>
      </c>
      <c r="U1118" s="50">
        <v>12</v>
      </c>
      <c r="V1118" s="53">
        <v>0</v>
      </c>
      <c r="W1118" s="147">
        <v>1</v>
      </c>
      <c r="X1118" s="148" t="s">
        <v>163</v>
      </c>
      <c r="Y1118" s="54">
        <f>R1118*W1118</f>
        <v>64.9</v>
      </c>
      <c r="Z1118" s="52">
        <f>S1118*W1118</f>
        <v>57.94642857142858</v>
      </c>
      <c r="AA1118" s="52">
        <f>T1118*W1118</f>
        <v>6.953571428571429</v>
      </c>
      <c r="AB1118" s="52">
        <f>V1118*W1118</f>
        <v>0</v>
      </c>
      <c r="AC1118" s="53">
        <f>(R1118+V1118)*W1118</f>
        <v>64.9</v>
      </c>
      <c r="AD1118" s="138">
        <v>64.9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107</v>
      </c>
      <c r="F1119" s="96" t="s">
        <v>106</v>
      </c>
      <c r="G1119" s="97">
        <v>46132</v>
      </c>
      <c r="H1119" s="98">
        <v>0.4576851851851852</v>
      </c>
      <c r="I1119" s="50">
        <v>166004659</v>
      </c>
      <c r="J1119" s="96" t="s">
        <v>157</v>
      </c>
      <c r="K1119" s="49" t="s">
        <v>2161</v>
      </c>
      <c r="L1119" s="39" t="s">
        <v>2162</v>
      </c>
      <c r="M1119" s="49" t="s">
        <v>1445</v>
      </c>
      <c r="N1119" s="39" t="s">
        <v>319</v>
      </c>
      <c r="O1119" s="96" t="s">
        <v>2163</v>
      </c>
      <c r="P1119" s="49" t="s">
        <v>157</v>
      </c>
      <c r="Q1119" s="96" t="s">
        <v>104</v>
      </c>
      <c r="R1119" s="52">
        <v>29.9</v>
      </c>
      <c r="S1119" s="52">
        <f>R1119-T1119</f>
        <v>26.69642857142857</v>
      </c>
      <c r="T1119" s="52">
        <f>R1119*U1119/(U1119+100)</f>
        <v>3.2035714285714283</v>
      </c>
      <c r="U1119" s="50">
        <v>12</v>
      </c>
      <c r="V1119" s="53">
        <v>0</v>
      </c>
      <c r="W1119" s="147">
        <v>1</v>
      </c>
      <c r="X1119" s="148" t="s">
        <v>163</v>
      </c>
      <c r="Y1119" s="54">
        <f>R1119*W1119</f>
        <v>29.9</v>
      </c>
      <c r="Z1119" s="52">
        <f>S1119*W1119</f>
        <v>26.69642857142857</v>
      </c>
      <c r="AA1119" s="52">
        <f>T1119*W1119</f>
        <v>3.2035714285714283</v>
      </c>
      <c r="AB1119" s="52">
        <f>V1119*W1119</f>
        <v>0</v>
      </c>
      <c r="AC1119" s="53">
        <f>(R1119+V1119)*W1119</f>
        <v>29.9</v>
      </c>
      <c r="AD1119" s="138">
        <v>29.9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107</v>
      </c>
      <c r="F1120" s="96" t="s">
        <v>106</v>
      </c>
      <c r="G1120" s="97">
        <v>46132</v>
      </c>
      <c r="H1120" s="98">
        <v>0.4576851851851852</v>
      </c>
      <c r="I1120" s="50">
        <v>166004659</v>
      </c>
      <c r="J1120" s="96" t="s">
        <v>157</v>
      </c>
      <c r="K1120" s="49" t="s">
        <v>891</v>
      </c>
      <c r="L1120" s="39" t="s">
        <v>892</v>
      </c>
      <c r="M1120" s="49" t="s">
        <v>893</v>
      </c>
      <c r="N1120" s="39" t="s">
        <v>291</v>
      </c>
      <c r="O1120" s="96" t="s">
        <v>1370</v>
      </c>
      <c r="P1120" s="49" t="s">
        <v>157</v>
      </c>
      <c r="Q1120" s="96" t="s">
        <v>104</v>
      </c>
      <c r="R1120" s="52">
        <v>21.9</v>
      </c>
      <c r="S1120" s="52">
        <f>R1120-T1120</f>
        <v>19.553571428571427</v>
      </c>
      <c r="T1120" s="52">
        <f>R1120*U1120/(U1120+100)</f>
        <v>2.346428571428571</v>
      </c>
      <c r="U1120" s="50">
        <v>12</v>
      </c>
      <c r="V1120" s="53">
        <v>0</v>
      </c>
      <c r="W1120" s="147">
        <v>1</v>
      </c>
      <c r="X1120" s="148" t="s">
        <v>163</v>
      </c>
      <c r="Y1120" s="54">
        <f>R1120*W1120</f>
        <v>21.9</v>
      </c>
      <c r="Z1120" s="52">
        <f>S1120*W1120</f>
        <v>19.553571428571427</v>
      </c>
      <c r="AA1120" s="52">
        <f>T1120*W1120</f>
        <v>2.346428571428571</v>
      </c>
      <c r="AB1120" s="52">
        <f>V1120*W1120</f>
        <v>0</v>
      </c>
      <c r="AC1120" s="53">
        <f>(R1120+V1120)*W1120</f>
        <v>21.9</v>
      </c>
      <c r="AD1120" s="138">
        <v>21.9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107</v>
      </c>
      <c r="F1121" s="96" t="s">
        <v>106</v>
      </c>
      <c r="G1121" s="97">
        <v>46132</v>
      </c>
      <c r="H1121" s="98">
        <v>0.4576851851851852</v>
      </c>
      <c r="I1121" s="50">
        <v>166004659</v>
      </c>
      <c r="J1121" s="96" t="s">
        <v>157</v>
      </c>
      <c r="K1121" s="49" t="s">
        <v>1509</v>
      </c>
      <c r="L1121" s="39" t="s">
        <v>1510</v>
      </c>
      <c r="M1121" s="49" t="s">
        <v>893</v>
      </c>
      <c r="N1121" s="39" t="s">
        <v>319</v>
      </c>
      <c r="O1121" s="96" t="s">
        <v>1511</v>
      </c>
      <c r="P1121" s="49" t="s">
        <v>235</v>
      </c>
      <c r="Q1121" s="96" t="s">
        <v>236</v>
      </c>
      <c r="R1121" s="52">
        <v>24.9</v>
      </c>
      <c r="S1121" s="52">
        <f>R1121-T1121</f>
        <v>22.232142857142858</v>
      </c>
      <c r="T1121" s="52">
        <f>R1121*U1121/(U1121+100)</f>
        <v>2.6678571428571423</v>
      </c>
      <c r="U1121" s="50">
        <v>12</v>
      </c>
      <c r="V1121" s="53">
        <v>0</v>
      </c>
      <c r="W1121" s="147">
        <v>1</v>
      </c>
      <c r="X1121" s="148" t="s">
        <v>163</v>
      </c>
      <c r="Y1121" s="54">
        <f>R1121*W1121</f>
        <v>24.9</v>
      </c>
      <c r="Z1121" s="52">
        <f>S1121*W1121</f>
        <v>22.232142857142858</v>
      </c>
      <c r="AA1121" s="52">
        <f>T1121*W1121</f>
        <v>2.6678571428571423</v>
      </c>
      <c r="AB1121" s="52">
        <f>V1121*W1121</f>
        <v>0</v>
      </c>
      <c r="AC1121" s="53">
        <f>(R1121+V1121)*W1121</f>
        <v>24.9</v>
      </c>
      <c r="AD1121" s="138">
        <v>24.9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107</v>
      </c>
      <c r="F1122" s="96" t="s">
        <v>106</v>
      </c>
      <c r="G1122" s="97">
        <v>46132</v>
      </c>
      <c r="H1122" s="98">
        <v>0.4576851851851852</v>
      </c>
      <c r="I1122" s="50">
        <v>166004659</v>
      </c>
      <c r="J1122" s="96" t="s">
        <v>157</v>
      </c>
      <c r="K1122" s="49" t="s">
        <v>1371</v>
      </c>
      <c r="L1122" s="39" t="s">
        <v>1372</v>
      </c>
      <c r="M1122" s="49" t="s">
        <v>1373</v>
      </c>
      <c r="N1122" s="39" t="s">
        <v>481</v>
      </c>
      <c r="O1122" s="96" t="s">
        <v>1374</v>
      </c>
      <c r="P1122" s="49" t="s">
        <v>157</v>
      </c>
      <c r="Q1122" s="96" t="s">
        <v>104</v>
      </c>
      <c r="R1122" s="52">
        <v>39.9</v>
      </c>
      <c r="S1122" s="52">
        <f>R1122-T1122</f>
        <v>35.625</v>
      </c>
      <c r="T1122" s="52">
        <f>R1122*U1122/(U1122+100)</f>
        <v>4.2749999999999995</v>
      </c>
      <c r="U1122" s="50">
        <v>12</v>
      </c>
      <c r="V1122" s="53">
        <v>0</v>
      </c>
      <c r="W1122" s="147">
        <v>1</v>
      </c>
      <c r="X1122" s="148" t="s">
        <v>163</v>
      </c>
      <c r="Y1122" s="54">
        <f>R1122*W1122</f>
        <v>39.9</v>
      </c>
      <c r="Z1122" s="52">
        <f>S1122*W1122</f>
        <v>35.625</v>
      </c>
      <c r="AA1122" s="52">
        <f>T1122*W1122</f>
        <v>4.2749999999999995</v>
      </c>
      <c r="AB1122" s="52">
        <f>V1122*W1122</f>
        <v>0</v>
      </c>
      <c r="AC1122" s="53">
        <f>(R1122+V1122)*W1122</f>
        <v>39.9</v>
      </c>
      <c r="AD1122" s="138">
        <v>39.9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107</v>
      </c>
      <c r="F1123" s="96" t="s">
        <v>106</v>
      </c>
      <c r="G1123" s="97">
        <v>46132</v>
      </c>
      <c r="H1123" s="98">
        <v>0.4576851851851852</v>
      </c>
      <c r="I1123" s="50">
        <v>166004659</v>
      </c>
      <c r="J1123" s="96" t="s">
        <v>157</v>
      </c>
      <c r="K1123" s="49" t="s">
        <v>2164</v>
      </c>
      <c r="L1123" s="39" t="s">
        <v>2165</v>
      </c>
      <c r="M1123" s="49" t="s">
        <v>300</v>
      </c>
      <c r="N1123" s="39" t="s">
        <v>1377</v>
      </c>
      <c r="O1123" s="96" t="s">
        <v>2166</v>
      </c>
      <c r="P1123" s="49" t="s">
        <v>157</v>
      </c>
      <c r="Q1123" s="96" t="s">
        <v>104</v>
      </c>
      <c r="R1123" s="52">
        <v>14.4</v>
      </c>
      <c r="S1123" s="52">
        <f>R1123-T1123</f>
        <v>12.857142857142858</v>
      </c>
      <c r="T1123" s="52">
        <f>R1123*U1123/(U1123+100)</f>
        <v>1.542857142857143</v>
      </c>
      <c r="U1123" s="50">
        <v>12</v>
      </c>
      <c r="V1123" s="53">
        <v>0</v>
      </c>
      <c r="W1123" s="147">
        <v>1</v>
      </c>
      <c r="X1123" s="148" t="s">
        <v>163</v>
      </c>
      <c r="Y1123" s="54">
        <f>R1123*W1123</f>
        <v>14.4</v>
      </c>
      <c r="Z1123" s="52">
        <f>S1123*W1123</f>
        <v>12.857142857142858</v>
      </c>
      <c r="AA1123" s="52">
        <f>T1123*W1123</f>
        <v>1.542857142857143</v>
      </c>
      <c r="AB1123" s="52">
        <f>V1123*W1123</f>
        <v>0</v>
      </c>
      <c r="AC1123" s="53">
        <f>(R1123+V1123)*W1123</f>
        <v>14.4</v>
      </c>
      <c r="AD1123" s="138">
        <v>14.4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107</v>
      </c>
      <c r="F1124" s="96" t="s">
        <v>106</v>
      </c>
      <c r="G1124" s="97">
        <v>46132</v>
      </c>
      <c r="H1124" s="98">
        <v>0.4576851851851852</v>
      </c>
      <c r="I1124" s="50">
        <v>166004659</v>
      </c>
      <c r="J1124" s="96" t="s">
        <v>157</v>
      </c>
      <c r="K1124" s="49" t="s">
        <v>2164</v>
      </c>
      <c r="L1124" s="39" t="s">
        <v>2165</v>
      </c>
      <c r="M1124" s="49" t="s">
        <v>300</v>
      </c>
      <c r="N1124" s="39" t="s">
        <v>1377</v>
      </c>
      <c r="O1124" s="96" t="s">
        <v>2166</v>
      </c>
      <c r="P1124" s="49" t="s">
        <v>157</v>
      </c>
      <c r="Q1124" s="96" t="s">
        <v>104</v>
      </c>
      <c r="R1124" s="52">
        <v>14.4</v>
      </c>
      <c r="S1124" s="52">
        <f>R1124-T1124</f>
        <v>12.857142857142858</v>
      </c>
      <c r="T1124" s="52">
        <f>R1124*U1124/(U1124+100)</f>
        <v>1.542857142857143</v>
      </c>
      <c r="U1124" s="50">
        <v>12</v>
      </c>
      <c r="V1124" s="53">
        <v>0</v>
      </c>
      <c r="W1124" s="147">
        <v>1</v>
      </c>
      <c r="X1124" s="148" t="s">
        <v>163</v>
      </c>
      <c r="Y1124" s="54">
        <f>R1124*W1124</f>
        <v>14.4</v>
      </c>
      <c r="Z1124" s="52">
        <f>S1124*W1124</f>
        <v>12.857142857142858</v>
      </c>
      <c r="AA1124" s="52">
        <f>T1124*W1124</f>
        <v>1.542857142857143</v>
      </c>
      <c r="AB1124" s="52">
        <f>V1124*W1124</f>
        <v>0</v>
      </c>
      <c r="AC1124" s="53">
        <f>(R1124+V1124)*W1124</f>
        <v>14.4</v>
      </c>
      <c r="AD1124" s="138">
        <v>14.4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107</v>
      </c>
      <c r="F1125" s="96" t="s">
        <v>106</v>
      </c>
      <c r="G1125" s="97">
        <v>46132</v>
      </c>
      <c r="H1125" s="98">
        <v>0.4576851851851852</v>
      </c>
      <c r="I1125" s="50">
        <v>166004659</v>
      </c>
      <c r="J1125" s="96" t="s">
        <v>157</v>
      </c>
      <c r="K1125" s="49" t="s">
        <v>2167</v>
      </c>
      <c r="L1125" s="39" t="s">
        <v>2168</v>
      </c>
      <c r="M1125" s="49" t="s">
        <v>341</v>
      </c>
      <c r="N1125" s="39" t="s">
        <v>2169</v>
      </c>
      <c r="O1125" s="96" t="s">
        <v>2170</v>
      </c>
      <c r="P1125" s="49" t="s">
        <v>157</v>
      </c>
      <c r="Q1125" s="96" t="s">
        <v>104</v>
      </c>
      <c r="R1125" s="52">
        <v>42.9</v>
      </c>
      <c r="S1125" s="52">
        <f>R1125-T1125</f>
        <v>38.30357142857143</v>
      </c>
      <c r="T1125" s="52">
        <f>R1125*U1125/(U1125+100)</f>
        <v>4.596428571428571</v>
      </c>
      <c r="U1125" s="50">
        <v>12</v>
      </c>
      <c r="V1125" s="53">
        <v>0</v>
      </c>
      <c r="W1125" s="147">
        <v>1</v>
      </c>
      <c r="X1125" s="148" t="s">
        <v>163</v>
      </c>
      <c r="Y1125" s="54">
        <f>R1125*W1125</f>
        <v>42.9</v>
      </c>
      <c r="Z1125" s="52">
        <f>S1125*W1125</f>
        <v>38.30357142857143</v>
      </c>
      <c r="AA1125" s="52">
        <f>T1125*W1125</f>
        <v>4.596428571428571</v>
      </c>
      <c r="AB1125" s="52">
        <f>V1125*W1125</f>
        <v>0</v>
      </c>
      <c r="AC1125" s="53">
        <f>(R1125+V1125)*W1125</f>
        <v>42.9</v>
      </c>
      <c r="AD1125" s="138">
        <v>42.9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107</v>
      </c>
      <c r="F1126" s="96" t="s">
        <v>106</v>
      </c>
      <c r="G1126" s="97">
        <v>46132</v>
      </c>
      <c r="H1126" s="98">
        <v>0.4576851851851852</v>
      </c>
      <c r="I1126" s="50">
        <v>166004659</v>
      </c>
      <c r="J1126" s="96" t="s">
        <v>157</v>
      </c>
      <c r="K1126" s="49" t="s">
        <v>2171</v>
      </c>
      <c r="L1126" s="39" t="s">
        <v>2172</v>
      </c>
      <c r="M1126" s="49" t="s">
        <v>214</v>
      </c>
      <c r="N1126" s="39" t="s">
        <v>2173</v>
      </c>
      <c r="O1126" s="96" t="s">
        <v>2174</v>
      </c>
      <c r="P1126" s="49" t="s">
        <v>235</v>
      </c>
      <c r="Q1126" s="96" t="s">
        <v>236</v>
      </c>
      <c r="R1126" s="52">
        <v>69.9</v>
      </c>
      <c r="S1126" s="52">
        <f>R1126-T1126</f>
        <v>62.41071428571429</v>
      </c>
      <c r="T1126" s="52">
        <f>R1126*U1126/(U1126+100)</f>
        <v>7.489285714285715</v>
      </c>
      <c r="U1126" s="50">
        <v>12</v>
      </c>
      <c r="V1126" s="53">
        <v>0</v>
      </c>
      <c r="W1126" s="147">
        <v>1</v>
      </c>
      <c r="X1126" s="148" t="s">
        <v>163</v>
      </c>
      <c r="Y1126" s="54">
        <f>R1126*W1126</f>
        <v>69.9</v>
      </c>
      <c r="Z1126" s="52">
        <f>S1126*W1126</f>
        <v>62.41071428571429</v>
      </c>
      <c r="AA1126" s="52">
        <f>T1126*W1126</f>
        <v>7.489285714285715</v>
      </c>
      <c r="AB1126" s="52">
        <f>V1126*W1126</f>
        <v>0</v>
      </c>
      <c r="AC1126" s="53">
        <f>(R1126+V1126)*W1126</f>
        <v>69.9</v>
      </c>
      <c r="AD1126" s="138">
        <v>69.9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107</v>
      </c>
      <c r="F1127" s="96" t="s">
        <v>106</v>
      </c>
      <c r="G1127" s="97">
        <v>46132</v>
      </c>
      <c r="H1127" s="98">
        <v>0.4576851851851852</v>
      </c>
      <c r="I1127" s="50">
        <v>166004659</v>
      </c>
      <c r="J1127" s="96" t="s">
        <v>157</v>
      </c>
      <c r="K1127" s="49" t="s">
        <v>188</v>
      </c>
      <c r="L1127" s="39" t="s">
        <v>189</v>
      </c>
      <c r="M1127" s="49" t="s">
        <v>190</v>
      </c>
      <c r="N1127" s="39" t="s">
        <v>191</v>
      </c>
      <c r="O1127" s="96" t="s">
        <v>192</v>
      </c>
      <c r="P1127" s="49" t="s">
        <v>157</v>
      </c>
      <c r="Q1127" s="96" t="s">
        <v>104</v>
      </c>
      <c r="R1127" s="52">
        <v>33.9</v>
      </c>
      <c r="S1127" s="52">
        <f>R1127-T1127</f>
        <v>30.267857142857142</v>
      </c>
      <c r="T1127" s="52">
        <f>R1127*U1127/(U1127+100)</f>
        <v>3.6321428571428567</v>
      </c>
      <c r="U1127" s="50">
        <v>12</v>
      </c>
      <c r="V1127" s="53">
        <v>0</v>
      </c>
      <c r="W1127" s="147">
        <v>0.294</v>
      </c>
      <c r="X1127" s="148" t="s">
        <v>193</v>
      </c>
      <c r="Y1127" s="54">
        <f>R1127*W1127</f>
        <v>9.9666</v>
      </c>
      <c r="Z1127" s="52">
        <f>S1127*W1127</f>
        <v>8.89875</v>
      </c>
      <c r="AA1127" s="52">
        <f>T1127*W1127</f>
        <v>1.0678499999999997</v>
      </c>
      <c r="AB1127" s="52">
        <f>V1127*W1127</f>
        <v>0</v>
      </c>
      <c r="AC1127" s="53">
        <f>(R1127+V1127)*W1127</f>
        <v>9.9666</v>
      </c>
      <c r="AD1127" s="138">
        <v>33.9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107</v>
      </c>
      <c r="F1128" s="96" t="s">
        <v>106</v>
      </c>
      <c r="G1128" s="97">
        <v>46132</v>
      </c>
      <c r="H1128" s="98">
        <v>0.4576851851851852</v>
      </c>
      <c r="I1128" s="50">
        <v>166004659</v>
      </c>
      <c r="J1128" s="96" t="s">
        <v>157</v>
      </c>
      <c r="K1128" s="49" t="s">
        <v>266</v>
      </c>
      <c r="L1128" s="39" t="s">
        <v>267</v>
      </c>
      <c r="M1128" s="49" t="s">
        <v>268</v>
      </c>
      <c r="N1128" s="39" t="s">
        <v>269</v>
      </c>
      <c r="O1128" s="96" t="s">
        <v>1249</v>
      </c>
      <c r="P1128" s="49" t="s">
        <v>235</v>
      </c>
      <c r="Q1128" s="96" t="s">
        <v>236</v>
      </c>
      <c r="R1128" s="52">
        <v>11.9</v>
      </c>
      <c r="S1128" s="52">
        <f>R1128-T1128</f>
        <v>10.625</v>
      </c>
      <c r="T1128" s="52">
        <f>R1128*U1128/(U1128+100)</f>
        <v>1.2750000000000001</v>
      </c>
      <c r="U1128" s="50">
        <v>12</v>
      </c>
      <c r="V1128" s="53">
        <v>0</v>
      </c>
      <c r="W1128" s="147">
        <v>1</v>
      </c>
      <c r="X1128" s="148" t="s">
        <v>163</v>
      </c>
      <c r="Y1128" s="54">
        <f>R1128*W1128</f>
        <v>11.9</v>
      </c>
      <c r="Z1128" s="52">
        <f>S1128*W1128</f>
        <v>10.625</v>
      </c>
      <c r="AA1128" s="52">
        <f>T1128*W1128</f>
        <v>1.2750000000000001</v>
      </c>
      <c r="AB1128" s="52">
        <f>V1128*W1128</f>
        <v>0</v>
      </c>
      <c r="AC1128" s="53">
        <f>(R1128+V1128)*W1128</f>
        <v>11.9</v>
      </c>
      <c r="AD1128" s="138">
        <v>11.9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107</v>
      </c>
      <c r="F1129" s="96" t="s">
        <v>106</v>
      </c>
      <c r="G1129" s="97">
        <v>46132</v>
      </c>
      <c r="H1129" s="98">
        <v>0.4576851851851852</v>
      </c>
      <c r="I1129" s="50">
        <v>166004659</v>
      </c>
      <c r="J1129" s="96" t="s">
        <v>157</v>
      </c>
      <c r="K1129" s="49" t="s">
        <v>2175</v>
      </c>
      <c r="L1129" s="39" t="s">
        <v>2176</v>
      </c>
      <c r="M1129" s="49" t="s">
        <v>369</v>
      </c>
      <c r="N1129" s="39" t="s">
        <v>688</v>
      </c>
      <c r="O1129" s="96" t="s">
        <v>2177</v>
      </c>
      <c r="P1129" s="49" t="s">
        <v>157</v>
      </c>
      <c r="Q1129" s="96" t="s">
        <v>104</v>
      </c>
      <c r="R1129" s="52">
        <v>227.9</v>
      </c>
      <c r="S1129" s="52">
        <f>R1129-T1129</f>
        <v>203.48214285714286</v>
      </c>
      <c r="T1129" s="52">
        <f>R1129*U1129/(U1129+100)</f>
        <v>24.417857142857144</v>
      </c>
      <c r="U1129" s="50">
        <v>12</v>
      </c>
      <c r="V1129" s="53">
        <v>0</v>
      </c>
      <c r="W1129" s="147">
        <v>0.164</v>
      </c>
      <c r="X1129" s="148" t="s">
        <v>193</v>
      </c>
      <c r="Y1129" s="54">
        <f>R1129*W1129</f>
        <v>37.375600000000006</v>
      </c>
      <c r="Z1129" s="52">
        <f>S1129*W1129</f>
        <v>33.37107142857143</v>
      </c>
      <c r="AA1129" s="52">
        <f>T1129*W1129</f>
        <v>4.004528571428572</v>
      </c>
      <c r="AB1129" s="52">
        <f>V1129*W1129</f>
        <v>0</v>
      </c>
      <c r="AC1129" s="53">
        <f>(R1129+V1129)*W1129</f>
        <v>37.375600000000006</v>
      </c>
      <c r="AD1129" s="138">
        <v>227.9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107</v>
      </c>
      <c r="F1130" s="96" t="s">
        <v>106</v>
      </c>
      <c r="G1130" s="97">
        <v>46132</v>
      </c>
      <c r="H1130" s="98">
        <v>0.4576851851851852</v>
      </c>
      <c r="I1130" s="50">
        <v>166004659</v>
      </c>
      <c r="J1130" s="96" t="s">
        <v>157</v>
      </c>
      <c r="K1130" s="49" t="s">
        <v>553</v>
      </c>
      <c r="L1130" s="39" t="s">
        <v>104</v>
      </c>
      <c r="M1130" s="49" t="s">
        <v>554</v>
      </c>
      <c r="N1130" s="39" t="s">
        <v>296</v>
      </c>
      <c r="O1130" s="96" t="s">
        <v>555</v>
      </c>
      <c r="P1130" s="49" t="s">
        <v>157</v>
      </c>
      <c r="Q1130" s="96" t="s">
        <v>104</v>
      </c>
      <c r="R1130" s="52">
        <v>8.9</v>
      </c>
      <c r="S1130" s="52">
        <f>R1130-T1130</f>
        <v>7.946428571428572</v>
      </c>
      <c r="T1130" s="52">
        <f>R1130*U1130/(U1130+100)</f>
        <v>0.9535714285714286</v>
      </c>
      <c r="U1130" s="50">
        <v>12</v>
      </c>
      <c r="V1130" s="53">
        <v>0</v>
      </c>
      <c r="W1130" s="147">
        <v>2</v>
      </c>
      <c r="X1130" s="148" t="s">
        <v>163</v>
      </c>
      <c r="Y1130" s="54">
        <f>R1130*W1130</f>
        <v>17.8</v>
      </c>
      <c r="Z1130" s="52">
        <f>S1130*W1130</f>
        <v>15.892857142857144</v>
      </c>
      <c r="AA1130" s="52">
        <f>T1130*W1130</f>
        <v>1.9071428571428573</v>
      </c>
      <c r="AB1130" s="52">
        <f>V1130*W1130</f>
        <v>0</v>
      </c>
      <c r="AC1130" s="53">
        <f>(R1130+V1130)*W1130</f>
        <v>17.8</v>
      </c>
      <c r="AD1130" s="138">
        <v>8.9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107</v>
      </c>
      <c r="F1131" s="96" t="s">
        <v>106</v>
      </c>
      <c r="G1131" s="97">
        <v>46132</v>
      </c>
      <c r="H1131" s="98">
        <v>0.4576851851851852</v>
      </c>
      <c r="I1131" s="50">
        <v>166004659</v>
      </c>
      <c r="J1131" s="96" t="s">
        <v>157</v>
      </c>
      <c r="K1131" s="49" t="s">
        <v>2178</v>
      </c>
      <c r="L1131" s="39" t="s">
        <v>2179</v>
      </c>
      <c r="M1131" s="49" t="s">
        <v>997</v>
      </c>
      <c r="N1131" s="39" t="s">
        <v>1542</v>
      </c>
      <c r="O1131" s="96" t="s">
        <v>2180</v>
      </c>
      <c r="P1131" s="49" t="s">
        <v>157</v>
      </c>
      <c r="Q1131" s="96" t="s">
        <v>104</v>
      </c>
      <c r="R1131" s="52">
        <v>21.9</v>
      </c>
      <c r="S1131" s="52">
        <f>R1131-T1131</f>
        <v>19.553571428571427</v>
      </c>
      <c r="T1131" s="52">
        <f>R1131*U1131/(U1131+100)</f>
        <v>2.346428571428571</v>
      </c>
      <c r="U1131" s="50">
        <v>12</v>
      </c>
      <c r="V1131" s="53">
        <v>0</v>
      </c>
      <c r="W1131" s="147">
        <v>1</v>
      </c>
      <c r="X1131" s="148" t="s">
        <v>945</v>
      </c>
      <c r="Y1131" s="54">
        <f>R1131*W1131</f>
        <v>21.9</v>
      </c>
      <c r="Z1131" s="52">
        <f>S1131*W1131</f>
        <v>19.553571428571427</v>
      </c>
      <c r="AA1131" s="52">
        <f>T1131*W1131</f>
        <v>2.346428571428571</v>
      </c>
      <c r="AB1131" s="52">
        <f>V1131*W1131</f>
        <v>0</v>
      </c>
      <c r="AC1131" s="53">
        <f>(R1131+V1131)*W1131</f>
        <v>21.9</v>
      </c>
      <c r="AD1131" s="138">
        <v>21.9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107</v>
      </c>
      <c r="F1132" s="96" t="s">
        <v>106</v>
      </c>
      <c r="G1132" s="97">
        <v>46132</v>
      </c>
      <c r="H1132" s="98">
        <v>0.4583564814814815</v>
      </c>
      <c r="I1132" s="50">
        <v>166004660</v>
      </c>
      <c r="J1132" s="96" t="s">
        <v>157</v>
      </c>
      <c r="K1132" s="49" t="s">
        <v>2181</v>
      </c>
      <c r="L1132" s="39" t="s">
        <v>2182</v>
      </c>
      <c r="M1132" s="49" t="s">
        <v>185</v>
      </c>
      <c r="N1132" s="39" t="s">
        <v>1722</v>
      </c>
      <c r="O1132" s="96" t="s">
        <v>2183</v>
      </c>
      <c r="P1132" s="49" t="s">
        <v>157</v>
      </c>
      <c r="Q1132" s="96" t="s">
        <v>104</v>
      </c>
      <c r="R1132" s="52">
        <v>12.9</v>
      </c>
      <c r="S1132" s="52">
        <f>R1132-T1132</f>
        <v>11.517857142857142</v>
      </c>
      <c r="T1132" s="52">
        <f>R1132*U1132/(U1132+100)</f>
        <v>1.3821428571428573</v>
      </c>
      <c r="U1132" s="50">
        <v>12</v>
      </c>
      <c r="V1132" s="53">
        <v>0</v>
      </c>
      <c r="W1132" s="147">
        <v>1</v>
      </c>
      <c r="X1132" s="148" t="s">
        <v>163</v>
      </c>
      <c r="Y1132" s="54">
        <f>R1132*W1132</f>
        <v>12.9</v>
      </c>
      <c r="Z1132" s="52">
        <f>S1132*W1132</f>
        <v>11.517857142857142</v>
      </c>
      <c r="AA1132" s="52">
        <f>T1132*W1132</f>
        <v>1.3821428571428573</v>
      </c>
      <c r="AB1132" s="52">
        <f>V1132*W1132</f>
        <v>0</v>
      </c>
      <c r="AC1132" s="53">
        <f>(R1132+V1132)*W1132</f>
        <v>12.9</v>
      </c>
      <c r="AD1132" s="138">
        <v>12.9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107</v>
      </c>
      <c r="F1133" s="96" t="s">
        <v>106</v>
      </c>
      <c r="G1133" s="97">
        <v>46132</v>
      </c>
      <c r="H1133" s="98">
        <v>0.4583564814814815</v>
      </c>
      <c r="I1133" s="50">
        <v>166004660</v>
      </c>
      <c r="J1133" s="96" t="s">
        <v>157</v>
      </c>
      <c r="K1133" s="49" t="s">
        <v>2181</v>
      </c>
      <c r="L1133" s="39" t="s">
        <v>2182</v>
      </c>
      <c r="M1133" s="49" t="s">
        <v>185</v>
      </c>
      <c r="N1133" s="39" t="s">
        <v>1722</v>
      </c>
      <c r="O1133" s="96" t="s">
        <v>2183</v>
      </c>
      <c r="P1133" s="49" t="s">
        <v>157</v>
      </c>
      <c r="Q1133" s="96" t="s">
        <v>104</v>
      </c>
      <c r="R1133" s="52">
        <v>12.9</v>
      </c>
      <c r="S1133" s="52">
        <f>R1133-T1133</f>
        <v>11.517857142857142</v>
      </c>
      <c r="T1133" s="52">
        <f>R1133*U1133/(U1133+100)</f>
        <v>1.3821428571428573</v>
      </c>
      <c r="U1133" s="50">
        <v>12</v>
      </c>
      <c r="V1133" s="53">
        <v>0</v>
      </c>
      <c r="W1133" s="147">
        <v>1</v>
      </c>
      <c r="X1133" s="148" t="s">
        <v>163</v>
      </c>
      <c r="Y1133" s="54">
        <f>R1133*W1133</f>
        <v>12.9</v>
      </c>
      <c r="Z1133" s="52">
        <f>S1133*W1133</f>
        <v>11.517857142857142</v>
      </c>
      <c r="AA1133" s="52">
        <f>T1133*W1133</f>
        <v>1.3821428571428573</v>
      </c>
      <c r="AB1133" s="52">
        <f>V1133*W1133</f>
        <v>0</v>
      </c>
      <c r="AC1133" s="53">
        <f>(R1133+V1133)*W1133</f>
        <v>12.9</v>
      </c>
      <c r="AD1133" s="138">
        <v>12.9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107</v>
      </c>
      <c r="F1134" s="96" t="s">
        <v>106</v>
      </c>
      <c r="G1134" s="97">
        <v>46132</v>
      </c>
      <c r="H1134" s="98">
        <v>0.4583564814814815</v>
      </c>
      <c r="I1134" s="50">
        <v>166004660</v>
      </c>
      <c r="J1134" s="96" t="s">
        <v>157</v>
      </c>
      <c r="K1134" s="49" t="s">
        <v>2184</v>
      </c>
      <c r="L1134" s="39" t="s">
        <v>2185</v>
      </c>
      <c r="M1134" s="49" t="s">
        <v>568</v>
      </c>
      <c r="N1134" s="39" t="s">
        <v>576</v>
      </c>
      <c r="O1134" s="96" t="s">
        <v>2186</v>
      </c>
      <c r="P1134" s="49" t="s">
        <v>157</v>
      </c>
      <c r="Q1134" s="96" t="s">
        <v>104</v>
      </c>
      <c r="R1134" s="52">
        <v>27.9</v>
      </c>
      <c r="S1134" s="52">
        <f>R1134-T1134</f>
        <v>24.910714285714285</v>
      </c>
      <c r="T1134" s="52">
        <f>R1134*U1134/(U1134+100)</f>
        <v>2.989285714285714</v>
      </c>
      <c r="U1134" s="50">
        <v>12</v>
      </c>
      <c r="V1134" s="53">
        <v>0</v>
      </c>
      <c r="W1134" s="147">
        <v>1</v>
      </c>
      <c r="X1134" s="148" t="s">
        <v>163</v>
      </c>
      <c r="Y1134" s="54">
        <f>R1134*W1134</f>
        <v>27.9</v>
      </c>
      <c r="Z1134" s="52">
        <f>S1134*W1134</f>
        <v>24.910714285714285</v>
      </c>
      <c r="AA1134" s="52">
        <f>T1134*W1134</f>
        <v>2.989285714285714</v>
      </c>
      <c r="AB1134" s="52">
        <f>V1134*W1134</f>
        <v>0</v>
      </c>
      <c r="AC1134" s="53">
        <f>(R1134+V1134)*W1134</f>
        <v>27.9</v>
      </c>
      <c r="AD1134" s="138">
        <v>27.9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107</v>
      </c>
      <c r="F1135" s="96" t="s">
        <v>106</v>
      </c>
      <c r="G1135" s="97">
        <v>46132</v>
      </c>
      <c r="H1135" s="98">
        <v>0.4583564814814815</v>
      </c>
      <c r="I1135" s="50">
        <v>166004660</v>
      </c>
      <c r="J1135" s="96" t="s">
        <v>157</v>
      </c>
      <c r="K1135" s="49" t="s">
        <v>2184</v>
      </c>
      <c r="L1135" s="39" t="s">
        <v>2185</v>
      </c>
      <c r="M1135" s="49" t="s">
        <v>568</v>
      </c>
      <c r="N1135" s="39" t="s">
        <v>576</v>
      </c>
      <c r="O1135" s="96" t="s">
        <v>2186</v>
      </c>
      <c r="P1135" s="49" t="s">
        <v>157</v>
      </c>
      <c r="Q1135" s="96" t="s">
        <v>104</v>
      </c>
      <c r="R1135" s="52">
        <v>27.9</v>
      </c>
      <c r="S1135" s="52">
        <f>R1135-T1135</f>
        <v>24.910714285714285</v>
      </c>
      <c r="T1135" s="52">
        <f>R1135*U1135/(U1135+100)</f>
        <v>2.989285714285714</v>
      </c>
      <c r="U1135" s="50">
        <v>12</v>
      </c>
      <c r="V1135" s="53">
        <v>0</v>
      </c>
      <c r="W1135" s="147">
        <v>1</v>
      </c>
      <c r="X1135" s="148" t="s">
        <v>163</v>
      </c>
      <c r="Y1135" s="54">
        <f>R1135*W1135</f>
        <v>27.9</v>
      </c>
      <c r="Z1135" s="52">
        <f>S1135*W1135</f>
        <v>24.910714285714285</v>
      </c>
      <c r="AA1135" s="52">
        <f>T1135*W1135</f>
        <v>2.989285714285714</v>
      </c>
      <c r="AB1135" s="52">
        <f>V1135*W1135</f>
        <v>0</v>
      </c>
      <c r="AC1135" s="53">
        <f>(R1135+V1135)*W1135</f>
        <v>27.9</v>
      </c>
      <c r="AD1135" s="138">
        <v>27.9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107</v>
      </c>
      <c r="F1136" s="96" t="s">
        <v>106</v>
      </c>
      <c r="G1136" s="97">
        <v>46132</v>
      </c>
      <c r="H1136" s="98">
        <v>0.4583564814814815</v>
      </c>
      <c r="I1136" s="50">
        <v>166004660</v>
      </c>
      <c r="J1136" s="96" t="s">
        <v>157</v>
      </c>
      <c r="K1136" s="49" t="s">
        <v>2187</v>
      </c>
      <c r="L1136" s="39" t="s">
        <v>2188</v>
      </c>
      <c r="M1136" s="49" t="s">
        <v>1405</v>
      </c>
      <c r="N1136" s="39" t="s">
        <v>301</v>
      </c>
      <c r="O1136" s="96" t="s">
        <v>2189</v>
      </c>
      <c r="P1136" s="49" t="s">
        <v>157</v>
      </c>
      <c r="Q1136" s="96" t="s">
        <v>104</v>
      </c>
      <c r="R1136" s="52">
        <v>12.4</v>
      </c>
      <c r="S1136" s="52">
        <f>R1136-T1136</f>
        <v>11.071428571428571</v>
      </c>
      <c r="T1136" s="52">
        <f>R1136*U1136/(U1136+100)</f>
        <v>1.3285714285714287</v>
      </c>
      <c r="U1136" s="50">
        <v>12</v>
      </c>
      <c r="V1136" s="53">
        <v>0</v>
      </c>
      <c r="W1136" s="147">
        <v>1</v>
      </c>
      <c r="X1136" s="148" t="s">
        <v>163</v>
      </c>
      <c r="Y1136" s="54">
        <f>R1136*W1136</f>
        <v>12.4</v>
      </c>
      <c r="Z1136" s="52">
        <f>S1136*W1136</f>
        <v>11.071428571428571</v>
      </c>
      <c r="AA1136" s="52">
        <f>T1136*W1136</f>
        <v>1.3285714285714287</v>
      </c>
      <c r="AB1136" s="52">
        <f>V1136*W1136</f>
        <v>0</v>
      </c>
      <c r="AC1136" s="53">
        <f>(R1136+V1136)*W1136</f>
        <v>12.4</v>
      </c>
      <c r="AD1136" s="138">
        <v>12.4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107</v>
      </c>
      <c r="F1137" s="96" t="s">
        <v>106</v>
      </c>
      <c r="G1137" s="97">
        <v>46132</v>
      </c>
      <c r="H1137" s="98">
        <v>0.4583564814814815</v>
      </c>
      <c r="I1137" s="50">
        <v>166004660</v>
      </c>
      <c r="J1137" s="96" t="s">
        <v>157</v>
      </c>
      <c r="K1137" s="49" t="s">
        <v>2190</v>
      </c>
      <c r="L1137" s="39" t="s">
        <v>2191</v>
      </c>
      <c r="M1137" s="49" t="s">
        <v>2192</v>
      </c>
      <c r="N1137" s="39" t="s">
        <v>301</v>
      </c>
      <c r="O1137" s="96" t="s">
        <v>2193</v>
      </c>
      <c r="P1137" s="49" t="s">
        <v>157</v>
      </c>
      <c r="Q1137" s="96" t="s">
        <v>104</v>
      </c>
      <c r="R1137" s="52">
        <v>24.9</v>
      </c>
      <c r="S1137" s="52">
        <f>R1137-T1137</f>
        <v>22.232142857142858</v>
      </c>
      <c r="T1137" s="52">
        <f>R1137*U1137/(U1137+100)</f>
        <v>2.6678571428571423</v>
      </c>
      <c r="U1137" s="50">
        <v>12</v>
      </c>
      <c r="V1137" s="53">
        <v>0</v>
      </c>
      <c r="W1137" s="147">
        <v>1</v>
      </c>
      <c r="X1137" s="148" t="s">
        <v>163</v>
      </c>
      <c r="Y1137" s="54">
        <f>R1137*W1137</f>
        <v>24.9</v>
      </c>
      <c r="Z1137" s="52">
        <f>S1137*W1137</f>
        <v>22.232142857142858</v>
      </c>
      <c r="AA1137" s="52">
        <f>T1137*W1137</f>
        <v>2.6678571428571423</v>
      </c>
      <c r="AB1137" s="52">
        <f>V1137*W1137</f>
        <v>0</v>
      </c>
      <c r="AC1137" s="53">
        <f>(R1137+V1137)*W1137</f>
        <v>24.9</v>
      </c>
      <c r="AD1137" s="138">
        <v>24.9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107</v>
      </c>
      <c r="F1138" s="96" t="s">
        <v>106</v>
      </c>
      <c r="G1138" s="97">
        <v>46132</v>
      </c>
      <c r="H1138" s="98">
        <v>0.4583564814814815</v>
      </c>
      <c r="I1138" s="50">
        <v>166004660</v>
      </c>
      <c r="J1138" s="96" t="s">
        <v>157</v>
      </c>
      <c r="K1138" s="49" t="s">
        <v>2194</v>
      </c>
      <c r="L1138" s="39" t="s">
        <v>2195</v>
      </c>
      <c r="M1138" s="49" t="s">
        <v>886</v>
      </c>
      <c r="N1138" s="39" t="s">
        <v>309</v>
      </c>
      <c r="O1138" s="96" t="s">
        <v>2196</v>
      </c>
      <c r="P1138" s="49" t="s">
        <v>157</v>
      </c>
      <c r="Q1138" s="96" t="s">
        <v>104</v>
      </c>
      <c r="R1138" s="52">
        <v>17.9</v>
      </c>
      <c r="S1138" s="52">
        <f>R1138-T1138</f>
        <v>15.982142857142856</v>
      </c>
      <c r="T1138" s="52">
        <f>R1138*U1138/(U1138+100)</f>
        <v>1.9178571428571427</v>
      </c>
      <c r="U1138" s="50">
        <v>12</v>
      </c>
      <c r="V1138" s="53">
        <v>0</v>
      </c>
      <c r="W1138" s="147">
        <v>1</v>
      </c>
      <c r="X1138" s="148" t="s">
        <v>163</v>
      </c>
      <c r="Y1138" s="54">
        <f>R1138*W1138</f>
        <v>17.9</v>
      </c>
      <c r="Z1138" s="52">
        <f>S1138*W1138</f>
        <v>15.982142857142856</v>
      </c>
      <c r="AA1138" s="52">
        <f>T1138*W1138</f>
        <v>1.9178571428571427</v>
      </c>
      <c r="AB1138" s="52">
        <f>V1138*W1138</f>
        <v>0</v>
      </c>
      <c r="AC1138" s="53">
        <f>(R1138+V1138)*W1138</f>
        <v>17.9</v>
      </c>
      <c r="AD1138" s="138">
        <v>17.9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107</v>
      </c>
      <c r="F1139" s="96" t="s">
        <v>106</v>
      </c>
      <c r="G1139" s="97">
        <v>46132</v>
      </c>
      <c r="H1139" s="98">
        <v>0.4583564814814815</v>
      </c>
      <c r="I1139" s="50">
        <v>166004660</v>
      </c>
      <c r="J1139" s="96" t="s">
        <v>157</v>
      </c>
      <c r="K1139" s="49" t="s">
        <v>2197</v>
      </c>
      <c r="L1139" s="39" t="s">
        <v>2198</v>
      </c>
      <c r="M1139" s="49" t="s">
        <v>2137</v>
      </c>
      <c r="N1139" s="39" t="s">
        <v>1518</v>
      </c>
      <c r="O1139" s="96" t="s">
        <v>2199</v>
      </c>
      <c r="P1139" s="49" t="s">
        <v>157</v>
      </c>
      <c r="Q1139" s="96" t="s">
        <v>104</v>
      </c>
      <c r="R1139" s="52">
        <v>10.4</v>
      </c>
      <c r="S1139" s="52">
        <f>R1139-T1139</f>
        <v>9.285714285714286</v>
      </c>
      <c r="T1139" s="52">
        <f>R1139*U1139/(U1139+100)</f>
        <v>1.1142857142857143</v>
      </c>
      <c r="U1139" s="50">
        <v>12</v>
      </c>
      <c r="V1139" s="53">
        <v>0</v>
      </c>
      <c r="W1139" s="147">
        <v>1</v>
      </c>
      <c r="X1139" s="148" t="s">
        <v>163</v>
      </c>
      <c r="Y1139" s="54">
        <f>R1139*W1139</f>
        <v>10.4</v>
      </c>
      <c r="Z1139" s="52">
        <f>S1139*W1139</f>
        <v>9.285714285714286</v>
      </c>
      <c r="AA1139" s="52">
        <f>T1139*W1139</f>
        <v>1.1142857142857143</v>
      </c>
      <c r="AB1139" s="52">
        <f>V1139*W1139</f>
        <v>0</v>
      </c>
      <c r="AC1139" s="53">
        <f>(R1139+V1139)*W1139</f>
        <v>10.4</v>
      </c>
      <c r="AD1139" s="138">
        <v>10.4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107</v>
      </c>
      <c r="F1140" s="96" t="s">
        <v>106</v>
      </c>
      <c r="G1140" s="97">
        <v>46132</v>
      </c>
      <c r="H1140" s="98">
        <v>0.4583564814814815</v>
      </c>
      <c r="I1140" s="50">
        <v>166004660</v>
      </c>
      <c r="J1140" s="96" t="s">
        <v>157</v>
      </c>
      <c r="K1140" s="49" t="s">
        <v>2197</v>
      </c>
      <c r="L1140" s="39" t="s">
        <v>2198</v>
      </c>
      <c r="M1140" s="49" t="s">
        <v>2137</v>
      </c>
      <c r="N1140" s="39" t="s">
        <v>1518</v>
      </c>
      <c r="O1140" s="96" t="s">
        <v>2199</v>
      </c>
      <c r="P1140" s="49" t="s">
        <v>157</v>
      </c>
      <c r="Q1140" s="96" t="s">
        <v>104</v>
      </c>
      <c r="R1140" s="52">
        <v>10.4</v>
      </c>
      <c r="S1140" s="52">
        <f>R1140-T1140</f>
        <v>9.285714285714286</v>
      </c>
      <c r="T1140" s="52">
        <f>R1140*U1140/(U1140+100)</f>
        <v>1.1142857142857143</v>
      </c>
      <c r="U1140" s="50">
        <v>12</v>
      </c>
      <c r="V1140" s="53">
        <v>0</v>
      </c>
      <c r="W1140" s="147">
        <v>1</v>
      </c>
      <c r="X1140" s="148" t="s">
        <v>163</v>
      </c>
      <c r="Y1140" s="54">
        <f>R1140*W1140</f>
        <v>10.4</v>
      </c>
      <c r="Z1140" s="52">
        <f>S1140*W1140</f>
        <v>9.285714285714286</v>
      </c>
      <c r="AA1140" s="52">
        <f>T1140*W1140</f>
        <v>1.1142857142857143</v>
      </c>
      <c r="AB1140" s="52">
        <f>V1140*W1140</f>
        <v>0</v>
      </c>
      <c r="AC1140" s="53">
        <f>(R1140+V1140)*W1140</f>
        <v>10.4</v>
      </c>
      <c r="AD1140" s="138">
        <v>10.4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107</v>
      </c>
      <c r="F1141" s="96" t="s">
        <v>106</v>
      </c>
      <c r="G1141" s="97">
        <v>46132</v>
      </c>
      <c r="H1141" s="98">
        <v>0.4583564814814815</v>
      </c>
      <c r="I1141" s="50">
        <v>166004660</v>
      </c>
      <c r="J1141" s="96" t="s">
        <v>157</v>
      </c>
      <c r="K1141" s="49" t="s">
        <v>2197</v>
      </c>
      <c r="L1141" s="39" t="s">
        <v>2198</v>
      </c>
      <c r="M1141" s="49" t="s">
        <v>2137</v>
      </c>
      <c r="N1141" s="39" t="s">
        <v>1518</v>
      </c>
      <c r="O1141" s="96" t="s">
        <v>2199</v>
      </c>
      <c r="P1141" s="49" t="s">
        <v>157</v>
      </c>
      <c r="Q1141" s="96" t="s">
        <v>104</v>
      </c>
      <c r="R1141" s="52">
        <v>10.4</v>
      </c>
      <c r="S1141" s="52">
        <f>R1141-T1141</f>
        <v>9.285714285714286</v>
      </c>
      <c r="T1141" s="52">
        <f>R1141*U1141/(U1141+100)</f>
        <v>1.1142857142857143</v>
      </c>
      <c r="U1141" s="50">
        <v>12</v>
      </c>
      <c r="V1141" s="53">
        <v>0</v>
      </c>
      <c r="W1141" s="147">
        <v>1</v>
      </c>
      <c r="X1141" s="148" t="s">
        <v>163</v>
      </c>
      <c r="Y1141" s="54">
        <f>R1141*W1141</f>
        <v>10.4</v>
      </c>
      <c r="Z1141" s="52">
        <f>S1141*W1141</f>
        <v>9.285714285714286</v>
      </c>
      <c r="AA1141" s="52">
        <f>T1141*W1141</f>
        <v>1.1142857142857143</v>
      </c>
      <c r="AB1141" s="52">
        <f>V1141*W1141</f>
        <v>0</v>
      </c>
      <c r="AC1141" s="53">
        <f>(R1141+V1141)*W1141</f>
        <v>10.4</v>
      </c>
      <c r="AD1141" s="138">
        <v>10.4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107</v>
      </c>
      <c r="F1142" s="96" t="s">
        <v>106</v>
      </c>
      <c r="G1142" s="97">
        <v>46132</v>
      </c>
      <c r="H1142" s="98">
        <v>0.4583564814814815</v>
      </c>
      <c r="I1142" s="50">
        <v>166004660</v>
      </c>
      <c r="J1142" s="96" t="s">
        <v>157</v>
      </c>
      <c r="K1142" s="49" t="s">
        <v>2197</v>
      </c>
      <c r="L1142" s="39" t="s">
        <v>2198</v>
      </c>
      <c r="M1142" s="49" t="s">
        <v>2137</v>
      </c>
      <c r="N1142" s="39" t="s">
        <v>1518</v>
      </c>
      <c r="O1142" s="96" t="s">
        <v>2199</v>
      </c>
      <c r="P1142" s="49" t="s">
        <v>157</v>
      </c>
      <c r="Q1142" s="96" t="s">
        <v>104</v>
      </c>
      <c r="R1142" s="52">
        <v>10.4</v>
      </c>
      <c r="S1142" s="52">
        <f>R1142-T1142</f>
        <v>9.285714285714286</v>
      </c>
      <c r="T1142" s="52">
        <f>R1142*U1142/(U1142+100)</f>
        <v>1.1142857142857143</v>
      </c>
      <c r="U1142" s="50">
        <v>12</v>
      </c>
      <c r="V1142" s="53">
        <v>0</v>
      </c>
      <c r="W1142" s="147">
        <v>1</v>
      </c>
      <c r="X1142" s="148" t="s">
        <v>163</v>
      </c>
      <c r="Y1142" s="54">
        <f>R1142*W1142</f>
        <v>10.4</v>
      </c>
      <c r="Z1142" s="52">
        <f>S1142*W1142</f>
        <v>9.285714285714286</v>
      </c>
      <c r="AA1142" s="52">
        <f>T1142*W1142</f>
        <v>1.1142857142857143</v>
      </c>
      <c r="AB1142" s="52">
        <f>V1142*W1142</f>
        <v>0</v>
      </c>
      <c r="AC1142" s="53">
        <f>(R1142+V1142)*W1142</f>
        <v>10.4</v>
      </c>
      <c r="AD1142" s="138">
        <v>10.4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107</v>
      </c>
      <c r="F1143" s="96" t="s">
        <v>106</v>
      </c>
      <c r="G1143" s="97">
        <v>46132</v>
      </c>
      <c r="H1143" s="98">
        <v>0.4583564814814815</v>
      </c>
      <c r="I1143" s="50">
        <v>166004660</v>
      </c>
      <c r="J1143" s="96" t="s">
        <v>157</v>
      </c>
      <c r="K1143" s="49" t="s">
        <v>2197</v>
      </c>
      <c r="L1143" s="39" t="s">
        <v>2198</v>
      </c>
      <c r="M1143" s="49" t="s">
        <v>2137</v>
      </c>
      <c r="N1143" s="39" t="s">
        <v>1518</v>
      </c>
      <c r="O1143" s="96" t="s">
        <v>2199</v>
      </c>
      <c r="P1143" s="49" t="s">
        <v>157</v>
      </c>
      <c r="Q1143" s="96" t="s">
        <v>104</v>
      </c>
      <c r="R1143" s="52">
        <v>10.4</v>
      </c>
      <c r="S1143" s="52">
        <f>R1143-T1143</f>
        <v>9.285714285714286</v>
      </c>
      <c r="T1143" s="52">
        <f>R1143*U1143/(U1143+100)</f>
        <v>1.1142857142857143</v>
      </c>
      <c r="U1143" s="50">
        <v>12</v>
      </c>
      <c r="V1143" s="53">
        <v>0</v>
      </c>
      <c r="W1143" s="147">
        <v>1</v>
      </c>
      <c r="X1143" s="148" t="s">
        <v>163</v>
      </c>
      <c r="Y1143" s="54">
        <f>R1143*W1143</f>
        <v>10.4</v>
      </c>
      <c r="Z1143" s="52">
        <f>S1143*W1143</f>
        <v>9.285714285714286</v>
      </c>
      <c r="AA1143" s="52">
        <f>T1143*W1143</f>
        <v>1.1142857142857143</v>
      </c>
      <c r="AB1143" s="52">
        <f>V1143*W1143</f>
        <v>0</v>
      </c>
      <c r="AC1143" s="53">
        <f>(R1143+V1143)*W1143</f>
        <v>10.4</v>
      </c>
      <c r="AD1143" s="138">
        <v>10.4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107</v>
      </c>
      <c r="F1144" s="96" t="s">
        <v>106</v>
      </c>
      <c r="G1144" s="97">
        <v>46132</v>
      </c>
      <c r="H1144" s="98">
        <v>0.4583564814814815</v>
      </c>
      <c r="I1144" s="50">
        <v>166004660</v>
      </c>
      <c r="J1144" s="96" t="s">
        <v>157</v>
      </c>
      <c r="K1144" s="49" t="s">
        <v>2200</v>
      </c>
      <c r="L1144" s="39" t="s">
        <v>2201</v>
      </c>
      <c r="M1144" s="49" t="s">
        <v>485</v>
      </c>
      <c r="N1144" s="39" t="s">
        <v>476</v>
      </c>
      <c r="O1144" s="96" t="s">
        <v>2202</v>
      </c>
      <c r="P1144" s="49" t="s">
        <v>157</v>
      </c>
      <c r="Q1144" s="96" t="s">
        <v>104</v>
      </c>
      <c r="R1144" s="52">
        <v>19.9</v>
      </c>
      <c r="S1144" s="52">
        <f>R1144-T1144</f>
        <v>17.767857142857142</v>
      </c>
      <c r="T1144" s="52">
        <f>R1144*U1144/(U1144+100)</f>
        <v>2.132142857142857</v>
      </c>
      <c r="U1144" s="50">
        <v>12</v>
      </c>
      <c r="V1144" s="53">
        <v>0</v>
      </c>
      <c r="W1144" s="147">
        <v>1</v>
      </c>
      <c r="X1144" s="148" t="s">
        <v>163</v>
      </c>
      <c r="Y1144" s="54">
        <f>R1144*W1144</f>
        <v>19.9</v>
      </c>
      <c r="Z1144" s="52">
        <f>S1144*W1144</f>
        <v>17.767857142857142</v>
      </c>
      <c r="AA1144" s="52">
        <f>T1144*W1144</f>
        <v>2.132142857142857</v>
      </c>
      <c r="AB1144" s="52">
        <f>V1144*W1144</f>
        <v>0</v>
      </c>
      <c r="AC1144" s="53">
        <f>(R1144+V1144)*W1144</f>
        <v>19.9</v>
      </c>
      <c r="AD1144" s="138">
        <v>19.9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107</v>
      </c>
      <c r="F1145" s="96" t="s">
        <v>106</v>
      </c>
      <c r="G1145" s="97">
        <v>46132</v>
      </c>
      <c r="H1145" s="98">
        <v>0.45913194444444444</v>
      </c>
      <c r="I1145" s="50">
        <v>166004661</v>
      </c>
      <c r="J1145" s="96" t="s">
        <v>157</v>
      </c>
      <c r="K1145" s="49" t="s">
        <v>2203</v>
      </c>
      <c r="L1145" s="39" t="s">
        <v>2204</v>
      </c>
      <c r="M1145" s="49" t="s">
        <v>1252</v>
      </c>
      <c r="N1145" s="39" t="s">
        <v>239</v>
      </c>
      <c r="O1145" s="96" t="s">
        <v>2205</v>
      </c>
      <c r="P1145" s="49" t="s">
        <v>157</v>
      </c>
      <c r="Q1145" s="96" t="s">
        <v>104</v>
      </c>
      <c r="R1145" s="52">
        <v>39.9</v>
      </c>
      <c r="S1145" s="52">
        <f>R1145-T1145</f>
        <v>35.625</v>
      </c>
      <c r="T1145" s="52">
        <f>R1145*U1145/(U1145+100)</f>
        <v>4.2749999999999995</v>
      </c>
      <c r="U1145" s="50">
        <v>12</v>
      </c>
      <c r="V1145" s="53">
        <v>0</v>
      </c>
      <c r="W1145" s="147">
        <v>1</v>
      </c>
      <c r="X1145" s="148" t="s">
        <v>163</v>
      </c>
      <c r="Y1145" s="54">
        <f>R1145*W1145</f>
        <v>39.9</v>
      </c>
      <c r="Z1145" s="52">
        <f>S1145*W1145</f>
        <v>35.625</v>
      </c>
      <c r="AA1145" s="52">
        <f>T1145*W1145</f>
        <v>4.2749999999999995</v>
      </c>
      <c r="AB1145" s="52">
        <f>V1145*W1145</f>
        <v>0</v>
      </c>
      <c r="AC1145" s="53">
        <f>(R1145+V1145)*W1145</f>
        <v>39.9</v>
      </c>
      <c r="AD1145" s="138">
        <v>39.9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107</v>
      </c>
      <c r="F1146" s="96" t="s">
        <v>106</v>
      </c>
      <c r="G1146" s="97">
        <v>46132</v>
      </c>
      <c r="H1146" s="98">
        <v>0.45913194444444444</v>
      </c>
      <c r="I1146" s="50">
        <v>166004661</v>
      </c>
      <c r="J1146" s="96" t="s">
        <v>157</v>
      </c>
      <c r="K1146" s="49" t="s">
        <v>2206</v>
      </c>
      <c r="L1146" s="39" t="s">
        <v>2207</v>
      </c>
      <c r="M1146" s="49" t="s">
        <v>429</v>
      </c>
      <c r="N1146" s="39" t="s">
        <v>239</v>
      </c>
      <c r="O1146" s="96" t="s">
        <v>2208</v>
      </c>
      <c r="P1146" s="49" t="s">
        <v>157</v>
      </c>
      <c r="Q1146" s="96" t="s">
        <v>104</v>
      </c>
      <c r="R1146" s="52">
        <v>27.9</v>
      </c>
      <c r="S1146" s="52">
        <f>R1146-T1146</f>
        <v>24.910714285714285</v>
      </c>
      <c r="T1146" s="52">
        <f>R1146*U1146/(U1146+100)</f>
        <v>2.989285714285714</v>
      </c>
      <c r="U1146" s="50">
        <v>12</v>
      </c>
      <c r="V1146" s="53">
        <v>0</v>
      </c>
      <c r="W1146" s="147">
        <v>1</v>
      </c>
      <c r="X1146" s="148" t="s">
        <v>163</v>
      </c>
      <c r="Y1146" s="54">
        <f>R1146*W1146</f>
        <v>27.9</v>
      </c>
      <c r="Z1146" s="52">
        <f>S1146*W1146</f>
        <v>24.910714285714285</v>
      </c>
      <c r="AA1146" s="52">
        <f>T1146*W1146</f>
        <v>2.989285714285714</v>
      </c>
      <c r="AB1146" s="52">
        <f>V1146*W1146</f>
        <v>0</v>
      </c>
      <c r="AC1146" s="53">
        <f>(R1146+V1146)*W1146</f>
        <v>27.9</v>
      </c>
      <c r="AD1146" s="138">
        <v>27.9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107</v>
      </c>
      <c r="F1147" s="96" t="s">
        <v>106</v>
      </c>
      <c r="G1147" s="97">
        <v>46132</v>
      </c>
      <c r="H1147" s="98">
        <v>0.45913194444444444</v>
      </c>
      <c r="I1147" s="50">
        <v>166004661</v>
      </c>
      <c r="J1147" s="96" t="s">
        <v>157</v>
      </c>
      <c r="K1147" s="49" t="s">
        <v>2206</v>
      </c>
      <c r="L1147" s="39" t="s">
        <v>2207</v>
      </c>
      <c r="M1147" s="49" t="s">
        <v>429</v>
      </c>
      <c r="N1147" s="39" t="s">
        <v>239</v>
      </c>
      <c r="O1147" s="96" t="s">
        <v>2208</v>
      </c>
      <c r="P1147" s="49" t="s">
        <v>157</v>
      </c>
      <c r="Q1147" s="96" t="s">
        <v>104</v>
      </c>
      <c r="R1147" s="52">
        <v>27.9</v>
      </c>
      <c r="S1147" s="52">
        <f>R1147-T1147</f>
        <v>24.910714285714285</v>
      </c>
      <c r="T1147" s="52">
        <f>R1147*U1147/(U1147+100)</f>
        <v>2.989285714285714</v>
      </c>
      <c r="U1147" s="50">
        <v>12</v>
      </c>
      <c r="V1147" s="53">
        <v>0</v>
      </c>
      <c r="W1147" s="147">
        <v>1</v>
      </c>
      <c r="X1147" s="148" t="s">
        <v>163</v>
      </c>
      <c r="Y1147" s="54">
        <f>R1147*W1147</f>
        <v>27.9</v>
      </c>
      <c r="Z1147" s="52">
        <f>S1147*W1147</f>
        <v>24.910714285714285</v>
      </c>
      <c r="AA1147" s="52">
        <f>T1147*W1147</f>
        <v>2.989285714285714</v>
      </c>
      <c r="AB1147" s="52">
        <f>V1147*W1147</f>
        <v>0</v>
      </c>
      <c r="AC1147" s="53">
        <f>(R1147+V1147)*W1147</f>
        <v>27.9</v>
      </c>
      <c r="AD1147" s="138">
        <v>27.9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107</v>
      </c>
      <c r="F1148" s="96" t="s">
        <v>106</v>
      </c>
      <c r="G1148" s="97">
        <v>46132</v>
      </c>
      <c r="H1148" s="98">
        <v>0.45913194444444444</v>
      </c>
      <c r="I1148" s="50">
        <v>166004661</v>
      </c>
      <c r="J1148" s="96" t="s">
        <v>157</v>
      </c>
      <c r="K1148" s="49" t="s">
        <v>2209</v>
      </c>
      <c r="L1148" s="39" t="s">
        <v>2210</v>
      </c>
      <c r="M1148" s="49" t="s">
        <v>219</v>
      </c>
      <c r="N1148" s="39" t="s">
        <v>388</v>
      </c>
      <c r="O1148" s="96" t="s">
        <v>2211</v>
      </c>
      <c r="P1148" s="49" t="s">
        <v>157</v>
      </c>
      <c r="Q1148" s="96" t="s">
        <v>104</v>
      </c>
      <c r="R1148" s="52">
        <v>35.9</v>
      </c>
      <c r="S1148" s="52">
        <f>R1148-T1148</f>
        <v>29.669421487603305</v>
      </c>
      <c r="T1148" s="52">
        <f>R1148*U1148/(U1148+100)</f>
        <v>6.230578512396694</v>
      </c>
      <c r="U1148" s="50">
        <v>21</v>
      </c>
      <c r="V1148" s="53">
        <v>0</v>
      </c>
      <c r="W1148" s="147">
        <v>1</v>
      </c>
      <c r="X1148" s="148" t="s">
        <v>163</v>
      </c>
      <c r="Y1148" s="54">
        <f>R1148*W1148</f>
        <v>35.9</v>
      </c>
      <c r="Z1148" s="52">
        <f>S1148*W1148</f>
        <v>29.669421487603305</v>
      </c>
      <c r="AA1148" s="52">
        <f>T1148*W1148</f>
        <v>6.230578512396694</v>
      </c>
      <c r="AB1148" s="52">
        <f>V1148*W1148</f>
        <v>0</v>
      </c>
      <c r="AC1148" s="53">
        <f>(R1148+V1148)*W1148</f>
        <v>35.9</v>
      </c>
      <c r="AD1148" s="138">
        <v>35.9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107</v>
      </c>
      <c r="F1149" s="96" t="s">
        <v>106</v>
      </c>
      <c r="G1149" s="97">
        <v>46132</v>
      </c>
      <c r="H1149" s="98">
        <v>0.45913194444444444</v>
      </c>
      <c r="I1149" s="50">
        <v>166004661</v>
      </c>
      <c r="J1149" s="96" t="s">
        <v>157</v>
      </c>
      <c r="K1149" s="49" t="s">
        <v>739</v>
      </c>
      <c r="L1149" s="39" t="s">
        <v>740</v>
      </c>
      <c r="M1149" s="49" t="s">
        <v>214</v>
      </c>
      <c r="N1149" s="39" t="s">
        <v>418</v>
      </c>
      <c r="O1149" s="96" t="s">
        <v>1147</v>
      </c>
      <c r="P1149" s="49" t="s">
        <v>157</v>
      </c>
      <c r="Q1149" s="96" t="s">
        <v>104</v>
      </c>
      <c r="R1149" s="52">
        <v>21.9</v>
      </c>
      <c r="S1149" s="52">
        <f>R1149-T1149</f>
        <v>19.553571428571427</v>
      </c>
      <c r="T1149" s="52">
        <f>R1149*U1149/(U1149+100)</f>
        <v>2.346428571428571</v>
      </c>
      <c r="U1149" s="50">
        <v>12</v>
      </c>
      <c r="V1149" s="53">
        <v>0</v>
      </c>
      <c r="W1149" s="147">
        <v>2</v>
      </c>
      <c r="X1149" s="148" t="s">
        <v>163</v>
      </c>
      <c r="Y1149" s="54">
        <f>R1149*W1149</f>
        <v>43.8</v>
      </c>
      <c r="Z1149" s="52">
        <f>S1149*W1149</f>
        <v>39.107142857142854</v>
      </c>
      <c r="AA1149" s="52">
        <f>T1149*W1149</f>
        <v>4.692857142857142</v>
      </c>
      <c r="AB1149" s="52">
        <f>V1149*W1149</f>
        <v>0</v>
      </c>
      <c r="AC1149" s="53">
        <f>(R1149+V1149)*W1149</f>
        <v>43.8</v>
      </c>
      <c r="AD1149" s="138">
        <v>21.9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107</v>
      </c>
      <c r="F1150" s="96" t="s">
        <v>106</v>
      </c>
      <c r="G1150" s="97">
        <v>46132</v>
      </c>
      <c r="H1150" s="98">
        <v>0.45913194444444444</v>
      </c>
      <c r="I1150" s="50">
        <v>166004661</v>
      </c>
      <c r="J1150" s="96" t="s">
        <v>157</v>
      </c>
      <c r="K1150" s="49" t="s">
        <v>303</v>
      </c>
      <c r="L1150" s="39" t="s">
        <v>304</v>
      </c>
      <c r="M1150" s="49" t="s">
        <v>214</v>
      </c>
      <c r="N1150" s="39" t="s">
        <v>296</v>
      </c>
      <c r="O1150" s="96" t="s">
        <v>305</v>
      </c>
      <c r="P1150" s="49" t="s">
        <v>157</v>
      </c>
      <c r="Q1150" s="96" t="s">
        <v>104</v>
      </c>
      <c r="R1150" s="52">
        <v>11.9</v>
      </c>
      <c r="S1150" s="52">
        <f>R1150-T1150</f>
        <v>10.625</v>
      </c>
      <c r="T1150" s="52">
        <f>R1150*U1150/(U1150+100)</f>
        <v>1.2750000000000001</v>
      </c>
      <c r="U1150" s="50">
        <v>12</v>
      </c>
      <c r="V1150" s="53">
        <v>0</v>
      </c>
      <c r="W1150" s="147">
        <v>2</v>
      </c>
      <c r="X1150" s="148" t="s">
        <v>163</v>
      </c>
      <c r="Y1150" s="54">
        <f>R1150*W1150</f>
        <v>23.8</v>
      </c>
      <c r="Z1150" s="52">
        <f>S1150*W1150</f>
        <v>21.25</v>
      </c>
      <c r="AA1150" s="52">
        <f>T1150*W1150</f>
        <v>2.5500000000000003</v>
      </c>
      <c r="AB1150" s="52">
        <f>V1150*W1150</f>
        <v>0</v>
      </c>
      <c r="AC1150" s="53">
        <f>(R1150+V1150)*W1150</f>
        <v>23.8</v>
      </c>
      <c r="AD1150" s="138">
        <v>11.9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107</v>
      </c>
      <c r="F1151" s="96" t="s">
        <v>106</v>
      </c>
      <c r="G1151" s="97">
        <v>46132</v>
      </c>
      <c r="H1151" s="98">
        <v>0.45913194444444444</v>
      </c>
      <c r="I1151" s="50">
        <v>166004661</v>
      </c>
      <c r="J1151" s="96" t="s">
        <v>157</v>
      </c>
      <c r="K1151" s="49" t="s">
        <v>2212</v>
      </c>
      <c r="L1151" s="39" t="s">
        <v>2213</v>
      </c>
      <c r="M1151" s="49" t="s">
        <v>277</v>
      </c>
      <c r="N1151" s="39" t="s">
        <v>1643</v>
      </c>
      <c r="O1151" s="96" t="s">
        <v>2214</v>
      </c>
      <c r="P1151" s="49" t="s">
        <v>157</v>
      </c>
      <c r="Q1151" s="96" t="s">
        <v>104</v>
      </c>
      <c r="R1151" s="52">
        <v>27.93</v>
      </c>
      <c r="S1151" s="52">
        <f>R1151-T1151</f>
        <v>24.9375</v>
      </c>
      <c r="T1151" s="52">
        <f>R1151*U1151/(U1151+100)</f>
        <v>2.9924999999999997</v>
      </c>
      <c r="U1151" s="50">
        <v>12</v>
      </c>
      <c r="V1151" s="53">
        <v>0</v>
      </c>
      <c r="W1151" s="147">
        <v>1</v>
      </c>
      <c r="X1151" s="148" t="s">
        <v>163</v>
      </c>
      <c r="Y1151" s="54">
        <f>R1151*W1151</f>
        <v>27.93</v>
      </c>
      <c r="Z1151" s="52">
        <f>S1151*W1151</f>
        <v>24.9375</v>
      </c>
      <c r="AA1151" s="52">
        <f>T1151*W1151</f>
        <v>2.9924999999999997</v>
      </c>
      <c r="AB1151" s="52">
        <f>V1151*W1151</f>
        <v>0</v>
      </c>
      <c r="AC1151" s="53">
        <f>(R1151+V1151)*W1151</f>
        <v>27.93</v>
      </c>
      <c r="AD1151" s="138">
        <v>39.9</v>
      </c>
      <c r="AE1151" s="137">
        <v>11.97</v>
      </c>
      <c r="AF1151" s="139">
        <v>11.97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107</v>
      </c>
      <c r="F1152" s="96" t="s">
        <v>106</v>
      </c>
      <c r="G1152" s="97">
        <v>46132</v>
      </c>
      <c r="H1152" s="98">
        <v>0.45913194444444444</v>
      </c>
      <c r="I1152" s="50">
        <v>166004661</v>
      </c>
      <c r="J1152" s="96" t="s">
        <v>157</v>
      </c>
      <c r="K1152" s="49" t="s">
        <v>2215</v>
      </c>
      <c r="L1152" s="39" t="s">
        <v>2216</v>
      </c>
      <c r="M1152" s="49" t="s">
        <v>2217</v>
      </c>
      <c r="N1152" s="39" t="s">
        <v>1618</v>
      </c>
      <c r="O1152" s="96" t="s">
        <v>2218</v>
      </c>
      <c r="P1152" s="49" t="s">
        <v>157</v>
      </c>
      <c r="Q1152" s="96" t="s">
        <v>104</v>
      </c>
      <c r="R1152" s="52">
        <v>20.93</v>
      </c>
      <c r="S1152" s="52">
        <f>R1152-T1152</f>
        <v>17.297520661157023</v>
      </c>
      <c r="T1152" s="52">
        <f>R1152*U1152/(U1152+100)</f>
        <v>3.632479338842975</v>
      </c>
      <c r="U1152" s="50">
        <v>21</v>
      </c>
      <c r="V1152" s="53">
        <v>0</v>
      </c>
      <c r="W1152" s="147">
        <v>1</v>
      </c>
      <c r="X1152" s="148" t="s">
        <v>945</v>
      </c>
      <c r="Y1152" s="54">
        <f>R1152*W1152</f>
        <v>20.93</v>
      </c>
      <c r="Z1152" s="52">
        <f>S1152*W1152</f>
        <v>17.297520661157023</v>
      </c>
      <c r="AA1152" s="52">
        <f>T1152*W1152</f>
        <v>3.632479338842975</v>
      </c>
      <c r="AB1152" s="52">
        <f>V1152*W1152</f>
        <v>0</v>
      </c>
      <c r="AC1152" s="53">
        <f>(R1152+V1152)*W1152</f>
        <v>20.93</v>
      </c>
      <c r="AD1152" s="138">
        <v>29.9</v>
      </c>
      <c r="AE1152" s="137">
        <v>8.97</v>
      </c>
      <c r="AF1152" s="139">
        <v>8.97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107</v>
      </c>
      <c r="F1153" s="96" t="s">
        <v>106</v>
      </c>
      <c r="G1153" s="97">
        <v>46132</v>
      </c>
      <c r="H1153" s="98">
        <v>0.4593171296296296</v>
      </c>
      <c r="I1153" s="50">
        <v>166004662</v>
      </c>
      <c r="J1153" s="96" t="s">
        <v>157</v>
      </c>
      <c r="K1153" s="49" t="s">
        <v>1158</v>
      </c>
      <c r="L1153" s="39" t="s">
        <v>1159</v>
      </c>
      <c r="M1153" s="49" t="s">
        <v>862</v>
      </c>
      <c r="N1153" s="39" t="s">
        <v>863</v>
      </c>
      <c r="O1153" s="96" t="s">
        <v>1160</v>
      </c>
      <c r="P1153" s="49" t="s">
        <v>157</v>
      </c>
      <c r="Q1153" s="96" t="s">
        <v>104</v>
      </c>
      <c r="R1153" s="52">
        <v>149</v>
      </c>
      <c r="S1153" s="52">
        <f>R1153-T1153</f>
        <v>123.14049586776859</v>
      </c>
      <c r="T1153" s="52">
        <f>R1153*U1153/(U1153+100)</f>
        <v>25.859504132231404</v>
      </c>
      <c r="U1153" s="50">
        <v>21</v>
      </c>
      <c r="V1153" s="53">
        <v>0</v>
      </c>
      <c r="W1153" s="147">
        <v>1</v>
      </c>
      <c r="X1153" s="148" t="s">
        <v>163</v>
      </c>
      <c r="Y1153" s="54">
        <f>R1153*W1153</f>
        <v>149</v>
      </c>
      <c r="Z1153" s="52">
        <f>S1153*W1153</f>
        <v>123.14049586776859</v>
      </c>
      <c r="AA1153" s="52">
        <f>T1153*W1153</f>
        <v>25.859504132231404</v>
      </c>
      <c r="AB1153" s="52">
        <f>V1153*W1153</f>
        <v>0</v>
      </c>
      <c r="AC1153" s="53">
        <f>(R1153+V1153)*W1153</f>
        <v>149</v>
      </c>
      <c r="AD1153" s="138">
        <v>149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107</v>
      </c>
      <c r="F1154" s="96" t="s">
        <v>106</v>
      </c>
      <c r="G1154" s="97">
        <v>46132</v>
      </c>
      <c r="H1154" s="98">
        <v>0.46368055555555554</v>
      </c>
      <c r="I1154" s="50">
        <v>166004663</v>
      </c>
      <c r="J1154" s="96" t="s">
        <v>157</v>
      </c>
      <c r="K1154" s="49" t="s">
        <v>293</v>
      </c>
      <c r="L1154" s="39" t="s">
        <v>294</v>
      </c>
      <c r="M1154" s="49" t="s">
        <v>295</v>
      </c>
      <c r="N1154" s="39" t="s">
        <v>296</v>
      </c>
      <c r="O1154" s="96" t="s">
        <v>297</v>
      </c>
      <c r="P1154" s="49" t="s">
        <v>157</v>
      </c>
      <c r="Q1154" s="96" t="s">
        <v>104</v>
      </c>
      <c r="R1154" s="52">
        <v>2.9</v>
      </c>
      <c r="S1154" s="52">
        <f>R1154-T1154</f>
        <v>2.5892857142857144</v>
      </c>
      <c r="T1154" s="52">
        <f>R1154*U1154/(U1154+100)</f>
        <v>0.31071428571428567</v>
      </c>
      <c r="U1154" s="50">
        <v>12</v>
      </c>
      <c r="V1154" s="53">
        <v>0</v>
      </c>
      <c r="W1154" s="147">
        <v>4</v>
      </c>
      <c r="X1154" s="148" t="s">
        <v>163</v>
      </c>
      <c r="Y1154" s="54">
        <f>R1154*W1154</f>
        <v>11.6</v>
      </c>
      <c r="Z1154" s="52">
        <f>S1154*W1154</f>
        <v>10.357142857142858</v>
      </c>
      <c r="AA1154" s="52">
        <f>T1154*W1154</f>
        <v>1.2428571428571427</v>
      </c>
      <c r="AB1154" s="52">
        <f>V1154*W1154</f>
        <v>0</v>
      </c>
      <c r="AC1154" s="53">
        <f>(R1154+V1154)*W1154</f>
        <v>11.6</v>
      </c>
      <c r="AD1154" s="138">
        <v>2.9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107</v>
      </c>
      <c r="F1155" s="96" t="s">
        <v>106</v>
      </c>
      <c r="G1155" s="97">
        <v>46132</v>
      </c>
      <c r="H1155" s="98">
        <v>0.46449074074074076</v>
      </c>
      <c r="I1155" s="50">
        <v>166004664</v>
      </c>
      <c r="J1155" s="96" t="s">
        <v>157</v>
      </c>
      <c r="K1155" s="49" t="s">
        <v>2219</v>
      </c>
      <c r="L1155" s="39" t="s">
        <v>2220</v>
      </c>
      <c r="M1155" s="49" t="s">
        <v>678</v>
      </c>
      <c r="N1155" s="39" t="s">
        <v>319</v>
      </c>
      <c r="O1155" s="96" t="s">
        <v>2221</v>
      </c>
      <c r="P1155" s="49" t="s">
        <v>157</v>
      </c>
      <c r="Q1155" s="96" t="s">
        <v>104</v>
      </c>
      <c r="R1155" s="52">
        <v>23.9</v>
      </c>
      <c r="S1155" s="52">
        <f>R1155-T1155</f>
        <v>21.33928571428571</v>
      </c>
      <c r="T1155" s="52">
        <f>R1155*U1155/(U1155+100)</f>
        <v>2.5607142857142855</v>
      </c>
      <c r="U1155" s="50">
        <v>12</v>
      </c>
      <c r="V1155" s="53">
        <v>0</v>
      </c>
      <c r="W1155" s="147">
        <v>1</v>
      </c>
      <c r="X1155" s="148" t="s">
        <v>163</v>
      </c>
      <c r="Y1155" s="54">
        <f>R1155*W1155</f>
        <v>23.9</v>
      </c>
      <c r="Z1155" s="52">
        <f>S1155*W1155</f>
        <v>21.33928571428571</v>
      </c>
      <c r="AA1155" s="52">
        <f>T1155*W1155</f>
        <v>2.5607142857142855</v>
      </c>
      <c r="AB1155" s="52">
        <f>V1155*W1155</f>
        <v>0</v>
      </c>
      <c r="AC1155" s="53">
        <f>(R1155+V1155)*W1155</f>
        <v>23.9</v>
      </c>
      <c r="AD1155" s="138">
        <v>23.9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107</v>
      </c>
      <c r="F1156" s="96" t="s">
        <v>106</v>
      </c>
      <c r="G1156" s="97">
        <v>46132</v>
      </c>
      <c r="H1156" s="98">
        <v>0.46449074074074076</v>
      </c>
      <c r="I1156" s="50">
        <v>166004664</v>
      </c>
      <c r="J1156" s="96" t="s">
        <v>157</v>
      </c>
      <c r="K1156" s="49" t="s">
        <v>2222</v>
      </c>
      <c r="L1156" s="39" t="s">
        <v>2223</v>
      </c>
      <c r="M1156" s="49" t="s">
        <v>214</v>
      </c>
      <c r="N1156" s="39" t="s">
        <v>1643</v>
      </c>
      <c r="O1156" s="96" t="s">
        <v>2224</v>
      </c>
      <c r="P1156" s="49" t="s">
        <v>157</v>
      </c>
      <c r="Q1156" s="96" t="s">
        <v>104</v>
      </c>
      <c r="R1156" s="52">
        <v>29.9</v>
      </c>
      <c r="S1156" s="52">
        <f>R1156-T1156</f>
        <v>26.69642857142857</v>
      </c>
      <c r="T1156" s="52">
        <f>R1156*U1156/(U1156+100)</f>
        <v>3.2035714285714283</v>
      </c>
      <c r="U1156" s="50">
        <v>12</v>
      </c>
      <c r="V1156" s="53">
        <v>0</v>
      </c>
      <c r="W1156" s="147">
        <v>1</v>
      </c>
      <c r="X1156" s="148" t="s">
        <v>163</v>
      </c>
      <c r="Y1156" s="54">
        <f>R1156*W1156</f>
        <v>29.9</v>
      </c>
      <c r="Z1156" s="52">
        <f>S1156*W1156</f>
        <v>26.69642857142857</v>
      </c>
      <c r="AA1156" s="52">
        <f>T1156*W1156</f>
        <v>3.2035714285714283</v>
      </c>
      <c r="AB1156" s="52">
        <f>V1156*W1156</f>
        <v>0</v>
      </c>
      <c r="AC1156" s="53">
        <f>(R1156+V1156)*W1156</f>
        <v>29.9</v>
      </c>
      <c r="AD1156" s="138">
        <v>29.9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107</v>
      </c>
      <c r="F1157" s="96" t="s">
        <v>106</v>
      </c>
      <c r="G1157" s="97">
        <v>46132</v>
      </c>
      <c r="H1157" s="98">
        <v>0.46449074074074076</v>
      </c>
      <c r="I1157" s="50">
        <v>166004664</v>
      </c>
      <c r="J1157" s="96" t="s">
        <v>157</v>
      </c>
      <c r="K1157" s="49" t="s">
        <v>2225</v>
      </c>
      <c r="L1157" s="39" t="s">
        <v>2226</v>
      </c>
      <c r="M1157" s="49" t="s">
        <v>1647</v>
      </c>
      <c r="N1157" s="39" t="s">
        <v>838</v>
      </c>
      <c r="O1157" s="96" t="s">
        <v>2227</v>
      </c>
      <c r="P1157" s="49" t="s">
        <v>157</v>
      </c>
      <c r="Q1157" s="96" t="s">
        <v>104</v>
      </c>
      <c r="R1157" s="52">
        <v>54.9</v>
      </c>
      <c r="S1157" s="52">
        <f>R1157-T1157</f>
        <v>49.01785714285714</v>
      </c>
      <c r="T1157" s="52">
        <f>R1157*U1157/(U1157+100)</f>
        <v>5.882142857142857</v>
      </c>
      <c r="U1157" s="50">
        <v>12</v>
      </c>
      <c r="V1157" s="53">
        <v>0</v>
      </c>
      <c r="W1157" s="147">
        <v>1</v>
      </c>
      <c r="X1157" s="148" t="s">
        <v>163</v>
      </c>
      <c r="Y1157" s="54">
        <f>R1157*W1157</f>
        <v>54.9</v>
      </c>
      <c r="Z1157" s="52">
        <f>S1157*W1157</f>
        <v>49.01785714285714</v>
      </c>
      <c r="AA1157" s="52">
        <f>T1157*W1157</f>
        <v>5.882142857142857</v>
      </c>
      <c r="AB1157" s="52">
        <f>V1157*W1157</f>
        <v>0</v>
      </c>
      <c r="AC1157" s="53">
        <f>(R1157+V1157)*W1157</f>
        <v>54.9</v>
      </c>
      <c r="AD1157" s="138">
        <v>54.9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107</v>
      </c>
      <c r="F1158" s="96" t="s">
        <v>106</v>
      </c>
      <c r="G1158" s="97">
        <v>46132</v>
      </c>
      <c r="H1158" s="98">
        <v>0.46449074074074076</v>
      </c>
      <c r="I1158" s="50">
        <v>166004664</v>
      </c>
      <c r="J1158" s="96" t="s">
        <v>157</v>
      </c>
      <c r="K1158" s="49" t="s">
        <v>1711</v>
      </c>
      <c r="L1158" s="39" t="s">
        <v>1712</v>
      </c>
      <c r="M1158" s="49" t="s">
        <v>1713</v>
      </c>
      <c r="N1158" s="39" t="s">
        <v>1475</v>
      </c>
      <c r="O1158" s="96" t="s">
        <v>1714</v>
      </c>
      <c r="P1158" s="49" t="s">
        <v>157</v>
      </c>
      <c r="Q1158" s="96" t="s">
        <v>104</v>
      </c>
      <c r="R1158" s="52">
        <v>24.9</v>
      </c>
      <c r="S1158" s="52">
        <f>R1158-T1158</f>
        <v>22.232142857142858</v>
      </c>
      <c r="T1158" s="52">
        <f>R1158*U1158/(U1158+100)</f>
        <v>2.6678571428571423</v>
      </c>
      <c r="U1158" s="50">
        <v>12</v>
      </c>
      <c r="V1158" s="53">
        <v>0</v>
      </c>
      <c r="W1158" s="147">
        <v>1</v>
      </c>
      <c r="X1158" s="148" t="s">
        <v>163</v>
      </c>
      <c r="Y1158" s="54">
        <f>R1158*W1158</f>
        <v>24.9</v>
      </c>
      <c r="Z1158" s="52">
        <f>S1158*W1158</f>
        <v>22.232142857142858</v>
      </c>
      <c r="AA1158" s="52">
        <f>T1158*W1158</f>
        <v>2.6678571428571423</v>
      </c>
      <c r="AB1158" s="52">
        <f>V1158*W1158</f>
        <v>0</v>
      </c>
      <c r="AC1158" s="53">
        <f>(R1158+V1158)*W1158</f>
        <v>24.9</v>
      </c>
      <c r="AD1158" s="138">
        <v>24.9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107</v>
      </c>
      <c r="F1159" s="96" t="s">
        <v>106</v>
      </c>
      <c r="G1159" s="97">
        <v>46132</v>
      </c>
      <c r="H1159" s="98">
        <v>0.46449074074074076</v>
      </c>
      <c r="I1159" s="50">
        <v>166004664</v>
      </c>
      <c r="J1159" s="96" t="s">
        <v>157</v>
      </c>
      <c r="K1159" s="49" t="s">
        <v>992</v>
      </c>
      <c r="L1159" s="39" t="s">
        <v>993</v>
      </c>
      <c r="M1159" s="49" t="s">
        <v>214</v>
      </c>
      <c r="N1159" s="39" t="s">
        <v>501</v>
      </c>
      <c r="O1159" s="96" t="s">
        <v>994</v>
      </c>
      <c r="P1159" s="49" t="s">
        <v>157</v>
      </c>
      <c r="Q1159" s="96" t="s">
        <v>104</v>
      </c>
      <c r="R1159" s="52">
        <v>6.9</v>
      </c>
      <c r="S1159" s="52">
        <f>R1159-T1159</f>
        <v>6.160714285714286</v>
      </c>
      <c r="T1159" s="52">
        <f>R1159*U1159/(U1159+100)</f>
        <v>0.7392857142857144</v>
      </c>
      <c r="U1159" s="50">
        <v>12</v>
      </c>
      <c r="V1159" s="53">
        <v>0</v>
      </c>
      <c r="W1159" s="147">
        <v>1</v>
      </c>
      <c r="X1159" s="148" t="s">
        <v>163</v>
      </c>
      <c r="Y1159" s="54">
        <f>R1159*W1159</f>
        <v>6.9</v>
      </c>
      <c r="Z1159" s="52">
        <f>S1159*W1159</f>
        <v>6.160714285714286</v>
      </c>
      <c r="AA1159" s="52">
        <f>T1159*W1159</f>
        <v>0.7392857142857144</v>
      </c>
      <c r="AB1159" s="52">
        <f>V1159*W1159</f>
        <v>0</v>
      </c>
      <c r="AC1159" s="53">
        <f>(R1159+V1159)*W1159</f>
        <v>6.9</v>
      </c>
      <c r="AD1159" s="138">
        <v>6.9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107</v>
      </c>
      <c r="F1160" s="96" t="s">
        <v>106</v>
      </c>
      <c r="G1160" s="97">
        <v>46132</v>
      </c>
      <c r="H1160" s="98">
        <v>0.46449074074074076</v>
      </c>
      <c r="I1160" s="50">
        <v>166004664</v>
      </c>
      <c r="J1160" s="96" t="s">
        <v>157</v>
      </c>
      <c r="K1160" s="49" t="s">
        <v>507</v>
      </c>
      <c r="L1160" s="39" t="s">
        <v>508</v>
      </c>
      <c r="M1160" s="49" t="s">
        <v>509</v>
      </c>
      <c r="N1160" s="39" t="s">
        <v>256</v>
      </c>
      <c r="O1160" s="96" t="s">
        <v>1024</v>
      </c>
      <c r="P1160" s="49" t="s">
        <v>235</v>
      </c>
      <c r="Q1160" s="96" t="s">
        <v>236</v>
      </c>
      <c r="R1160" s="52">
        <v>15.9</v>
      </c>
      <c r="S1160" s="52">
        <f>R1160-T1160</f>
        <v>13.140495867768596</v>
      </c>
      <c r="T1160" s="52">
        <f>R1160*U1160/(U1160+100)</f>
        <v>2.759504132231405</v>
      </c>
      <c r="U1160" s="50">
        <v>21</v>
      </c>
      <c r="V1160" s="53">
        <v>0</v>
      </c>
      <c r="W1160" s="147">
        <v>3</v>
      </c>
      <c r="X1160" s="148" t="s">
        <v>163</v>
      </c>
      <c r="Y1160" s="54">
        <f>R1160*W1160</f>
        <v>47.7</v>
      </c>
      <c r="Z1160" s="52">
        <f>S1160*W1160</f>
        <v>39.42148760330579</v>
      </c>
      <c r="AA1160" s="52">
        <f>T1160*W1160</f>
        <v>8.278512396694214</v>
      </c>
      <c r="AB1160" s="52">
        <f>V1160*W1160</f>
        <v>0</v>
      </c>
      <c r="AC1160" s="53">
        <f>(R1160+V1160)*W1160</f>
        <v>47.7</v>
      </c>
      <c r="AD1160" s="138">
        <v>15.9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107</v>
      </c>
      <c r="F1161" s="96" t="s">
        <v>106</v>
      </c>
      <c r="G1161" s="97">
        <v>46132</v>
      </c>
      <c r="H1161" s="98">
        <v>0.46449074074074076</v>
      </c>
      <c r="I1161" s="50">
        <v>166004664</v>
      </c>
      <c r="J1161" s="96" t="s">
        <v>157</v>
      </c>
      <c r="K1161" s="49" t="s">
        <v>1440</v>
      </c>
      <c r="L1161" s="39" t="s">
        <v>1441</v>
      </c>
      <c r="M1161" s="49" t="s">
        <v>190</v>
      </c>
      <c r="N1161" s="39" t="s">
        <v>191</v>
      </c>
      <c r="O1161" s="96" t="s">
        <v>1442</v>
      </c>
      <c r="P1161" s="49" t="s">
        <v>157</v>
      </c>
      <c r="Q1161" s="96" t="s">
        <v>104</v>
      </c>
      <c r="R1161" s="52">
        <v>8.9</v>
      </c>
      <c r="S1161" s="52">
        <f>R1161-T1161</f>
        <v>7.946428571428572</v>
      </c>
      <c r="T1161" s="52">
        <f>R1161*U1161/(U1161+100)</f>
        <v>0.9535714285714286</v>
      </c>
      <c r="U1161" s="50">
        <v>12</v>
      </c>
      <c r="V1161" s="53">
        <v>0</v>
      </c>
      <c r="W1161" s="147">
        <v>0.516</v>
      </c>
      <c r="X1161" s="148" t="s">
        <v>193</v>
      </c>
      <c r="Y1161" s="54">
        <f>R1161*W1161</f>
        <v>4.5924000000000005</v>
      </c>
      <c r="Z1161" s="52">
        <f>S1161*W1161</f>
        <v>4.100357142857144</v>
      </c>
      <c r="AA1161" s="52">
        <f>T1161*W1161</f>
        <v>0.49204285714285717</v>
      </c>
      <c r="AB1161" s="52">
        <f>V1161*W1161</f>
        <v>0</v>
      </c>
      <c r="AC1161" s="53">
        <f>(R1161+V1161)*W1161</f>
        <v>4.5924000000000005</v>
      </c>
      <c r="AD1161" s="138">
        <v>8.9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107</v>
      </c>
      <c r="F1162" s="96" t="s">
        <v>106</v>
      </c>
      <c r="G1162" s="97">
        <v>46132</v>
      </c>
      <c r="H1162" s="98">
        <v>0.46449074074074076</v>
      </c>
      <c r="I1162" s="50">
        <v>166004664</v>
      </c>
      <c r="J1162" s="96" t="s">
        <v>157</v>
      </c>
      <c r="K1162" s="49" t="s">
        <v>628</v>
      </c>
      <c r="L1162" s="39" t="s">
        <v>629</v>
      </c>
      <c r="M1162" s="49" t="s">
        <v>214</v>
      </c>
      <c r="N1162" s="39" t="s">
        <v>296</v>
      </c>
      <c r="O1162" s="96" t="s">
        <v>630</v>
      </c>
      <c r="P1162" s="49" t="s">
        <v>157</v>
      </c>
      <c r="Q1162" s="96" t="s">
        <v>104</v>
      </c>
      <c r="R1162" s="52">
        <v>9.9</v>
      </c>
      <c r="S1162" s="52">
        <f>R1162-T1162</f>
        <v>8.839285714285715</v>
      </c>
      <c r="T1162" s="52">
        <f>R1162*U1162/(U1162+100)</f>
        <v>1.0607142857142857</v>
      </c>
      <c r="U1162" s="50">
        <v>12</v>
      </c>
      <c r="V1162" s="53">
        <v>0</v>
      </c>
      <c r="W1162" s="147">
        <v>3</v>
      </c>
      <c r="X1162" s="148" t="s">
        <v>163</v>
      </c>
      <c r="Y1162" s="54">
        <f>R1162*W1162</f>
        <v>29.700000000000003</v>
      </c>
      <c r="Z1162" s="52">
        <f>S1162*W1162</f>
        <v>26.517857142857146</v>
      </c>
      <c r="AA1162" s="52">
        <f>T1162*W1162</f>
        <v>3.182142857142857</v>
      </c>
      <c r="AB1162" s="52">
        <f>V1162*W1162</f>
        <v>0</v>
      </c>
      <c r="AC1162" s="53">
        <f>(R1162+V1162)*W1162</f>
        <v>29.700000000000003</v>
      </c>
      <c r="AD1162" s="138">
        <v>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107</v>
      </c>
      <c r="F1163" s="96" t="s">
        <v>106</v>
      </c>
      <c r="G1163" s="97">
        <v>46132</v>
      </c>
      <c r="H1163" s="98">
        <v>0.4668981481481482</v>
      </c>
      <c r="I1163" s="50">
        <v>166004665</v>
      </c>
      <c r="J1163" s="96" t="s">
        <v>157</v>
      </c>
      <c r="K1163" s="49" t="s">
        <v>2228</v>
      </c>
      <c r="L1163" s="39" t="s">
        <v>2229</v>
      </c>
      <c r="M1163" s="49" t="s">
        <v>196</v>
      </c>
      <c r="N1163" s="39" t="s">
        <v>197</v>
      </c>
      <c r="O1163" s="96" t="s">
        <v>2230</v>
      </c>
      <c r="P1163" s="49" t="s">
        <v>157</v>
      </c>
      <c r="Q1163" s="96" t="s">
        <v>104</v>
      </c>
      <c r="R1163" s="52">
        <v>6.9</v>
      </c>
      <c r="S1163" s="52">
        <f>R1163-T1163</f>
        <v>6.160714285714286</v>
      </c>
      <c r="T1163" s="52">
        <f>R1163*U1163/(U1163+100)</f>
        <v>0.7392857142857144</v>
      </c>
      <c r="U1163" s="50">
        <v>12</v>
      </c>
      <c r="V1163" s="53">
        <v>0</v>
      </c>
      <c r="W1163" s="147">
        <v>1</v>
      </c>
      <c r="X1163" s="148" t="s">
        <v>163</v>
      </c>
      <c r="Y1163" s="54">
        <f>R1163*W1163</f>
        <v>6.9</v>
      </c>
      <c r="Z1163" s="52">
        <f>S1163*W1163</f>
        <v>6.160714285714286</v>
      </c>
      <c r="AA1163" s="52">
        <f>T1163*W1163</f>
        <v>0.7392857142857144</v>
      </c>
      <c r="AB1163" s="52">
        <f>V1163*W1163</f>
        <v>0</v>
      </c>
      <c r="AC1163" s="53">
        <f>(R1163+V1163)*W1163</f>
        <v>6.9</v>
      </c>
      <c r="AD1163" s="138">
        <v>6.9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107</v>
      </c>
      <c r="F1164" s="96" t="s">
        <v>106</v>
      </c>
      <c r="G1164" s="97">
        <v>46132</v>
      </c>
      <c r="H1164" s="98">
        <v>0.4668981481481482</v>
      </c>
      <c r="I1164" s="50">
        <v>166004665</v>
      </c>
      <c r="J1164" s="96" t="s">
        <v>157</v>
      </c>
      <c r="K1164" s="49" t="s">
        <v>1829</v>
      </c>
      <c r="L1164" s="39" t="s">
        <v>1830</v>
      </c>
      <c r="M1164" s="49" t="s">
        <v>196</v>
      </c>
      <c r="N1164" s="39" t="s">
        <v>197</v>
      </c>
      <c r="O1164" s="96" t="s">
        <v>1831</v>
      </c>
      <c r="P1164" s="49" t="s">
        <v>157</v>
      </c>
      <c r="Q1164" s="96" t="s">
        <v>104</v>
      </c>
      <c r="R1164" s="52">
        <v>7.4</v>
      </c>
      <c r="S1164" s="52">
        <f>R1164-T1164</f>
        <v>6.607142857142858</v>
      </c>
      <c r="T1164" s="52">
        <f>R1164*U1164/(U1164+100)</f>
        <v>0.7928571428571429</v>
      </c>
      <c r="U1164" s="50">
        <v>12</v>
      </c>
      <c r="V1164" s="53">
        <v>0</v>
      </c>
      <c r="W1164" s="147">
        <v>1</v>
      </c>
      <c r="X1164" s="148" t="s">
        <v>163</v>
      </c>
      <c r="Y1164" s="54">
        <f>R1164*W1164</f>
        <v>7.4</v>
      </c>
      <c r="Z1164" s="52">
        <f>S1164*W1164</f>
        <v>6.607142857142858</v>
      </c>
      <c r="AA1164" s="52">
        <f>T1164*W1164</f>
        <v>0.7928571428571429</v>
      </c>
      <c r="AB1164" s="52">
        <f>V1164*W1164</f>
        <v>0</v>
      </c>
      <c r="AC1164" s="53">
        <f>(R1164+V1164)*W1164</f>
        <v>7.4</v>
      </c>
      <c r="AD1164" s="138">
        <v>7.4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107</v>
      </c>
      <c r="F1165" s="96" t="s">
        <v>106</v>
      </c>
      <c r="G1165" s="97">
        <v>46132</v>
      </c>
      <c r="H1165" s="98">
        <v>0.4668981481481482</v>
      </c>
      <c r="I1165" s="50">
        <v>166004665</v>
      </c>
      <c r="J1165" s="96" t="s">
        <v>157</v>
      </c>
      <c r="K1165" s="49" t="s">
        <v>1664</v>
      </c>
      <c r="L1165" s="39" t="s">
        <v>1665</v>
      </c>
      <c r="M1165" s="49" t="s">
        <v>893</v>
      </c>
      <c r="N1165" s="39" t="s">
        <v>291</v>
      </c>
      <c r="O1165" s="96" t="s">
        <v>1666</v>
      </c>
      <c r="P1165" s="49" t="s">
        <v>157</v>
      </c>
      <c r="Q1165" s="96" t="s">
        <v>104</v>
      </c>
      <c r="R1165" s="52">
        <v>24.9</v>
      </c>
      <c r="S1165" s="52">
        <f>R1165-T1165</f>
        <v>22.232142857142858</v>
      </c>
      <c r="T1165" s="52">
        <f>R1165*U1165/(U1165+100)</f>
        <v>2.6678571428571423</v>
      </c>
      <c r="U1165" s="50">
        <v>12</v>
      </c>
      <c r="V1165" s="53">
        <v>0</v>
      </c>
      <c r="W1165" s="147">
        <v>1</v>
      </c>
      <c r="X1165" s="148" t="s">
        <v>163</v>
      </c>
      <c r="Y1165" s="54">
        <f>R1165*W1165</f>
        <v>24.9</v>
      </c>
      <c r="Z1165" s="52">
        <f>S1165*W1165</f>
        <v>22.232142857142858</v>
      </c>
      <c r="AA1165" s="52">
        <f>T1165*W1165</f>
        <v>2.6678571428571423</v>
      </c>
      <c r="AB1165" s="52">
        <f>V1165*W1165</f>
        <v>0</v>
      </c>
      <c r="AC1165" s="53">
        <f>(R1165+V1165)*W1165</f>
        <v>24.9</v>
      </c>
      <c r="AD1165" s="138">
        <v>24.9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107</v>
      </c>
      <c r="F1166" s="96" t="s">
        <v>106</v>
      </c>
      <c r="G1166" s="97">
        <v>46132</v>
      </c>
      <c r="H1166" s="98">
        <v>0.4668981481481482</v>
      </c>
      <c r="I1166" s="50">
        <v>166004665</v>
      </c>
      <c r="J1166" s="96" t="s">
        <v>157</v>
      </c>
      <c r="K1166" s="49" t="s">
        <v>680</v>
      </c>
      <c r="L1166" s="39" t="s">
        <v>681</v>
      </c>
      <c r="M1166" s="49" t="s">
        <v>190</v>
      </c>
      <c r="N1166" s="39" t="s">
        <v>532</v>
      </c>
      <c r="O1166" s="96" t="s">
        <v>682</v>
      </c>
      <c r="P1166" s="49" t="s">
        <v>157</v>
      </c>
      <c r="Q1166" s="96" t="s">
        <v>104</v>
      </c>
      <c r="R1166" s="52">
        <v>24.9</v>
      </c>
      <c r="S1166" s="52">
        <f>R1166-T1166</f>
        <v>22.232142857142858</v>
      </c>
      <c r="T1166" s="52">
        <f>R1166*U1166/(U1166+100)</f>
        <v>2.6678571428571423</v>
      </c>
      <c r="U1166" s="50">
        <v>12</v>
      </c>
      <c r="V1166" s="53">
        <v>0</v>
      </c>
      <c r="W1166" s="147">
        <v>0.232</v>
      </c>
      <c r="X1166" s="148" t="s">
        <v>193</v>
      </c>
      <c r="Y1166" s="54">
        <f>R1166*W1166</f>
        <v>5.7768</v>
      </c>
      <c r="Z1166" s="52">
        <f>S1166*W1166</f>
        <v>5.157857142857143</v>
      </c>
      <c r="AA1166" s="52">
        <f>T1166*W1166</f>
        <v>0.618942857142857</v>
      </c>
      <c r="AB1166" s="52">
        <f>V1166*W1166</f>
        <v>0</v>
      </c>
      <c r="AC1166" s="53">
        <f>(R1166+V1166)*W1166</f>
        <v>5.7768</v>
      </c>
      <c r="AD1166" s="138">
        <v>24.9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107</v>
      </c>
      <c r="F1167" s="96" t="s">
        <v>106</v>
      </c>
      <c r="G1167" s="97">
        <v>46132</v>
      </c>
      <c r="H1167" s="98">
        <v>0.4668981481481482</v>
      </c>
      <c r="I1167" s="50">
        <v>166004665</v>
      </c>
      <c r="J1167" s="96" t="s">
        <v>157</v>
      </c>
      <c r="K1167" s="49" t="s">
        <v>293</v>
      </c>
      <c r="L1167" s="39" t="s">
        <v>294</v>
      </c>
      <c r="M1167" s="49" t="s">
        <v>295</v>
      </c>
      <c r="N1167" s="39" t="s">
        <v>296</v>
      </c>
      <c r="O1167" s="96" t="s">
        <v>297</v>
      </c>
      <c r="P1167" s="49" t="s">
        <v>157</v>
      </c>
      <c r="Q1167" s="96" t="s">
        <v>104</v>
      </c>
      <c r="R1167" s="52">
        <v>2.9</v>
      </c>
      <c r="S1167" s="52">
        <f>R1167-T1167</f>
        <v>2.5892857142857144</v>
      </c>
      <c r="T1167" s="52">
        <f>R1167*U1167/(U1167+100)</f>
        <v>0.31071428571428567</v>
      </c>
      <c r="U1167" s="50">
        <v>12</v>
      </c>
      <c r="V1167" s="53">
        <v>0</v>
      </c>
      <c r="W1167" s="147">
        <v>2</v>
      </c>
      <c r="X1167" s="148" t="s">
        <v>163</v>
      </c>
      <c r="Y1167" s="54">
        <f>R1167*W1167</f>
        <v>5.8</v>
      </c>
      <c r="Z1167" s="52">
        <f>S1167*W1167</f>
        <v>5.178571428571429</v>
      </c>
      <c r="AA1167" s="52">
        <f>T1167*W1167</f>
        <v>0.6214285714285713</v>
      </c>
      <c r="AB1167" s="52">
        <f>V1167*W1167</f>
        <v>0</v>
      </c>
      <c r="AC1167" s="53">
        <f>(R1167+V1167)*W1167</f>
        <v>5.8</v>
      </c>
      <c r="AD1167" s="138">
        <v>2.9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107</v>
      </c>
      <c r="F1168" s="96" t="s">
        <v>106</v>
      </c>
      <c r="G1168" s="97">
        <v>46132</v>
      </c>
      <c r="H1168" s="98">
        <v>0.4675925925925926</v>
      </c>
      <c r="I1168" s="50">
        <v>166004666</v>
      </c>
      <c r="J1168" s="96" t="s">
        <v>157</v>
      </c>
      <c r="K1168" s="49" t="s">
        <v>1031</v>
      </c>
      <c r="L1168" s="39" t="s">
        <v>1032</v>
      </c>
      <c r="M1168" s="49" t="s">
        <v>166</v>
      </c>
      <c r="N1168" s="39" t="s">
        <v>220</v>
      </c>
      <c r="O1168" s="96" t="s">
        <v>1033</v>
      </c>
      <c r="P1168" s="49" t="s">
        <v>157</v>
      </c>
      <c r="Q1168" s="96" t="s">
        <v>104</v>
      </c>
      <c r="R1168" s="52">
        <v>49.9</v>
      </c>
      <c r="S1168" s="52">
        <f>R1168-T1168</f>
        <v>41.239669421487605</v>
      </c>
      <c r="T1168" s="52">
        <f>R1168*U1168/(U1168+100)</f>
        <v>8.660330578512395</v>
      </c>
      <c r="U1168" s="50">
        <v>21</v>
      </c>
      <c r="V1168" s="53">
        <v>0</v>
      </c>
      <c r="W1168" s="147">
        <v>1</v>
      </c>
      <c r="X1168" s="148" t="s">
        <v>163</v>
      </c>
      <c r="Y1168" s="54">
        <f>R1168*W1168</f>
        <v>49.9</v>
      </c>
      <c r="Z1168" s="52">
        <f>S1168*W1168</f>
        <v>41.239669421487605</v>
      </c>
      <c r="AA1168" s="52">
        <f>T1168*W1168</f>
        <v>8.660330578512395</v>
      </c>
      <c r="AB1168" s="52">
        <f>V1168*W1168</f>
        <v>0</v>
      </c>
      <c r="AC1168" s="53">
        <f>(R1168+V1168)*W1168</f>
        <v>49.9</v>
      </c>
      <c r="AD1168" s="138">
        <v>49.9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107</v>
      </c>
      <c r="F1169" s="96" t="s">
        <v>106</v>
      </c>
      <c r="G1169" s="97">
        <v>46132</v>
      </c>
      <c r="H1169" s="98">
        <v>0.4687037037037037</v>
      </c>
      <c r="I1169" s="50">
        <v>166004667</v>
      </c>
      <c r="J1169" s="96" t="s">
        <v>157</v>
      </c>
      <c r="K1169" s="49" t="s">
        <v>2231</v>
      </c>
      <c r="L1169" s="39" t="s">
        <v>2232</v>
      </c>
      <c r="M1169" s="49" t="s">
        <v>881</v>
      </c>
      <c r="N1169" s="39" t="s">
        <v>924</v>
      </c>
      <c r="O1169" s="96" t="s">
        <v>2233</v>
      </c>
      <c r="P1169" s="49" t="s">
        <v>157</v>
      </c>
      <c r="Q1169" s="96" t="s">
        <v>104</v>
      </c>
      <c r="R1169" s="52">
        <v>39.9</v>
      </c>
      <c r="S1169" s="52">
        <f>R1169-T1169</f>
        <v>35.625</v>
      </c>
      <c r="T1169" s="52">
        <f>R1169*U1169/(U1169+100)</f>
        <v>4.2749999999999995</v>
      </c>
      <c r="U1169" s="50">
        <v>12</v>
      </c>
      <c r="V1169" s="53">
        <v>0</v>
      </c>
      <c r="W1169" s="147">
        <v>1</v>
      </c>
      <c r="X1169" s="148" t="s">
        <v>163</v>
      </c>
      <c r="Y1169" s="54">
        <f>R1169*W1169</f>
        <v>39.9</v>
      </c>
      <c r="Z1169" s="52">
        <f>S1169*W1169</f>
        <v>35.625</v>
      </c>
      <c r="AA1169" s="52">
        <f>T1169*W1169</f>
        <v>4.2749999999999995</v>
      </c>
      <c r="AB1169" s="52">
        <f>V1169*W1169</f>
        <v>0</v>
      </c>
      <c r="AC1169" s="53">
        <f>(R1169+V1169)*W1169</f>
        <v>39.9</v>
      </c>
      <c r="AD1169" s="138">
        <v>39.9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107</v>
      </c>
      <c r="F1170" s="96" t="s">
        <v>106</v>
      </c>
      <c r="G1170" s="97">
        <v>46132</v>
      </c>
      <c r="H1170" s="98">
        <v>0.4687037037037037</v>
      </c>
      <c r="I1170" s="50">
        <v>166004667</v>
      </c>
      <c r="J1170" s="96" t="s">
        <v>157</v>
      </c>
      <c r="K1170" s="49" t="s">
        <v>2234</v>
      </c>
      <c r="L1170" s="39" t="s">
        <v>2235</v>
      </c>
      <c r="M1170" s="49" t="s">
        <v>185</v>
      </c>
      <c r="N1170" s="39" t="s">
        <v>2236</v>
      </c>
      <c r="O1170" s="96" t="s">
        <v>2237</v>
      </c>
      <c r="P1170" s="49" t="s">
        <v>157</v>
      </c>
      <c r="Q1170" s="96" t="s">
        <v>104</v>
      </c>
      <c r="R1170" s="52">
        <v>14.9</v>
      </c>
      <c r="S1170" s="52">
        <f>R1170-T1170</f>
        <v>13.303571428571429</v>
      </c>
      <c r="T1170" s="52">
        <f>R1170*U1170/(U1170+100)</f>
        <v>1.5964285714285715</v>
      </c>
      <c r="U1170" s="50">
        <v>12</v>
      </c>
      <c r="V1170" s="53">
        <v>0</v>
      </c>
      <c r="W1170" s="147">
        <v>1</v>
      </c>
      <c r="X1170" s="148" t="s">
        <v>163</v>
      </c>
      <c r="Y1170" s="54">
        <f>R1170*W1170</f>
        <v>14.9</v>
      </c>
      <c r="Z1170" s="52">
        <f>S1170*W1170</f>
        <v>13.303571428571429</v>
      </c>
      <c r="AA1170" s="52">
        <f>T1170*W1170</f>
        <v>1.5964285714285715</v>
      </c>
      <c r="AB1170" s="52">
        <f>V1170*W1170</f>
        <v>0</v>
      </c>
      <c r="AC1170" s="53">
        <f>(R1170+V1170)*W1170</f>
        <v>14.9</v>
      </c>
      <c r="AD1170" s="138">
        <v>14.9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107</v>
      </c>
      <c r="F1171" s="96" t="s">
        <v>106</v>
      </c>
      <c r="G1171" s="97">
        <v>46132</v>
      </c>
      <c r="H1171" s="98">
        <v>0.4687037037037037</v>
      </c>
      <c r="I1171" s="50">
        <v>166004667</v>
      </c>
      <c r="J1171" s="96" t="s">
        <v>157</v>
      </c>
      <c r="K1171" s="49" t="s">
        <v>2234</v>
      </c>
      <c r="L1171" s="39" t="s">
        <v>2235</v>
      </c>
      <c r="M1171" s="49" t="s">
        <v>185</v>
      </c>
      <c r="N1171" s="39" t="s">
        <v>2236</v>
      </c>
      <c r="O1171" s="96" t="s">
        <v>2237</v>
      </c>
      <c r="P1171" s="49" t="s">
        <v>157</v>
      </c>
      <c r="Q1171" s="96" t="s">
        <v>104</v>
      </c>
      <c r="R1171" s="52">
        <v>14.9</v>
      </c>
      <c r="S1171" s="52">
        <f>R1171-T1171</f>
        <v>13.303571428571429</v>
      </c>
      <c r="T1171" s="52">
        <f>R1171*U1171/(U1171+100)</f>
        <v>1.5964285714285715</v>
      </c>
      <c r="U1171" s="50">
        <v>12</v>
      </c>
      <c r="V1171" s="53">
        <v>0</v>
      </c>
      <c r="W1171" s="147">
        <v>1</v>
      </c>
      <c r="X1171" s="148" t="s">
        <v>163</v>
      </c>
      <c r="Y1171" s="54">
        <f>R1171*W1171</f>
        <v>14.9</v>
      </c>
      <c r="Z1171" s="52">
        <f>S1171*W1171</f>
        <v>13.303571428571429</v>
      </c>
      <c r="AA1171" s="52">
        <f>T1171*W1171</f>
        <v>1.5964285714285715</v>
      </c>
      <c r="AB1171" s="52">
        <f>V1171*W1171</f>
        <v>0</v>
      </c>
      <c r="AC1171" s="53">
        <f>(R1171+V1171)*W1171</f>
        <v>14.9</v>
      </c>
      <c r="AD1171" s="138">
        <v>14.9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107</v>
      </c>
      <c r="F1172" s="96" t="s">
        <v>106</v>
      </c>
      <c r="G1172" s="97">
        <v>46132</v>
      </c>
      <c r="H1172" s="98">
        <v>0.4687037037037037</v>
      </c>
      <c r="I1172" s="50">
        <v>166004667</v>
      </c>
      <c r="J1172" s="96" t="s">
        <v>157</v>
      </c>
      <c r="K1172" s="49" t="s">
        <v>1356</v>
      </c>
      <c r="L1172" s="39" t="s">
        <v>1357</v>
      </c>
      <c r="M1172" s="49" t="s">
        <v>466</v>
      </c>
      <c r="N1172" s="39" t="s">
        <v>609</v>
      </c>
      <c r="O1172" s="96" t="s">
        <v>1358</v>
      </c>
      <c r="P1172" s="49" t="s">
        <v>235</v>
      </c>
      <c r="Q1172" s="96" t="s">
        <v>236</v>
      </c>
      <c r="R1172" s="52">
        <v>7.9</v>
      </c>
      <c r="S1172" s="52">
        <f>R1172-T1172</f>
        <v>7.053571428571429</v>
      </c>
      <c r="T1172" s="52">
        <f>R1172*U1172/(U1172+100)</f>
        <v>0.8464285714285715</v>
      </c>
      <c r="U1172" s="50">
        <v>12</v>
      </c>
      <c r="V1172" s="53">
        <v>0</v>
      </c>
      <c r="W1172" s="147">
        <v>1</v>
      </c>
      <c r="X1172" s="148" t="s">
        <v>163</v>
      </c>
      <c r="Y1172" s="54">
        <f>R1172*W1172</f>
        <v>7.9</v>
      </c>
      <c r="Z1172" s="52">
        <f>S1172*W1172</f>
        <v>7.053571428571429</v>
      </c>
      <c r="AA1172" s="52">
        <f>T1172*W1172</f>
        <v>0.8464285714285715</v>
      </c>
      <c r="AB1172" s="52">
        <f>V1172*W1172</f>
        <v>0</v>
      </c>
      <c r="AC1172" s="53">
        <f>(R1172+V1172)*W1172</f>
        <v>7.9</v>
      </c>
      <c r="AD1172" s="138">
        <v>7.9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107</v>
      </c>
      <c r="F1173" s="96" t="s">
        <v>106</v>
      </c>
      <c r="G1173" s="97">
        <v>46132</v>
      </c>
      <c r="H1173" s="98">
        <v>0.4687037037037037</v>
      </c>
      <c r="I1173" s="50">
        <v>166004667</v>
      </c>
      <c r="J1173" s="96" t="s">
        <v>157</v>
      </c>
      <c r="K1173" s="49" t="s">
        <v>1356</v>
      </c>
      <c r="L1173" s="39" t="s">
        <v>1357</v>
      </c>
      <c r="M1173" s="49" t="s">
        <v>466</v>
      </c>
      <c r="N1173" s="39" t="s">
        <v>609</v>
      </c>
      <c r="O1173" s="96" t="s">
        <v>1358</v>
      </c>
      <c r="P1173" s="49" t="s">
        <v>235</v>
      </c>
      <c r="Q1173" s="96" t="s">
        <v>236</v>
      </c>
      <c r="R1173" s="52">
        <v>7.9</v>
      </c>
      <c r="S1173" s="52">
        <f>R1173-T1173</f>
        <v>7.053571428571429</v>
      </c>
      <c r="T1173" s="52">
        <f>R1173*U1173/(U1173+100)</f>
        <v>0.8464285714285715</v>
      </c>
      <c r="U1173" s="50">
        <v>12</v>
      </c>
      <c r="V1173" s="53">
        <v>0</v>
      </c>
      <c r="W1173" s="147">
        <v>1</v>
      </c>
      <c r="X1173" s="148" t="s">
        <v>163</v>
      </c>
      <c r="Y1173" s="54">
        <f>R1173*W1173</f>
        <v>7.9</v>
      </c>
      <c r="Z1173" s="52">
        <f>S1173*W1173</f>
        <v>7.053571428571429</v>
      </c>
      <c r="AA1173" s="52">
        <f>T1173*W1173</f>
        <v>0.8464285714285715</v>
      </c>
      <c r="AB1173" s="52">
        <f>V1173*W1173</f>
        <v>0</v>
      </c>
      <c r="AC1173" s="53">
        <f>(R1173+V1173)*W1173</f>
        <v>7.9</v>
      </c>
      <c r="AD1173" s="138">
        <v>7.9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107</v>
      </c>
      <c r="F1174" s="96" t="s">
        <v>106</v>
      </c>
      <c r="G1174" s="97">
        <v>46132</v>
      </c>
      <c r="H1174" s="98">
        <v>0.4687037037037037</v>
      </c>
      <c r="I1174" s="50">
        <v>166004667</v>
      </c>
      <c r="J1174" s="96" t="s">
        <v>157</v>
      </c>
      <c r="K1174" s="49" t="s">
        <v>2238</v>
      </c>
      <c r="L1174" s="39" t="s">
        <v>2239</v>
      </c>
      <c r="M1174" s="49" t="s">
        <v>547</v>
      </c>
      <c r="N1174" s="39" t="s">
        <v>1785</v>
      </c>
      <c r="O1174" s="96" t="s">
        <v>2240</v>
      </c>
      <c r="P1174" s="49" t="s">
        <v>157</v>
      </c>
      <c r="Q1174" s="96" t="s">
        <v>104</v>
      </c>
      <c r="R1174" s="52">
        <v>35.9</v>
      </c>
      <c r="S1174" s="52">
        <f>R1174-T1174</f>
        <v>32.05357142857143</v>
      </c>
      <c r="T1174" s="52">
        <f>R1174*U1174/(U1174+100)</f>
        <v>3.846428571428571</v>
      </c>
      <c r="U1174" s="50">
        <v>12</v>
      </c>
      <c r="V1174" s="53">
        <v>0</v>
      </c>
      <c r="W1174" s="147">
        <v>1</v>
      </c>
      <c r="X1174" s="148" t="s">
        <v>163</v>
      </c>
      <c r="Y1174" s="54">
        <f>R1174*W1174</f>
        <v>35.9</v>
      </c>
      <c r="Z1174" s="52">
        <f>S1174*W1174</f>
        <v>32.05357142857143</v>
      </c>
      <c r="AA1174" s="52">
        <f>T1174*W1174</f>
        <v>3.846428571428571</v>
      </c>
      <c r="AB1174" s="52">
        <f>V1174*W1174</f>
        <v>0</v>
      </c>
      <c r="AC1174" s="53">
        <f>(R1174+V1174)*W1174</f>
        <v>35.9</v>
      </c>
      <c r="AD1174" s="138">
        <v>35.9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107</v>
      </c>
      <c r="F1175" s="96" t="s">
        <v>106</v>
      </c>
      <c r="G1175" s="97">
        <v>46132</v>
      </c>
      <c r="H1175" s="98">
        <v>0.4687037037037037</v>
      </c>
      <c r="I1175" s="50">
        <v>166004667</v>
      </c>
      <c r="J1175" s="96" t="s">
        <v>157</v>
      </c>
      <c r="K1175" s="49" t="s">
        <v>2241</v>
      </c>
      <c r="L1175" s="39" t="s">
        <v>2242</v>
      </c>
      <c r="M1175" s="49" t="s">
        <v>1067</v>
      </c>
      <c r="N1175" s="39" t="s">
        <v>1068</v>
      </c>
      <c r="O1175" s="96" t="s">
        <v>2243</v>
      </c>
      <c r="P1175" s="49" t="s">
        <v>157</v>
      </c>
      <c r="Q1175" s="96" t="s">
        <v>104</v>
      </c>
      <c r="R1175" s="52">
        <v>45.9</v>
      </c>
      <c r="S1175" s="52">
        <f>R1175-T1175</f>
        <v>40.982142857142854</v>
      </c>
      <c r="T1175" s="52">
        <f>R1175*U1175/(U1175+100)</f>
        <v>4.917857142857143</v>
      </c>
      <c r="U1175" s="50">
        <v>12</v>
      </c>
      <c r="V1175" s="53">
        <v>0</v>
      </c>
      <c r="W1175" s="147">
        <v>1</v>
      </c>
      <c r="X1175" s="148" t="s">
        <v>163</v>
      </c>
      <c r="Y1175" s="54">
        <f>R1175*W1175</f>
        <v>45.9</v>
      </c>
      <c r="Z1175" s="52">
        <f>S1175*W1175</f>
        <v>40.982142857142854</v>
      </c>
      <c r="AA1175" s="52">
        <f>T1175*W1175</f>
        <v>4.917857142857143</v>
      </c>
      <c r="AB1175" s="52">
        <f>V1175*W1175</f>
        <v>0</v>
      </c>
      <c r="AC1175" s="53">
        <f>(R1175+V1175)*W1175</f>
        <v>45.9</v>
      </c>
      <c r="AD1175" s="138">
        <v>45.9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107</v>
      </c>
      <c r="F1176" s="96" t="s">
        <v>106</v>
      </c>
      <c r="G1176" s="97">
        <v>46132</v>
      </c>
      <c r="H1176" s="98">
        <v>0.4687037037037037</v>
      </c>
      <c r="I1176" s="50">
        <v>166004667</v>
      </c>
      <c r="J1176" s="96" t="s">
        <v>157</v>
      </c>
      <c r="K1176" s="49" t="s">
        <v>2244</v>
      </c>
      <c r="L1176" s="39" t="s">
        <v>2245</v>
      </c>
      <c r="M1176" s="49" t="s">
        <v>1339</v>
      </c>
      <c r="N1176" s="39" t="s">
        <v>2246</v>
      </c>
      <c r="O1176" s="96" t="s">
        <v>2247</v>
      </c>
      <c r="P1176" s="49" t="s">
        <v>157</v>
      </c>
      <c r="Q1176" s="96" t="s">
        <v>104</v>
      </c>
      <c r="R1176" s="52">
        <v>49.9</v>
      </c>
      <c r="S1176" s="52">
        <f>R1176-T1176</f>
        <v>44.55357142857143</v>
      </c>
      <c r="T1176" s="52">
        <f>R1176*U1176/(U1176+100)</f>
        <v>5.346428571428571</v>
      </c>
      <c r="U1176" s="50">
        <v>12</v>
      </c>
      <c r="V1176" s="53">
        <v>0</v>
      </c>
      <c r="W1176" s="147">
        <v>1</v>
      </c>
      <c r="X1176" s="148" t="s">
        <v>163</v>
      </c>
      <c r="Y1176" s="54">
        <f>R1176*W1176</f>
        <v>49.9</v>
      </c>
      <c r="Z1176" s="52">
        <f>S1176*W1176</f>
        <v>44.55357142857143</v>
      </c>
      <c r="AA1176" s="52">
        <f>T1176*W1176</f>
        <v>5.346428571428571</v>
      </c>
      <c r="AB1176" s="52">
        <f>V1176*W1176</f>
        <v>0</v>
      </c>
      <c r="AC1176" s="53">
        <f>(R1176+V1176)*W1176</f>
        <v>49.9</v>
      </c>
      <c r="AD1176" s="138">
        <v>49.9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107</v>
      </c>
      <c r="F1177" s="96" t="s">
        <v>106</v>
      </c>
      <c r="G1177" s="97">
        <v>46132</v>
      </c>
      <c r="H1177" s="98">
        <v>0.4687037037037037</v>
      </c>
      <c r="I1177" s="50">
        <v>166004667</v>
      </c>
      <c r="J1177" s="96" t="s">
        <v>157</v>
      </c>
      <c r="K1177" s="49" t="s">
        <v>2244</v>
      </c>
      <c r="L1177" s="39" t="s">
        <v>2245</v>
      </c>
      <c r="M1177" s="49" t="s">
        <v>1339</v>
      </c>
      <c r="N1177" s="39" t="s">
        <v>2246</v>
      </c>
      <c r="O1177" s="96" t="s">
        <v>2247</v>
      </c>
      <c r="P1177" s="49" t="s">
        <v>157</v>
      </c>
      <c r="Q1177" s="96" t="s">
        <v>104</v>
      </c>
      <c r="R1177" s="52">
        <v>49.9</v>
      </c>
      <c r="S1177" s="52">
        <f>R1177-T1177</f>
        <v>44.55357142857143</v>
      </c>
      <c r="T1177" s="52">
        <f>R1177*U1177/(U1177+100)</f>
        <v>5.346428571428571</v>
      </c>
      <c r="U1177" s="50">
        <v>12</v>
      </c>
      <c r="V1177" s="53">
        <v>0</v>
      </c>
      <c r="W1177" s="147">
        <v>1</v>
      </c>
      <c r="X1177" s="148" t="s">
        <v>163</v>
      </c>
      <c r="Y1177" s="54">
        <f>R1177*W1177</f>
        <v>49.9</v>
      </c>
      <c r="Z1177" s="52">
        <f>S1177*W1177</f>
        <v>44.55357142857143</v>
      </c>
      <c r="AA1177" s="52">
        <f>T1177*W1177</f>
        <v>5.346428571428571</v>
      </c>
      <c r="AB1177" s="52">
        <f>V1177*W1177</f>
        <v>0</v>
      </c>
      <c r="AC1177" s="53">
        <f>(R1177+V1177)*W1177</f>
        <v>49.9</v>
      </c>
      <c r="AD1177" s="138">
        <v>49.9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107</v>
      </c>
      <c r="F1178" s="96" t="s">
        <v>106</v>
      </c>
      <c r="G1178" s="97">
        <v>46132</v>
      </c>
      <c r="H1178" s="98">
        <v>0.4687037037037037</v>
      </c>
      <c r="I1178" s="50">
        <v>166004667</v>
      </c>
      <c r="J1178" s="96" t="s">
        <v>157</v>
      </c>
      <c r="K1178" s="49" t="s">
        <v>2248</v>
      </c>
      <c r="L1178" s="39" t="s">
        <v>2249</v>
      </c>
      <c r="M1178" s="49" t="s">
        <v>620</v>
      </c>
      <c r="N1178" s="39" t="s">
        <v>731</v>
      </c>
      <c r="O1178" s="96" t="s">
        <v>2250</v>
      </c>
      <c r="P1178" s="49" t="s">
        <v>157</v>
      </c>
      <c r="Q1178" s="96" t="s">
        <v>104</v>
      </c>
      <c r="R1178" s="52">
        <v>39.9</v>
      </c>
      <c r="S1178" s="52">
        <f>R1178-T1178</f>
        <v>32.97520661157024</v>
      </c>
      <c r="T1178" s="52">
        <f>R1178*U1178/(U1178+100)</f>
        <v>6.924793388429752</v>
      </c>
      <c r="U1178" s="50">
        <v>21</v>
      </c>
      <c r="V1178" s="53">
        <v>0</v>
      </c>
      <c r="W1178" s="147">
        <v>4</v>
      </c>
      <c r="X1178" s="148" t="s">
        <v>163</v>
      </c>
      <c r="Y1178" s="54">
        <f>R1178*W1178</f>
        <v>159.6</v>
      </c>
      <c r="Z1178" s="52">
        <f>S1178*W1178</f>
        <v>131.90082644628097</v>
      </c>
      <c r="AA1178" s="52">
        <f>T1178*W1178</f>
        <v>27.699173553719007</v>
      </c>
      <c r="AB1178" s="52">
        <f>V1178*W1178</f>
        <v>0</v>
      </c>
      <c r="AC1178" s="53">
        <f>(R1178+V1178)*W1178</f>
        <v>159.6</v>
      </c>
      <c r="AD1178" s="138">
        <v>39.9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107</v>
      </c>
      <c r="F1179" s="96" t="s">
        <v>106</v>
      </c>
      <c r="G1179" s="97">
        <v>46132</v>
      </c>
      <c r="H1179" s="98">
        <v>0.4687037037037037</v>
      </c>
      <c r="I1179" s="50">
        <v>166004667</v>
      </c>
      <c r="J1179" s="96" t="s">
        <v>157</v>
      </c>
      <c r="K1179" s="49" t="s">
        <v>2251</v>
      </c>
      <c r="L1179" s="39" t="s">
        <v>2252</v>
      </c>
      <c r="M1179" s="49" t="s">
        <v>2253</v>
      </c>
      <c r="N1179" s="39" t="s">
        <v>2254</v>
      </c>
      <c r="O1179" s="96" t="s">
        <v>2255</v>
      </c>
      <c r="P1179" s="49" t="s">
        <v>157</v>
      </c>
      <c r="Q1179" s="96" t="s">
        <v>104</v>
      </c>
      <c r="R1179" s="52">
        <v>8.4</v>
      </c>
      <c r="S1179" s="52">
        <f>R1179-T1179</f>
        <v>6.9421487603305785</v>
      </c>
      <c r="T1179" s="52">
        <f>R1179*U1179/(U1179+100)</f>
        <v>1.4578512396694214</v>
      </c>
      <c r="U1179" s="50">
        <v>21</v>
      </c>
      <c r="V1179" s="53">
        <v>0</v>
      </c>
      <c r="W1179" s="147">
        <v>1</v>
      </c>
      <c r="X1179" s="148" t="s">
        <v>163</v>
      </c>
      <c r="Y1179" s="54">
        <f>R1179*W1179</f>
        <v>8.4</v>
      </c>
      <c r="Z1179" s="52">
        <f>S1179*W1179</f>
        <v>6.9421487603305785</v>
      </c>
      <c r="AA1179" s="52">
        <f>T1179*W1179</f>
        <v>1.4578512396694214</v>
      </c>
      <c r="AB1179" s="52">
        <f>V1179*W1179</f>
        <v>0</v>
      </c>
      <c r="AC1179" s="53">
        <f>(R1179+V1179)*W1179</f>
        <v>8.4</v>
      </c>
      <c r="AD1179" s="138">
        <v>8.4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107</v>
      </c>
      <c r="F1180" s="96" t="s">
        <v>106</v>
      </c>
      <c r="G1180" s="97">
        <v>46132</v>
      </c>
      <c r="H1180" s="98">
        <v>0.4687037037037037</v>
      </c>
      <c r="I1180" s="50">
        <v>166004667</v>
      </c>
      <c r="J1180" s="96" t="s">
        <v>157</v>
      </c>
      <c r="K1180" s="49" t="s">
        <v>2256</v>
      </c>
      <c r="L1180" s="39" t="s">
        <v>2257</v>
      </c>
      <c r="M1180" s="49" t="s">
        <v>862</v>
      </c>
      <c r="N1180" s="39" t="s">
        <v>863</v>
      </c>
      <c r="O1180" s="96" t="s">
        <v>2258</v>
      </c>
      <c r="P1180" s="49" t="s">
        <v>157</v>
      </c>
      <c r="Q1180" s="96" t="s">
        <v>104</v>
      </c>
      <c r="R1180" s="52">
        <v>161</v>
      </c>
      <c r="S1180" s="52">
        <f>R1180-T1180</f>
        <v>133.05785123966942</v>
      </c>
      <c r="T1180" s="52">
        <f>R1180*U1180/(U1180+100)</f>
        <v>27.94214876033058</v>
      </c>
      <c r="U1180" s="50">
        <v>21</v>
      </c>
      <c r="V1180" s="53">
        <v>0</v>
      </c>
      <c r="W1180" s="147">
        <v>1</v>
      </c>
      <c r="X1180" s="148" t="s">
        <v>163</v>
      </c>
      <c r="Y1180" s="54">
        <f>R1180*W1180</f>
        <v>161</v>
      </c>
      <c r="Z1180" s="52">
        <f>S1180*W1180</f>
        <v>133.05785123966942</v>
      </c>
      <c r="AA1180" s="52">
        <f>T1180*W1180</f>
        <v>27.94214876033058</v>
      </c>
      <c r="AB1180" s="52">
        <f>V1180*W1180</f>
        <v>0</v>
      </c>
      <c r="AC1180" s="53">
        <f>(R1180+V1180)*W1180</f>
        <v>161</v>
      </c>
      <c r="AD1180" s="138">
        <v>161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107</v>
      </c>
      <c r="F1181" s="96" t="s">
        <v>106</v>
      </c>
      <c r="G1181" s="97">
        <v>46132</v>
      </c>
      <c r="H1181" s="98">
        <v>0.4687037037037037</v>
      </c>
      <c r="I1181" s="50">
        <v>166004667</v>
      </c>
      <c r="J1181" s="96" t="s">
        <v>157</v>
      </c>
      <c r="K1181" s="49" t="s">
        <v>266</v>
      </c>
      <c r="L1181" s="39" t="s">
        <v>267</v>
      </c>
      <c r="M1181" s="49" t="s">
        <v>268</v>
      </c>
      <c r="N1181" s="39" t="s">
        <v>269</v>
      </c>
      <c r="O1181" s="96" t="s">
        <v>1249</v>
      </c>
      <c r="P1181" s="49" t="s">
        <v>235</v>
      </c>
      <c r="Q1181" s="96" t="s">
        <v>236</v>
      </c>
      <c r="R1181" s="52">
        <v>11.9</v>
      </c>
      <c r="S1181" s="52">
        <f>R1181-T1181</f>
        <v>10.625</v>
      </c>
      <c r="T1181" s="52">
        <f>R1181*U1181/(U1181+100)</f>
        <v>1.2750000000000001</v>
      </c>
      <c r="U1181" s="50">
        <v>12</v>
      </c>
      <c r="V1181" s="53">
        <v>0</v>
      </c>
      <c r="W1181" s="147">
        <v>2</v>
      </c>
      <c r="X1181" s="148" t="s">
        <v>163</v>
      </c>
      <c r="Y1181" s="54">
        <f>R1181*W1181</f>
        <v>23.8</v>
      </c>
      <c r="Z1181" s="52">
        <f>S1181*W1181</f>
        <v>21.25</v>
      </c>
      <c r="AA1181" s="52">
        <f>T1181*W1181</f>
        <v>2.5500000000000003</v>
      </c>
      <c r="AB1181" s="52">
        <f>V1181*W1181</f>
        <v>0</v>
      </c>
      <c r="AC1181" s="53">
        <f>(R1181+V1181)*W1181</f>
        <v>23.8</v>
      </c>
      <c r="AD1181" s="138">
        <v>11.9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107</v>
      </c>
      <c r="F1182" s="96" t="s">
        <v>106</v>
      </c>
      <c r="G1182" s="97">
        <v>46132</v>
      </c>
      <c r="H1182" s="98">
        <v>0.4687037037037037</v>
      </c>
      <c r="I1182" s="50">
        <v>166004667</v>
      </c>
      <c r="J1182" s="96" t="s">
        <v>157</v>
      </c>
      <c r="K1182" s="49" t="s">
        <v>1085</v>
      </c>
      <c r="L1182" s="39" t="s">
        <v>1086</v>
      </c>
      <c r="M1182" s="49" t="s">
        <v>1087</v>
      </c>
      <c r="N1182" s="39" t="s">
        <v>1088</v>
      </c>
      <c r="O1182" s="96" t="s">
        <v>1089</v>
      </c>
      <c r="P1182" s="49" t="s">
        <v>157</v>
      </c>
      <c r="Q1182" s="96" t="s">
        <v>104</v>
      </c>
      <c r="R1182" s="52">
        <v>163.03</v>
      </c>
      <c r="S1182" s="52">
        <f>R1182-T1182</f>
        <v>145.5625</v>
      </c>
      <c r="T1182" s="52">
        <f>R1182*U1182/(U1182+100)</f>
        <v>17.4675</v>
      </c>
      <c r="U1182" s="50">
        <v>12</v>
      </c>
      <c r="V1182" s="53">
        <v>0</v>
      </c>
      <c r="W1182" s="147">
        <v>0.15</v>
      </c>
      <c r="X1182" s="148" t="s">
        <v>193</v>
      </c>
      <c r="Y1182" s="54">
        <f>R1182*W1182</f>
        <v>24.4545</v>
      </c>
      <c r="Z1182" s="52">
        <f>S1182*W1182</f>
        <v>21.834374999999998</v>
      </c>
      <c r="AA1182" s="52">
        <f>T1182*W1182</f>
        <v>2.6201250000000003</v>
      </c>
      <c r="AB1182" s="52">
        <f>V1182*W1182</f>
        <v>0</v>
      </c>
      <c r="AC1182" s="53">
        <f>(R1182+V1182)*W1182</f>
        <v>24.4545</v>
      </c>
      <c r="AD1182" s="138">
        <v>232.9</v>
      </c>
      <c r="AE1182" s="137">
        <v>69.87</v>
      </c>
      <c r="AF1182" s="139">
        <v>10.4805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107</v>
      </c>
      <c r="F1183" s="96" t="s">
        <v>106</v>
      </c>
      <c r="G1183" s="97">
        <v>46132</v>
      </c>
      <c r="H1183" s="98">
        <v>0.4687037037037037</v>
      </c>
      <c r="I1183" s="50">
        <v>166004667</v>
      </c>
      <c r="J1183" s="96" t="s">
        <v>157</v>
      </c>
      <c r="K1183" s="49" t="s">
        <v>553</v>
      </c>
      <c r="L1183" s="39" t="s">
        <v>104</v>
      </c>
      <c r="M1183" s="49" t="s">
        <v>554</v>
      </c>
      <c r="N1183" s="39" t="s">
        <v>296</v>
      </c>
      <c r="O1183" s="96" t="s">
        <v>555</v>
      </c>
      <c r="P1183" s="49" t="s">
        <v>157</v>
      </c>
      <c r="Q1183" s="96" t="s">
        <v>104</v>
      </c>
      <c r="R1183" s="52">
        <v>8.9</v>
      </c>
      <c r="S1183" s="52">
        <f>R1183-T1183</f>
        <v>7.946428571428572</v>
      </c>
      <c r="T1183" s="52">
        <f>R1183*U1183/(U1183+100)</f>
        <v>0.9535714285714286</v>
      </c>
      <c r="U1183" s="50">
        <v>12</v>
      </c>
      <c r="V1183" s="53">
        <v>0</v>
      </c>
      <c r="W1183" s="147">
        <v>1</v>
      </c>
      <c r="X1183" s="148" t="s">
        <v>163</v>
      </c>
      <c r="Y1183" s="54">
        <f>R1183*W1183</f>
        <v>8.9</v>
      </c>
      <c r="Z1183" s="52">
        <f>S1183*W1183</f>
        <v>7.946428571428572</v>
      </c>
      <c r="AA1183" s="52">
        <f>T1183*W1183</f>
        <v>0.9535714285714286</v>
      </c>
      <c r="AB1183" s="52">
        <f>V1183*W1183</f>
        <v>0</v>
      </c>
      <c r="AC1183" s="53">
        <f>(R1183+V1183)*W1183</f>
        <v>8.9</v>
      </c>
      <c r="AD1183" s="138">
        <v>8.9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107</v>
      </c>
      <c r="F1184" s="96" t="s">
        <v>106</v>
      </c>
      <c r="G1184" s="97">
        <v>46132</v>
      </c>
      <c r="H1184" s="98">
        <v>0.4690625</v>
      </c>
      <c r="I1184" s="50">
        <v>166004668</v>
      </c>
      <c r="J1184" s="96" t="s">
        <v>157</v>
      </c>
      <c r="K1184" s="49" t="s">
        <v>2259</v>
      </c>
      <c r="L1184" s="39" t="s">
        <v>2260</v>
      </c>
      <c r="M1184" s="49" t="s">
        <v>2253</v>
      </c>
      <c r="N1184" s="39" t="s">
        <v>2254</v>
      </c>
      <c r="O1184" s="96" t="s">
        <v>2261</v>
      </c>
      <c r="P1184" s="49" t="s">
        <v>157</v>
      </c>
      <c r="Q1184" s="96" t="s">
        <v>104</v>
      </c>
      <c r="R1184" s="52">
        <v>14.9</v>
      </c>
      <c r="S1184" s="52">
        <f>R1184-T1184</f>
        <v>12.31404958677686</v>
      </c>
      <c r="T1184" s="52">
        <f>R1184*U1184/(U1184+100)</f>
        <v>2.5859504132231406</v>
      </c>
      <c r="U1184" s="50">
        <v>21</v>
      </c>
      <c r="V1184" s="53">
        <v>0</v>
      </c>
      <c r="W1184" s="147">
        <v>1</v>
      </c>
      <c r="X1184" s="148" t="s">
        <v>163</v>
      </c>
      <c r="Y1184" s="54">
        <f>R1184*W1184</f>
        <v>14.9</v>
      </c>
      <c r="Z1184" s="52">
        <f>S1184*W1184</f>
        <v>12.31404958677686</v>
      </c>
      <c r="AA1184" s="52">
        <f>T1184*W1184</f>
        <v>2.5859504132231406</v>
      </c>
      <c r="AB1184" s="52">
        <f>V1184*W1184</f>
        <v>0</v>
      </c>
      <c r="AC1184" s="53">
        <f>(R1184+V1184)*W1184</f>
        <v>14.9</v>
      </c>
      <c r="AD1184" s="138">
        <v>14.9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107</v>
      </c>
      <c r="F1185" s="96" t="s">
        <v>106</v>
      </c>
      <c r="G1185" s="97">
        <v>46132</v>
      </c>
      <c r="H1185" s="98">
        <v>0.46952546296296294</v>
      </c>
      <c r="I1185" s="50">
        <v>166004669</v>
      </c>
      <c r="J1185" s="96" t="s">
        <v>157</v>
      </c>
      <c r="K1185" s="49" t="s">
        <v>230</v>
      </c>
      <c r="L1185" s="39" t="s">
        <v>231</v>
      </c>
      <c r="M1185" s="49" t="s">
        <v>232</v>
      </c>
      <c r="N1185" s="39" t="s">
        <v>233</v>
      </c>
      <c r="O1185" s="96" t="s">
        <v>1433</v>
      </c>
      <c r="P1185" s="49" t="s">
        <v>235</v>
      </c>
      <c r="Q1185" s="96" t="s">
        <v>236</v>
      </c>
      <c r="R1185" s="52">
        <v>24.9</v>
      </c>
      <c r="S1185" s="52">
        <f>R1185-T1185</f>
        <v>20.578512396694215</v>
      </c>
      <c r="T1185" s="52">
        <f>R1185*U1185/(U1185+100)</f>
        <v>4.321487603305785</v>
      </c>
      <c r="U1185" s="50">
        <v>21</v>
      </c>
      <c r="V1185" s="53">
        <v>0</v>
      </c>
      <c r="W1185" s="147">
        <v>1</v>
      </c>
      <c r="X1185" s="148" t="s">
        <v>163</v>
      </c>
      <c r="Y1185" s="54">
        <f>R1185*W1185</f>
        <v>24.9</v>
      </c>
      <c r="Z1185" s="52">
        <f>S1185*W1185</f>
        <v>20.578512396694215</v>
      </c>
      <c r="AA1185" s="52">
        <f>T1185*W1185</f>
        <v>4.321487603305785</v>
      </c>
      <c r="AB1185" s="52">
        <f>V1185*W1185</f>
        <v>0</v>
      </c>
      <c r="AC1185" s="53">
        <f>(R1185+V1185)*W1185</f>
        <v>24.9</v>
      </c>
      <c r="AD1185" s="138">
        <v>24.9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107</v>
      </c>
      <c r="F1186" s="96" t="s">
        <v>106</v>
      </c>
      <c r="G1186" s="97">
        <v>46132</v>
      </c>
      <c r="H1186" s="98">
        <v>0.46952546296296294</v>
      </c>
      <c r="I1186" s="50">
        <v>166004669</v>
      </c>
      <c r="J1186" s="96" t="s">
        <v>157</v>
      </c>
      <c r="K1186" s="49" t="s">
        <v>266</v>
      </c>
      <c r="L1186" s="39" t="s">
        <v>267</v>
      </c>
      <c r="M1186" s="49" t="s">
        <v>268</v>
      </c>
      <c r="N1186" s="39" t="s">
        <v>269</v>
      </c>
      <c r="O1186" s="96" t="s">
        <v>1249</v>
      </c>
      <c r="P1186" s="49" t="s">
        <v>235</v>
      </c>
      <c r="Q1186" s="96" t="s">
        <v>236</v>
      </c>
      <c r="R1186" s="52">
        <v>11.9</v>
      </c>
      <c r="S1186" s="52">
        <f>R1186-T1186</f>
        <v>10.625</v>
      </c>
      <c r="T1186" s="52">
        <f>R1186*U1186/(U1186+100)</f>
        <v>1.2750000000000001</v>
      </c>
      <c r="U1186" s="50">
        <v>12</v>
      </c>
      <c r="V1186" s="53">
        <v>0</v>
      </c>
      <c r="W1186" s="147">
        <v>1</v>
      </c>
      <c r="X1186" s="148" t="s">
        <v>163</v>
      </c>
      <c r="Y1186" s="54">
        <f>R1186*W1186</f>
        <v>11.9</v>
      </c>
      <c r="Z1186" s="52">
        <f>S1186*W1186</f>
        <v>10.625</v>
      </c>
      <c r="AA1186" s="52">
        <f>T1186*W1186</f>
        <v>1.2750000000000001</v>
      </c>
      <c r="AB1186" s="52">
        <f>V1186*W1186</f>
        <v>0</v>
      </c>
      <c r="AC1186" s="53">
        <f>(R1186+V1186)*W1186</f>
        <v>11.9</v>
      </c>
      <c r="AD1186" s="138">
        <v>11.9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107</v>
      </c>
      <c r="F1187" s="96" t="s">
        <v>106</v>
      </c>
      <c r="G1187" s="97">
        <v>46132</v>
      </c>
      <c r="H1187" s="98">
        <v>0.46952546296296294</v>
      </c>
      <c r="I1187" s="50">
        <v>166004669</v>
      </c>
      <c r="J1187" s="96" t="s">
        <v>157</v>
      </c>
      <c r="K1187" s="49" t="s">
        <v>303</v>
      </c>
      <c r="L1187" s="39" t="s">
        <v>304</v>
      </c>
      <c r="M1187" s="49" t="s">
        <v>214</v>
      </c>
      <c r="N1187" s="39" t="s">
        <v>296</v>
      </c>
      <c r="O1187" s="96" t="s">
        <v>305</v>
      </c>
      <c r="P1187" s="49" t="s">
        <v>157</v>
      </c>
      <c r="Q1187" s="96" t="s">
        <v>104</v>
      </c>
      <c r="R1187" s="52">
        <v>11.9</v>
      </c>
      <c r="S1187" s="52">
        <f>R1187-T1187</f>
        <v>10.625</v>
      </c>
      <c r="T1187" s="52">
        <f>R1187*U1187/(U1187+100)</f>
        <v>1.2750000000000001</v>
      </c>
      <c r="U1187" s="50">
        <v>12</v>
      </c>
      <c r="V1187" s="53">
        <v>0</v>
      </c>
      <c r="W1187" s="147">
        <v>1</v>
      </c>
      <c r="X1187" s="148" t="s">
        <v>163</v>
      </c>
      <c r="Y1187" s="54">
        <f>R1187*W1187</f>
        <v>11.9</v>
      </c>
      <c r="Z1187" s="52">
        <f>S1187*W1187</f>
        <v>10.625</v>
      </c>
      <c r="AA1187" s="52">
        <f>T1187*W1187</f>
        <v>1.2750000000000001</v>
      </c>
      <c r="AB1187" s="52">
        <f>V1187*W1187</f>
        <v>0</v>
      </c>
      <c r="AC1187" s="53">
        <f>(R1187+V1187)*W1187</f>
        <v>11.9</v>
      </c>
      <c r="AD1187" s="138">
        <v>11.9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107</v>
      </c>
      <c r="F1188" s="96" t="s">
        <v>106</v>
      </c>
      <c r="G1188" s="97">
        <v>46132</v>
      </c>
      <c r="H1188" s="98">
        <v>0.46952546296296294</v>
      </c>
      <c r="I1188" s="50">
        <v>166004669</v>
      </c>
      <c r="J1188" s="96" t="s">
        <v>157</v>
      </c>
      <c r="K1188" s="49" t="s">
        <v>2262</v>
      </c>
      <c r="L1188" s="39" t="s">
        <v>2263</v>
      </c>
      <c r="M1188" s="49" t="s">
        <v>277</v>
      </c>
      <c r="N1188" s="39" t="s">
        <v>838</v>
      </c>
      <c r="O1188" s="96" t="s">
        <v>2264</v>
      </c>
      <c r="P1188" s="49" t="s">
        <v>157</v>
      </c>
      <c r="Q1188" s="96" t="s">
        <v>104</v>
      </c>
      <c r="R1188" s="52">
        <v>99.9</v>
      </c>
      <c r="S1188" s="52">
        <f>R1188-T1188</f>
        <v>89.19642857142857</v>
      </c>
      <c r="T1188" s="52">
        <f>R1188*U1188/(U1188+100)</f>
        <v>10.703571428571431</v>
      </c>
      <c r="U1188" s="50">
        <v>12</v>
      </c>
      <c r="V1188" s="53">
        <v>0</v>
      </c>
      <c r="W1188" s="147">
        <v>1</v>
      </c>
      <c r="X1188" s="148" t="s">
        <v>163</v>
      </c>
      <c r="Y1188" s="54">
        <f>R1188*W1188</f>
        <v>99.9</v>
      </c>
      <c r="Z1188" s="52">
        <f>S1188*W1188</f>
        <v>89.19642857142857</v>
      </c>
      <c r="AA1188" s="52">
        <f>T1188*W1188</f>
        <v>10.703571428571431</v>
      </c>
      <c r="AB1188" s="52">
        <f>V1188*W1188</f>
        <v>0</v>
      </c>
      <c r="AC1188" s="53">
        <f>(R1188+V1188)*W1188</f>
        <v>99.9</v>
      </c>
      <c r="AD1188" s="138">
        <v>99.9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107</v>
      </c>
      <c r="F1189" s="96" t="s">
        <v>106</v>
      </c>
      <c r="G1189" s="97">
        <v>46132</v>
      </c>
      <c r="H1189" s="98">
        <v>0.4699537037037037</v>
      </c>
      <c r="I1189" s="50">
        <v>166004670</v>
      </c>
      <c r="J1189" s="96" t="s">
        <v>157</v>
      </c>
      <c r="K1189" s="49" t="s">
        <v>2265</v>
      </c>
      <c r="L1189" s="39" t="s">
        <v>2266</v>
      </c>
      <c r="M1189" s="49" t="s">
        <v>1445</v>
      </c>
      <c r="N1189" s="39" t="s">
        <v>874</v>
      </c>
      <c r="O1189" s="96" t="s">
        <v>2267</v>
      </c>
      <c r="P1189" s="49" t="s">
        <v>157</v>
      </c>
      <c r="Q1189" s="96" t="s">
        <v>104</v>
      </c>
      <c r="R1189" s="52">
        <v>35.9</v>
      </c>
      <c r="S1189" s="52">
        <f>R1189-T1189</f>
        <v>32.05357142857143</v>
      </c>
      <c r="T1189" s="52">
        <f>R1189*U1189/(U1189+100)</f>
        <v>3.846428571428571</v>
      </c>
      <c r="U1189" s="50">
        <v>12</v>
      </c>
      <c r="V1189" s="53">
        <v>0</v>
      </c>
      <c r="W1189" s="147">
        <v>1</v>
      </c>
      <c r="X1189" s="148" t="s">
        <v>163</v>
      </c>
      <c r="Y1189" s="54">
        <f>R1189*W1189</f>
        <v>35.9</v>
      </c>
      <c r="Z1189" s="52">
        <f>S1189*W1189</f>
        <v>32.05357142857143</v>
      </c>
      <c r="AA1189" s="52">
        <f>T1189*W1189</f>
        <v>3.846428571428571</v>
      </c>
      <c r="AB1189" s="52">
        <f>V1189*W1189</f>
        <v>0</v>
      </c>
      <c r="AC1189" s="53">
        <f>(R1189+V1189)*W1189</f>
        <v>35.9</v>
      </c>
      <c r="AD1189" s="138">
        <v>35.9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107</v>
      </c>
      <c r="F1190" s="96" t="s">
        <v>106</v>
      </c>
      <c r="G1190" s="97">
        <v>46132</v>
      </c>
      <c r="H1190" s="98">
        <v>0.4699537037037037</v>
      </c>
      <c r="I1190" s="50">
        <v>166004670</v>
      </c>
      <c r="J1190" s="96" t="s">
        <v>157</v>
      </c>
      <c r="K1190" s="49" t="s">
        <v>2268</v>
      </c>
      <c r="L1190" s="39" t="s">
        <v>2269</v>
      </c>
      <c r="M1190" s="49" t="s">
        <v>282</v>
      </c>
      <c r="N1190" s="39" t="s">
        <v>210</v>
      </c>
      <c r="O1190" s="96" t="s">
        <v>2270</v>
      </c>
      <c r="P1190" s="49" t="s">
        <v>157</v>
      </c>
      <c r="Q1190" s="96" t="s">
        <v>104</v>
      </c>
      <c r="R1190" s="52">
        <v>22.9</v>
      </c>
      <c r="S1190" s="52">
        <f>R1190-T1190</f>
        <v>20.44642857142857</v>
      </c>
      <c r="T1190" s="52">
        <f>R1190*U1190/(U1190+100)</f>
        <v>2.4535714285714283</v>
      </c>
      <c r="U1190" s="50">
        <v>12</v>
      </c>
      <c r="V1190" s="53">
        <v>0</v>
      </c>
      <c r="W1190" s="147">
        <v>1</v>
      </c>
      <c r="X1190" s="148" t="s">
        <v>163</v>
      </c>
      <c r="Y1190" s="54">
        <f>R1190*W1190</f>
        <v>22.9</v>
      </c>
      <c r="Z1190" s="52">
        <f>S1190*W1190</f>
        <v>20.44642857142857</v>
      </c>
      <c r="AA1190" s="52">
        <f>T1190*W1190</f>
        <v>2.4535714285714283</v>
      </c>
      <c r="AB1190" s="52">
        <f>V1190*W1190</f>
        <v>0</v>
      </c>
      <c r="AC1190" s="53">
        <f>(R1190+V1190)*W1190</f>
        <v>22.9</v>
      </c>
      <c r="AD1190" s="138">
        <v>22.9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107</v>
      </c>
      <c r="F1191" s="96" t="s">
        <v>106</v>
      </c>
      <c r="G1191" s="97">
        <v>46132</v>
      </c>
      <c r="H1191" s="98">
        <v>0.4699537037037037</v>
      </c>
      <c r="I1191" s="50">
        <v>166004670</v>
      </c>
      <c r="J1191" s="96" t="s">
        <v>157</v>
      </c>
      <c r="K1191" s="49" t="s">
        <v>2271</v>
      </c>
      <c r="L1191" s="39" t="s">
        <v>2272</v>
      </c>
      <c r="M1191" s="49" t="s">
        <v>616</v>
      </c>
      <c r="N1191" s="39" t="s">
        <v>228</v>
      </c>
      <c r="O1191" s="96" t="s">
        <v>2273</v>
      </c>
      <c r="P1191" s="49" t="s">
        <v>157</v>
      </c>
      <c r="Q1191" s="96" t="s">
        <v>104</v>
      </c>
      <c r="R1191" s="52">
        <v>25.9</v>
      </c>
      <c r="S1191" s="52">
        <f>R1191-T1191</f>
        <v>23.125</v>
      </c>
      <c r="T1191" s="52">
        <f>R1191*U1191/(U1191+100)</f>
        <v>2.7749999999999995</v>
      </c>
      <c r="U1191" s="50">
        <v>12</v>
      </c>
      <c r="V1191" s="53">
        <v>0</v>
      </c>
      <c r="W1191" s="147">
        <v>1</v>
      </c>
      <c r="X1191" s="148" t="s">
        <v>163</v>
      </c>
      <c r="Y1191" s="54">
        <f>R1191*W1191</f>
        <v>25.9</v>
      </c>
      <c r="Z1191" s="52">
        <f>S1191*W1191</f>
        <v>23.125</v>
      </c>
      <c r="AA1191" s="52">
        <f>T1191*W1191</f>
        <v>2.7749999999999995</v>
      </c>
      <c r="AB1191" s="52">
        <f>V1191*W1191</f>
        <v>0</v>
      </c>
      <c r="AC1191" s="53">
        <f>(R1191+V1191)*W1191</f>
        <v>25.9</v>
      </c>
      <c r="AD1191" s="138">
        <v>25.9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107</v>
      </c>
      <c r="F1192" s="96" t="s">
        <v>106</v>
      </c>
      <c r="G1192" s="97">
        <v>46132</v>
      </c>
      <c r="H1192" s="98">
        <v>0.4699537037037037</v>
      </c>
      <c r="I1192" s="50">
        <v>166004670</v>
      </c>
      <c r="J1192" s="96" t="s">
        <v>157</v>
      </c>
      <c r="K1192" s="49" t="s">
        <v>2271</v>
      </c>
      <c r="L1192" s="39" t="s">
        <v>2272</v>
      </c>
      <c r="M1192" s="49" t="s">
        <v>616</v>
      </c>
      <c r="N1192" s="39" t="s">
        <v>228</v>
      </c>
      <c r="O1192" s="96" t="s">
        <v>2273</v>
      </c>
      <c r="P1192" s="49" t="s">
        <v>157</v>
      </c>
      <c r="Q1192" s="96" t="s">
        <v>104</v>
      </c>
      <c r="R1192" s="52">
        <v>25.9</v>
      </c>
      <c r="S1192" s="52">
        <f>R1192-T1192</f>
        <v>23.125</v>
      </c>
      <c r="T1192" s="52">
        <f>R1192*U1192/(U1192+100)</f>
        <v>2.7749999999999995</v>
      </c>
      <c r="U1192" s="50">
        <v>12</v>
      </c>
      <c r="V1192" s="53">
        <v>0</v>
      </c>
      <c r="W1192" s="147">
        <v>1</v>
      </c>
      <c r="X1192" s="148" t="s">
        <v>163</v>
      </c>
      <c r="Y1192" s="54">
        <f>R1192*W1192</f>
        <v>25.9</v>
      </c>
      <c r="Z1192" s="52">
        <f>S1192*W1192</f>
        <v>23.125</v>
      </c>
      <c r="AA1192" s="52">
        <f>T1192*W1192</f>
        <v>2.7749999999999995</v>
      </c>
      <c r="AB1192" s="52">
        <f>V1192*W1192</f>
        <v>0</v>
      </c>
      <c r="AC1192" s="53">
        <f>(R1192+V1192)*W1192</f>
        <v>25.9</v>
      </c>
      <c r="AD1192" s="138">
        <v>25.9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107</v>
      </c>
      <c r="F1193" s="96" t="s">
        <v>106</v>
      </c>
      <c r="G1193" s="97">
        <v>46132</v>
      </c>
      <c r="H1193" s="98">
        <v>0.4699537037037037</v>
      </c>
      <c r="I1193" s="50">
        <v>166004670</v>
      </c>
      <c r="J1193" s="96" t="s">
        <v>157</v>
      </c>
      <c r="K1193" s="49" t="s">
        <v>2274</v>
      </c>
      <c r="L1193" s="39" t="s">
        <v>2275</v>
      </c>
      <c r="M1193" s="49" t="s">
        <v>2276</v>
      </c>
      <c r="N1193" s="39" t="s">
        <v>327</v>
      </c>
      <c r="O1193" s="96" t="s">
        <v>2277</v>
      </c>
      <c r="P1193" s="49" t="s">
        <v>157</v>
      </c>
      <c r="Q1193" s="96" t="s">
        <v>104</v>
      </c>
      <c r="R1193" s="52">
        <v>29.9</v>
      </c>
      <c r="S1193" s="52">
        <f>R1193-T1193</f>
        <v>26.69642857142857</v>
      </c>
      <c r="T1193" s="52">
        <f>R1193*U1193/(U1193+100)</f>
        <v>3.2035714285714283</v>
      </c>
      <c r="U1193" s="50">
        <v>12</v>
      </c>
      <c r="V1193" s="53">
        <v>0</v>
      </c>
      <c r="W1193" s="147">
        <v>1</v>
      </c>
      <c r="X1193" s="148" t="s">
        <v>163</v>
      </c>
      <c r="Y1193" s="54">
        <f>R1193*W1193</f>
        <v>29.9</v>
      </c>
      <c r="Z1193" s="52">
        <f>S1193*W1193</f>
        <v>26.69642857142857</v>
      </c>
      <c r="AA1193" s="52">
        <f>T1193*W1193</f>
        <v>3.2035714285714283</v>
      </c>
      <c r="AB1193" s="52">
        <f>V1193*W1193</f>
        <v>0</v>
      </c>
      <c r="AC1193" s="53">
        <f>(R1193+V1193)*W1193</f>
        <v>29.9</v>
      </c>
      <c r="AD1193" s="138">
        <v>29.9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107</v>
      </c>
      <c r="F1194" s="96" t="s">
        <v>106</v>
      </c>
      <c r="G1194" s="97">
        <v>46132</v>
      </c>
      <c r="H1194" s="98">
        <v>0.4699537037037037</v>
      </c>
      <c r="I1194" s="50">
        <v>166004670</v>
      </c>
      <c r="J1194" s="96" t="s">
        <v>157</v>
      </c>
      <c r="K1194" s="49" t="s">
        <v>1980</v>
      </c>
      <c r="L1194" s="39" t="s">
        <v>1981</v>
      </c>
      <c r="M1194" s="49" t="s">
        <v>277</v>
      </c>
      <c r="N1194" s="39" t="s">
        <v>751</v>
      </c>
      <c r="O1194" s="96" t="s">
        <v>1982</v>
      </c>
      <c r="P1194" s="49" t="s">
        <v>235</v>
      </c>
      <c r="Q1194" s="96" t="s">
        <v>753</v>
      </c>
      <c r="R1194" s="52">
        <v>34.9</v>
      </c>
      <c r="S1194" s="52">
        <f>R1194-T1194</f>
        <v>31.160714285714285</v>
      </c>
      <c r="T1194" s="52">
        <f>R1194*U1194/(U1194+100)</f>
        <v>3.739285714285714</v>
      </c>
      <c r="U1194" s="50">
        <v>12</v>
      </c>
      <c r="V1194" s="53">
        <v>0</v>
      </c>
      <c r="W1194" s="147">
        <v>1</v>
      </c>
      <c r="X1194" s="148" t="s">
        <v>163</v>
      </c>
      <c r="Y1194" s="54">
        <f>R1194*W1194</f>
        <v>34.9</v>
      </c>
      <c r="Z1194" s="52">
        <f>S1194*W1194</f>
        <v>31.160714285714285</v>
      </c>
      <c r="AA1194" s="52">
        <f>T1194*W1194</f>
        <v>3.739285714285714</v>
      </c>
      <c r="AB1194" s="52">
        <f>V1194*W1194</f>
        <v>0</v>
      </c>
      <c r="AC1194" s="53">
        <f>(R1194+V1194)*W1194</f>
        <v>34.9</v>
      </c>
      <c r="AD1194" s="138">
        <v>34.9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107</v>
      </c>
      <c r="F1195" s="96" t="s">
        <v>106</v>
      </c>
      <c r="G1195" s="97">
        <v>46132</v>
      </c>
      <c r="H1195" s="98">
        <v>0.4699537037037037</v>
      </c>
      <c r="I1195" s="50">
        <v>166004670</v>
      </c>
      <c r="J1195" s="96" t="s">
        <v>157</v>
      </c>
      <c r="K1195" s="49" t="s">
        <v>1375</v>
      </c>
      <c r="L1195" s="39" t="s">
        <v>1376</v>
      </c>
      <c r="M1195" s="49" t="s">
        <v>300</v>
      </c>
      <c r="N1195" s="39" t="s">
        <v>1377</v>
      </c>
      <c r="O1195" s="96" t="s">
        <v>1378</v>
      </c>
      <c r="P1195" s="49" t="s">
        <v>157</v>
      </c>
      <c r="Q1195" s="96" t="s">
        <v>104</v>
      </c>
      <c r="R1195" s="52">
        <v>29.9</v>
      </c>
      <c r="S1195" s="52">
        <f>R1195-T1195</f>
        <v>26.69642857142857</v>
      </c>
      <c r="T1195" s="52">
        <f>R1195*U1195/(U1195+100)</f>
        <v>3.2035714285714283</v>
      </c>
      <c r="U1195" s="50">
        <v>12</v>
      </c>
      <c r="V1195" s="53">
        <v>0</v>
      </c>
      <c r="W1195" s="147">
        <v>1</v>
      </c>
      <c r="X1195" s="148" t="s">
        <v>163</v>
      </c>
      <c r="Y1195" s="54">
        <f>R1195*W1195</f>
        <v>29.9</v>
      </c>
      <c r="Z1195" s="52">
        <f>S1195*W1195</f>
        <v>26.69642857142857</v>
      </c>
      <c r="AA1195" s="52">
        <f>T1195*W1195</f>
        <v>3.2035714285714283</v>
      </c>
      <c r="AB1195" s="52">
        <f>V1195*W1195</f>
        <v>0</v>
      </c>
      <c r="AC1195" s="53">
        <f>(R1195+V1195)*W1195</f>
        <v>29.9</v>
      </c>
      <c r="AD1195" s="138">
        <v>29.9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107</v>
      </c>
      <c r="F1196" s="96" t="s">
        <v>106</v>
      </c>
      <c r="G1196" s="97">
        <v>46132</v>
      </c>
      <c r="H1196" s="98">
        <v>0.4699537037037037</v>
      </c>
      <c r="I1196" s="50">
        <v>166004670</v>
      </c>
      <c r="J1196" s="96" t="s">
        <v>157</v>
      </c>
      <c r="K1196" s="49" t="s">
        <v>492</v>
      </c>
      <c r="L1196" s="39" t="s">
        <v>493</v>
      </c>
      <c r="M1196" s="49" t="s">
        <v>224</v>
      </c>
      <c r="N1196" s="39" t="s">
        <v>494</v>
      </c>
      <c r="O1196" s="96" t="s">
        <v>1793</v>
      </c>
      <c r="P1196" s="49" t="s">
        <v>157</v>
      </c>
      <c r="Q1196" s="96" t="s">
        <v>104</v>
      </c>
      <c r="R1196" s="52">
        <v>39.9</v>
      </c>
      <c r="S1196" s="52">
        <f>R1196-T1196</f>
        <v>32.97520661157024</v>
      </c>
      <c r="T1196" s="52">
        <f>R1196*U1196/(U1196+100)</f>
        <v>6.924793388429752</v>
      </c>
      <c r="U1196" s="50">
        <v>21</v>
      </c>
      <c r="V1196" s="53">
        <v>0</v>
      </c>
      <c r="W1196" s="147">
        <v>1</v>
      </c>
      <c r="X1196" s="148" t="s">
        <v>163</v>
      </c>
      <c r="Y1196" s="54">
        <f>R1196*W1196</f>
        <v>39.9</v>
      </c>
      <c r="Z1196" s="52">
        <f>S1196*W1196</f>
        <v>32.97520661157024</v>
      </c>
      <c r="AA1196" s="52">
        <f>T1196*W1196</f>
        <v>6.924793388429752</v>
      </c>
      <c r="AB1196" s="52">
        <f>V1196*W1196</f>
        <v>0</v>
      </c>
      <c r="AC1196" s="53">
        <f>(R1196+V1196)*W1196</f>
        <v>39.9</v>
      </c>
      <c r="AD1196" s="138">
        <v>39.9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107</v>
      </c>
      <c r="F1197" s="96" t="s">
        <v>106</v>
      </c>
      <c r="G1197" s="97">
        <v>46132</v>
      </c>
      <c r="H1197" s="98">
        <v>0.4699537037037037</v>
      </c>
      <c r="I1197" s="50">
        <v>166004670</v>
      </c>
      <c r="J1197" s="96" t="s">
        <v>157</v>
      </c>
      <c r="K1197" s="49" t="s">
        <v>2278</v>
      </c>
      <c r="L1197" s="39" t="s">
        <v>2279</v>
      </c>
      <c r="M1197" s="49" t="s">
        <v>862</v>
      </c>
      <c r="N1197" s="39" t="s">
        <v>863</v>
      </c>
      <c r="O1197" s="96" t="s">
        <v>2280</v>
      </c>
      <c r="P1197" s="49" t="s">
        <v>157</v>
      </c>
      <c r="Q1197" s="96" t="s">
        <v>104</v>
      </c>
      <c r="R1197" s="52">
        <v>173</v>
      </c>
      <c r="S1197" s="52">
        <f>R1197-T1197</f>
        <v>142.97520661157026</v>
      </c>
      <c r="T1197" s="52">
        <f>R1197*U1197/(U1197+100)</f>
        <v>30.024793388429753</v>
      </c>
      <c r="U1197" s="50">
        <v>21</v>
      </c>
      <c r="V1197" s="53">
        <v>0</v>
      </c>
      <c r="W1197" s="147">
        <v>1</v>
      </c>
      <c r="X1197" s="148" t="s">
        <v>163</v>
      </c>
      <c r="Y1197" s="54">
        <f>R1197*W1197</f>
        <v>173</v>
      </c>
      <c r="Z1197" s="52">
        <f>S1197*W1197</f>
        <v>142.97520661157026</v>
      </c>
      <c r="AA1197" s="52">
        <f>T1197*W1197</f>
        <v>30.024793388429753</v>
      </c>
      <c r="AB1197" s="52">
        <f>V1197*W1197</f>
        <v>0</v>
      </c>
      <c r="AC1197" s="53">
        <f>(R1197+V1197)*W1197</f>
        <v>173</v>
      </c>
      <c r="AD1197" s="138">
        <v>173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107</v>
      </c>
      <c r="F1198" s="96" t="s">
        <v>106</v>
      </c>
      <c r="G1198" s="97">
        <v>46132</v>
      </c>
      <c r="H1198" s="98">
        <v>0.4699537037037037</v>
      </c>
      <c r="I1198" s="50">
        <v>166004670</v>
      </c>
      <c r="J1198" s="96" t="s">
        <v>157</v>
      </c>
      <c r="K1198" s="49" t="s">
        <v>534</v>
      </c>
      <c r="L1198" s="39" t="s">
        <v>535</v>
      </c>
      <c r="M1198" s="49" t="s">
        <v>277</v>
      </c>
      <c r="N1198" s="39" t="s">
        <v>373</v>
      </c>
      <c r="O1198" s="96" t="s">
        <v>2281</v>
      </c>
      <c r="P1198" s="49" t="s">
        <v>157</v>
      </c>
      <c r="Q1198" s="96" t="s">
        <v>104</v>
      </c>
      <c r="R1198" s="52">
        <v>62.9</v>
      </c>
      <c r="S1198" s="52">
        <f>R1198-T1198</f>
        <v>56.160714285714285</v>
      </c>
      <c r="T1198" s="52">
        <f>R1198*U1198/(U1198+100)</f>
        <v>6.739285714285714</v>
      </c>
      <c r="U1198" s="50">
        <v>12</v>
      </c>
      <c r="V1198" s="53">
        <v>0</v>
      </c>
      <c r="W1198" s="147">
        <v>1</v>
      </c>
      <c r="X1198" s="148" t="s">
        <v>163</v>
      </c>
      <c r="Y1198" s="54">
        <f>R1198*W1198</f>
        <v>62.9</v>
      </c>
      <c r="Z1198" s="52">
        <f>S1198*W1198</f>
        <v>56.160714285714285</v>
      </c>
      <c r="AA1198" s="52">
        <f>T1198*W1198</f>
        <v>6.739285714285714</v>
      </c>
      <c r="AB1198" s="52">
        <f>V1198*W1198</f>
        <v>0</v>
      </c>
      <c r="AC1198" s="53">
        <f>(R1198+V1198)*W1198</f>
        <v>62.9</v>
      </c>
      <c r="AD1198" s="138">
        <v>62.9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107</v>
      </c>
      <c r="F1199" s="96" t="s">
        <v>106</v>
      </c>
      <c r="G1199" s="97">
        <v>46132</v>
      </c>
      <c r="H1199" s="98">
        <v>0.47050925925925924</v>
      </c>
      <c r="I1199" s="50">
        <v>166004671</v>
      </c>
      <c r="J1199" s="96" t="s">
        <v>157</v>
      </c>
      <c r="K1199" s="49" t="s">
        <v>2282</v>
      </c>
      <c r="L1199" s="39" t="s">
        <v>2283</v>
      </c>
      <c r="M1199" s="49" t="s">
        <v>830</v>
      </c>
      <c r="N1199" s="39" t="s">
        <v>264</v>
      </c>
      <c r="O1199" s="96" t="s">
        <v>2284</v>
      </c>
      <c r="P1199" s="49" t="s">
        <v>157</v>
      </c>
      <c r="Q1199" s="96" t="s">
        <v>104</v>
      </c>
      <c r="R1199" s="52">
        <v>37.9</v>
      </c>
      <c r="S1199" s="52">
        <f>R1199-T1199</f>
        <v>33.839285714285715</v>
      </c>
      <c r="T1199" s="52">
        <f>R1199*U1199/(U1199+100)</f>
        <v>4.060714285714285</v>
      </c>
      <c r="U1199" s="50">
        <v>12</v>
      </c>
      <c r="V1199" s="53">
        <v>0</v>
      </c>
      <c r="W1199" s="147">
        <v>1</v>
      </c>
      <c r="X1199" s="148" t="s">
        <v>163</v>
      </c>
      <c r="Y1199" s="54">
        <f>R1199*W1199</f>
        <v>37.9</v>
      </c>
      <c r="Z1199" s="52">
        <f>S1199*W1199</f>
        <v>33.839285714285715</v>
      </c>
      <c r="AA1199" s="52">
        <f>T1199*W1199</f>
        <v>4.060714285714285</v>
      </c>
      <c r="AB1199" s="52">
        <f>V1199*W1199</f>
        <v>0</v>
      </c>
      <c r="AC1199" s="53">
        <f>(R1199+V1199)*W1199</f>
        <v>37.9</v>
      </c>
      <c r="AD1199" s="138">
        <v>37.9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107</v>
      </c>
      <c r="F1200" s="96" t="s">
        <v>106</v>
      </c>
      <c r="G1200" s="97">
        <v>46132</v>
      </c>
      <c r="H1200" s="98">
        <v>0.47050925925925924</v>
      </c>
      <c r="I1200" s="50">
        <v>166004671</v>
      </c>
      <c r="J1200" s="96" t="s">
        <v>157</v>
      </c>
      <c r="K1200" s="49" t="s">
        <v>1667</v>
      </c>
      <c r="L1200" s="39" t="s">
        <v>1668</v>
      </c>
      <c r="M1200" s="49" t="s">
        <v>214</v>
      </c>
      <c r="N1200" s="39" t="s">
        <v>490</v>
      </c>
      <c r="O1200" s="96" t="s">
        <v>1669</v>
      </c>
      <c r="P1200" s="49" t="s">
        <v>157</v>
      </c>
      <c r="Q1200" s="96" t="s">
        <v>104</v>
      </c>
      <c r="R1200" s="52">
        <v>31.9</v>
      </c>
      <c r="S1200" s="52">
        <f>R1200-T1200</f>
        <v>28.482142857142858</v>
      </c>
      <c r="T1200" s="52">
        <f>R1200*U1200/(U1200+100)</f>
        <v>3.4178571428571423</v>
      </c>
      <c r="U1200" s="50">
        <v>12</v>
      </c>
      <c r="V1200" s="53">
        <v>0</v>
      </c>
      <c r="W1200" s="147">
        <v>1</v>
      </c>
      <c r="X1200" s="148" t="s">
        <v>163</v>
      </c>
      <c r="Y1200" s="54">
        <f>R1200*W1200</f>
        <v>31.9</v>
      </c>
      <c r="Z1200" s="52">
        <f>S1200*W1200</f>
        <v>28.482142857142858</v>
      </c>
      <c r="AA1200" s="52">
        <f>T1200*W1200</f>
        <v>3.4178571428571423</v>
      </c>
      <c r="AB1200" s="52">
        <f>V1200*W1200</f>
        <v>0</v>
      </c>
      <c r="AC1200" s="53">
        <f>(R1200+V1200)*W1200</f>
        <v>31.9</v>
      </c>
      <c r="AD1200" s="138">
        <v>31.9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107</v>
      </c>
      <c r="F1201" s="96" t="s">
        <v>106</v>
      </c>
      <c r="G1201" s="97">
        <v>46132</v>
      </c>
      <c r="H1201" s="98">
        <v>0.47050925925925924</v>
      </c>
      <c r="I1201" s="50">
        <v>166004671</v>
      </c>
      <c r="J1201" s="96" t="s">
        <v>157</v>
      </c>
      <c r="K1201" s="49" t="s">
        <v>303</v>
      </c>
      <c r="L1201" s="39" t="s">
        <v>304</v>
      </c>
      <c r="M1201" s="49" t="s">
        <v>214</v>
      </c>
      <c r="N1201" s="39" t="s">
        <v>296</v>
      </c>
      <c r="O1201" s="96" t="s">
        <v>305</v>
      </c>
      <c r="P1201" s="49" t="s">
        <v>157</v>
      </c>
      <c r="Q1201" s="96" t="s">
        <v>104</v>
      </c>
      <c r="R1201" s="52">
        <v>11.9</v>
      </c>
      <c r="S1201" s="52">
        <f>R1201-T1201</f>
        <v>10.625</v>
      </c>
      <c r="T1201" s="52">
        <f>R1201*U1201/(U1201+100)</f>
        <v>1.2750000000000001</v>
      </c>
      <c r="U1201" s="50">
        <v>12</v>
      </c>
      <c r="V1201" s="53">
        <v>0</v>
      </c>
      <c r="W1201" s="147">
        <v>2</v>
      </c>
      <c r="X1201" s="148" t="s">
        <v>163</v>
      </c>
      <c r="Y1201" s="54">
        <f>R1201*W1201</f>
        <v>23.8</v>
      </c>
      <c r="Z1201" s="52">
        <f>S1201*W1201</f>
        <v>21.25</v>
      </c>
      <c r="AA1201" s="52">
        <f>T1201*W1201</f>
        <v>2.5500000000000003</v>
      </c>
      <c r="AB1201" s="52">
        <f>V1201*W1201</f>
        <v>0</v>
      </c>
      <c r="AC1201" s="53">
        <f>(R1201+V1201)*W1201</f>
        <v>23.8</v>
      </c>
      <c r="AD1201" s="138">
        <v>11.9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107</v>
      </c>
      <c r="F1202" s="96" t="s">
        <v>106</v>
      </c>
      <c r="G1202" s="97">
        <v>46132</v>
      </c>
      <c r="H1202" s="98">
        <v>0.47078703703703706</v>
      </c>
      <c r="I1202" s="50">
        <v>166004672</v>
      </c>
      <c r="J1202" s="96" t="s">
        <v>157</v>
      </c>
      <c r="K1202" s="49" t="s">
        <v>1747</v>
      </c>
      <c r="L1202" s="39" t="s">
        <v>1748</v>
      </c>
      <c r="M1202" s="49" t="s">
        <v>300</v>
      </c>
      <c r="N1202" s="39" t="s">
        <v>1485</v>
      </c>
      <c r="O1202" s="96" t="s">
        <v>1749</v>
      </c>
      <c r="P1202" s="49" t="s">
        <v>157</v>
      </c>
      <c r="Q1202" s="96" t="s">
        <v>104</v>
      </c>
      <c r="R1202" s="52">
        <v>34.9</v>
      </c>
      <c r="S1202" s="52">
        <f>R1202-T1202</f>
        <v>31.160714285714285</v>
      </c>
      <c r="T1202" s="52">
        <f>R1202*U1202/(U1202+100)</f>
        <v>3.739285714285714</v>
      </c>
      <c r="U1202" s="50">
        <v>12</v>
      </c>
      <c r="V1202" s="53">
        <v>0</v>
      </c>
      <c r="W1202" s="147">
        <v>1</v>
      </c>
      <c r="X1202" s="148" t="s">
        <v>163</v>
      </c>
      <c r="Y1202" s="54">
        <f>R1202*W1202</f>
        <v>34.9</v>
      </c>
      <c r="Z1202" s="52">
        <f>S1202*W1202</f>
        <v>31.160714285714285</v>
      </c>
      <c r="AA1202" s="52">
        <f>T1202*W1202</f>
        <v>3.739285714285714</v>
      </c>
      <c r="AB1202" s="52">
        <f>V1202*W1202</f>
        <v>0</v>
      </c>
      <c r="AC1202" s="53">
        <f>(R1202+V1202)*W1202</f>
        <v>34.9</v>
      </c>
      <c r="AD1202" s="138">
        <v>34.9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107</v>
      </c>
      <c r="F1203" s="96" t="s">
        <v>106</v>
      </c>
      <c r="G1203" s="97">
        <v>46132</v>
      </c>
      <c r="H1203" s="98">
        <v>0.47078703703703706</v>
      </c>
      <c r="I1203" s="50">
        <v>166004672</v>
      </c>
      <c r="J1203" s="96" t="s">
        <v>157</v>
      </c>
      <c r="K1203" s="49" t="s">
        <v>329</v>
      </c>
      <c r="L1203" s="39" t="s">
        <v>330</v>
      </c>
      <c r="M1203" s="49" t="s">
        <v>185</v>
      </c>
      <c r="N1203" s="39" t="s">
        <v>331</v>
      </c>
      <c r="O1203" s="96" t="s">
        <v>1640</v>
      </c>
      <c r="P1203" s="49" t="s">
        <v>157</v>
      </c>
      <c r="Q1203" s="96" t="s">
        <v>104</v>
      </c>
      <c r="R1203" s="52">
        <v>49.9</v>
      </c>
      <c r="S1203" s="52">
        <f>R1203-T1203</f>
        <v>44.55357142857143</v>
      </c>
      <c r="T1203" s="52">
        <f>R1203*U1203/(U1203+100)</f>
        <v>5.346428571428571</v>
      </c>
      <c r="U1203" s="50">
        <v>12</v>
      </c>
      <c r="V1203" s="53">
        <v>0</v>
      </c>
      <c r="W1203" s="147">
        <v>1</v>
      </c>
      <c r="X1203" s="148" t="s">
        <v>163</v>
      </c>
      <c r="Y1203" s="54">
        <f>R1203*W1203</f>
        <v>49.9</v>
      </c>
      <c r="Z1203" s="52">
        <f>S1203*W1203</f>
        <v>44.55357142857143</v>
      </c>
      <c r="AA1203" s="52">
        <f>T1203*W1203</f>
        <v>5.346428571428571</v>
      </c>
      <c r="AB1203" s="52">
        <f>V1203*W1203</f>
        <v>0</v>
      </c>
      <c r="AC1203" s="53">
        <f>(R1203+V1203)*W1203</f>
        <v>49.9</v>
      </c>
      <c r="AD1203" s="138">
        <v>49.9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107</v>
      </c>
      <c r="F1204" s="96" t="s">
        <v>106</v>
      </c>
      <c r="G1204" s="97">
        <v>46132</v>
      </c>
      <c r="H1204" s="98">
        <v>0.47078703703703706</v>
      </c>
      <c r="I1204" s="50">
        <v>166004672</v>
      </c>
      <c r="J1204" s="96" t="s">
        <v>157</v>
      </c>
      <c r="K1204" s="49" t="s">
        <v>2285</v>
      </c>
      <c r="L1204" s="39" t="s">
        <v>2286</v>
      </c>
      <c r="M1204" s="49" t="s">
        <v>214</v>
      </c>
      <c r="N1204" s="39" t="s">
        <v>1595</v>
      </c>
      <c r="O1204" s="96" t="s">
        <v>2287</v>
      </c>
      <c r="P1204" s="49" t="s">
        <v>157</v>
      </c>
      <c r="Q1204" s="96" t="s">
        <v>104</v>
      </c>
      <c r="R1204" s="52">
        <v>37.9</v>
      </c>
      <c r="S1204" s="52">
        <f>R1204-T1204</f>
        <v>33.839285714285715</v>
      </c>
      <c r="T1204" s="52">
        <f>R1204*U1204/(U1204+100)</f>
        <v>4.060714285714285</v>
      </c>
      <c r="U1204" s="50">
        <v>12</v>
      </c>
      <c r="V1204" s="53">
        <v>0</v>
      </c>
      <c r="W1204" s="147">
        <v>1</v>
      </c>
      <c r="X1204" s="148" t="s">
        <v>163</v>
      </c>
      <c r="Y1204" s="54">
        <f>R1204*W1204</f>
        <v>37.9</v>
      </c>
      <c r="Z1204" s="52">
        <f>S1204*W1204</f>
        <v>33.839285714285715</v>
      </c>
      <c r="AA1204" s="52">
        <f>T1204*W1204</f>
        <v>4.060714285714285</v>
      </c>
      <c r="AB1204" s="52">
        <f>V1204*W1204</f>
        <v>0</v>
      </c>
      <c r="AC1204" s="53">
        <f>(R1204+V1204)*W1204</f>
        <v>37.9</v>
      </c>
      <c r="AD1204" s="138">
        <v>37.9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107</v>
      </c>
      <c r="F1205" s="96" t="s">
        <v>106</v>
      </c>
      <c r="G1205" s="97">
        <v>46132</v>
      </c>
      <c r="H1205" s="98">
        <v>0.47130787037037036</v>
      </c>
      <c r="I1205" s="50">
        <v>166004673</v>
      </c>
      <c r="J1205" s="96" t="s">
        <v>157</v>
      </c>
      <c r="K1205" s="49" t="s">
        <v>183</v>
      </c>
      <c r="L1205" s="39" t="s">
        <v>184</v>
      </c>
      <c r="M1205" s="49" t="s">
        <v>185</v>
      </c>
      <c r="N1205" s="39" t="s">
        <v>186</v>
      </c>
      <c r="O1205" s="96" t="s">
        <v>988</v>
      </c>
      <c r="P1205" s="49" t="s">
        <v>157</v>
      </c>
      <c r="Q1205" s="96" t="s">
        <v>104</v>
      </c>
      <c r="R1205" s="52">
        <v>1.9</v>
      </c>
      <c r="S1205" s="52">
        <f>R1205-T1205</f>
        <v>1.5702479338842974</v>
      </c>
      <c r="T1205" s="52">
        <f>R1205*U1205/(U1205+100)</f>
        <v>0.32975206611570246</v>
      </c>
      <c r="U1205" s="50">
        <v>21</v>
      </c>
      <c r="V1205" s="53">
        <v>0</v>
      </c>
      <c r="W1205" s="147">
        <v>1</v>
      </c>
      <c r="X1205" s="148" t="s">
        <v>163</v>
      </c>
      <c r="Y1205" s="54">
        <f>R1205*W1205</f>
        <v>1.9</v>
      </c>
      <c r="Z1205" s="52">
        <f>S1205*W1205</f>
        <v>1.5702479338842974</v>
      </c>
      <c r="AA1205" s="52">
        <f>T1205*W1205</f>
        <v>0.32975206611570246</v>
      </c>
      <c r="AB1205" s="52">
        <f>V1205*W1205</f>
        <v>0</v>
      </c>
      <c r="AC1205" s="53">
        <f>(R1205+V1205)*W1205</f>
        <v>1.9</v>
      </c>
      <c r="AD1205" s="138">
        <v>1.9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107</v>
      </c>
      <c r="F1206" s="96" t="s">
        <v>106</v>
      </c>
      <c r="G1206" s="97">
        <v>46132</v>
      </c>
      <c r="H1206" s="98">
        <v>0.47130787037037036</v>
      </c>
      <c r="I1206" s="50">
        <v>166004673</v>
      </c>
      <c r="J1206" s="96" t="s">
        <v>157</v>
      </c>
      <c r="K1206" s="49" t="s">
        <v>1440</v>
      </c>
      <c r="L1206" s="39" t="s">
        <v>1441</v>
      </c>
      <c r="M1206" s="49" t="s">
        <v>190</v>
      </c>
      <c r="N1206" s="39" t="s">
        <v>191</v>
      </c>
      <c r="O1206" s="96" t="s">
        <v>1442</v>
      </c>
      <c r="P1206" s="49" t="s">
        <v>157</v>
      </c>
      <c r="Q1206" s="96" t="s">
        <v>104</v>
      </c>
      <c r="R1206" s="52">
        <v>8.9</v>
      </c>
      <c r="S1206" s="52">
        <f>R1206-T1206</f>
        <v>7.946428571428572</v>
      </c>
      <c r="T1206" s="52">
        <f>R1206*U1206/(U1206+100)</f>
        <v>0.9535714285714286</v>
      </c>
      <c r="U1206" s="50">
        <v>12</v>
      </c>
      <c r="V1206" s="53">
        <v>0</v>
      </c>
      <c r="W1206" s="147">
        <v>0.742</v>
      </c>
      <c r="X1206" s="148" t="s">
        <v>193</v>
      </c>
      <c r="Y1206" s="54">
        <f>R1206*W1206</f>
        <v>6.603800000000001</v>
      </c>
      <c r="Z1206" s="52">
        <f>S1206*W1206</f>
        <v>5.89625</v>
      </c>
      <c r="AA1206" s="52">
        <f>T1206*W1206</f>
        <v>0.70755</v>
      </c>
      <c r="AB1206" s="52">
        <f>V1206*W1206</f>
        <v>0</v>
      </c>
      <c r="AC1206" s="53">
        <f>(R1206+V1206)*W1206</f>
        <v>6.603800000000001</v>
      </c>
      <c r="AD1206" s="138">
        <v>8.9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107</v>
      </c>
      <c r="F1207" s="96" t="s">
        <v>106</v>
      </c>
      <c r="G1207" s="97">
        <v>46132</v>
      </c>
      <c r="H1207" s="98">
        <v>0.47130787037037036</v>
      </c>
      <c r="I1207" s="50">
        <v>166004673</v>
      </c>
      <c r="J1207" s="96" t="s">
        <v>157</v>
      </c>
      <c r="K1207" s="49" t="s">
        <v>303</v>
      </c>
      <c r="L1207" s="39" t="s">
        <v>304</v>
      </c>
      <c r="M1207" s="49" t="s">
        <v>214</v>
      </c>
      <c r="N1207" s="39" t="s">
        <v>296</v>
      </c>
      <c r="O1207" s="96" t="s">
        <v>305</v>
      </c>
      <c r="P1207" s="49" t="s">
        <v>157</v>
      </c>
      <c r="Q1207" s="96" t="s">
        <v>104</v>
      </c>
      <c r="R1207" s="52">
        <v>11.9</v>
      </c>
      <c r="S1207" s="52">
        <f>R1207-T1207</f>
        <v>10.625</v>
      </c>
      <c r="T1207" s="52">
        <f>R1207*U1207/(U1207+100)</f>
        <v>1.2750000000000001</v>
      </c>
      <c r="U1207" s="50">
        <v>12</v>
      </c>
      <c r="V1207" s="53">
        <v>0</v>
      </c>
      <c r="W1207" s="147">
        <v>1</v>
      </c>
      <c r="X1207" s="148" t="s">
        <v>163</v>
      </c>
      <c r="Y1207" s="54">
        <f>R1207*W1207</f>
        <v>11.9</v>
      </c>
      <c r="Z1207" s="52">
        <f>S1207*W1207</f>
        <v>10.625</v>
      </c>
      <c r="AA1207" s="52">
        <f>T1207*W1207</f>
        <v>1.2750000000000001</v>
      </c>
      <c r="AB1207" s="52">
        <f>V1207*W1207</f>
        <v>0</v>
      </c>
      <c r="AC1207" s="53">
        <f>(R1207+V1207)*W1207</f>
        <v>11.9</v>
      </c>
      <c r="AD1207" s="138">
        <v>11.9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107</v>
      </c>
      <c r="F1208" s="96" t="s">
        <v>106</v>
      </c>
      <c r="G1208" s="97">
        <v>46132</v>
      </c>
      <c r="H1208" s="98">
        <v>0.47130787037037036</v>
      </c>
      <c r="I1208" s="50">
        <v>166004673</v>
      </c>
      <c r="J1208" s="96" t="s">
        <v>157</v>
      </c>
      <c r="K1208" s="49" t="s">
        <v>942</v>
      </c>
      <c r="L1208" s="39"/>
      <c r="M1208" s="49" t="s">
        <v>295</v>
      </c>
      <c r="N1208" s="39" t="s">
        <v>433</v>
      </c>
      <c r="O1208" s="96" t="s">
        <v>1332</v>
      </c>
      <c r="P1208" s="49" t="s">
        <v>235</v>
      </c>
      <c r="Q1208" s="96" t="s">
        <v>944</v>
      </c>
      <c r="R1208" s="52">
        <v>9.9</v>
      </c>
      <c r="S1208" s="52">
        <f>R1208-T1208</f>
        <v>8.839285714285715</v>
      </c>
      <c r="T1208" s="52">
        <f>R1208*U1208/(U1208+100)</f>
        <v>1.0607142857142857</v>
      </c>
      <c r="U1208" s="50">
        <v>12</v>
      </c>
      <c r="V1208" s="53">
        <v>0</v>
      </c>
      <c r="W1208" s="147">
        <v>1</v>
      </c>
      <c r="X1208" s="148" t="s">
        <v>945</v>
      </c>
      <c r="Y1208" s="54">
        <f>R1208*W1208</f>
        <v>9.9</v>
      </c>
      <c r="Z1208" s="52">
        <f>S1208*W1208</f>
        <v>8.839285714285715</v>
      </c>
      <c r="AA1208" s="52">
        <f>T1208*W1208</f>
        <v>1.0607142857142857</v>
      </c>
      <c r="AB1208" s="52">
        <f>V1208*W1208</f>
        <v>0</v>
      </c>
      <c r="AC1208" s="53">
        <f>(R1208+V1208)*W1208</f>
        <v>9.9</v>
      </c>
      <c r="AD1208" s="138">
        <v>9.9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107</v>
      </c>
      <c r="F1209" s="96" t="s">
        <v>106</v>
      </c>
      <c r="G1209" s="97">
        <v>46132</v>
      </c>
      <c r="H1209" s="98">
        <v>0.4716666666666667</v>
      </c>
      <c r="I1209" s="50">
        <v>166004674</v>
      </c>
      <c r="J1209" s="96" t="s">
        <v>157</v>
      </c>
      <c r="K1209" s="49" t="s">
        <v>1021</v>
      </c>
      <c r="L1209" s="39" t="s">
        <v>1022</v>
      </c>
      <c r="M1209" s="49" t="s">
        <v>190</v>
      </c>
      <c r="N1209" s="39" t="s">
        <v>532</v>
      </c>
      <c r="O1209" s="96" t="s">
        <v>1023</v>
      </c>
      <c r="P1209" s="49" t="s">
        <v>157</v>
      </c>
      <c r="Q1209" s="96" t="s">
        <v>104</v>
      </c>
      <c r="R1209" s="52">
        <v>48.9</v>
      </c>
      <c r="S1209" s="52">
        <f>R1209-T1209</f>
        <v>43.660714285714285</v>
      </c>
      <c r="T1209" s="52">
        <f>R1209*U1209/(U1209+100)</f>
        <v>5.239285714285714</v>
      </c>
      <c r="U1209" s="50">
        <v>12</v>
      </c>
      <c r="V1209" s="53">
        <v>0</v>
      </c>
      <c r="W1209" s="147">
        <v>0.118</v>
      </c>
      <c r="X1209" s="148" t="s">
        <v>193</v>
      </c>
      <c r="Y1209" s="54">
        <f>R1209*W1209</f>
        <v>5.770199999999999</v>
      </c>
      <c r="Z1209" s="52">
        <f>S1209*W1209</f>
        <v>5.1519642857142856</v>
      </c>
      <c r="AA1209" s="52">
        <f>T1209*W1209</f>
        <v>0.6182357142857142</v>
      </c>
      <c r="AB1209" s="52">
        <f>V1209*W1209</f>
        <v>0</v>
      </c>
      <c r="AC1209" s="53">
        <f>(R1209+V1209)*W1209</f>
        <v>5.770199999999999</v>
      </c>
      <c r="AD1209" s="138">
        <v>48.9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107</v>
      </c>
      <c r="F1210" s="96" t="s">
        <v>106</v>
      </c>
      <c r="G1210" s="97">
        <v>46132</v>
      </c>
      <c r="H1210" s="98">
        <v>0.47203703703703703</v>
      </c>
      <c r="I1210" s="50">
        <v>166004675</v>
      </c>
      <c r="J1210" s="96" t="s">
        <v>157</v>
      </c>
      <c r="K1210" s="49" t="s">
        <v>2288</v>
      </c>
      <c r="L1210" s="39" t="s">
        <v>2289</v>
      </c>
      <c r="M1210" s="49" t="s">
        <v>1252</v>
      </c>
      <c r="N1210" s="39" t="s">
        <v>348</v>
      </c>
      <c r="O1210" s="96" t="s">
        <v>2290</v>
      </c>
      <c r="P1210" s="49" t="s">
        <v>157</v>
      </c>
      <c r="Q1210" s="96" t="s">
        <v>104</v>
      </c>
      <c r="R1210" s="52">
        <v>15.9</v>
      </c>
      <c r="S1210" s="52">
        <f>R1210-T1210</f>
        <v>14.196428571428571</v>
      </c>
      <c r="T1210" s="52">
        <f>R1210*U1210/(U1210+100)</f>
        <v>1.7035714285714287</v>
      </c>
      <c r="U1210" s="50">
        <v>12</v>
      </c>
      <c r="V1210" s="53">
        <v>0</v>
      </c>
      <c r="W1210" s="147">
        <v>1</v>
      </c>
      <c r="X1210" s="148" t="s">
        <v>163</v>
      </c>
      <c r="Y1210" s="54">
        <f>R1210*W1210</f>
        <v>15.9</v>
      </c>
      <c r="Z1210" s="52">
        <f>S1210*W1210</f>
        <v>14.196428571428571</v>
      </c>
      <c r="AA1210" s="52">
        <f>T1210*W1210</f>
        <v>1.7035714285714287</v>
      </c>
      <c r="AB1210" s="52">
        <f>V1210*W1210</f>
        <v>0</v>
      </c>
      <c r="AC1210" s="53">
        <f>(R1210+V1210)*W1210</f>
        <v>15.9</v>
      </c>
      <c r="AD1210" s="138">
        <v>15.9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107</v>
      </c>
      <c r="F1211" s="96" t="s">
        <v>106</v>
      </c>
      <c r="G1211" s="97">
        <v>46132</v>
      </c>
      <c r="H1211" s="98">
        <v>0.4738888888888889</v>
      </c>
      <c r="I1211" s="50">
        <v>166004676</v>
      </c>
      <c r="J1211" s="96" t="s">
        <v>157</v>
      </c>
      <c r="K1211" s="49" t="s">
        <v>1881</v>
      </c>
      <c r="L1211" s="39" t="s">
        <v>1882</v>
      </c>
      <c r="M1211" s="49" t="s">
        <v>268</v>
      </c>
      <c r="N1211" s="39" t="s">
        <v>309</v>
      </c>
      <c r="O1211" s="96" t="s">
        <v>1883</v>
      </c>
      <c r="P1211" s="49" t="s">
        <v>157</v>
      </c>
      <c r="Q1211" s="96" t="s">
        <v>104</v>
      </c>
      <c r="R1211" s="52">
        <v>22.9</v>
      </c>
      <c r="S1211" s="52">
        <f>R1211-T1211</f>
        <v>20.44642857142857</v>
      </c>
      <c r="T1211" s="52">
        <f>R1211*U1211/(U1211+100)</f>
        <v>2.4535714285714283</v>
      </c>
      <c r="U1211" s="50">
        <v>12</v>
      </c>
      <c r="V1211" s="53">
        <v>0</v>
      </c>
      <c r="W1211" s="147">
        <v>1</v>
      </c>
      <c r="X1211" s="148" t="s">
        <v>163</v>
      </c>
      <c r="Y1211" s="54">
        <f>R1211*W1211</f>
        <v>22.9</v>
      </c>
      <c r="Z1211" s="52">
        <f>S1211*W1211</f>
        <v>20.44642857142857</v>
      </c>
      <c r="AA1211" s="52">
        <f>T1211*W1211</f>
        <v>2.4535714285714283</v>
      </c>
      <c r="AB1211" s="52">
        <f>V1211*W1211</f>
        <v>0</v>
      </c>
      <c r="AC1211" s="53">
        <f>(R1211+V1211)*W1211</f>
        <v>22.9</v>
      </c>
      <c r="AD1211" s="138">
        <v>22.9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107</v>
      </c>
      <c r="F1212" s="96" t="s">
        <v>106</v>
      </c>
      <c r="G1212" s="97">
        <v>46132</v>
      </c>
      <c r="H1212" s="98">
        <v>0.4738888888888889</v>
      </c>
      <c r="I1212" s="50">
        <v>166004676</v>
      </c>
      <c r="J1212" s="96" t="s">
        <v>157</v>
      </c>
      <c r="K1212" s="49" t="s">
        <v>2291</v>
      </c>
      <c r="L1212" s="39" t="s">
        <v>2292</v>
      </c>
      <c r="M1212" s="49" t="s">
        <v>886</v>
      </c>
      <c r="N1212" s="39" t="s">
        <v>309</v>
      </c>
      <c r="O1212" s="96" t="s">
        <v>2293</v>
      </c>
      <c r="P1212" s="49" t="s">
        <v>157</v>
      </c>
      <c r="Q1212" s="96" t="s">
        <v>104</v>
      </c>
      <c r="R1212" s="52">
        <v>16.9</v>
      </c>
      <c r="S1212" s="52">
        <f>R1212-T1212</f>
        <v>15.089285714285714</v>
      </c>
      <c r="T1212" s="52">
        <f>R1212*U1212/(U1212+100)</f>
        <v>1.8107142857142855</v>
      </c>
      <c r="U1212" s="50">
        <v>12</v>
      </c>
      <c r="V1212" s="53">
        <v>0</v>
      </c>
      <c r="W1212" s="147">
        <v>1</v>
      </c>
      <c r="X1212" s="148" t="s">
        <v>163</v>
      </c>
      <c r="Y1212" s="54">
        <f>R1212*W1212</f>
        <v>16.9</v>
      </c>
      <c r="Z1212" s="52">
        <f>S1212*W1212</f>
        <v>15.089285714285714</v>
      </c>
      <c r="AA1212" s="52">
        <f>T1212*W1212</f>
        <v>1.8107142857142855</v>
      </c>
      <c r="AB1212" s="52">
        <f>V1212*W1212</f>
        <v>0</v>
      </c>
      <c r="AC1212" s="53">
        <f>(R1212+V1212)*W1212</f>
        <v>16.9</v>
      </c>
      <c r="AD1212" s="138">
        <v>16.9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107</v>
      </c>
      <c r="F1213" s="96" t="s">
        <v>106</v>
      </c>
      <c r="G1213" s="97">
        <v>46132</v>
      </c>
      <c r="H1213" s="98">
        <v>0.4738888888888889</v>
      </c>
      <c r="I1213" s="50">
        <v>166004676</v>
      </c>
      <c r="J1213" s="96" t="s">
        <v>157</v>
      </c>
      <c r="K1213" s="49" t="s">
        <v>2294</v>
      </c>
      <c r="L1213" s="39" t="s">
        <v>2295</v>
      </c>
      <c r="M1213" s="49" t="s">
        <v>2296</v>
      </c>
      <c r="N1213" s="39" t="s">
        <v>414</v>
      </c>
      <c r="O1213" s="96" t="s">
        <v>2297</v>
      </c>
      <c r="P1213" s="49" t="s">
        <v>157</v>
      </c>
      <c r="Q1213" s="96" t="s">
        <v>104</v>
      </c>
      <c r="R1213" s="52">
        <v>9.9</v>
      </c>
      <c r="S1213" s="52">
        <f>R1213-T1213</f>
        <v>8.839285714285715</v>
      </c>
      <c r="T1213" s="52">
        <f>R1213*U1213/(U1213+100)</f>
        <v>1.0607142857142857</v>
      </c>
      <c r="U1213" s="50">
        <v>12</v>
      </c>
      <c r="V1213" s="53">
        <v>0</v>
      </c>
      <c r="W1213" s="147">
        <v>1</v>
      </c>
      <c r="X1213" s="148" t="s">
        <v>163</v>
      </c>
      <c r="Y1213" s="54">
        <f>R1213*W1213</f>
        <v>9.9</v>
      </c>
      <c r="Z1213" s="52">
        <f>S1213*W1213</f>
        <v>8.839285714285715</v>
      </c>
      <c r="AA1213" s="52">
        <f>T1213*W1213</f>
        <v>1.0607142857142857</v>
      </c>
      <c r="AB1213" s="52">
        <f>V1213*W1213</f>
        <v>0</v>
      </c>
      <c r="AC1213" s="53">
        <f>(R1213+V1213)*W1213</f>
        <v>9.9</v>
      </c>
      <c r="AD1213" s="138">
        <v>9.9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107</v>
      </c>
      <c r="F1214" s="96" t="s">
        <v>106</v>
      </c>
      <c r="G1214" s="97">
        <v>46132</v>
      </c>
      <c r="H1214" s="98">
        <v>0.4738888888888889</v>
      </c>
      <c r="I1214" s="50">
        <v>166004676</v>
      </c>
      <c r="J1214" s="96" t="s">
        <v>157</v>
      </c>
      <c r="K1214" s="49" t="s">
        <v>2298</v>
      </c>
      <c r="L1214" s="39" t="s">
        <v>2299</v>
      </c>
      <c r="M1214" s="49" t="s">
        <v>185</v>
      </c>
      <c r="N1214" s="39" t="s">
        <v>653</v>
      </c>
      <c r="O1214" s="96" t="s">
        <v>2300</v>
      </c>
      <c r="P1214" s="49" t="s">
        <v>157</v>
      </c>
      <c r="Q1214" s="96" t="s">
        <v>104</v>
      </c>
      <c r="R1214" s="52">
        <v>37.9</v>
      </c>
      <c r="S1214" s="52">
        <f>R1214-T1214</f>
        <v>31.322314049586776</v>
      </c>
      <c r="T1214" s="52">
        <f>R1214*U1214/(U1214+100)</f>
        <v>6.577685950413223</v>
      </c>
      <c r="U1214" s="50">
        <v>21</v>
      </c>
      <c r="V1214" s="53">
        <v>0</v>
      </c>
      <c r="W1214" s="147">
        <v>1</v>
      </c>
      <c r="X1214" s="148" t="s">
        <v>163</v>
      </c>
      <c r="Y1214" s="54">
        <f>R1214*W1214</f>
        <v>37.9</v>
      </c>
      <c r="Z1214" s="52">
        <f>S1214*W1214</f>
        <v>31.322314049586776</v>
      </c>
      <c r="AA1214" s="52">
        <f>T1214*W1214</f>
        <v>6.577685950413223</v>
      </c>
      <c r="AB1214" s="52">
        <f>V1214*W1214</f>
        <v>0</v>
      </c>
      <c r="AC1214" s="53">
        <f>(R1214+V1214)*W1214</f>
        <v>37.9</v>
      </c>
      <c r="AD1214" s="138">
        <v>37.9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107</v>
      </c>
      <c r="F1215" s="96" t="s">
        <v>106</v>
      </c>
      <c r="G1215" s="97">
        <v>46132</v>
      </c>
      <c r="H1215" s="98">
        <v>0.4738888888888889</v>
      </c>
      <c r="I1215" s="50">
        <v>166004676</v>
      </c>
      <c r="J1215" s="96" t="s">
        <v>157</v>
      </c>
      <c r="K1215" s="49" t="s">
        <v>2298</v>
      </c>
      <c r="L1215" s="39" t="s">
        <v>2299</v>
      </c>
      <c r="M1215" s="49" t="s">
        <v>185</v>
      </c>
      <c r="N1215" s="39" t="s">
        <v>653</v>
      </c>
      <c r="O1215" s="96" t="s">
        <v>2300</v>
      </c>
      <c r="P1215" s="49" t="s">
        <v>157</v>
      </c>
      <c r="Q1215" s="96" t="s">
        <v>104</v>
      </c>
      <c r="R1215" s="52">
        <v>37.9</v>
      </c>
      <c r="S1215" s="52">
        <f>R1215-T1215</f>
        <v>31.322314049586776</v>
      </c>
      <c r="T1215" s="52">
        <f>R1215*U1215/(U1215+100)</f>
        <v>6.577685950413223</v>
      </c>
      <c r="U1215" s="50">
        <v>21</v>
      </c>
      <c r="V1215" s="53">
        <v>0</v>
      </c>
      <c r="W1215" s="147">
        <v>1</v>
      </c>
      <c r="X1215" s="148" t="s">
        <v>163</v>
      </c>
      <c r="Y1215" s="54">
        <f>R1215*W1215</f>
        <v>37.9</v>
      </c>
      <c r="Z1215" s="52">
        <f>S1215*W1215</f>
        <v>31.322314049586776</v>
      </c>
      <c r="AA1215" s="52">
        <f>T1215*W1215</f>
        <v>6.577685950413223</v>
      </c>
      <c r="AB1215" s="52">
        <f>V1215*W1215</f>
        <v>0</v>
      </c>
      <c r="AC1215" s="53">
        <f>(R1215+V1215)*W1215</f>
        <v>37.9</v>
      </c>
      <c r="AD1215" s="138">
        <v>37.9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107</v>
      </c>
      <c r="F1216" s="96" t="s">
        <v>106</v>
      </c>
      <c r="G1216" s="97">
        <v>46132</v>
      </c>
      <c r="H1216" s="98">
        <v>0.4738888888888889</v>
      </c>
      <c r="I1216" s="50">
        <v>166004676</v>
      </c>
      <c r="J1216" s="96" t="s">
        <v>157</v>
      </c>
      <c r="K1216" s="49" t="s">
        <v>303</v>
      </c>
      <c r="L1216" s="39" t="s">
        <v>304</v>
      </c>
      <c r="M1216" s="49" t="s">
        <v>214</v>
      </c>
      <c r="N1216" s="39" t="s">
        <v>296</v>
      </c>
      <c r="O1216" s="96" t="s">
        <v>305</v>
      </c>
      <c r="P1216" s="49" t="s">
        <v>157</v>
      </c>
      <c r="Q1216" s="96" t="s">
        <v>104</v>
      </c>
      <c r="R1216" s="52">
        <v>11.9</v>
      </c>
      <c r="S1216" s="52">
        <f>R1216-T1216</f>
        <v>10.625</v>
      </c>
      <c r="T1216" s="52">
        <f>R1216*U1216/(U1216+100)</f>
        <v>1.2750000000000001</v>
      </c>
      <c r="U1216" s="50">
        <v>12</v>
      </c>
      <c r="V1216" s="53">
        <v>0</v>
      </c>
      <c r="W1216" s="147">
        <v>1</v>
      </c>
      <c r="X1216" s="148" t="s">
        <v>163</v>
      </c>
      <c r="Y1216" s="54">
        <f>R1216*W1216</f>
        <v>11.9</v>
      </c>
      <c r="Z1216" s="52">
        <f>S1216*W1216</f>
        <v>10.625</v>
      </c>
      <c r="AA1216" s="52">
        <f>T1216*W1216</f>
        <v>1.2750000000000001</v>
      </c>
      <c r="AB1216" s="52">
        <f>V1216*W1216</f>
        <v>0</v>
      </c>
      <c r="AC1216" s="53">
        <f>(R1216+V1216)*W1216</f>
        <v>11.9</v>
      </c>
      <c r="AD1216" s="138">
        <v>11.9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107</v>
      </c>
      <c r="F1217" s="96" t="s">
        <v>106</v>
      </c>
      <c r="G1217" s="97">
        <v>46132</v>
      </c>
      <c r="H1217" s="98">
        <v>0.47467592592592595</v>
      </c>
      <c r="I1217" s="50">
        <v>166004677</v>
      </c>
      <c r="J1217" s="96" t="s">
        <v>157</v>
      </c>
      <c r="K1217" s="49" t="s">
        <v>1661</v>
      </c>
      <c r="L1217" s="39" t="s">
        <v>1662</v>
      </c>
      <c r="M1217" s="49" t="s">
        <v>196</v>
      </c>
      <c r="N1217" s="39" t="s">
        <v>239</v>
      </c>
      <c r="O1217" s="96" t="s">
        <v>1663</v>
      </c>
      <c r="P1217" s="49" t="s">
        <v>157</v>
      </c>
      <c r="Q1217" s="96" t="s">
        <v>104</v>
      </c>
      <c r="R1217" s="52">
        <v>11.4</v>
      </c>
      <c r="S1217" s="52">
        <f>R1217-T1217</f>
        <v>10.178571428571429</v>
      </c>
      <c r="T1217" s="52">
        <f>R1217*U1217/(U1217+100)</f>
        <v>1.2214285714285715</v>
      </c>
      <c r="U1217" s="50">
        <v>12</v>
      </c>
      <c r="V1217" s="53">
        <v>0</v>
      </c>
      <c r="W1217" s="147">
        <v>1</v>
      </c>
      <c r="X1217" s="148" t="s">
        <v>163</v>
      </c>
      <c r="Y1217" s="54">
        <f>R1217*W1217</f>
        <v>11.4</v>
      </c>
      <c r="Z1217" s="52">
        <f>S1217*W1217</f>
        <v>10.178571428571429</v>
      </c>
      <c r="AA1217" s="52">
        <f>T1217*W1217</f>
        <v>1.2214285714285715</v>
      </c>
      <c r="AB1217" s="52">
        <f>V1217*W1217</f>
        <v>0</v>
      </c>
      <c r="AC1217" s="53">
        <f>(R1217+V1217)*W1217</f>
        <v>11.4</v>
      </c>
      <c r="AD1217" s="138">
        <v>11.4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107</v>
      </c>
      <c r="F1218" s="96" t="s">
        <v>106</v>
      </c>
      <c r="G1218" s="97">
        <v>46132</v>
      </c>
      <c r="H1218" s="98">
        <v>0.47467592592592595</v>
      </c>
      <c r="I1218" s="50">
        <v>166004677</v>
      </c>
      <c r="J1218" s="96" t="s">
        <v>157</v>
      </c>
      <c r="K1218" s="49" t="s">
        <v>1549</v>
      </c>
      <c r="L1218" s="39" t="s">
        <v>1550</v>
      </c>
      <c r="M1218" s="49" t="s">
        <v>466</v>
      </c>
      <c r="N1218" s="39" t="s">
        <v>609</v>
      </c>
      <c r="O1218" s="96" t="s">
        <v>1551</v>
      </c>
      <c r="P1218" s="49" t="s">
        <v>157</v>
      </c>
      <c r="Q1218" s="96" t="s">
        <v>104</v>
      </c>
      <c r="R1218" s="52">
        <v>10.43</v>
      </c>
      <c r="S1218" s="52">
        <f>R1218-T1218</f>
        <v>9.3125</v>
      </c>
      <c r="T1218" s="52">
        <f>R1218*U1218/(U1218+100)</f>
        <v>1.1175</v>
      </c>
      <c r="U1218" s="50">
        <v>12</v>
      </c>
      <c r="V1218" s="53">
        <v>0</v>
      </c>
      <c r="W1218" s="147">
        <v>1</v>
      </c>
      <c r="X1218" s="148" t="s">
        <v>163</v>
      </c>
      <c r="Y1218" s="54">
        <f>R1218*W1218</f>
        <v>10.43</v>
      </c>
      <c r="Z1218" s="52">
        <f>S1218*W1218</f>
        <v>9.3125</v>
      </c>
      <c r="AA1218" s="52">
        <f>T1218*W1218</f>
        <v>1.1175</v>
      </c>
      <c r="AB1218" s="52">
        <f>V1218*W1218</f>
        <v>0</v>
      </c>
      <c r="AC1218" s="53">
        <f>(R1218+V1218)*W1218</f>
        <v>10.43</v>
      </c>
      <c r="AD1218" s="138">
        <v>14.9</v>
      </c>
      <c r="AE1218" s="137">
        <v>4.47</v>
      </c>
      <c r="AF1218" s="139">
        <v>4.47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107</v>
      </c>
      <c r="F1219" s="96" t="s">
        <v>106</v>
      </c>
      <c r="G1219" s="97">
        <v>46132</v>
      </c>
      <c r="H1219" s="98">
        <v>0.47467592592592595</v>
      </c>
      <c r="I1219" s="50">
        <v>166004677</v>
      </c>
      <c r="J1219" s="96" t="s">
        <v>157</v>
      </c>
      <c r="K1219" s="49" t="s">
        <v>2301</v>
      </c>
      <c r="L1219" s="39" t="s">
        <v>2302</v>
      </c>
      <c r="M1219" s="49" t="s">
        <v>282</v>
      </c>
      <c r="N1219" s="39" t="s">
        <v>609</v>
      </c>
      <c r="O1219" s="96" t="s">
        <v>2303</v>
      </c>
      <c r="P1219" s="49" t="s">
        <v>157</v>
      </c>
      <c r="Q1219" s="96" t="s">
        <v>104</v>
      </c>
      <c r="R1219" s="52">
        <v>11.83</v>
      </c>
      <c r="S1219" s="52">
        <f>R1219-T1219</f>
        <v>10.5625</v>
      </c>
      <c r="T1219" s="52">
        <f>R1219*U1219/(U1219+100)</f>
        <v>1.2675</v>
      </c>
      <c r="U1219" s="50">
        <v>12</v>
      </c>
      <c r="V1219" s="53">
        <v>0</v>
      </c>
      <c r="W1219" s="147">
        <v>1</v>
      </c>
      <c r="X1219" s="148" t="s">
        <v>163</v>
      </c>
      <c r="Y1219" s="54">
        <f>R1219*W1219</f>
        <v>11.83</v>
      </c>
      <c r="Z1219" s="52">
        <f>S1219*W1219</f>
        <v>10.5625</v>
      </c>
      <c r="AA1219" s="52">
        <f>T1219*W1219</f>
        <v>1.2675</v>
      </c>
      <c r="AB1219" s="52">
        <f>V1219*W1219</f>
        <v>0</v>
      </c>
      <c r="AC1219" s="53">
        <f>(R1219+V1219)*W1219</f>
        <v>11.83</v>
      </c>
      <c r="AD1219" s="138">
        <v>16.9</v>
      </c>
      <c r="AE1219" s="137">
        <v>5.07</v>
      </c>
      <c r="AF1219" s="139">
        <v>5.07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107</v>
      </c>
      <c r="F1220" s="96" t="s">
        <v>106</v>
      </c>
      <c r="G1220" s="97">
        <v>46132</v>
      </c>
      <c r="H1220" s="98">
        <v>0.47467592592592595</v>
      </c>
      <c r="I1220" s="50">
        <v>166004677</v>
      </c>
      <c r="J1220" s="96" t="s">
        <v>157</v>
      </c>
      <c r="K1220" s="49" t="s">
        <v>2304</v>
      </c>
      <c r="L1220" s="39" t="s">
        <v>2305</v>
      </c>
      <c r="M1220" s="49" t="s">
        <v>823</v>
      </c>
      <c r="N1220" s="39" t="s">
        <v>609</v>
      </c>
      <c r="O1220" s="96" t="s">
        <v>2306</v>
      </c>
      <c r="P1220" s="49" t="s">
        <v>157</v>
      </c>
      <c r="Q1220" s="96" t="s">
        <v>104</v>
      </c>
      <c r="R1220" s="52">
        <v>8.33</v>
      </c>
      <c r="S1220" s="52">
        <f>R1220-T1220</f>
        <v>7.4375</v>
      </c>
      <c r="T1220" s="52">
        <f>R1220*U1220/(U1220+100)</f>
        <v>0.8925000000000001</v>
      </c>
      <c r="U1220" s="50">
        <v>12</v>
      </c>
      <c r="V1220" s="53">
        <v>0</v>
      </c>
      <c r="W1220" s="147">
        <v>1</v>
      </c>
      <c r="X1220" s="148" t="s">
        <v>163</v>
      </c>
      <c r="Y1220" s="54">
        <f>R1220*W1220</f>
        <v>8.33</v>
      </c>
      <c r="Z1220" s="52">
        <f>S1220*W1220</f>
        <v>7.4375</v>
      </c>
      <c r="AA1220" s="52">
        <f>T1220*W1220</f>
        <v>0.8925000000000001</v>
      </c>
      <c r="AB1220" s="52">
        <f>V1220*W1220</f>
        <v>0</v>
      </c>
      <c r="AC1220" s="53">
        <f>(R1220+V1220)*W1220</f>
        <v>8.33</v>
      </c>
      <c r="AD1220" s="138">
        <v>11.9</v>
      </c>
      <c r="AE1220" s="137">
        <v>3.57</v>
      </c>
      <c r="AF1220" s="139">
        <v>3.57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107</v>
      </c>
      <c r="F1221" s="96" t="s">
        <v>106</v>
      </c>
      <c r="G1221" s="97">
        <v>46132</v>
      </c>
      <c r="H1221" s="98">
        <v>0.47467592592592595</v>
      </c>
      <c r="I1221" s="50">
        <v>166004677</v>
      </c>
      <c r="J1221" s="96" t="s">
        <v>157</v>
      </c>
      <c r="K1221" s="49" t="s">
        <v>258</v>
      </c>
      <c r="L1221" s="39" t="s">
        <v>259</v>
      </c>
      <c r="M1221" s="49" t="s">
        <v>185</v>
      </c>
      <c r="N1221" s="39" t="s">
        <v>186</v>
      </c>
      <c r="O1221" s="96" t="s">
        <v>2307</v>
      </c>
      <c r="P1221" s="49" t="s">
        <v>157</v>
      </c>
      <c r="Q1221" s="96" t="s">
        <v>104</v>
      </c>
      <c r="R1221" s="52">
        <v>19.9</v>
      </c>
      <c r="S1221" s="52">
        <f>R1221-T1221</f>
        <v>16.446280991735534</v>
      </c>
      <c r="T1221" s="52">
        <f>R1221*U1221/(U1221+100)</f>
        <v>3.4537190082644624</v>
      </c>
      <c r="U1221" s="50">
        <v>21</v>
      </c>
      <c r="V1221" s="53">
        <v>0</v>
      </c>
      <c r="W1221" s="147">
        <v>1</v>
      </c>
      <c r="X1221" s="148" t="s">
        <v>163</v>
      </c>
      <c r="Y1221" s="54">
        <f>R1221*W1221</f>
        <v>19.9</v>
      </c>
      <c r="Z1221" s="52">
        <f>S1221*W1221</f>
        <v>16.446280991735534</v>
      </c>
      <c r="AA1221" s="52">
        <f>T1221*W1221</f>
        <v>3.4537190082644624</v>
      </c>
      <c r="AB1221" s="52">
        <f>V1221*W1221</f>
        <v>0</v>
      </c>
      <c r="AC1221" s="53">
        <f>(R1221+V1221)*W1221</f>
        <v>19.9</v>
      </c>
      <c r="AD1221" s="138">
        <v>19.9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107</v>
      </c>
      <c r="F1222" s="96" t="s">
        <v>106</v>
      </c>
      <c r="G1222" s="97">
        <v>46132</v>
      </c>
      <c r="H1222" s="98">
        <v>0.47467592592592595</v>
      </c>
      <c r="I1222" s="50">
        <v>166004677</v>
      </c>
      <c r="J1222" s="96" t="s">
        <v>157</v>
      </c>
      <c r="K1222" s="49" t="s">
        <v>530</v>
      </c>
      <c r="L1222" s="39" t="s">
        <v>531</v>
      </c>
      <c r="M1222" s="49" t="s">
        <v>190</v>
      </c>
      <c r="N1222" s="39" t="s">
        <v>532</v>
      </c>
      <c r="O1222" s="96" t="s">
        <v>533</v>
      </c>
      <c r="P1222" s="49" t="s">
        <v>157</v>
      </c>
      <c r="Q1222" s="96" t="s">
        <v>104</v>
      </c>
      <c r="R1222" s="52">
        <v>25.9</v>
      </c>
      <c r="S1222" s="52">
        <f>R1222-T1222</f>
        <v>23.125</v>
      </c>
      <c r="T1222" s="52">
        <f>R1222*U1222/(U1222+100)</f>
        <v>2.7749999999999995</v>
      </c>
      <c r="U1222" s="50">
        <v>12</v>
      </c>
      <c r="V1222" s="53">
        <v>0</v>
      </c>
      <c r="W1222" s="147">
        <v>0.52</v>
      </c>
      <c r="X1222" s="148" t="s">
        <v>193</v>
      </c>
      <c r="Y1222" s="54">
        <f>R1222*W1222</f>
        <v>13.468</v>
      </c>
      <c r="Z1222" s="52">
        <f>S1222*W1222</f>
        <v>12.025</v>
      </c>
      <c r="AA1222" s="52">
        <f>T1222*W1222</f>
        <v>1.4429999999999998</v>
      </c>
      <c r="AB1222" s="52">
        <f>V1222*W1222</f>
        <v>0</v>
      </c>
      <c r="AC1222" s="53">
        <f>(R1222+V1222)*W1222</f>
        <v>13.468</v>
      </c>
      <c r="AD1222" s="138">
        <v>25.9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107</v>
      </c>
      <c r="F1223" s="96" t="s">
        <v>106</v>
      </c>
      <c r="G1223" s="97">
        <v>46132</v>
      </c>
      <c r="H1223" s="98">
        <v>0.47467592592592595</v>
      </c>
      <c r="I1223" s="50">
        <v>166004677</v>
      </c>
      <c r="J1223" s="96" t="s">
        <v>157</v>
      </c>
      <c r="K1223" s="49" t="s">
        <v>303</v>
      </c>
      <c r="L1223" s="39" t="s">
        <v>304</v>
      </c>
      <c r="M1223" s="49" t="s">
        <v>214</v>
      </c>
      <c r="N1223" s="39" t="s">
        <v>296</v>
      </c>
      <c r="O1223" s="96" t="s">
        <v>305</v>
      </c>
      <c r="P1223" s="49" t="s">
        <v>157</v>
      </c>
      <c r="Q1223" s="96" t="s">
        <v>104</v>
      </c>
      <c r="R1223" s="52">
        <v>11.9</v>
      </c>
      <c r="S1223" s="52">
        <f>R1223-T1223</f>
        <v>10.625</v>
      </c>
      <c r="T1223" s="52">
        <f>R1223*U1223/(U1223+100)</f>
        <v>1.2750000000000001</v>
      </c>
      <c r="U1223" s="50">
        <v>12</v>
      </c>
      <c r="V1223" s="53">
        <v>0</v>
      </c>
      <c r="W1223" s="147">
        <v>1</v>
      </c>
      <c r="X1223" s="148" t="s">
        <v>163</v>
      </c>
      <c r="Y1223" s="54">
        <f>R1223*W1223</f>
        <v>11.9</v>
      </c>
      <c r="Z1223" s="52">
        <f>S1223*W1223</f>
        <v>10.625</v>
      </c>
      <c r="AA1223" s="52">
        <f>T1223*W1223</f>
        <v>1.2750000000000001</v>
      </c>
      <c r="AB1223" s="52">
        <f>V1223*W1223</f>
        <v>0</v>
      </c>
      <c r="AC1223" s="53">
        <f>(R1223+V1223)*W1223</f>
        <v>11.9</v>
      </c>
      <c r="AD1223" s="138">
        <v>11.9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107</v>
      </c>
      <c r="F1224" s="96" t="s">
        <v>106</v>
      </c>
      <c r="G1224" s="97">
        <v>46132</v>
      </c>
      <c r="H1224" s="98">
        <v>0.47467592592592595</v>
      </c>
      <c r="I1224" s="50">
        <v>166004677</v>
      </c>
      <c r="J1224" s="96" t="s">
        <v>157</v>
      </c>
      <c r="K1224" s="49" t="s">
        <v>1540</v>
      </c>
      <c r="L1224" s="39" t="s">
        <v>1541</v>
      </c>
      <c r="M1224" s="49" t="s">
        <v>997</v>
      </c>
      <c r="N1224" s="39" t="s">
        <v>1542</v>
      </c>
      <c r="O1224" s="96" t="s">
        <v>1543</v>
      </c>
      <c r="P1224" s="49" t="s">
        <v>157</v>
      </c>
      <c r="Q1224" s="96" t="s">
        <v>104</v>
      </c>
      <c r="R1224" s="52">
        <v>17.9</v>
      </c>
      <c r="S1224" s="52">
        <f>R1224-T1224</f>
        <v>15.982142857142856</v>
      </c>
      <c r="T1224" s="52">
        <f>R1224*U1224/(U1224+100)</f>
        <v>1.9178571428571427</v>
      </c>
      <c r="U1224" s="50">
        <v>12</v>
      </c>
      <c r="V1224" s="53">
        <v>0</v>
      </c>
      <c r="W1224" s="147">
        <v>1</v>
      </c>
      <c r="X1224" s="148" t="s">
        <v>945</v>
      </c>
      <c r="Y1224" s="54">
        <f>R1224*W1224</f>
        <v>17.9</v>
      </c>
      <c r="Z1224" s="52">
        <f>S1224*W1224</f>
        <v>15.982142857142856</v>
      </c>
      <c r="AA1224" s="52">
        <f>T1224*W1224</f>
        <v>1.9178571428571427</v>
      </c>
      <c r="AB1224" s="52">
        <f>V1224*W1224</f>
        <v>0</v>
      </c>
      <c r="AC1224" s="53">
        <f>(R1224+V1224)*W1224</f>
        <v>17.9</v>
      </c>
      <c r="AD1224" s="138">
        <v>17.9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107</v>
      </c>
      <c r="F1225" s="96" t="s">
        <v>106</v>
      </c>
      <c r="G1225" s="97">
        <v>46132</v>
      </c>
      <c r="H1225" s="98">
        <v>0.4750462962962963</v>
      </c>
      <c r="I1225" s="50">
        <v>166004678</v>
      </c>
      <c r="J1225" s="96" t="s">
        <v>157</v>
      </c>
      <c r="K1225" s="49" t="s">
        <v>1224</v>
      </c>
      <c r="L1225" s="39" t="s">
        <v>1225</v>
      </c>
      <c r="M1225" s="49" t="s">
        <v>190</v>
      </c>
      <c r="N1225" s="39" t="s">
        <v>532</v>
      </c>
      <c r="O1225" s="96" t="s">
        <v>1226</v>
      </c>
      <c r="P1225" s="49" t="s">
        <v>157</v>
      </c>
      <c r="Q1225" s="96" t="s">
        <v>104</v>
      </c>
      <c r="R1225" s="52">
        <v>44.9</v>
      </c>
      <c r="S1225" s="52">
        <f>R1225-T1225</f>
        <v>40.089285714285715</v>
      </c>
      <c r="T1225" s="52">
        <f>R1225*U1225/(U1225+100)</f>
        <v>4.810714285714285</v>
      </c>
      <c r="U1225" s="50">
        <v>12</v>
      </c>
      <c r="V1225" s="53">
        <v>0</v>
      </c>
      <c r="W1225" s="147">
        <v>0.142</v>
      </c>
      <c r="X1225" s="148" t="s">
        <v>193</v>
      </c>
      <c r="Y1225" s="54">
        <f>R1225*W1225</f>
        <v>6.375799999999999</v>
      </c>
      <c r="Z1225" s="52">
        <f>S1225*W1225</f>
        <v>5.692678571428571</v>
      </c>
      <c r="AA1225" s="52">
        <f>T1225*W1225</f>
        <v>0.6831214285714284</v>
      </c>
      <c r="AB1225" s="52">
        <f>V1225*W1225</f>
        <v>0</v>
      </c>
      <c r="AC1225" s="53">
        <f>(R1225+V1225)*W1225</f>
        <v>6.375799999999999</v>
      </c>
      <c r="AD1225" s="138">
        <v>44.9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107</v>
      </c>
      <c r="F1226" s="96" t="s">
        <v>106</v>
      </c>
      <c r="G1226" s="97">
        <v>46132</v>
      </c>
      <c r="H1226" s="98">
        <v>0.4750462962962963</v>
      </c>
      <c r="I1226" s="50">
        <v>166004678</v>
      </c>
      <c r="J1226" s="96" t="s">
        <v>157</v>
      </c>
      <c r="K1226" s="49" t="s">
        <v>680</v>
      </c>
      <c r="L1226" s="39" t="s">
        <v>681</v>
      </c>
      <c r="M1226" s="49" t="s">
        <v>190</v>
      </c>
      <c r="N1226" s="39" t="s">
        <v>532</v>
      </c>
      <c r="O1226" s="96" t="s">
        <v>682</v>
      </c>
      <c r="P1226" s="49" t="s">
        <v>157</v>
      </c>
      <c r="Q1226" s="96" t="s">
        <v>104</v>
      </c>
      <c r="R1226" s="52">
        <v>24.9</v>
      </c>
      <c r="S1226" s="52">
        <f>R1226-T1226</f>
        <v>22.232142857142858</v>
      </c>
      <c r="T1226" s="52">
        <f>R1226*U1226/(U1226+100)</f>
        <v>2.6678571428571423</v>
      </c>
      <c r="U1226" s="50">
        <v>12</v>
      </c>
      <c r="V1226" s="53">
        <v>0</v>
      </c>
      <c r="W1226" s="147">
        <v>0.238</v>
      </c>
      <c r="X1226" s="148" t="s">
        <v>193</v>
      </c>
      <c r="Y1226" s="54">
        <f>R1226*W1226</f>
        <v>5.9262</v>
      </c>
      <c r="Z1226" s="52">
        <f>S1226*W1226</f>
        <v>5.29125</v>
      </c>
      <c r="AA1226" s="52">
        <f>T1226*W1226</f>
        <v>0.6349499999999998</v>
      </c>
      <c r="AB1226" s="52">
        <f>V1226*W1226</f>
        <v>0</v>
      </c>
      <c r="AC1226" s="53">
        <f>(R1226+V1226)*W1226</f>
        <v>5.9262</v>
      </c>
      <c r="AD1226" s="138">
        <v>24.9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107</v>
      </c>
      <c r="F1227" s="96" t="s">
        <v>106</v>
      </c>
      <c r="G1227" s="97">
        <v>46132</v>
      </c>
      <c r="H1227" s="98">
        <v>0.4750462962962963</v>
      </c>
      <c r="I1227" s="50">
        <v>166004678</v>
      </c>
      <c r="J1227" s="96" t="s">
        <v>157</v>
      </c>
      <c r="K1227" s="49" t="s">
        <v>293</v>
      </c>
      <c r="L1227" s="39" t="s">
        <v>294</v>
      </c>
      <c r="M1227" s="49" t="s">
        <v>295</v>
      </c>
      <c r="N1227" s="39" t="s">
        <v>296</v>
      </c>
      <c r="O1227" s="96" t="s">
        <v>297</v>
      </c>
      <c r="P1227" s="49" t="s">
        <v>157</v>
      </c>
      <c r="Q1227" s="96" t="s">
        <v>104</v>
      </c>
      <c r="R1227" s="52">
        <v>2.9</v>
      </c>
      <c r="S1227" s="52">
        <f>R1227-T1227</f>
        <v>2.5892857142857144</v>
      </c>
      <c r="T1227" s="52">
        <f>R1227*U1227/(U1227+100)</f>
        <v>0.31071428571428567</v>
      </c>
      <c r="U1227" s="50">
        <v>12</v>
      </c>
      <c r="V1227" s="53">
        <v>0</v>
      </c>
      <c r="W1227" s="147">
        <v>6</v>
      </c>
      <c r="X1227" s="148" t="s">
        <v>163</v>
      </c>
      <c r="Y1227" s="54">
        <f>R1227*W1227</f>
        <v>17.4</v>
      </c>
      <c r="Z1227" s="52">
        <f>S1227*W1227</f>
        <v>15.535714285714286</v>
      </c>
      <c r="AA1227" s="52">
        <f>T1227*W1227</f>
        <v>1.8642857142857139</v>
      </c>
      <c r="AB1227" s="52">
        <f>V1227*W1227</f>
        <v>0</v>
      </c>
      <c r="AC1227" s="53">
        <f>(R1227+V1227)*W1227</f>
        <v>17.4</v>
      </c>
      <c r="AD1227" s="138">
        <v>2.9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107</v>
      </c>
      <c r="F1228" s="96" t="s">
        <v>106</v>
      </c>
      <c r="G1228" s="97">
        <v>46132</v>
      </c>
      <c r="H1228" s="98">
        <v>0.47530092592592593</v>
      </c>
      <c r="I1228" s="50">
        <v>166004679</v>
      </c>
      <c r="J1228" s="96" t="s">
        <v>157</v>
      </c>
      <c r="K1228" s="49" t="s">
        <v>1555</v>
      </c>
      <c r="L1228" s="39" t="s">
        <v>1556</v>
      </c>
      <c r="M1228" s="49" t="s">
        <v>425</v>
      </c>
      <c r="N1228" s="39" t="s">
        <v>197</v>
      </c>
      <c r="O1228" s="96" t="s">
        <v>1557</v>
      </c>
      <c r="P1228" s="49" t="s">
        <v>235</v>
      </c>
      <c r="Q1228" s="96" t="s">
        <v>236</v>
      </c>
      <c r="R1228" s="52">
        <v>5.9</v>
      </c>
      <c r="S1228" s="52">
        <f>R1228-T1228</f>
        <v>5.267857142857143</v>
      </c>
      <c r="T1228" s="52">
        <f>R1228*U1228/(U1228+100)</f>
        <v>0.6321428571428572</v>
      </c>
      <c r="U1228" s="50">
        <v>12</v>
      </c>
      <c r="V1228" s="53">
        <v>0</v>
      </c>
      <c r="W1228" s="147">
        <v>1</v>
      </c>
      <c r="X1228" s="148" t="s">
        <v>163</v>
      </c>
      <c r="Y1228" s="54">
        <f>R1228*W1228</f>
        <v>5.9</v>
      </c>
      <c r="Z1228" s="52">
        <f>S1228*W1228</f>
        <v>5.267857142857143</v>
      </c>
      <c r="AA1228" s="52">
        <f>T1228*W1228</f>
        <v>0.6321428571428572</v>
      </c>
      <c r="AB1228" s="52">
        <f>V1228*W1228</f>
        <v>0</v>
      </c>
      <c r="AC1228" s="53">
        <f>(R1228+V1228)*W1228</f>
        <v>5.9</v>
      </c>
      <c r="AD1228" s="138">
        <v>5.9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107</v>
      </c>
      <c r="F1229" s="96" t="s">
        <v>106</v>
      </c>
      <c r="G1229" s="97">
        <v>46132</v>
      </c>
      <c r="H1229" s="98">
        <v>0.47530092592592593</v>
      </c>
      <c r="I1229" s="50">
        <v>166004679</v>
      </c>
      <c r="J1229" s="96" t="s">
        <v>157</v>
      </c>
      <c r="K1229" s="49" t="s">
        <v>798</v>
      </c>
      <c r="L1229" s="39" t="s">
        <v>799</v>
      </c>
      <c r="M1229" s="49" t="s">
        <v>425</v>
      </c>
      <c r="N1229" s="39" t="s">
        <v>197</v>
      </c>
      <c r="O1229" s="96" t="s">
        <v>1684</v>
      </c>
      <c r="P1229" s="49" t="s">
        <v>235</v>
      </c>
      <c r="Q1229" s="96" t="s">
        <v>236</v>
      </c>
      <c r="R1229" s="52">
        <v>5.9</v>
      </c>
      <c r="S1229" s="52">
        <f>R1229-T1229</f>
        <v>5.267857142857143</v>
      </c>
      <c r="T1229" s="52">
        <f>R1229*U1229/(U1229+100)</f>
        <v>0.6321428571428572</v>
      </c>
      <c r="U1229" s="50">
        <v>12</v>
      </c>
      <c r="V1229" s="53">
        <v>0</v>
      </c>
      <c r="W1229" s="147">
        <v>1</v>
      </c>
      <c r="X1229" s="148" t="s">
        <v>163</v>
      </c>
      <c r="Y1229" s="54">
        <f>R1229*W1229</f>
        <v>5.9</v>
      </c>
      <c r="Z1229" s="52">
        <f>S1229*W1229</f>
        <v>5.267857142857143</v>
      </c>
      <c r="AA1229" s="52">
        <f>T1229*W1229</f>
        <v>0.6321428571428572</v>
      </c>
      <c r="AB1229" s="52">
        <f>V1229*W1229</f>
        <v>0</v>
      </c>
      <c r="AC1229" s="53">
        <f>(R1229+V1229)*W1229</f>
        <v>5.9</v>
      </c>
      <c r="AD1229" s="138">
        <v>5.9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107</v>
      </c>
      <c r="F1230" s="96" t="s">
        <v>106</v>
      </c>
      <c r="G1230" s="97">
        <v>46132</v>
      </c>
      <c r="H1230" s="98">
        <v>0.4757986111111111</v>
      </c>
      <c r="I1230" s="50">
        <v>166004680</v>
      </c>
      <c r="J1230" s="96" t="s">
        <v>157</v>
      </c>
      <c r="K1230" s="49" t="s">
        <v>2308</v>
      </c>
      <c r="L1230" s="39" t="s">
        <v>2309</v>
      </c>
      <c r="M1230" s="49" t="s">
        <v>300</v>
      </c>
      <c r="N1230" s="39" t="s">
        <v>414</v>
      </c>
      <c r="O1230" s="96" t="s">
        <v>2310</v>
      </c>
      <c r="P1230" s="49" t="s">
        <v>157</v>
      </c>
      <c r="Q1230" s="96" t="s">
        <v>104</v>
      </c>
      <c r="R1230" s="52">
        <v>13.9</v>
      </c>
      <c r="S1230" s="52">
        <f>R1230-T1230</f>
        <v>12.410714285714286</v>
      </c>
      <c r="T1230" s="52">
        <f>R1230*U1230/(U1230+100)</f>
        <v>1.4892857142857143</v>
      </c>
      <c r="U1230" s="50">
        <v>12</v>
      </c>
      <c r="V1230" s="53">
        <v>0</v>
      </c>
      <c r="W1230" s="147">
        <v>1</v>
      </c>
      <c r="X1230" s="148" t="s">
        <v>163</v>
      </c>
      <c r="Y1230" s="54">
        <f>R1230*W1230</f>
        <v>13.9</v>
      </c>
      <c r="Z1230" s="52">
        <f>S1230*W1230</f>
        <v>12.410714285714286</v>
      </c>
      <c r="AA1230" s="52">
        <f>T1230*W1230</f>
        <v>1.4892857142857143</v>
      </c>
      <c r="AB1230" s="52">
        <f>V1230*W1230</f>
        <v>0</v>
      </c>
      <c r="AC1230" s="53">
        <f>(R1230+V1230)*W1230</f>
        <v>13.9</v>
      </c>
      <c r="AD1230" s="138">
        <v>13.9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107</v>
      </c>
      <c r="F1231" s="96" t="s">
        <v>106</v>
      </c>
      <c r="G1231" s="97">
        <v>46132</v>
      </c>
      <c r="H1231" s="98">
        <v>0.4757986111111111</v>
      </c>
      <c r="I1231" s="50">
        <v>166004680</v>
      </c>
      <c r="J1231" s="96" t="s">
        <v>157</v>
      </c>
      <c r="K1231" s="49" t="s">
        <v>2308</v>
      </c>
      <c r="L1231" s="39" t="s">
        <v>2309</v>
      </c>
      <c r="M1231" s="49" t="s">
        <v>300</v>
      </c>
      <c r="N1231" s="39" t="s">
        <v>414</v>
      </c>
      <c r="O1231" s="96" t="s">
        <v>2310</v>
      </c>
      <c r="P1231" s="49" t="s">
        <v>157</v>
      </c>
      <c r="Q1231" s="96" t="s">
        <v>104</v>
      </c>
      <c r="R1231" s="52">
        <v>13.9</v>
      </c>
      <c r="S1231" s="52">
        <f>R1231-T1231</f>
        <v>12.410714285714286</v>
      </c>
      <c r="T1231" s="52">
        <f>R1231*U1231/(U1231+100)</f>
        <v>1.4892857142857143</v>
      </c>
      <c r="U1231" s="50">
        <v>12</v>
      </c>
      <c r="V1231" s="53">
        <v>0</v>
      </c>
      <c r="W1231" s="147">
        <v>1</v>
      </c>
      <c r="X1231" s="148" t="s">
        <v>163</v>
      </c>
      <c r="Y1231" s="54">
        <f>R1231*W1231</f>
        <v>13.9</v>
      </c>
      <c r="Z1231" s="52">
        <f>S1231*W1231</f>
        <v>12.410714285714286</v>
      </c>
      <c r="AA1231" s="52">
        <f>T1231*W1231</f>
        <v>1.4892857142857143</v>
      </c>
      <c r="AB1231" s="52">
        <f>V1231*W1231</f>
        <v>0</v>
      </c>
      <c r="AC1231" s="53">
        <f>(R1231+V1231)*W1231</f>
        <v>13.9</v>
      </c>
      <c r="AD1231" s="138">
        <v>13.9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107</v>
      </c>
      <c r="F1232" s="96" t="s">
        <v>106</v>
      </c>
      <c r="G1232" s="97">
        <v>46132</v>
      </c>
      <c r="H1232" s="98">
        <v>0.4757986111111111</v>
      </c>
      <c r="I1232" s="50">
        <v>166004680</v>
      </c>
      <c r="J1232" s="96" t="s">
        <v>157</v>
      </c>
      <c r="K1232" s="49" t="s">
        <v>2311</v>
      </c>
      <c r="L1232" s="39" t="s">
        <v>2312</v>
      </c>
      <c r="M1232" s="49" t="s">
        <v>837</v>
      </c>
      <c r="N1232" s="39" t="s">
        <v>838</v>
      </c>
      <c r="O1232" s="96" t="s">
        <v>2313</v>
      </c>
      <c r="P1232" s="49" t="s">
        <v>157</v>
      </c>
      <c r="Q1232" s="96" t="s">
        <v>104</v>
      </c>
      <c r="R1232" s="52">
        <v>99.9</v>
      </c>
      <c r="S1232" s="52">
        <f>R1232-T1232</f>
        <v>89.19642857142857</v>
      </c>
      <c r="T1232" s="52">
        <f>R1232*U1232/(U1232+100)</f>
        <v>10.703571428571431</v>
      </c>
      <c r="U1232" s="50">
        <v>12</v>
      </c>
      <c r="V1232" s="53">
        <v>0</v>
      </c>
      <c r="W1232" s="147">
        <v>1</v>
      </c>
      <c r="X1232" s="148" t="s">
        <v>163</v>
      </c>
      <c r="Y1232" s="54">
        <f>R1232*W1232</f>
        <v>99.9</v>
      </c>
      <c r="Z1232" s="52">
        <f>S1232*W1232</f>
        <v>89.19642857142857</v>
      </c>
      <c r="AA1232" s="52">
        <f>T1232*W1232</f>
        <v>10.703571428571431</v>
      </c>
      <c r="AB1232" s="52">
        <f>V1232*W1232</f>
        <v>0</v>
      </c>
      <c r="AC1232" s="53">
        <f>(R1232+V1232)*W1232</f>
        <v>99.9</v>
      </c>
      <c r="AD1232" s="138">
        <v>99.9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107</v>
      </c>
      <c r="F1233" s="96" t="s">
        <v>106</v>
      </c>
      <c r="G1233" s="97">
        <v>46132</v>
      </c>
      <c r="H1233" s="98">
        <v>0.4757986111111111</v>
      </c>
      <c r="I1233" s="50">
        <v>166004680</v>
      </c>
      <c r="J1233" s="96" t="s">
        <v>157</v>
      </c>
      <c r="K1233" s="49" t="s">
        <v>848</v>
      </c>
      <c r="L1233" s="39" t="s">
        <v>849</v>
      </c>
      <c r="M1233" s="49" t="s">
        <v>522</v>
      </c>
      <c r="N1233" s="39" t="s">
        <v>688</v>
      </c>
      <c r="O1233" s="96" t="s">
        <v>1342</v>
      </c>
      <c r="P1233" s="49" t="s">
        <v>157</v>
      </c>
      <c r="Q1233" s="96" t="s">
        <v>104</v>
      </c>
      <c r="R1233" s="52">
        <v>111.93</v>
      </c>
      <c r="S1233" s="52">
        <f>R1233-T1233</f>
        <v>99.9375</v>
      </c>
      <c r="T1233" s="52">
        <f>R1233*U1233/(U1233+100)</f>
        <v>11.992500000000001</v>
      </c>
      <c r="U1233" s="50">
        <v>12</v>
      </c>
      <c r="V1233" s="53">
        <v>0</v>
      </c>
      <c r="W1233" s="147">
        <v>0.162</v>
      </c>
      <c r="X1233" s="148" t="s">
        <v>193</v>
      </c>
      <c r="Y1233" s="54">
        <f>R1233*W1233</f>
        <v>18.13266</v>
      </c>
      <c r="Z1233" s="52">
        <f>S1233*W1233</f>
        <v>16.189875</v>
      </c>
      <c r="AA1233" s="52">
        <f>T1233*W1233</f>
        <v>1.9427850000000002</v>
      </c>
      <c r="AB1233" s="52">
        <f>V1233*W1233</f>
        <v>0</v>
      </c>
      <c r="AC1233" s="53">
        <f>(R1233+V1233)*W1233</f>
        <v>18.13266</v>
      </c>
      <c r="AD1233" s="138">
        <v>159.9</v>
      </c>
      <c r="AE1233" s="137">
        <v>47.97</v>
      </c>
      <c r="AF1233" s="139">
        <v>7.7711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107</v>
      </c>
      <c r="F1234" s="96" t="s">
        <v>106</v>
      </c>
      <c r="G1234" s="97">
        <v>46132</v>
      </c>
      <c r="H1234" s="98">
        <v>0.4765740740740741</v>
      </c>
      <c r="I1234" s="50">
        <v>166004681</v>
      </c>
      <c r="J1234" s="96" t="s">
        <v>157</v>
      </c>
      <c r="K1234" s="49" t="s">
        <v>517</v>
      </c>
      <c r="L1234" s="39" t="s">
        <v>518</v>
      </c>
      <c r="M1234" s="49" t="s">
        <v>214</v>
      </c>
      <c r="N1234" s="39" t="s">
        <v>273</v>
      </c>
      <c r="O1234" s="96" t="s">
        <v>1111</v>
      </c>
      <c r="P1234" s="49" t="s">
        <v>157</v>
      </c>
      <c r="Q1234" s="96" t="s">
        <v>104</v>
      </c>
      <c r="R1234" s="52">
        <v>15.9</v>
      </c>
      <c r="S1234" s="52">
        <f>R1234-T1234</f>
        <v>14.196428571428571</v>
      </c>
      <c r="T1234" s="52">
        <f>R1234*U1234/(U1234+100)</f>
        <v>1.7035714285714287</v>
      </c>
      <c r="U1234" s="50">
        <v>12</v>
      </c>
      <c r="V1234" s="53">
        <v>0</v>
      </c>
      <c r="W1234" s="147">
        <v>4</v>
      </c>
      <c r="X1234" s="148" t="s">
        <v>163</v>
      </c>
      <c r="Y1234" s="54">
        <f>R1234*W1234</f>
        <v>63.6</v>
      </c>
      <c r="Z1234" s="52">
        <f>S1234*W1234</f>
        <v>56.785714285714285</v>
      </c>
      <c r="AA1234" s="52">
        <f>T1234*W1234</f>
        <v>6.814285714285715</v>
      </c>
      <c r="AB1234" s="52">
        <f>V1234*W1234</f>
        <v>0</v>
      </c>
      <c r="AC1234" s="53">
        <f>(R1234+V1234)*W1234</f>
        <v>63.6</v>
      </c>
      <c r="AD1234" s="138">
        <v>15.9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107</v>
      </c>
      <c r="F1235" s="96" t="s">
        <v>106</v>
      </c>
      <c r="G1235" s="97">
        <v>46132</v>
      </c>
      <c r="H1235" s="98">
        <v>0.47824074074074074</v>
      </c>
      <c r="I1235" s="50">
        <v>166004682</v>
      </c>
      <c r="J1235" s="96" t="s">
        <v>157</v>
      </c>
      <c r="K1235" s="49" t="s">
        <v>2007</v>
      </c>
      <c r="L1235" s="39" t="s">
        <v>2008</v>
      </c>
      <c r="M1235" s="49" t="s">
        <v>862</v>
      </c>
      <c r="N1235" s="39" t="s">
        <v>863</v>
      </c>
      <c r="O1235" s="96" t="s">
        <v>2009</v>
      </c>
      <c r="P1235" s="49" t="s">
        <v>157</v>
      </c>
      <c r="Q1235" s="96" t="s">
        <v>104</v>
      </c>
      <c r="R1235" s="52">
        <v>161</v>
      </c>
      <c r="S1235" s="52">
        <f>R1235-T1235</f>
        <v>133.05785123966942</v>
      </c>
      <c r="T1235" s="52">
        <f>R1235*U1235/(U1235+100)</f>
        <v>27.94214876033058</v>
      </c>
      <c r="U1235" s="50">
        <v>21</v>
      </c>
      <c r="V1235" s="53">
        <v>0</v>
      </c>
      <c r="W1235" s="147">
        <v>1</v>
      </c>
      <c r="X1235" s="148" t="s">
        <v>163</v>
      </c>
      <c r="Y1235" s="54">
        <f>R1235*W1235</f>
        <v>161</v>
      </c>
      <c r="Z1235" s="52">
        <f>S1235*W1235</f>
        <v>133.05785123966942</v>
      </c>
      <c r="AA1235" s="52">
        <f>T1235*W1235</f>
        <v>27.94214876033058</v>
      </c>
      <c r="AB1235" s="52">
        <f>V1235*W1235</f>
        <v>0</v>
      </c>
      <c r="AC1235" s="53">
        <f>(R1235+V1235)*W1235</f>
        <v>161</v>
      </c>
      <c r="AD1235" s="138">
        <v>161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107</v>
      </c>
      <c r="F1236" s="96" t="s">
        <v>106</v>
      </c>
      <c r="G1236" s="97">
        <v>46132</v>
      </c>
      <c r="H1236" s="98">
        <v>0.47824074074074074</v>
      </c>
      <c r="I1236" s="50">
        <v>166004682</v>
      </c>
      <c r="J1236" s="96" t="s">
        <v>157</v>
      </c>
      <c r="K1236" s="49" t="s">
        <v>2007</v>
      </c>
      <c r="L1236" s="39" t="s">
        <v>2008</v>
      </c>
      <c r="M1236" s="49" t="s">
        <v>862</v>
      </c>
      <c r="N1236" s="39" t="s">
        <v>863</v>
      </c>
      <c r="O1236" s="96" t="s">
        <v>2009</v>
      </c>
      <c r="P1236" s="49" t="s">
        <v>157</v>
      </c>
      <c r="Q1236" s="96" t="s">
        <v>104</v>
      </c>
      <c r="R1236" s="52">
        <v>161</v>
      </c>
      <c r="S1236" s="52">
        <f>R1236-T1236</f>
        <v>133.05785123966942</v>
      </c>
      <c r="T1236" s="52">
        <f>R1236*U1236/(U1236+100)</f>
        <v>27.94214876033058</v>
      </c>
      <c r="U1236" s="50">
        <v>21</v>
      </c>
      <c r="V1236" s="53">
        <v>0</v>
      </c>
      <c r="W1236" s="147">
        <v>1</v>
      </c>
      <c r="X1236" s="148" t="s">
        <v>163</v>
      </c>
      <c r="Y1236" s="54">
        <f>R1236*W1236</f>
        <v>161</v>
      </c>
      <c r="Z1236" s="52">
        <f>S1236*W1236</f>
        <v>133.05785123966942</v>
      </c>
      <c r="AA1236" s="52">
        <f>T1236*W1236</f>
        <v>27.94214876033058</v>
      </c>
      <c r="AB1236" s="52">
        <f>V1236*W1236</f>
        <v>0</v>
      </c>
      <c r="AC1236" s="53">
        <f>(R1236+V1236)*W1236</f>
        <v>161</v>
      </c>
      <c r="AD1236" s="138">
        <v>161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107</v>
      </c>
      <c r="F1237" s="96" t="s">
        <v>106</v>
      </c>
      <c r="G1237" s="97">
        <v>46132</v>
      </c>
      <c r="H1237" s="98">
        <v>0.47878472222222224</v>
      </c>
      <c r="I1237" s="50">
        <v>166004683</v>
      </c>
      <c r="J1237" s="96" t="s">
        <v>157</v>
      </c>
      <c r="K1237" s="49" t="s">
        <v>293</v>
      </c>
      <c r="L1237" s="39" t="s">
        <v>294</v>
      </c>
      <c r="M1237" s="49" t="s">
        <v>295</v>
      </c>
      <c r="N1237" s="39" t="s">
        <v>296</v>
      </c>
      <c r="O1237" s="96" t="s">
        <v>297</v>
      </c>
      <c r="P1237" s="49" t="s">
        <v>157</v>
      </c>
      <c r="Q1237" s="96" t="s">
        <v>104</v>
      </c>
      <c r="R1237" s="52">
        <v>2.9</v>
      </c>
      <c r="S1237" s="52">
        <f>R1237-T1237</f>
        <v>2.5892857142857144</v>
      </c>
      <c r="T1237" s="52">
        <f>R1237*U1237/(U1237+100)</f>
        <v>0.31071428571428567</v>
      </c>
      <c r="U1237" s="50">
        <v>12</v>
      </c>
      <c r="V1237" s="53">
        <v>0</v>
      </c>
      <c r="W1237" s="147">
        <v>8</v>
      </c>
      <c r="X1237" s="148" t="s">
        <v>163</v>
      </c>
      <c r="Y1237" s="54">
        <f>R1237*W1237</f>
        <v>23.2</v>
      </c>
      <c r="Z1237" s="52">
        <f>S1237*W1237</f>
        <v>20.714285714285715</v>
      </c>
      <c r="AA1237" s="52">
        <f>T1237*W1237</f>
        <v>2.4857142857142853</v>
      </c>
      <c r="AB1237" s="52">
        <f>V1237*W1237</f>
        <v>0</v>
      </c>
      <c r="AC1237" s="53">
        <f>(R1237+V1237)*W1237</f>
        <v>23.2</v>
      </c>
      <c r="AD1237" s="138">
        <v>2.9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107</v>
      </c>
      <c r="F1238" s="96" t="s">
        <v>106</v>
      </c>
      <c r="G1238" s="97">
        <v>46132</v>
      </c>
      <c r="H1238" s="98">
        <v>0.47878472222222224</v>
      </c>
      <c r="I1238" s="50">
        <v>166004683</v>
      </c>
      <c r="J1238" s="96" t="s">
        <v>157</v>
      </c>
      <c r="K1238" s="49" t="s">
        <v>2314</v>
      </c>
      <c r="L1238" s="39" t="s">
        <v>2315</v>
      </c>
      <c r="M1238" s="49"/>
      <c r="N1238" s="39" t="s">
        <v>2316</v>
      </c>
      <c r="O1238" s="96" t="s">
        <v>2317</v>
      </c>
      <c r="P1238" s="49" t="s">
        <v>157</v>
      </c>
      <c r="Q1238" s="96" t="s">
        <v>104</v>
      </c>
      <c r="R1238" s="52">
        <v>0</v>
      </c>
      <c r="S1238" s="52">
        <f>R1238-T1238</f>
        <v>0</v>
      </c>
      <c r="T1238" s="52">
        <f>R1238*U1238/(U1238+100)</f>
        <v>0</v>
      </c>
      <c r="U1238" s="50">
        <v>0</v>
      </c>
      <c r="V1238" s="53">
        <v>-3</v>
      </c>
      <c r="W1238" s="147">
        <v>1</v>
      </c>
      <c r="X1238" s="148" t="s">
        <v>945</v>
      </c>
      <c r="Y1238" s="54">
        <f>R1238*W1238</f>
        <v>0</v>
      </c>
      <c r="Z1238" s="52">
        <f>S1238*W1238</f>
        <v>0</v>
      </c>
      <c r="AA1238" s="52">
        <f>T1238*W1238</f>
        <v>0</v>
      </c>
      <c r="AB1238" s="52">
        <f>V1238*W1238</f>
        <v>-3</v>
      </c>
      <c r="AC1238" s="53">
        <f>(R1238+V1238)*W1238</f>
        <v>-3</v>
      </c>
      <c r="AD1238" s="138">
        <v>0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107</v>
      </c>
      <c r="F1239" s="96" t="s">
        <v>106</v>
      </c>
      <c r="G1239" s="97">
        <v>46132</v>
      </c>
      <c r="H1239" s="98">
        <v>0.480775462962963</v>
      </c>
      <c r="I1239" s="50">
        <v>166004684</v>
      </c>
      <c r="J1239" s="96" t="s">
        <v>157</v>
      </c>
      <c r="K1239" s="49" t="s">
        <v>2318</v>
      </c>
      <c r="L1239" s="39" t="s">
        <v>2319</v>
      </c>
      <c r="M1239" s="49" t="s">
        <v>341</v>
      </c>
      <c r="N1239" s="39" t="s">
        <v>2169</v>
      </c>
      <c r="O1239" s="96" t="s">
        <v>2320</v>
      </c>
      <c r="P1239" s="49" t="s">
        <v>157</v>
      </c>
      <c r="Q1239" s="96" t="s">
        <v>104</v>
      </c>
      <c r="R1239" s="52">
        <v>42.9</v>
      </c>
      <c r="S1239" s="52">
        <f>R1239-T1239</f>
        <v>38.30357142857143</v>
      </c>
      <c r="T1239" s="52">
        <f>R1239*U1239/(U1239+100)</f>
        <v>4.596428571428571</v>
      </c>
      <c r="U1239" s="50">
        <v>12</v>
      </c>
      <c r="V1239" s="53">
        <v>0</v>
      </c>
      <c r="W1239" s="147">
        <v>1</v>
      </c>
      <c r="X1239" s="148" t="s">
        <v>163</v>
      </c>
      <c r="Y1239" s="54">
        <f>R1239*W1239</f>
        <v>42.9</v>
      </c>
      <c r="Z1239" s="52">
        <f>S1239*W1239</f>
        <v>38.30357142857143</v>
      </c>
      <c r="AA1239" s="52">
        <f>T1239*W1239</f>
        <v>4.596428571428571</v>
      </c>
      <c r="AB1239" s="52">
        <f>V1239*W1239</f>
        <v>0</v>
      </c>
      <c r="AC1239" s="53">
        <f>(R1239+V1239)*W1239</f>
        <v>42.9</v>
      </c>
      <c r="AD1239" s="138">
        <v>42.9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107</v>
      </c>
      <c r="F1240" s="96" t="s">
        <v>106</v>
      </c>
      <c r="G1240" s="97">
        <v>46132</v>
      </c>
      <c r="H1240" s="98">
        <v>0.480775462962963</v>
      </c>
      <c r="I1240" s="50">
        <v>166004684</v>
      </c>
      <c r="J1240" s="96" t="s">
        <v>157</v>
      </c>
      <c r="K1240" s="49" t="s">
        <v>507</v>
      </c>
      <c r="L1240" s="39" t="s">
        <v>508</v>
      </c>
      <c r="M1240" s="49" t="s">
        <v>509</v>
      </c>
      <c r="N1240" s="39" t="s">
        <v>256</v>
      </c>
      <c r="O1240" s="96" t="s">
        <v>1024</v>
      </c>
      <c r="P1240" s="49" t="s">
        <v>235</v>
      </c>
      <c r="Q1240" s="96" t="s">
        <v>236</v>
      </c>
      <c r="R1240" s="52">
        <v>15.9</v>
      </c>
      <c r="S1240" s="52">
        <f>R1240-T1240</f>
        <v>13.140495867768596</v>
      </c>
      <c r="T1240" s="52">
        <f>R1240*U1240/(U1240+100)</f>
        <v>2.759504132231405</v>
      </c>
      <c r="U1240" s="50">
        <v>21</v>
      </c>
      <c r="V1240" s="53">
        <v>0</v>
      </c>
      <c r="W1240" s="147">
        <v>1</v>
      </c>
      <c r="X1240" s="148" t="s">
        <v>163</v>
      </c>
      <c r="Y1240" s="54">
        <f>R1240*W1240</f>
        <v>15.9</v>
      </c>
      <c r="Z1240" s="52">
        <f>S1240*W1240</f>
        <v>13.140495867768596</v>
      </c>
      <c r="AA1240" s="52">
        <f>T1240*W1240</f>
        <v>2.759504132231405</v>
      </c>
      <c r="AB1240" s="52">
        <f>V1240*W1240</f>
        <v>0</v>
      </c>
      <c r="AC1240" s="53">
        <f>(R1240+V1240)*W1240</f>
        <v>15.9</v>
      </c>
      <c r="AD1240" s="138">
        <v>15.9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107</v>
      </c>
      <c r="F1241" s="96" t="s">
        <v>106</v>
      </c>
      <c r="G1241" s="97">
        <v>46132</v>
      </c>
      <c r="H1241" s="98">
        <v>0.480775462962963</v>
      </c>
      <c r="I1241" s="50">
        <v>166004684</v>
      </c>
      <c r="J1241" s="96" t="s">
        <v>157</v>
      </c>
      <c r="K1241" s="49" t="s">
        <v>507</v>
      </c>
      <c r="L1241" s="39" t="s">
        <v>508</v>
      </c>
      <c r="M1241" s="49" t="s">
        <v>509</v>
      </c>
      <c r="N1241" s="39" t="s">
        <v>256</v>
      </c>
      <c r="O1241" s="96" t="s">
        <v>1024</v>
      </c>
      <c r="P1241" s="49" t="s">
        <v>235</v>
      </c>
      <c r="Q1241" s="96" t="s">
        <v>236</v>
      </c>
      <c r="R1241" s="52">
        <v>15.9</v>
      </c>
      <c r="S1241" s="52">
        <f>R1241-T1241</f>
        <v>13.140495867768596</v>
      </c>
      <c r="T1241" s="52">
        <f>R1241*U1241/(U1241+100)</f>
        <v>2.759504132231405</v>
      </c>
      <c r="U1241" s="50">
        <v>21</v>
      </c>
      <c r="V1241" s="53">
        <v>0</v>
      </c>
      <c r="W1241" s="147">
        <v>1</v>
      </c>
      <c r="X1241" s="148" t="s">
        <v>163</v>
      </c>
      <c r="Y1241" s="54">
        <f>R1241*W1241</f>
        <v>15.9</v>
      </c>
      <c r="Z1241" s="52">
        <f>S1241*W1241</f>
        <v>13.140495867768596</v>
      </c>
      <c r="AA1241" s="52">
        <f>T1241*W1241</f>
        <v>2.759504132231405</v>
      </c>
      <c r="AB1241" s="52">
        <f>V1241*W1241</f>
        <v>0</v>
      </c>
      <c r="AC1241" s="53">
        <f>(R1241+V1241)*W1241</f>
        <v>15.9</v>
      </c>
      <c r="AD1241" s="138">
        <v>15.9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107</v>
      </c>
      <c r="F1242" s="96" t="s">
        <v>106</v>
      </c>
      <c r="G1242" s="97">
        <v>46132</v>
      </c>
      <c r="H1242" s="98">
        <v>0.480775462962963</v>
      </c>
      <c r="I1242" s="50">
        <v>166004684</v>
      </c>
      <c r="J1242" s="96" t="s">
        <v>157</v>
      </c>
      <c r="K1242" s="49" t="s">
        <v>2321</v>
      </c>
      <c r="L1242" s="39" t="s">
        <v>2322</v>
      </c>
      <c r="M1242" s="49" t="s">
        <v>862</v>
      </c>
      <c r="N1242" s="39" t="s">
        <v>863</v>
      </c>
      <c r="O1242" s="96" t="s">
        <v>2323</v>
      </c>
      <c r="P1242" s="49" t="s">
        <v>157</v>
      </c>
      <c r="Q1242" s="96" t="s">
        <v>104</v>
      </c>
      <c r="R1242" s="52">
        <v>161</v>
      </c>
      <c r="S1242" s="52">
        <f>R1242-T1242</f>
        <v>133.05785123966942</v>
      </c>
      <c r="T1242" s="52">
        <f>R1242*U1242/(U1242+100)</f>
        <v>27.94214876033058</v>
      </c>
      <c r="U1242" s="50">
        <v>21</v>
      </c>
      <c r="V1242" s="53">
        <v>0</v>
      </c>
      <c r="W1242" s="147">
        <v>1</v>
      </c>
      <c r="X1242" s="148" t="s">
        <v>163</v>
      </c>
      <c r="Y1242" s="54">
        <f>R1242*W1242</f>
        <v>161</v>
      </c>
      <c r="Z1242" s="52">
        <f>S1242*W1242</f>
        <v>133.05785123966942</v>
      </c>
      <c r="AA1242" s="52">
        <f>T1242*W1242</f>
        <v>27.94214876033058</v>
      </c>
      <c r="AB1242" s="52">
        <f>V1242*W1242</f>
        <v>0</v>
      </c>
      <c r="AC1242" s="53">
        <f>(R1242+V1242)*W1242</f>
        <v>161</v>
      </c>
      <c r="AD1242" s="138">
        <v>161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107</v>
      </c>
      <c r="F1243" s="96" t="s">
        <v>106</v>
      </c>
      <c r="G1243" s="97">
        <v>46132</v>
      </c>
      <c r="H1243" s="98">
        <v>0.480775462962963</v>
      </c>
      <c r="I1243" s="50">
        <v>166004684</v>
      </c>
      <c r="J1243" s="96" t="s">
        <v>157</v>
      </c>
      <c r="K1243" s="49" t="s">
        <v>303</v>
      </c>
      <c r="L1243" s="39" t="s">
        <v>304</v>
      </c>
      <c r="M1243" s="49" t="s">
        <v>214</v>
      </c>
      <c r="N1243" s="39" t="s">
        <v>296</v>
      </c>
      <c r="O1243" s="96" t="s">
        <v>305</v>
      </c>
      <c r="P1243" s="49" t="s">
        <v>157</v>
      </c>
      <c r="Q1243" s="96" t="s">
        <v>104</v>
      </c>
      <c r="R1243" s="52">
        <v>11.9</v>
      </c>
      <c r="S1243" s="52">
        <f>R1243-T1243</f>
        <v>10.625</v>
      </c>
      <c r="T1243" s="52">
        <f>R1243*U1243/(U1243+100)</f>
        <v>1.2750000000000001</v>
      </c>
      <c r="U1243" s="50">
        <v>12</v>
      </c>
      <c r="V1243" s="53">
        <v>0</v>
      </c>
      <c r="W1243" s="147">
        <v>1</v>
      </c>
      <c r="X1243" s="148" t="s">
        <v>163</v>
      </c>
      <c r="Y1243" s="54">
        <f>R1243*W1243</f>
        <v>11.9</v>
      </c>
      <c r="Z1243" s="52">
        <f>S1243*W1243</f>
        <v>10.625</v>
      </c>
      <c r="AA1243" s="52">
        <f>T1243*W1243</f>
        <v>1.2750000000000001</v>
      </c>
      <c r="AB1243" s="52">
        <f>V1243*W1243</f>
        <v>0</v>
      </c>
      <c r="AC1243" s="53">
        <f>(R1243+V1243)*W1243</f>
        <v>11.9</v>
      </c>
      <c r="AD1243" s="138">
        <v>11.9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107</v>
      </c>
      <c r="F1244" s="96" t="s">
        <v>106</v>
      </c>
      <c r="G1244" s="97">
        <v>46132</v>
      </c>
      <c r="H1244" s="98">
        <v>0.480775462962963</v>
      </c>
      <c r="I1244" s="50">
        <v>166004684</v>
      </c>
      <c r="J1244" s="96" t="s">
        <v>157</v>
      </c>
      <c r="K1244" s="49" t="s">
        <v>2324</v>
      </c>
      <c r="L1244" s="39" t="s">
        <v>2325</v>
      </c>
      <c r="M1244" s="49" t="s">
        <v>522</v>
      </c>
      <c r="N1244" s="39" t="s">
        <v>373</v>
      </c>
      <c r="O1244" s="96" t="s">
        <v>2326</v>
      </c>
      <c r="P1244" s="49" t="s">
        <v>235</v>
      </c>
      <c r="Q1244" s="96" t="s">
        <v>236</v>
      </c>
      <c r="R1244" s="52">
        <v>159</v>
      </c>
      <c r="S1244" s="52">
        <f>R1244-T1244</f>
        <v>141.96428571428572</v>
      </c>
      <c r="T1244" s="52">
        <f>R1244*U1244/(U1244+100)</f>
        <v>17.035714285714285</v>
      </c>
      <c r="U1244" s="50">
        <v>12</v>
      </c>
      <c r="V1244" s="53">
        <v>0</v>
      </c>
      <c r="W1244" s="147">
        <v>0.09</v>
      </c>
      <c r="X1244" s="148" t="s">
        <v>193</v>
      </c>
      <c r="Y1244" s="54">
        <f>R1244*W1244</f>
        <v>14.309999999999999</v>
      </c>
      <c r="Z1244" s="52">
        <f>S1244*W1244</f>
        <v>12.776785714285715</v>
      </c>
      <c r="AA1244" s="52">
        <f>T1244*W1244</f>
        <v>1.5332142857142856</v>
      </c>
      <c r="AB1244" s="52">
        <f>V1244*W1244</f>
        <v>0</v>
      </c>
      <c r="AC1244" s="53">
        <f>(R1244+V1244)*W1244</f>
        <v>14.309999999999999</v>
      </c>
      <c r="AD1244" s="138">
        <v>159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107</v>
      </c>
      <c r="F1245" s="96" t="s">
        <v>106</v>
      </c>
      <c r="G1245" s="97">
        <v>46132</v>
      </c>
      <c r="H1245" s="98">
        <v>0.4817361111111111</v>
      </c>
      <c r="I1245" s="50">
        <v>166004685</v>
      </c>
      <c r="J1245" s="96" t="s">
        <v>157</v>
      </c>
      <c r="K1245" s="49" t="s">
        <v>2171</v>
      </c>
      <c r="L1245" s="39" t="s">
        <v>2172</v>
      </c>
      <c r="M1245" s="49" t="s">
        <v>214</v>
      </c>
      <c r="N1245" s="39" t="s">
        <v>2173</v>
      </c>
      <c r="O1245" s="96" t="s">
        <v>2174</v>
      </c>
      <c r="P1245" s="49" t="s">
        <v>235</v>
      </c>
      <c r="Q1245" s="96" t="s">
        <v>236</v>
      </c>
      <c r="R1245" s="52">
        <v>69.9</v>
      </c>
      <c r="S1245" s="52">
        <f>R1245-T1245</f>
        <v>62.41071428571429</v>
      </c>
      <c r="T1245" s="52">
        <f>R1245*U1245/(U1245+100)</f>
        <v>7.489285714285715</v>
      </c>
      <c r="U1245" s="50">
        <v>12</v>
      </c>
      <c r="V1245" s="53">
        <v>0</v>
      </c>
      <c r="W1245" s="147">
        <v>1</v>
      </c>
      <c r="X1245" s="148" t="s">
        <v>163</v>
      </c>
      <c r="Y1245" s="54">
        <f>R1245*W1245</f>
        <v>69.9</v>
      </c>
      <c r="Z1245" s="52">
        <f>S1245*W1245</f>
        <v>62.41071428571429</v>
      </c>
      <c r="AA1245" s="52">
        <f>T1245*W1245</f>
        <v>7.489285714285715</v>
      </c>
      <c r="AB1245" s="52">
        <f>V1245*W1245</f>
        <v>0</v>
      </c>
      <c r="AC1245" s="53">
        <f>(R1245+V1245)*W1245</f>
        <v>69.9</v>
      </c>
      <c r="AD1245" s="138">
        <v>69.9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107</v>
      </c>
      <c r="F1246" s="96" t="s">
        <v>106</v>
      </c>
      <c r="G1246" s="97">
        <v>46132</v>
      </c>
      <c r="H1246" s="98">
        <v>0.4817361111111111</v>
      </c>
      <c r="I1246" s="50">
        <v>166004685</v>
      </c>
      <c r="J1246" s="96" t="s">
        <v>157</v>
      </c>
      <c r="K1246" s="49" t="s">
        <v>2327</v>
      </c>
      <c r="L1246" s="39" t="s">
        <v>2328</v>
      </c>
      <c r="M1246" s="49" t="s">
        <v>2329</v>
      </c>
      <c r="N1246" s="39" t="s">
        <v>653</v>
      </c>
      <c r="O1246" s="96" t="s">
        <v>2330</v>
      </c>
      <c r="P1246" s="49" t="s">
        <v>157</v>
      </c>
      <c r="Q1246" s="96" t="s">
        <v>104</v>
      </c>
      <c r="R1246" s="52">
        <v>22.9</v>
      </c>
      <c r="S1246" s="52">
        <f>R1246-T1246</f>
        <v>18.925619834710744</v>
      </c>
      <c r="T1246" s="52">
        <f>R1246*U1246/(U1246+100)</f>
        <v>3.974380165289256</v>
      </c>
      <c r="U1246" s="50">
        <v>21</v>
      </c>
      <c r="V1246" s="53">
        <v>0</v>
      </c>
      <c r="W1246" s="147">
        <v>1</v>
      </c>
      <c r="X1246" s="148" t="s">
        <v>163</v>
      </c>
      <c r="Y1246" s="54">
        <f>R1246*W1246</f>
        <v>22.9</v>
      </c>
      <c r="Z1246" s="52">
        <f>S1246*W1246</f>
        <v>18.925619834710744</v>
      </c>
      <c r="AA1246" s="52">
        <f>T1246*W1246</f>
        <v>3.974380165289256</v>
      </c>
      <c r="AB1246" s="52">
        <f>V1246*W1246</f>
        <v>0</v>
      </c>
      <c r="AC1246" s="53">
        <f>(R1246+V1246)*W1246</f>
        <v>22.9</v>
      </c>
      <c r="AD1246" s="138">
        <v>22.9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107</v>
      </c>
      <c r="F1247" s="96" t="s">
        <v>106</v>
      </c>
      <c r="G1247" s="97">
        <v>46132</v>
      </c>
      <c r="H1247" s="98">
        <v>0.4817361111111111</v>
      </c>
      <c r="I1247" s="50">
        <v>166004685</v>
      </c>
      <c r="J1247" s="96" t="s">
        <v>157</v>
      </c>
      <c r="K1247" s="49" t="s">
        <v>2327</v>
      </c>
      <c r="L1247" s="39" t="s">
        <v>2328</v>
      </c>
      <c r="M1247" s="49" t="s">
        <v>2329</v>
      </c>
      <c r="N1247" s="39" t="s">
        <v>653</v>
      </c>
      <c r="O1247" s="96" t="s">
        <v>2330</v>
      </c>
      <c r="P1247" s="49" t="s">
        <v>157</v>
      </c>
      <c r="Q1247" s="96" t="s">
        <v>104</v>
      </c>
      <c r="R1247" s="52">
        <v>22.9</v>
      </c>
      <c r="S1247" s="52">
        <f>R1247-T1247</f>
        <v>18.925619834710744</v>
      </c>
      <c r="T1247" s="52">
        <f>R1247*U1247/(U1247+100)</f>
        <v>3.974380165289256</v>
      </c>
      <c r="U1247" s="50">
        <v>21</v>
      </c>
      <c r="V1247" s="53">
        <v>0</v>
      </c>
      <c r="W1247" s="147">
        <v>1</v>
      </c>
      <c r="X1247" s="148" t="s">
        <v>163</v>
      </c>
      <c r="Y1247" s="54">
        <f>R1247*W1247</f>
        <v>22.9</v>
      </c>
      <c r="Z1247" s="52">
        <f>S1247*W1247</f>
        <v>18.925619834710744</v>
      </c>
      <c r="AA1247" s="52">
        <f>T1247*W1247</f>
        <v>3.974380165289256</v>
      </c>
      <c r="AB1247" s="52">
        <f>V1247*W1247</f>
        <v>0</v>
      </c>
      <c r="AC1247" s="53">
        <f>(R1247+V1247)*W1247</f>
        <v>22.9</v>
      </c>
      <c r="AD1247" s="138">
        <v>22.9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107</v>
      </c>
      <c r="F1248" s="96" t="s">
        <v>106</v>
      </c>
      <c r="G1248" s="97">
        <v>46132</v>
      </c>
      <c r="H1248" s="98">
        <v>0.48313657407407407</v>
      </c>
      <c r="I1248" s="50">
        <v>166004686</v>
      </c>
      <c r="J1248" s="96" t="s">
        <v>157</v>
      </c>
      <c r="K1248" s="49" t="s">
        <v>2331</v>
      </c>
      <c r="L1248" s="39" t="s">
        <v>2332</v>
      </c>
      <c r="M1248" s="49" t="s">
        <v>171</v>
      </c>
      <c r="N1248" s="39" t="s">
        <v>348</v>
      </c>
      <c r="O1248" s="96" t="s">
        <v>2333</v>
      </c>
      <c r="P1248" s="49" t="s">
        <v>157</v>
      </c>
      <c r="Q1248" s="96" t="s">
        <v>104</v>
      </c>
      <c r="R1248" s="52">
        <v>14.9</v>
      </c>
      <c r="S1248" s="52">
        <f>R1248-T1248</f>
        <v>13.303571428571429</v>
      </c>
      <c r="T1248" s="52">
        <f>R1248*U1248/(U1248+100)</f>
        <v>1.5964285714285715</v>
      </c>
      <c r="U1248" s="50">
        <v>12</v>
      </c>
      <c r="V1248" s="53">
        <v>0</v>
      </c>
      <c r="W1248" s="147">
        <v>1</v>
      </c>
      <c r="X1248" s="148" t="s">
        <v>163</v>
      </c>
      <c r="Y1248" s="54">
        <f>R1248*W1248</f>
        <v>14.9</v>
      </c>
      <c r="Z1248" s="52">
        <f>S1248*W1248</f>
        <v>13.303571428571429</v>
      </c>
      <c r="AA1248" s="52">
        <f>T1248*W1248</f>
        <v>1.5964285714285715</v>
      </c>
      <c r="AB1248" s="52">
        <f>V1248*W1248</f>
        <v>0</v>
      </c>
      <c r="AC1248" s="53">
        <f>(R1248+V1248)*W1248</f>
        <v>14.9</v>
      </c>
      <c r="AD1248" s="138">
        <v>14.9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107</v>
      </c>
      <c r="F1249" s="96" t="s">
        <v>106</v>
      </c>
      <c r="G1249" s="97">
        <v>46132</v>
      </c>
      <c r="H1249" s="98">
        <v>0.48313657407407407</v>
      </c>
      <c r="I1249" s="50">
        <v>166004686</v>
      </c>
      <c r="J1249" s="96" t="s">
        <v>157</v>
      </c>
      <c r="K1249" s="49" t="s">
        <v>2334</v>
      </c>
      <c r="L1249" s="39" t="s">
        <v>2335</v>
      </c>
      <c r="M1249" s="49" t="s">
        <v>166</v>
      </c>
      <c r="N1249" s="39" t="s">
        <v>167</v>
      </c>
      <c r="O1249" s="96" t="s">
        <v>2336</v>
      </c>
      <c r="P1249" s="49" t="s">
        <v>157</v>
      </c>
      <c r="Q1249" s="96" t="s">
        <v>104</v>
      </c>
      <c r="R1249" s="52">
        <v>23.9</v>
      </c>
      <c r="S1249" s="52">
        <f>R1249-T1249</f>
        <v>19.752066115702476</v>
      </c>
      <c r="T1249" s="52">
        <f>R1249*U1249/(U1249+100)</f>
        <v>4.147933884297521</v>
      </c>
      <c r="U1249" s="50">
        <v>21</v>
      </c>
      <c r="V1249" s="53">
        <v>0</v>
      </c>
      <c r="W1249" s="147">
        <v>1</v>
      </c>
      <c r="X1249" s="148" t="s">
        <v>163</v>
      </c>
      <c r="Y1249" s="54">
        <f>R1249*W1249</f>
        <v>23.9</v>
      </c>
      <c r="Z1249" s="52">
        <f>S1249*W1249</f>
        <v>19.752066115702476</v>
      </c>
      <c r="AA1249" s="52">
        <f>T1249*W1249</f>
        <v>4.147933884297521</v>
      </c>
      <c r="AB1249" s="52">
        <f>V1249*W1249</f>
        <v>0</v>
      </c>
      <c r="AC1249" s="53">
        <f>(R1249+V1249)*W1249</f>
        <v>23.9</v>
      </c>
      <c r="AD1249" s="138">
        <v>23.9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107</v>
      </c>
      <c r="F1250" s="96" t="s">
        <v>106</v>
      </c>
      <c r="G1250" s="97">
        <v>46132</v>
      </c>
      <c r="H1250" s="98">
        <v>0.48313657407407407</v>
      </c>
      <c r="I1250" s="50">
        <v>166004686</v>
      </c>
      <c r="J1250" s="96" t="s">
        <v>157</v>
      </c>
      <c r="K1250" s="49" t="s">
        <v>2334</v>
      </c>
      <c r="L1250" s="39" t="s">
        <v>2335</v>
      </c>
      <c r="M1250" s="49" t="s">
        <v>166</v>
      </c>
      <c r="N1250" s="39" t="s">
        <v>167</v>
      </c>
      <c r="O1250" s="96" t="s">
        <v>2336</v>
      </c>
      <c r="P1250" s="49" t="s">
        <v>157</v>
      </c>
      <c r="Q1250" s="96" t="s">
        <v>104</v>
      </c>
      <c r="R1250" s="52">
        <v>23.9</v>
      </c>
      <c r="S1250" s="52">
        <f>R1250-T1250</f>
        <v>19.752066115702476</v>
      </c>
      <c r="T1250" s="52">
        <f>R1250*U1250/(U1250+100)</f>
        <v>4.147933884297521</v>
      </c>
      <c r="U1250" s="50">
        <v>21</v>
      </c>
      <c r="V1250" s="53">
        <v>0</v>
      </c>
      <c r="W1250" s="147">
        <v>1</v>
      </c>
      <c r="X1250" s="148" t="s">
        <v>163</v>
      </c>
      <c r="Y1250" s="54">
        <f>R1250*W1250</f>
        <v>23.9</v>
      </c>
      <c r="Z1250" s="52">
        <f>S1250*W1250</f>
        <v>19.752066115702476</v>
      </c>
      <c r="AA1250" s="52">
        <f>T1250*W1250</f>
        <v>4.147933884297521</v>
      </c>
      <c r="AB1250" s="52">
        <f>V1250*W1250</f>
        <v>0</v>
      </c>
      <c r="AC1250" s="53">
        <f>(R1250+V1250)*W1250</f>
        <v>23.9</v>
      </c>
      <c r="AD1250" s="138">
        <v>23.9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107</v>
      </c>
      <c r="F1251" s="96" t="s">
        <v>106</v>
      </c>
      <c r="G1251" s="97">
        <v>46132</v>
      </c>
      <c r="H1251" s="98">
        <v>0.4837037037037037</v>
      </c>
      <c r="I1251" s="50">
        <v>166004687</v>
      </c>
      <c r="J1251" s="96" t="s">
        <v>157</v>
      </c>
      <c r="K1251" s="49" t="s">
        <v>2337</v>
      </c>
      <c r="L1251" s="39" t="s">
        <v>2338</v>
      </c>
      <c r="M1251" s="49" t="s">
        <v>2339</v>
      </c>
      <c r="N1251" s="39" t="s">
        <v>167</v>
      </c>
      <c r="O1251" s="96" t="s">
        <v>2340</v>
      </c>
      <c r="P1251" s="49" t="s">
        <v>157</v>
      </c>
      <c r="Q1251" s="96" t="s">
        <v>104</v>
      </c>
      <c r="R1251" s="52">
        <v>29.9</v>
      </c>
      <c r="S1251" s="52">
        <f>R1251-T1251</f>
        <v>24.710743801652892</v>
      </c>
      <c r="T1251" s="52">
        <f>R1251*U1251/(U1251+100)</f>
        <v>5.189256198347107</v>
      </c>
      <c r="U1251" s="50">
        <v>21</v>
      </c>
      <c r="V1251" s="53">
        <v>0</v>
      </c>
      <c r="W1251" s="147">
        <v>1</v>
      </c>
      <c r="X1251" s="148" t="s">
        <v>163</v>
      </c>
      <c r="Y1251" s="54">
        <f>R1251*W1251</f>
        <v>29.9</v>
      </c>
      <c r="Z1251" s="52">
        <f>S1251*W1251</f>
        <v>24.710743801652892</v>
      </c>
      <c r="AA1251" s="52">
        <f>T1251*W1251</f>
        <v>5.189256198347107</v>
      </c>
      <c r="AB1251" s="52">
        <f>V1251*W1251</f>
        <v>0</v>
      </c>
      <c r="AC1251" s="53">
        <f>(R1251+V1251)*W1251</f>
        <v>29.9</v>
      </c>
      <c r="AD1251" s="138">
        <v>29.9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107</v>
      </c>
      <c r="F1252" s="96" t="s">
        <v>106</v>
      </c>
      <c r="G1252" s="97">
        <v>46132</v>
      </c>
      <c r="H1252" s="98">
        <v>0.4837037037037037</v>
      </c>
      <c r="I1252" s="50">
        <v>166004687</v>
      </c>
      <c r="J1252" s="96" t="s">
        <v>157</v>
      </c>
      <c r="K1252" s="49" t="s">
        <v>507</v>
      </c>
      <c r="L1252" s="39" t="s">
        <v>508</v>
      </c>
      <c r="M1252" s="49" t="s">
        <v>509</v>
      </c>
      <c r="N1252" s="39" t="s">
        <v>256</v>
      </c>
      <c r="O1252" s="96" t="s">
        <v>1024</v>
      </c>
      <c r="P1252" s="49" t="s">
        <v>235</v>
      </c>
      <c r="Q1252" s="96" t="s">
        <v>236</v>
      </c>
      <c r="R1252" s="52">
        <v>15.9</v>
      </c>
      <c r="S1252" s="52">
        <f>R1252-T1252</f>
        <v>13.140495867768596</v>
      </c>
      <c r="T1252" s="52">
        <f>R1252*U1252/(U1252+100)</f>
        <v>2.759504132231405</v>
      </c>
      <c r="U1252" s="50">
        <v>21</v>
      </c>
      <c r="V1252" s="53">
        <v>0</v>
      </c>
      <c r="W1252" s="147">
        <v>9</v>
      </c>
      <c r="X1252" s="148" t="s">
        <v>163</v>
      </c>
      <c r="Y1252" s="54">
        <f>R1252*W1252</f>
        <v>143.1</v>
      </c>
      <c r="Z1252" s="52">
        <f>S1252*W1252</f>
        <v>118.26446280991736</v>
      </c>
      <c r="AA1252" s="52">
        <f>T1252*W1252</f>
        <v>24.835537190082647</v>
      </c>
      <c r="AB1252" s="52">
        <f>V1252*W1252</f>
        <v>0</v>
      </c>
      <c r="AC1252" s="53">
        <f>(R1252+V1252)*W1252</f>
        <v>143.1</v>
      </c>
      <c r="AD1252" s="138">
        <v>15.9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107</v>
      </c>
      <c r="F1253" s="96" t="s">
        <v>106</v>
      </c>
      <c r="G1253" s="97">
        <v>46132</v>
      </c>
      <c r="H1253" s="98">
        <v>0.4843287037037037</v>
      </c>
      <c r="I1253" s="50">
        <v>166004688</v>
      </c>
      <c r="J1253" s="96" t="s">
        <v>157</v>
      </c>
      <c r="K1253" s="49" t="s">
        <v>1701</v>
      </c>
      <c r="L1253" s="39" t="s">
        <v>1702</v>
      </c>
      <c r="M1253" s="49" t="s">
        <v>466</v>
      </c>
      <c r="N1253" s="39" t="s">
        <v>1703</v>
      </c>
      <c r="O1253" s="96" t="s">
        <v>1704</v>
      </c>
      <c r="P1253" s="49" t="s">
        <v>157</v>
      </c>
      <c r="Q1253" s="96" t="s">
        <v>104</v>
      </c>
      <c r="R1253" s="52">
        <v>12.9</v>
      </c>
      <c r="S1253" s="52">
        <f>R1253-T1253</f>
        <v>11.517857142857142</v>
      </c>
      <c r="T1253" s="52">
        <f>R1253*U1253/(U1253+100)</f>
        <v>1.3821428571428573</v>
      </c>
      <c r="U1253" s="50">
        <v>12</v>
      </c>
      <c r="V1253" s="53">
        <v>0</v>
      </c>
      <c r="W1253" s="147">
        <v>1</v>
      </c>
      <c r="X1253" s="148" t="s">
        <v>163</v>
      </c>
      <c r="Y1253" s="54">
        <f>R1253*W1253</f>
        <v>12.9</v>
      </c>
      <c r="Z1253" s="52">
        <f>S1253*W1253</f>
        <v>11.517857142857142</v>
      </c>
      <c r="AA1253" s="52">
        <f>T1253*W1253</f>
        <v>1.3821428571428573</v>
      </c>
      <c r="AB1253" s="52">
        <f>V1253*W1253</f>
        <v>0</v>
      </c>
      <c r="AC1253" s="53">
        <f>(R1253+V1253)*W1253</f>
        <v>12.9</v>
      </c>
      <c r="AD1253" s="138">
        <v>12.9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107</v>
      </c>
      <c r="F1254" s="96" t="s">
        <v>106</v>
      </c>
      <c r="G1254" s="97">
        <v>46132</v>
      </c>
      <c r="H1254" s="98">
        <v>0.4843287037037037</v>
      </c>
      <c r="I1254" s="50">
        <v>166004688</v>
      </c>
      <c r="J1254" s="96" t="s">
        <v>157</v>
      </c>
      <c r="K1254" s="49" t="s">
        <v>1705</v>
      </c>
      <c r="L1254" s="39" t="s">
        <v>1706</v>
      </c>
      <c r="M1254" s="49" t="s">
        <v>466</v>
      </c>
      <c r="N1254" s="39" t="s">
        <v>1703</v>
      </c>
      <c r="O1254" s="96" t="s">
        <v>1707</v>
      </c>
      <c r="P1254" s="49" t="s">
        <v>157</v>
      </c>
      <c r="Q1254" s="96" t="s">
        <v>104</v>
      </c>
      <c r="R1254" s="52">
        <v>12.9</v>
      </c>
      <c r="S1254" s="52">
        <f>R1254-T1254</f>
        <v>11.517857142857142</v>
      </c>
      <c r="T1254" s="52">
        <f>R1254*U1254/(U1254+100)</f>
        <v>1.3821428571428573</v>
      </c>
      <c r="U1254" s="50">
        <v>12</v>
      </c>
      <c r="V1254" s="53">
        <v>0</v>
      </c>
      <c r="W1254" s="147">
        <v>1</v>
      </c>
      <c r="X1254" s="148" t="s">
        <v>163</v>
      </c>
      <c r="Y1254" s="54">
        <f>R1254*W1254</f>
        <v>12.9</v>
      </c>
      <c r="Z1254" s="52">
        <f>S1254*W1254</f>
        <v>11.517857142857142</v>
      </c>
      <c r="AA1254" s="52">
        <f>T1254*W1254</f>
        <v>1.3821428571428573</v>
      </c>
      <c r="AB1254" s="52">
        <f>V1254*W1254</f>
        <v>0</v>
      </c>
      <c r="AC1254" s="53">
        <f>(R1254+V1254)*W1254</f>
        <v>12.9</v>
      </c>
      <c r="AD1254" s="138">
        <v>12.9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107</v>
      </c>
      <c r="F1255" s="96" t="s">
        <v>106</v>
      </c>
      <c r="G1255" s="97">
        <v>46132</v>
      </c>
      <c r="H1255" s="98">
        <v>0.4843287037037037</v>
      </c>
      <c r="I1255" s="50">
        <v>166004688</v>
      </c>
      <c r="J1255" s="96" t="s">
        <v>157</v>
      </c>
      <c r="K1255" s="49" t="s">
        <v>1085</v>
      </c>
      <c r="L1255" s="39" t="s">
        <v>1086</v>
      </c>
      <c r="M1255" s="49" t="s">
        <v>1087</v>
      </c>
      <c r="N1255" s="39" t="s">
        <v>1088</v>
      </c>
      <c r="O1255" s="96" t="s">
        <v>1089</v>
      </c>
      <c r="P1255" s="49" t="s">
        <v>157</v>
      </c>
      <c r="Q1255" s="96" t="s">
        <v>104</v>
      </c>
      <c r="R1255" s="52">
        <v>163.03</v>
      </c>
      <c r="S1255" s="52">
        <f>R1255-T1255</f>
        <v>145.5625</v>
      </c>
      <c r="T1255" s="52">
        <f>R1255*U1255/(U1255+100)</f>
        <v>17.4675</v>
      </c>
      <c r="U1255" s="50">
        <v>12</v>
      </c>
      <c r="V1255" s="53">
        <v>0</v>
      </c>
      <c r="W1255" s="147">
        <v>0.152</v>
      </c>
      <c r="X1255" s="148" t="s">
        <v>193</v>
      </c>
      <c r="Y1255" s="54">
        <f>R1255*W1255</f>
        <v>24.78056</v>
      </c>
      <c r="Z1255" s="52">
        <f>S1255*W1255</f>
        <v>22.1255</v>
      </c>
      <c r="AA1255" s="52">
        <f>T1255*W1255</f>
        <v>2.65506</v>
      </c>
      <c r="AB1255" s="52">
        <f>V1255*W1255</f>
        <v>0</v>
      </c>
      <c r="AC1255" s="53">
        <f>(R1255+V1255)*W1255</f>
        <v>24.78056</v>
      </c>
      <c r="AD1255" s="138">
        <v>232.9</v>
      </c>
      <c r="AE1255" s="137">
        <v>69.87</v>
      </c>
      <c r="AF1255" s="139">
        <v>10.6202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107</v>
      </c>
      <c r="F1256" s="96" t="s">
        <v>106</v>
      </c>
      <c r="G1256" s="97">
        <v>46132</v>
      </c>
      <c r="H1256" s="98">
        <v>0.48508101851851854</v>
      </c>
      <c r="I1256" s="50">
        <v>166004689</v>
      </c>
      <c r="J1256" s="96" t="s">
        <v>157</v>
      </c>
      <c r="K1256" s="49" t="s">
        <v>1021</v>
      </c>
      <c r="L1256" s="39" t="s">
        <v>1022</v>
      </c>
      <c r="M1256" s="49" t="s">
        <v>190</v>
      </c>
      <c r="N1256" s="39" t="s">
        <v>532</v>
      </c>
      <c r="O1256" s="96" t="s">
        <v>1023</v>
      </c>
      <c r="P1256" s="49" t="s">
        <v>157</v>
      </c>
      <c r="Q1256" s="96" t="s">
        <v>104</v>
      </c>
      <c r="R1256" s="52">
        <v>48.9</v>
      </c>
      <c r="S1256" s="52">
        <f>R1256-T1256</f>
        <v>43.660714285714285</v>
      </c>
      <c r="T1256" s="52">
        <f>R1256*U1256/(U1256+100)</f>
        <v>5.239285714285714</v>
      </c>
      <c r="U1256" s="50">
        <v>12</v>
      </c>
      <c r="V1256" s="53">
        <v>0</v>
      </c>
      <c r="W1256" s="147">
        <v>1.096</v>
      </c>
      <c r="X1256" s="148" t="s">
        <v>193</v>
      </c>
      <c r="Y1256" s="54">
        <f>R1256*W1256</f>
        <v>53.5944</v>
      </c>
      <c r="Z1256" s="52">
        <f>S1256*W1256</f>
        <v>47.85214285714286</v>
      </c>
      <c r="AA1256" s="52">
        <f>T1256*W1256</f>
        <v>5.7422571428571425</v>
      </c>
      <c r="AB1256" s="52">
        <f>V1256*W1256</f>
        <v>0</v>
      </c>
      <c r="AC1256" s="53">
        <f>(R1256+V1256)*W1256</f>
        <v>53.5944</v>
      </c>
      <c r="AD1256" s="138">
        <v>48.9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107</v>
      </c>
      <c r="F1257" s="96" t="s">
        <v>106</v>
      </c>
      <c r="G1257" s="97">
        <v>46132</v>
      </c>
      <c r="H1257" s="98">
        <v>0.48508101851851854</v>
      </c>
      <c r="I1257" s="50">
        <v>166004689</v>
      </c>
      <c r="J1257" s="96" t="s">
        <v>157</v>
      </c>
      <c r="K1257" s="49" t="s">
        <v>303</v>
      </c>
      <c r="L1257" s="39" t="s">
        <v>304</v>
      </c>
      <c r="M1257" s="49" t="s">
        <v>214</v>
      </c>
      <c r="N1257" s="39" t="s">
        <v>296</v>
      </c>
      <c r="O1257" s="96" t="s">
        <v>305</v>
      </c>
      <c r="P1257" s="49" t="s">
        <v>157</v>
      </c>
      <c r="Q1257" s="96" t="s">
        <v>104</v>
      </c>
      <c r="R1257" s="52">
        <v>11.9</v>
      </c>
      <c r="S1257" s="52">
        <f>R1257-T1257</f>
        <v>10.625</v>
      </c>
      <c r="T1257" s="52">
        <f>R1257*U1257/(U1257+100)</f>
        <v>1.2750000000000001</v>
      </c>
      <c r="U1257" s="50">
        <v>12</v>
      </c>
      <c r="V1257" s="53">
        <v>0</v>
      </c>
      <c r="W1257" s="147">
        <v>3</v>
      </c>
      <c r="X1257" s="148" t="s">
        <v>163</v>
      </c>
      <c r="Y1257" s="54">
        <f>R1257*W1257</f>
        <v>35.7</v>
      </c>
      <c r="Z1257" s="52">
        <f>S1257*W1257</f>
        <v>31.875</v>
      </c>
      <c r="AA1257" s="52">
        <f>T1257*W1257</f>
        <v>3.825</v>
      </c>
      <c r="AB1257" s="52">
        <f>V1257*W1257</f>
        <v>0</v>
      </c>
      <c r="AC1257" s="53">
        <f>(R1257+V1257)*W1257</f>
        <v>35.7</v>
      </c>
      <c r="AD1257" s="138">
        <v>11.9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107</v>
      </c>
      <c r="F1258" s="96" t="s">
        <v>106</v>
      </c>
      <c r="G1258" s="97">
        <v>46132</v>
      </c>
      <c r="H1258" s="98">
        <v>0.48508101851851854</v>
      </c>
      <c r="I1258" s="50">
        <v>166004689</v>
      </c>
      <c r="J1258" s="96" t="s">
        <v>157</v>
      </c>
      <c r="K1258" s="49" t="s">
        <v>271</v>
      </c>
      <c r="L1258" s="39" t="s">
        <v>272</v>
      </c>
      <c r="M1258" s="49" t="s">
        <v>214</v>
      </c>
      <c r="N1258" s="39" t="s">
        <v>273</v>
      </c>
      <c r="O1258" s="96" t="s">
        <v>1715</v>
      </c>
      <c r="P1258" s="49" t="s">
        <v>157</v>
      </c>
      <c r="Q1258" s="96" t="s">
        <v>104</v>
      </c>
      <c r="R1258" s="52">
        <v>13.9</v>
      </c>
      <c r="S1258" s="52">
        <f>R1258-T1258</f>
        <v>12.410714285714286</v>
      </c>
      <c r="T1258" s="52">
        <f>R1258*U1258/(U1258+100)</f>
        <v>1.4892857142857143</v>
      </c>
      <c r="U1258" s="50">
        <v>12</v>
      </c>
      <c r="V1258" s="53">
        <v>0</v>
      </c>
      <c r="W1258" s="147">
        <v>1</v>
      </c>
      <c r="X1258" s="148" t="s">
        <v>163</v>
      </c>
      <c r="Y1258" s="54">
        <f>R1258*W1258</f>
        <v>13.9</v>
      </c>
      <c r="Z1258" s="52">
        <f>S1258*W1258</f>
        <v>12.410714285714286</v>
      </c>
      <c r="AA1258" s="52">
        <f>T1258*W1258</f>
        <v>1.4892857142857143</v>
      </c>
      <c r="AB1258" s="52">
        <f>V1258*W1258</f>
        <v>0</v>
      </c>
      <c r="AC1258" s="53">
        <f>(R1258+V1258)*W1258</f>
        <v>13.9</v>
      </c>
      <c r="AD1258" s="138">
        <v>13.9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107</v>
      </c>
      <c r="F1259" s="96" t="s">
        <v>106</v>
      </c>
      <c r="G1259" s="97">
        <v>46132</v>
      </c>
      <c r="H1259" s="98">
        <v>0.48508101851851854</v>
      </c>
      <c r="I1259" s="50">
        <v>166004689</v>
      </c>
      <c r="J1259" s="96" t="s">
        <v>157</v>
      </c>
      <c r="K1259" s="49" t="s">
        <v>848</v>
      </c>
      <c r="L1259" s="39" t="s">
        <v>849</v>
      </c>
      <c r="M1259" s="49" t="s">
        <v>522</v>
      </c>
      <c r="N1259" s="39" t="s">
        <v>688</v>
      </c>
      <c r="O1259" s="96" t="s">
        <v>1342</v>
      </c>
      <c r="P1259" s="49" t="s">
        <v>157</v>
      </c>
      <c r="Q1259" s="96" t="s">
        <v>104</v>
      </c>
      <c r="R1259" s="52">
        <v>159.9</v>
      </c>
      <c r="S1259" s="52">
        <f>R1259-T1259</f>
        <v>142.76785714285714</v>
      </c>
      <c r="T1259" s="52">
        <f>R1259*U1259/(U1259+100)</f>
        <v>17.13214285714286</v>
      </c>
      <c r="U1259" s="50">
        <v>12</v>
      </c>
      <c r="V1259" s="53">
        <v>0</v>
      </c>
      <c r="W1259" s="147">
        <v>0.17</v>
      </c>
      <c r="X1259" s="148" t="s">
        <v>193</v>
      </c>
      <c r="Y1259" s="54">
        <f>R1259*W1259</f>
        <v>27.183000000000003</v>
      </c>
      <c r="Z1259" s="52">
        <f>S1259*W1259</f>
        <v>24.270535714285714</v>
      </c>
      <c r="AA1259" s="52">
        <f>T1259*W1259</f>
        <v>2.9124642857142864</v>
      </c>
      <c r="AB1259" s="52">
        <f>V1259*W1259</f>
        <v>0</v>
      </c>
      <c r="AC1259" s="53">
        <f>(R1259+V1259)*W1259</f>
        <v>27.183000000000003</v>
      </c>
      <c r="AD1259" s="138">
        <v>159.9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107</v>
      </c>
      <c r="F1260" s="96" t="s">
        <v>106</v>
      </c>
      <c r="G1260" s="97">
        <v>46132</v>
      </c>
      <c r="H1260" s="98">
        <v>0.48508101851851854</v>
      </c>
      <c r="I1260" s="50">
        <v>166004689</v>
      </c>
      <c r="J1260" s="96" t="s">
        <v>157</v>
      </c>
      <c r="K1260" s="49" t="s">
        <v>553</v>
      </c>
      <c r="L1260" s="39" t="s">
        <v>104</v>
      </c>
      <c r="M1260" s="49" t="s">
        <v>554</v>
      </c>
      <c r="N1260" s="39" t="s">
        <v>296</v>
      </c>
      <c r="O1260" s="96" t="s">
        <v>555</v>
      </c>
      <c r="P1260" s="49" t="s">
        <v>157</v>
      </c>
      <c r="Q1260" s="96" t="s">
        <v>104</v>
      </c>
      <c r="R1260" s="52">
        <v>8.9</v>
      </c>
      <c r="S1260" s="52">
        <f>R1260-T1260</f>
        <v>7.946428571428572</v>
      </c>
      <c r="T1260" s="52">
        <f>R1260*U1260/(U1260+100)</f>
        <v>0.9535714285714286</v>
      </c>
      <c r="U1260" s="50">
        <v>12</v>
      </c>
      <c r="V1260" s="53">
        <v>0</v>
      </c>
      <c r="W1260" s="147">
        <v>2</v>
      </c>
      <c r="X1260" s="148" t="s">
        <v>163</v>
      </c>
      <c r="Y1260" s="54">
        <f>R1260*W1260</f>
        <v>17.8</v>
      </c>
      <c r="Z1260" s="52">
        <f>S1260*W1260</f>
        <v>15.892857142857144</v>
      </c>
      <c r="AA1260" s="52">
        <f>T1260*W1260</f>
        <v>1.9071428571428573</v>
      </c>
      <c r="AB1260" s="52">
        <f>V1260*W1260</f>
        <v>0</v>
      </c>
      <c r="AC1260" s="53">
        <f>(R1260+V1260)*W1260</f>
        <v>17.8</v>
      </c>
      <c r="AD1260" s="138">
        <v>8.9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107</v>
      </c>
      <c r="F1261" s="96" t="s">
        <v>106</v>
      </c>
      <c r="G1261" s="97">
        <v>46132</v>
      </c>
      <c r="H1261" s="98">
        <v>0.48508101851851854</v>
      </c>
      <c r="I1261" s="50">
        <v>166004689</v>
      </c>
      <c r="J1261" s="96" t="s">
        <v>157</v>
      </c>
      <c r="K1261" s="49" t="s">
        <v>1691</v>
      </c>
      <c r="L1261" s="39" t="s">
        <v>104</v>
      </c>
      <c r="M1261" s="49" t="s">
        <v>554</v>
      </c>
      <c r="N1261" s="39" t="s">
        <v>296</v>
      </c>
      <c r="O1261" s="96" t="s">
        <v>1692</v>
      </c>
      <c r="P1261" s="49" t="s">
        <v>157</v>
      </c>
      <c r="Q1261" s="96" t="s">
        <v>104</v>
      </c>
      <c r="R1261" s="52">
        <v>11.9</v>
      </c>
      <c r="S1261" s="52">
        <f>R1261-T1261</f>
        <v>10.625</v>
      </c>
      <c r="T1261" s="52">
        <f>R1261*U1261/(U1261+100)</f>
        <v>1.2750000000000001</v>
      </c>
      <c r="U1261" s="50">
        <v>12</v>
      </c>
      <c r="V1261" s="53">
        <v>0</v>
      </c>
      <c r="W1261" s="147">
        <v>1</v>
      </c>
      <c r="X1261" s="148" t="s">
        <v>163</v>
      </c>
      <c r="Y1261" s="54">
        <f>R1261*W1261</f>
        <v>11.9</v>
      </c>
      <c r="Z1261" s="52">
        <f>S1261*W1261</f>
        <v>10.625</v>
      </c>
      <c r="AA1261" s="52">
        <f>T1261*W1261</f>
        <v>1.2750000000000001</v>
      </c>
      <c r="AB1261" s="52">
        <f>V1261*W1261</f>
        <v>0</v>
      </c>
      <c r="AC1261" s="53">
        <f>(R1261+V1261)*W1261</f>
        <v>11.9</v>
      </c>
      <c r="AD1261" s="138">
        <v>11.9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107</v>
      </c>
      <c r="F1262" s="96" t="s">
        <v>106</v>
      </c>
      <c r="G1262" s="97">
        <v>46132</v>
      </c>
      <c r="H1262" s="98">
        <v>0.48591435185185183</v>
      </c>
      <c r="I1262" s="50">
        <v>166004690</v>
      </c>
      <c r="J1262" s="96" t="s">
        <v>157</v>
      </c>
      <c r="K1262" s="49" t="s">
        <v>2341</v>
      </c>
      <c r="L1262" s="39" t="s">
        <v>2342</v>
      </c>
      <c r="M1262" s="49" t="s">
        <v>1252</v>
      </c>
      <c r="N1262" s="39" t="s">
        <v>197</v>
      </c>
      <c r="O1262" s="96" t="s">
        <v>2343</v>
      </c>
      <c r="P1262" s="49" t="s">
        <v>157</v>
      </c>
      <c r="Q1262" s="96" t="s">
        <v>104</v>
      </c>
      <c r="R1262" s="52">
        <v>39.9</v>
      </c>
      <c r="S1262" s="52">
        <f>R1262-T1262</f>
        <v>35.625</v>
      </c>
      <c r="T1262" s="52">
        <f>R1262*U1262/(U1262+100)</f>
        <v>4.2749999999999995</v>
      </c>
      <c r="U1262" s="50">
        <v>12</v>
      </c>
      <c r="V1262" s="53">
        <v>0</v>
      </c>
      <c r="W1262" s="147">
        <v>1</v>
      </c>
      <c r="X1262" s="148" t="s">
        <v>163</v>
      </c>
      <c r="Y1262" s="54">
        <f>R1262*W1262</f>
        <v>39.9</v>
      </c>
      <c r="Z1262" s="52">
        <f>S1262*W1262</f>
        <v>35.625</v>
      </c>
      <c r="AA1262" s="52">
        <f>T1262*W1262</f>
        <v>4.2749999999999995</v>
      </c>
      <c r="AB1262" s="52">
        <f>V1262*W1262</f>
        <v>0</v>
      </c>
      <c r="AC1262" s="53">
        <f>(R1262+V1262)*W1262</f>
        <v>39.9</v>
      </c>
      <c r="AD1262" s="138">
        <v>39.9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107</v>
      </c>
      <c r="F1263" s="96" t="s">
        <v>106</v>
      </c>
      <c r="G1263" s="97">
        <v>46132</v>
      </c>
      <c r="H1263" s="98">
        <v>0.48641203703703706</v>
      </c>
      <c r="I1263" s="50">
        <v>166004691</v>
      </c>
      <c r="J1263" s="96" t="s">
        <v>157</v>
      </c>
      <c r="K1263" s="49" t="s">
        <v>1549</v>
      </c>
      <c r="L1263" s="39" t="s">
        <v>1550</v>
      </c>
      <c r="M1263" s="49" t="s">
        <v>466</v>
      </c>
      <c r="N1263" s="39" t="s">
        <v>609</v>
      </c>
      <c r="O1263" s="96" t="s">
        <v>1551</v>
      </c>
      <c r="P1263" s="49" t="s">
        <v>157</v>
      </c>
      <c r="Q1263" s="96" t="s">
        <v>104</v>
      </c>
      <c r="R1263" s="52">
        <v>14.9</v>
      </c>
      <c r="S1263" s="52">
        <f>R1263-T1263</f>
        <v>13.303571428571429</v>
      </c>
      <c r="T1263" s="52">
        <f>R1263*U1263/(U1263+100)</f>
        <v>1.5964285714285715</v>
      </c>
      <c r="U1263" s="50">
        <v>12</v>
      </c>
      <c r="V1263" s="53">
        <v>0</v>
      </c>
      <c r="W1263" s="147">
        <v>1</v>
      </c>
      <c r="X1263" s="148" t="s">
        <v>163</v>
      </c>
      <c r="Y1263" s="54">
        <f>R1263*W1263</f>
        <v>14.9</v>
      </c>
      <c r="Z1263" s="52">
        <f>S1263*W1263</f>
        <v>13.303571428571429</v>
      </c>
      <c r="AA1263" s="52">
        <f>T1263*W1263</f>
        <v>1.5964285714285715</v>
      </c>
      <c r="AB1263" s="52">
        <f>V1263*W1263</f>
        <v>0</v>
      </c>
      <c r="AC1263" s="53">
        <f>(R1263+V1263)*W1263</f>
        <v>14.9</v>
      </c>
      <c r="AD1263" s="138">
        <v>14.9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107</v>
      </c>
      <c r="F1264" s="96" t="s">
        <v>106</v>
      </c>
      <c r="G1264" s="97">
        <v>46132</v>
      </c>
      <c r="H1264" s="98">
        <v>0.48641203703703706</v>
      </c>
      <c r="I1264" s="50">
        <v>166004691</v>
      </c>
      <c r="J1264" s="96" t="s">
        <v>157</v>
      </c>
      <c r="K1264" s="49" t="s">
        <v>2344</v>
      </c>
      <c r="L1264" s="39" t="s">
        <v>2345</v>
      </c>
      <c r="M1264" s="49" t="s">
        <v>282</v>
      </c>
      <c r="N1264" s="39" t="s">
        <v>609</v>
      </c>
      <c r="O1264" s="96" t="s">
        <v>2346</v>
      </c>
      <c r="P1264" s="49" t="s">
        <v>157</v>
      </c>
      <c r="Q1264" s="96" t="s">
        <v>104</v>
      </c>
      <c r="R1264" s="52">
        <v>11.9</v>
      </c>
      <c r="S1264" s="52">
        <f>R1264-T1264</f>
        <v>10.625</v>
      </c>
      <c r="T1264" s="52">
        <f>R1264*U1264/(U1264+100)</f>
        <v>1.2750000000000001</v>
      </c>
      <c r="U1264" s="50">
        <v>12</v>
      </c>
      <c r="V1264" s="53">
        <v>0</v>
      </c>
      <c r="W1264" s="147">
        <v>1</v>
      </c>
      <c r="X1264" s="148" t="s">
        <v>163</v>
      </c>
      <c r="Y1264" s="54">
        <f>R1264*W1264</f>
        <v>11.9</v>
      </c>
      <c r="Z1264" s="52">
        <f>S1264*W1264</f>
        <v>10.625</v>
      </c>
      <c r="AA1264" s="52">
        <f>T1264*W1264</f>
        <v>1.2750000000000001</v>
      </c>
      <c r="AB1264" s="52">
        <f>V1264*W1264</f>
        <v>0</v>
      </c>
      <c r="AC1264" s="53">
        <f>(R1264+V1264)*W1264</f>
        <v>11.9</v>
      </c>
      <c r="AD1264" s="138">
        <v>11.9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107</v>
      </c>
      <c r="F1265" s="96" t="s">
        <v>106</v>
      </c>
      <c r="G1265" s="97">
        <v>46132</v>
      </c>
      <c r="H1265" s="98">
        <v>0.48641203703703706</v>
      </c>
      <c r="I1265" s="50">
        <v>166004691</v>
      </c>
      <c r="J1265" s="96" t="s">
        <v>157</v>
      </c>
      <c r="K1265" s="49" t="s">
        <v>1888</v>
      </c>
      <c r="L1265" s="39" t="s">
        <v>1889</v>
      </c>
      <c r="M1265" s="49" t="s">
        <v>823</v>
      </c>
      <c r="N1265" s="39" t="s">
        <v>1890</v>
      </c>
      <c r="O1265" s="96" t="s">
        <v>1891</v>
      </c>
      <c r="P1265" s="49" t="s">
        <v>157</v>
      </c>
      <c r="Q1265" s="96" t="s">
        <v>104</v>
      </c>
      <c r="R1265" s="52">
        <v>23.9</v>
      </c>
      <c r="S1265" s="52">
        <f>R1265-T1265</f>
        <v>21.33928571428571</v>
      </c>
      <c r="T1265" s="52">
        <f>R1265*U1265/(U1265+100)</f>
        <v>2.5607142857142855</v>
      </c>
      <c r="U1265" s="50">
        <v>12</v>
      </c>
      <c r="V1265" s="53">
        <v>0</v>
      </c>
      <c r="W1265" s="147">
        <v>1</v>
      </c>
      <c r="X1265" s="148" t="s">
        <v>163</v>
      </c>
      <c r="Y1265" s="54">
        <f>R1265*W1265</f>
        <v>23.9</v>
      </c>
      <c r="Z1265" s="52">
        <f>S1265*W1265</f>
        <v>21.33928571428571</v>
      </c>
      <c r="AA1265" s="52">
        <f>T1265*W1265</f>
        <v>2.5607142857142855</v>
      </c>
      <c r="AB1265" s="52">
        <f>V1265*W1265</f>
        <v>0</v>
      </c>
      <c r="AC1265" s="53">
        <f>(R1265+V1265)*W1265</f>
        <v>23.9</v>
      </c>
      <c r="AD1265" s="138">
        <v>23.9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107</v>
      </c>
      <c r="F1266" s="96" t="s">
        <v>106</v>
      </c>
      <c r="G1266" s="97">
        <v>46132</v>
      </c>
      <c r="H1266" s="98">
        <v>0.48641203703703706</v>
      </c>
      <c r="I1266" s="50">
        <v>166004691</v>
      </c>
      <c r="J1266" s="96" t="s">
        <v>157</v>
      </c>
      <c r="K1266" s="49" t="s">
        <v>1888</v>
      </c>
      <c r="L1266" s="39" t="s">
        <v>1889</v>
      </c>
      <c r="M1266" s="49" t="s">
        <v>823</v>
      </c>
      <c r="N1266" s="39" t="s">
        <v>1890</v>
      </c>
      <c r="O1266" s="96" t="s">
        <v>1891</v>
      </c>
      <c r="P1266" s="49" t="s">
        <v>157</v>
      </c>
      <c r="Q1266" s="96" t="s">
        <v>104</v>
      </c>
      <c r="R1266" s="52">
        <v>23.9</v>
      </c>
      <c r="S1266" s="52">
        <f>R1266-T1266</f>
        <v>21.33928571428571</v>
      </c>
      <c r="T1266" s="52">
        <f>R1266*U1266/(U1266+100)</f>
        <v>2.5607142857142855</v>
      </c>
      <c r="U1266" s="50">
        <v>12</v>
      </c>
      <c r="V1266" s="53">
        <v>0</v>
      </c>
      <c r="W1266" s="147">
        <v>1</v>
      </c>
      <c r="X1266" s="148" t="s">
        <v>163</v>
      </c>
      <c r="Y1266" s="54">
        <f>R1266*W1266</f>
        <v>23.9</v>
      </c>
      <c r="Z1266" s="52">
        <f>S1266*W1266</f>
        <v>21.33928571428571</v>
      </c>
      <c r="AA1266" s="52">
        <f>T1266*W1266</f>
        <v>2.5607142857142855</v>
      </c>
      <c r="AB1266" s="52">
        <f>V1266*W1266</f>
        <v>0</v>
      </c>
      <c r="AC1266" s="53">
        <f>(R1266+V1266)*W1266</f>
        <v>23.9</v>
      </c>
      <c r="AD1266" s="138">
        <v>23.9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107</v>
      </c>
      <c r="F1267" s="96" t="s">
        <v>106</v>
      </c>
      <c r="G1267" s="97">
        <v>46132</v>
      </c>
      <c r="H1267" s="98">
        <v>0.48641203703703706</v>
      </c>
      <c r="I1267" s="50">
        <v>166004691</v>
      </c>
      <c r="J1267" s="96" t="s">
        <v>157</v>
      </c>
      <c r="K1267" s="49" t="s">
        <v>2171</v>
      </c>
      <c r="L1267" s="39" t="s">
        <v>2172</v>
      </c>
      <c r="M1267" s="49" t="s">
        <v>214</v>
      </c>
      <c r="N1267" s="39" t="s">
        <v>2173</v>
      </c>
      <c r="O1267" s="96" t="s">
        <v>2174</v>
      </c>
      <c r="P1267" s="49" t="s">
        <v>235</v>
      </c>
      <c r="Q1267" s="96" t="s">
        <v>236</v>
      </c>
      <c r="R1267" s="52">
        <v>69.9</v>
      </c>
      <c r="S1267" s="52">
        <f>R1267-T1267</f>
        <v>62.41071428571429</v>
      </c>
      <c r="T1267" s="52">
        <f>R1267*U1267/(U1267+100)</f>
        <v>7.489285714285715</v>
      </c>
      <c r="U1267" s="50">
        <v>12</v>
      </c>
      <c r="V1267" s="53">
        <v>0</v>
      </c>
      <c r="W1267" s="147">
        <v>1</v>
      </c>
      <c r="X1267" s="148" t="s">
        <v>163</v>
      </c>
      <c r="Y1267" s="54">
        <f>R1267*W1267</f>
        <v>69.9</v>
      </c>
      <c r="Z1267" s="52">
        <f>S1267*W1267</f>
        <v>62.41071428571429</v>
      </c>
      <c r="AA1267" s="52">
        <f>T1267*W1267</f>
        <v>7.489285714285715</v>
      </c>
      <c r="AB1267" s="52">
        <f>V1267*W1267</f>
        <v>0</v>
      </c>
      <c r="AC1267" s="53">
        <f>(R1267+V1267)*W1267</f>
        <v>69.9</v>
      </c>
      <c r="AD1267" s="138">
        <v>69.9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107</v>
      </c>
      <c r="F1268" s="96" t="s">
        <v>106</v>
      </c>
      <c r="G1268" s="97">
        <v>46132</v>
      </c>
      <c r="H1268" s="98">
        <v>0.48641203703703706</v>
      </c>
      <c r="I1268" s="50">
        <v>166004691</v>
      </c>
      <c r="J1268" s="96" t="s">
        <v>157</v>
      </c>
      <c r="K1268" s="49" t="s">
        <v>293</v>
      </c>
      <c r="L1268" s="39" t="s">
        <v>294</v>
      </c>
      <c r="M1268" s="49" t="s">
        <v>295</v>
      </c>
      <c r="N1268" s="39" t="s">
        <v>296</v>
      </c>
      <c r="O1268" s="96" t="s">
        <v>297</v>
      </c>
      <c r="P1268" s="49" t="s">
        <v>157</v>
      </c>
      <c r="Q1268" s="96" t="s">
        <v>104</v>
      </c>
      <c r="R1268" s="52">
        <v>2.9</v>
      </c>
      <c r="S1268" s="52">
        <f>R1268-T1268</f>
        <v>2.5892857142857144</v>
      </c>
      <c r="T1268" s="52">
        <f>R1268*U1268/(U1268+100)</f>
        <v>0.31071428571428567</v>
      </c>
      <c r="U1268" s="50">
        <v>12</v>
      </c>
      <c r="V1268" s="53">
        <v>0</v>
      </c>
      <c r="W1268" s="147">
        <v>8</v>
      </c>
      <c r="X1268" s="148" t="s">
        <v>163</v>
      </c>
      <c r="Y1268" s="54">
        <f>R1268*W1268</f>
        <v>23.2</v>
      </c>
      <c r="Z1268" s="52">
        <f>S1268*W1268</f>
        <v>20.714285714285715</v>
      </c>
      <c r="AA1268" s="52">
        <f>T1268*W1268</f>
        <v>2.4857142857142853</v>
      </c>
      <c r="AB1268" s="52">
        <f>V1268*W1268</f>
        <v>0</v>
      </c>
      <c r="AC1268" s="53">
        <f>(R1268+V1268)*W1268</f>
        <v>23.2</v>
      </c>
      <c r="AD1268" s="138">
        <v>2.9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107</v>
      </c>
      <c r="F1269" s="96" t="s">
        <v>106</v>
      </c>
      <c r="G1269" s="97">
        <v>46132</v>
      </c>
      <c r="H1269" s="98">
        <v>0.48641203703703706</v>
      </c>
      <c r="I1269" s="50">
        <v>166004691</v>
      </c>
      <c r="J1269" s="96" t="s">
        <v>157</v>
      </c>
      <c r="K1269" s="49" t="s">
        <v>553</v>
      </c>
      <c r="L1269" s="39" t="s">
        <v>104</v>
      </c>
      <c r="M1269" s="49" t="s">
        <v>554</v>
      </c>
      <c r="N1269" s="39" t="s">
        <v>296</v>
      </c>
      <c r="O1269" s="96" t="s">
        <v>555</v>
      </c>
      <c r="P1269" s="49" t="s">
        <v>157</v>
      </c>
      <c r="Q1269" s="96" t="s">
        <v>104</v>
      </c>
      <c r="R1269" s="52">
        <v>8.9</v>
      </c>
      <c r="S1269" s="52">
        <f>R1269-T1269</f>
        <v>7.946428571428572</v>
      </c>
      <c r="T1269" s="52">
        <f>R1269*U1269/(U1269+100)</f>
        <v>0.9535714285714286</v>
      </c>
      <c r="U1269" s="50">
        <v>12</v>
      </c>
      <c r="V1269" s="53">
        <v>0</v>
      </c>
      <c r="W1269" s="147">
        <v>3</v>
      </c>
      <c r="X1269" s="148" t="s">
        <v>163</v>
      </c>
      <c r="Y1269" s="54">
        <f>R1269*W1269</f>
        <v>26.700000000000003</v>
      </c>
      <c r="Z1269" s="52">
        <f>S1269*W1269</f>
        <v>23.839285714285715</v>
      </c>
      <c r="AA1269" s="52">
        <f>T1269*W1269</f>
        <v>2.8607142857142858</v>
      </c>
      <c r="AB1269" s="52">
        <f>V1269*W1269</f>
        <v>0</v>
      </c>
      <c r="AC1269" s="53">
        <f>(R1269+V1269)*W1269</f>
        <v>26.700000000000003</v>
      </c>
      <c r="AD1269" s="138">
        <v>8.9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107</v>
      </c>
      <c r="F1270" s="96" t="s">
        <v>106</v>
      </c>
      <c r="G1270" s="97">
        <v>46132</v>
      </c>
      <c r="H1270" s="98">
        <v>0.4891666666666667</v>
      </c>
      <c r="I1270" s="50">
        <v>166004692</v>
      </c>
      <c r="J1270" s="96" t="s">
        <v>157</v>
      </c>
      <c r="K1270" s="49" t="s">
        <v>2347</v>
      </c>
      <c r="L1270" s="39" t="s">
        <v>2348</v>
      </c>
      <c r="M1270" s="49" t="s">
        <v>232</v>
      </c>
      <c r="N1270" s="39" t="s">
        <v>233</v>
      </c>
      <c r="O1270" s="96" t="s">
        <v>2349</v>
      </c>
      <c r="P1270" s="49" t="s">
        <v>157</v>
      </c>
      <c r="Q1270" s="96" t="s">
        <v>104</v>
      </c>
      <c r="R1270" s="52">
        <v>19.9</v>
      </c>
      <c r="S1270" s="52">
        <f>R1270-T1270</f>
        <v>16.446280991735534</v>
      </c>
      <c r="T1270" s="52">
        <f>R1270*U1270/(U1270+100)</f>
        <v>3.4537190082644624</v>
      </c>
      <c r="U1270" s="50">
        <v>21</v>
      </c>
      <c r="V1270" s="53">
        <v>0</v>
      </c>
      <c r="W1270" s="147">
        <v>1</v>
      </c>
      <c r="X1270" s="148" t="s">
        <v>163</v>
      </c>
      <c r="Y1270" s="54">
        <f>R1270*W1270</f>
        <v>19.9</v>
      </c>
      <c r="Z1270" s="52">
        <f>S1270*W1270</f>
        <v>16.446280991735534</v>
      </c>
      <c r="AA1270" s="52">
        <f>T1270*W1270</f>
        <v>3.4537190082644624</v>
      </c>
      <c r="AB1270" s="52">
        <f>V1270*W1270</f>
        <v>0</v>
      </c>
      <c r="AC1270" s="53">
        <f>(R1270+V1270)*W1270</f>
        <v>19.9</v>
      </c>
      <c r="AD1270" s="138">
        <v>19.9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107</v>
      </c>
      <c r="F1271" s="96" t="s">
        <v>106</v>
      </c>
      <c r="G1271" s="97">
        <v>46132</v>
      </c>
      <c r="H1271" s="98">
        <v>0.4898726851851852</v>
      </c>
      <c r="I1271" s="50">
        <v>166004693</v>
      </c>
      <c r="J1271" s="96" t="s">
        <v>157</v>
      </c>
      <c r="K1271" s="49" t="s">
        <v>261</v>
      </c>
      <c r="L1271" s="39" t="s">
        <v>262</v>
      </c>
      <c r="M1271" s="49" t="s">
        <v>263</v>
      </c>
      <c r="N1271" s="39" t="s">
        <v>264</v>
      </c>
      <c r="O1271" s="96" t="s">
        <v>1544</v>
      </c>
      <c r="P1271" s="49" t="s">
        <v>157</v>
      </c>
      <c r="Q1271" s="96" t="s">
        <v>104</v>
      </c>
      <c r="R1271" s="52">
        <v>37.9</v>
      </c>
      <c r="S1271" s="52">
        <f>R1271-T1271</f>
        <v>33.839285714285715</v>
      </c>
      <c r="T1271" s="52">
        <f>R1271*U1271/(U1271+100)</f>
        <v>4.060714285714285</v>
      </c>
      <c r="U1271" s="50">
        <v>12</v>
      </c>
      <c r="V1271" s="53">
        <v>0</v>
      </c>
      <c r="W1271" s="147">
        <v>1</v>
      </c>
      <c r="X1271" s="148" t="s">
        <v>163</v>
      </c>
      <c r="Y1271" s="54">
        <f>R1271*W1271</f>
        <v>37.9</v>
      </c>
      <c r="Z1271" s="52">
        <f>S1271*W1271</f>
        <v>33.839285714285715</v>
      </c>
      <c r="AA1271" s="52">
        <f>T1271*W1271</f>
        <v>4.060714285714285</v>
      </c>
      <c r="AB1271" s="52">
        <f>V1271*W1271</f>
        <v>0</v>
      </c>
      <c r="AC1271" s="53">
        <f>(R1271+V1271)*W1271</f>
        <v>37.9</v>
      </c>
      <c r="AD1271" s="138">
        <v>37.9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107</v>
      </c>
      <c r="F1272" s="96" t="s">
        <v>106</v>
      </c>
      <c r="G1272" s="97">
        <v>46132</v>
      </c>
      <c r="H1272" s="98">
        <v>0.4898726851851852</v>
      </c>
      <c r="I1272" s="50">
        <v>166004693</v>
      </c>
      <c r="J1272" s="96" t="s">
        <v>157</v>
      </c>
      <c r="K1272" s="49" t="s">
        <v>2350</v>
      </c>
      <c r="L1272" s="39" t="s">
        <v>2351</v>
      </c>
      <c r="M1272" s="49" t="s">
        <v>341</v>
      </c>
      <c r="N1272" s="39" t="s">
        <v>233</v>
      </c>
      <c r="O1272" s="96" t="s">
        <v>2352</v>
      </c>
      <c r="P1272" s="49" t="s">
        <v>157</v>
      </c>
      <c r="Q1272" s="96" t="s">
        <v>104</v>
      </c>
      <c r="R1272" s="52">
        <v>19.9</v>
      </c>
      <c r="S1272" s="52">
        <f>R1272-T1272</f>
        <v>16.446280991735534</v>
      </c>
      <c r="T1272" s="52">
        <f>R1272*U1272/(U1272+100)</f>
        <v>3.4537190082644624</v>
      </c>
      <c r="U1272" s="50">
        <v>21</v>
      </c>
      <c r="V1272" s="53">
        <v>0</v>
      </c>
      <c r="W1272" s="147">
        <v>1</v>
      </c>
      <c r="X1272" s="148" t="s">
        <v>163</v>
      </c>
      <c r="Y1272" s="54">
        <f>R1272*W1272</f>
        <v>19.9</v>
      </c>
      <c r="Z1272" s="52">
        <f>S1272*W1272</f>
        <v>16.446280991735534</v>
      </c>
      <c r="AA1272" s="52">
        <f>T1272*W1272</f>
        <v>3.4537190082644624</v>
      </c>
      <c r="AB1272" s="52">
        <f>V1272*W1272</f>
        <v>0</v>
      </c>
      <c r="AC1272" s="53">
        <f>(R1272+V1272)*W1272</f>
        <v>19.9</v>
      </c>
      <c r="AD1272" s="138">
        <v>19.9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107</v>
      </c>
      <c r="F1273" s="96" t="s">
        <v>106</v>
      </c>
      <c r="G1273" s="97">
        <v>46132</v>
      </c>
      <c r="H1273" s="98">
        <v>0.4898726851851852</v>
      </c>
      <c r="I1273" s="50">
        <v>166004693</v>
      </c>
      <c r="J1273" s="96" t="s">
        <v>157</v>
      </c>
      <c r="K1273" s="49" t="s">
        <v>916</v>
      </c>
      <c r="L1273" s="39" t="s">
        <v>917</v>
      </c>
      <c r="M1273" s="49" t="s">
        <v>214</v>
      </c>
      <c r="N1273" s="39" t="s">
        <v>548</v>
      </c>
      <c r="O1273" s="96" t="s">
        <v>2353</v>
      </c>
      <c r="P1273" s="49" t="s">
        <v>157</v>
      </c>
      <c r="Q1273" s="96" t="s">
        <v>104</v>
      </c>
      <c r="R1273" s="52">
        <v>27.9</v>
      </c>
      <c r="S1273" s="52">
        <f>R1273-T1273</f>
        <v>24.910714285714285</v>
      </c>
      <c r="T1273" s="52">
        <f>R1273*U1273/(U1273+100)</f>
        <v>2.989285714285714</v>
      </c>
      <c r="U1273" s="50">
        <v>12</v>
      </c>
      <c r="V1273" s="53">
        <v>0</v>
      </c>
      <c r="W1273" s="147">
        <v>1</v>
      </c>
      <c r="X1273" s="148" t="s">
        <v>163</v>
      </c>
      <c r="Y1273" s="54">
        <f>R1273*W1273</f>
        <v>27.9</v>
      </c>
      <c r="Z1273" s="52">
        <f>S1273*W1273</f>
        <v>24.910714285714285</v>
      </c>
      <c r="AA1273" s="52">
        <f>T1273*W1273</f>
        <v>2.989285714285714</v>
      </c>
      <c r="AB1273" s="52">
        <f>V1273*W1273</f>
        <v>0</v>
      </c>
      <c r="AC1273" s="53">
        <f>(R1273+V1273)*W1273</f>
        <v>27.9</v>
      </c>
      <c r="AD1273" s="138">
        <v>27.9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107</v>
      </c>
      <c r="F1274" s="96" t="s">
        <v>106</v>
      </c>
      <c r="G1274" s="97">
        <v>46132</v>
      </c>
      <c r="H1274" s="98">
        <v>0.4898726851851852</v>
      </c>
      <c r="I1274" s="50">
        <v>166004693</v>
      </c>
      <c r="J1274" s="96" t="s">
        <v>157</v>
      </c>
      <c r="K1274" s="49" t="s">
        <v>916</v>
      </c>
      <c r="L1274" s="39" t="s">
        <v>917</v>
      </c>
      <c r="M1274" s="49" t="s">
        <v>214</v>
      </c>
      <c r="N1274" s="39" t="s">
        <v>548</v>
      </c>
      <c r="O1274" s="96" t="s">
        <v>2353</v>
      </c>
      <c r="P1274" s="49" t="s">
        <v>157</v>
      </c>
      <c r="Q1274" s="96" t="s">
        <v>104</v>
      </c>
      <c r="R1274" s="52">
        <v>27.9</v>
      </c>
      <c r="S1274" s="52">
        <f>R1274-T1274</f>
        <v>24.910714285714285</v>
      </c>
      <c r="T1274" s="52">
        <f>R1274*U1274/(U1274+100)</f>
        <v>2.989285714285714</v>
      </c>
      <c r="U1274" s="50">
        <v>12</v>
      </c>
      <c r="V1274" s="53">
        <v>0</v>
      </c>
      <c r="W1274" s="147">
        <v>1</v>
      </c>
      <c r="X1274" s="148" t="s">
        <v>163</v>
      </c>
      <c r="Y1274" s="54">
        <f>R1274*W1274</f>
        <v>27.9</v>
      </c>
      <c r="Z1274" s="52">
        <f>S1274*W1274</f>
        <v>24.910714285714285</v>
      </c>
      <c r="AA1274" s="52">
        <f>T1274*W1274</f>
        <v>2.989285714285714</v>
      </c>
      <c r="AB1274" s="52">
        <f>V1274*W1274</f>
        <v>0</v>
      </c>
      <c r="AC1274" s="53">
        <f>(R1274+V1274)*W1274</f>
        <v>27.9</v>
      </c>
      <c r="AD1274" s="138">
        <v>27.9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107</v>
      </c>
      <c r="F1275" s="96" t="s">
        <v>106</v>
      </c>
      <c r="G1275" s="97">
        <v>46132</v>
      </c>
      <c r="H1275" s="98">
        <v>0.4898726851851852</v>
      </c>
      <c r="I1275" s="50">
        <v>166004693</v>
      </c>
      <c r="J1275" s="96" t="s">
        <v>157</v>
      </c>
      <c r="K1275" s="49" t="s">
        <v>266</v>
      </c>
      <c r="L1275" s="39" t="s">
        <v>267</v>
      </c>
      <c r="M1275" s="49" t="s">
        <v>268</v>
      </c>
      <c r="N1275" s="39" t="s">
        <v>269</v>
      </c>
      <c r="O1275" s="96" t="s">
        <v>1249</v>
      </c>
      <c r="P1275" s="49" t="s">
        <v>235</v>
      </c>
      <c r="Q1275" s="96" t="s">
        <v>236</v>
      </c>
      <c r="R1275" s="52">
        <v>11.9</v>
      </c>
      <c r="S1275" s="52">
        <f>R1275-T1275</f>
        <v>10.625</v>
      </c>
      <c r="T1275" s="52">
        <f>R1275*U1275/(U1275+100)</f>
        <v>1.2750000000000001</v>
      </c>
      <c r="U1275" s="50">
        <v>12</v>
      </c>
      <c r="V1275" s="53">
        <v>0</v>
      </c>
      <c r="W1275" s="147">
        <v>3</v>
      </c>
      <c r="X1275" s="148" t="s">
        <v>163</v>
      </c>
      <c r="Y1275" s="54">
        <f>R1275*W1275</f>
        <v>35.7</v>
      </c>
      <c r="Z1275" s="52">
        <f>S1275*W1275</f>
        <v>31.875</v>
      </c>
      <c r="AA1275" s="52">
        <f>T1275*W1275</f>
        <v>3.825</v>
      </c>
      <c r="AB1275" s="52">
        <f>V1275*W1275</f>
        <v>0</v>
      </c>
      <c r="AC1275" s="53">
        <f>(R1275+V1275)*W1275</f>
        <v>35.7</v>
      </c>
      <c r="AD1275" s="138">
        <v>11.9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107</v>
      </c>
      <c r="F1276" s="96" t="s">
        <v>106</v>
      </c>
      <c r="G1276" s="97">
        <v>46132</v>
      </c>
      <c r="H1276" s="98">
        <v>0.4905439814814815</v>
      </c>
      <c r="I1276" s="50">
        <v>166004694</v>
      </c>
      <c r="J1276" s="96" t="s">
        <v>157</v>
      </c>
      <c r="K1276" s="49" t="s">
        <v>1070</v>
      </c>
      <c r="L1276" s="39" t="s">
        <v>1071</v>
      </c>
      <c r="M1276" s="49" t="s">
        <v>429</v>
      </c>
      <c r="N1276" s="39" t="s">
        <v>239</v>
      </c>
      <c r="O1276" s="96" t="s">
        <v>1072</v>
      </c>
      <c r="P1276" s="49" t="s">
        <v>157</v>
      </c>
      <c r="Q1276" s="96" t="s">
        <v>104</v>
      </c>
      <c r="R1276" s="52">
        <v>14.4</v>
      </c>
      <c r="S1276" s="52">
        <f>R1276-T1276</f>
        <v>12.857142857142858</v>
      </c>
      <c r="T1276" s="52">
        <f>R1276*U1276/(U1276+100)</f>
        <v>1.542857142857143</v>
      </c>
      <c r="U1276" s="50">
        <v>12</v>
      </c>
      <c r="V1276" s="53">
        <v>0</v>
      </c>
      <c r="W1276" s="147">
        <v>1</v>
      </c>
      <c r="X1276" s="148" t="s">
        <v>163</v>
      </c>
      <c r="Y1276" s="54">
        <f>R1276*W1276</f>
        <v>14.4</v>
      </c>
      <c r="Z1276" s="52">
        <f>S1276*W1276</f>
        <v>12.857142857142858</v>
      </c>
      <c r="AA1276" s="52">
        <f>T1276*W1276</f>
        <v>1.542857142857143</v>
      </c>
      <c r="AB1276" s="52">
        <f>V1276*W1276</f>
        <v>0</v>
      </c>
      <c r="AC1276" s="53">
        <f>(R1276+V1276)*W1276</f>
        <v>14.4</v>
      </c>
      <c r="AD1276" s="138">
        <v>14.4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107</v>
      </c>
      <c r="F1277" s="96" t="s">
        <v>106</v>
      </c>
      <c r="G1277" s="97">
        <v>46132</v>
      </c>
      <c r="H1277" s="98">
        <v>0.4905439814814815</v>
      </c>
      <c r="I1277" s="50">
        <v>166004694</v>
      </c>
      <c r="J1277" s="96" t="s">
        <v>157</v>
      </c>
      <c r="K1277" s="49" t="s">
        <v>1047</v>
      </c>
      <c r="L1277" s="39" t="s">
        <v>1048</v>
      </c>
      <c r="M1277" s="49" t="s">
        <v>620</v>
      </c>
      <c r="N1277" s="39" t="s">
        <v>1042</v>
      </c>
      <c r="O1277" s="96" t="s">
        <v>1049</v>
      </c>
      <c r="P1277" s="49" t="s">
        <v>157</v>
      </c>
      <c r="Q1277" s="96" t="s">
        <v>104</v>
      </c>
      <c r="R1277" s="52">
        <v>21.9</v>
      </c>
      <c r="S1277" s="52">
        <f>R1277-T1277</f>
        <v>19.553571428571427</v>
      </c>
      <c r="T1277" s="52">
        <f>R1277*U1277/(U1277+100)</f>
        <v>2.346428571428571</v>
      </c>
      <c r="U1277" s="50">
        <v>12</v>
      </c>
      <c r="V1277" s="53">
        <v>0</v>
      </c>
      <c r="W1277" s="147">
        <v>1</v>
      </c>
      <c r="X1277" s="148" t="s">
        <v>163</v>
      </c>
      <c r="Y1277" s="54">
        <f>R1277*W1277</f>
        <v>21.9</v>
      </c>
      <c r="Z1277" s="52">
        <f>S1277*W1277</f>
        <v>19.553571428571427</v>
      </c>
      <c r="AA1277" s="52">
        <f>T1277*W1277</f>
        <v>2.346428571428571</v>
      </c>
      <c r="AB1277" s="52">
        <f>V1277*W1277</f>
        <v>0</v>
      </c>
      <c r="AC1277" s="53">
        <f>(R1277+V1277)*W1277</f>
        <v>21.9</v>
      </c>
      <c r="AD1277" s="138">
        <v>21.9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107</v>
      </c>
      <c r="F1278" s="96" t="s">
        <v>106</v>
      </c>
      <c r="G1278" s="97">
        <v>46132</v>
      </c>
      <c r="H1278" s="98">
        <v>0.4905439814814815</v>
      </c>
      <c r="I1278" s="50">
        <v>166004694</v>
      </c>
      <c r="J1278" s="96" t="s">
        <v>157</v>
      </c>
      <c r="K1278" s="49" t="s">
        <v>1050</v>
      </c>
      <c r="L1278" s="39" t="s">
        <v>1051</v>
      </c>
      <c r="M1278" s="49" t="s">
        <v>620</v>
      </c>
      <c r="N1278" s="39" t="s">
        <v>1042</v>
      </c>
      <c r="O1278" s="96" t="s">
        <v>1052</v>
      </c>
      <c r="P1278" s="49" t="s">
        <v>157</v>
      </c>
      <c r="Q1278" s="96" t="s">
        <v>104</v>
      </c>
      <c r="R1278" s="52">
        <v>19.9</v>
      </c>
      <c r="S1278" s="52">
        <f>R1278-T1278</f>
        <v>17.767857142857142</v>
      </c>
      <c r="T1278" s="52">
        <f>R1278*U1278/(U1278+100)</f>
        <v>2.132142857142857</v>
      </c>
      <c r="U1278" s="50">
        <v>12</v>
      </c>
      <c r="V1278" s="53">
        <v>0</v>
      </c>
      <c r="W1278" s="147">
        <v>1</v>
      </c>
      <c r="X1278" s="148" t="s">
        <v>163</v>
      </c>
      <c r="Y1278" s="54">
        <f>R1278*W1278</f>
        <v>19.9</v>
      </c>
      <c r="Z1278" s="52">
        <f>S1278*W1278</f>
        <v>17.767857142857142</v>
      </c>
      <c r="AA1278" s="52">
        <f>T1278*W1278</f>
        <v>2.132142857142857</v>
      </c>
      <c r="AB1278" s="52">
        <f>V1278*W1278</f>
        <v>0</v>
      </c>
      <c r="AC1278" s="53">
        <f>(R1278+V1278)*W1278</f>
        <v>19.9</v>
      </c>
      <c r="AD1278" s="138">
        <v>19.9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107</v>
      </c>
      <c r="F1279" s="96" t="s">
        <v>106</v>
      </c>
      <c r="G1279" s="97">
        <v>46132</v>
      </c>
      <c r="H1279" s="98">
        <v>0.4905439814814815</v>
      </c>
      <c r="I1279" s="50">
        <v>166004694</v>
      </c>
      <c r="J1279" s="96" t="s">
        <v>157</v>
      </c>
      <c r="K1279" s="49" t="s">
        <v>183</v>
      </c>
      <c r="L1279" s="39" t="s">
        <v>184</v>
      </c>
      <c r="M1279" s="49" t="s">
        <v>185</v>
      </c>
      <c r="N1279" s="39" t="s">
        <v>186</v>
      </c>
      <c r="O1279" s="96" t="s">
        <v>988</v>
      </c>
      <c r="P1279" s="49" t="s">
        <v>157</v>
      </c>
      <c r="Q1279" s="96" t="s">
        <v>104</v>
      </c>
      <c r="R1279" s="52">
        <v>1.9</v>
      </c>
      <c r="S1279" s="52">
        <f>R1279-T1279</f>
        <v>1.5702479338842974</v>
      </c>
      <c r="T1279" s="52">
        <f>R1279*U1279/(U1279+100)</f>
        <v>0.32975206611570246</v>
      </c>
      <c r="U1279" s="50">
        <v>21</v>
      </c>
      <c r="V1279" s="53">
        <v>0</v>
      </c>
      <c r="W1279" s="147">
        <v>1</v>
      </c>
      <c r="X1279" s="148" t="s">
        <v>163</v>
      </c>
      <c r="Y1279" s="54">
        <f>R1279*W1279</f>
        <v>1.9</v>
      </c>
      <c r="Z1279" s="52">
        <f>S1279*W1279</f>
        <v>1.5702479338842974</v>
      </c>
      <c r="AA1279" s="52">
        <f>T1279*W1279</f>
        <v>0.32975206611570246</v>
      </c>
      <c r="AB1279" s="52">
        <f>V1279*W1279</f>
        <v>0</v>
      </c>
      <c r="AC1279" s="53">
        <f>(R1279+V1279)*W1279</f>
        <v>1.9</v>
      </c>
      <c r="AD1279" s="138">
        <v>1.9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107</v>
      </c>
      <c r="F1280" s="96" t="s">
        <v>106</v>
      </c>
      <c r="G1280" s="97">
        <v>46132</v>
      </c>
      <c r="H1280" s="98">
        <v>0.4905439814814815</v>
      </c>
      <c r="I1280" s="50">
        <v>166004694</v>
      </c>
      <c r="J1280" s="96" t="s">
        <v>157</v>
      </c>
      <c r="K1280" s="49" t="s">
        <v>293</v>
      </c>
      <c r="L1280" s="39" t="s">
        <v>294</v>
      </c>
      <c r="M1280" s="49" t="s">
        <v>295</v>
      </c>
      <c r="N1280" s="39" t="s">
        <v>296</v>
      </c>
      <c r="O1280" s="96" t="s">
        <v>297</v>
      </c>
      <c r="P1280" s="49" t="s">
        <v>157</v>
      </c>
      <c r="Q1280" s="96" t="s">
        <v>104</v>
      </c>
      <c r="R1280" s="52">
        <v>2.9</v>
      </c>
      <c r="S1280" s="52">
        <f>R1280-T1280</f>
        <v>2.5892857142857144</v>
      </c>
      <c r="T1280" s="52">
        <f>R1280*U1280/(U1280+100)</f>
        <v>0.31071428571428567</v>
      </c>
      <c r="U1280" s="50">
        <v>12</v>
      </c>
      <c r="V1280" s="53">
        <v>0</v>
      </c>
      <c r="W1280" s="147">
        <v>8</v>
      </c>
      <c r="X1280" s="148" t="s">
        <v>163</v>
      </c>
      <c r="Y1280" s="54">
        <f>R1280*W1280</f>
        <v>23.2</v>
      </c>
      <c r="Z1280" s="52">
        <f>S1280*W1280</f>
        <v>20.714285714285715</v>
      </c>
      <c r="AA1280" s="52">
        <f>T1280*W1280</f>
        <v>2.4857142857142853</v>
      </c>
      <c r="AB1280" s="52">
        <f>V1280*W1280</f>
        <v>0</v>
      </c>
      <c r="AC1280" s="53">
        <f>(R1280+V1280)*W1280</f>
        <v>23.2</v>
      </c>
      <c r="AD1280" s="138">
        <v>2.9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107</v>
      </c>
      <c r="F1281" s="96" t="s">
        <v>106</v>
      </c>
      <c r="G1281" s="97">
        <v>46132</v>
      </c>
      <c r="H1281" s="98">
        <v>0.49288194444444444</v>
      </c>
      <c r="I1281" s="50">
        <v>166004695</v>
      </c>
      <c r="J1281" s="96" t="s">
        <v>157</v>
      </c>
      <c r="K1281" s="49" t="s">
        <v>622</v>
      </c>
      <c r="L1281" s="39" t="s">
        <v>623</v>
      </c>
      <c r="M1281" s="49" t="s">
        <v>190</v>
      </c>
      <c r="N1281" s="39" t="s">
        <v>191</v>
      </c>
      <c r="O1281" s="96" t="s">
        <v>624</v>
      </c>
      <c r="P1281" s="49" t="s">
        <v>157</v>
      </c>
      <c r="Q1281" s="96" t="s">
        <v>104</v>
      </c>
      <c r="R1281" s="52">
        <v>17.9</v>
      </c>
      <c r="S1281" s="52">
        <f>R1281-T1281</f>
        <v>15.982142857142856</v>
      </c>
      <c r="T1281" s="52">
        <f>R1281*U1281/(U1281+100)</f>
        <v>1.9178571428571427</v>
      </c>
      <c r="U1281" s="50">
        <v>12</v>
      </c>
      <c r="V1281" s="53">
        <v>0</v>
      </c>
      <c r="W1281" s="147">
        <v>0.136</v>
      </c>
      <c r="X1281" s="148" t="s">
        <v>193</v>
      </c>
      <c r="Y1281" s="54">
        <f>R1281*W1281</f>
        <v>2.4344</v>
      </c>
      <c r="Z1281" s="52">
        <f>S1281*W1281</f>
        <v>2.1735714285714285</v>
      </c>
      <c r="AA1281" s="52">
        <f>T1281*W1281</f>
        <v>0.2608285714285714</v>
      </c>
      <c r="AB1281" s="52">
        <f>V1281*W1281</f>
        <v>0</v>
      </c>
      <c r="AC1281" s="53">
        <f>(R1281+V1281)*W1281</f>
        <v>2.4344</v>
      </c>
      <c r="AD1281" s="138">
        <v>17.9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107</v>
      </c>
      <c r="F1282" s="96" t="s">
        <v>106</v>
      </c>
      <c r="G1282" s="97">
        <v>46132</v>
      </c>
      <c r="H1282" s="98">
        <v>0.49288194444444444</v>
      </c>
      <c r="I1282" s="50">
        <v>166004695</v>
      </c>
      <c r="J1282" s="96" t="s">
        <v>157</v>
      </c>
      <c r="K1282" s="49" t="s">
        <v>336</v>
      </c>
      <c r="L1282" s="39" t="s">
        <v>337</v>
      </c>
      <c r="M1282" s="49" t="s">
        <v>190</v>
      </c>
      <c r="N1282" s="39" t="s">
        <v>191</v>
      </c>
      <c r="O1282" s="96" t="s">
        <v>338</v>
      </c>
      <c r="P1282" s="49" t="s">
        <v>157</v>
      </c>
      <c r="Q1282" s="96" t="s">
        <v>104</v>
      </c>
      <c r="R1282" s="52">
        <v>11.9</v>
      </c>
      <c r="S1282" s="52">
        <f>R1282-T1282</f>
        <v>10.625</v>
      </c>
      <c r="T1282" s="52">
        <f>R1282*U1282/(U1282+100)</f>
        <v>1.2750000000000001</v>
      </c>
      <c r="U1282" s="50">
        <v>12</v>
      </c>
      <c r="V1282" s="53">
        <v>0</v>
      </c>
      <c r="W1282" s="147">
        <v>0.22</v>
      </c>
      <c r="X1282" s="148" t="s">
        <v>193</v>
      </c>
      <c r="Y1282" s="54">
        <f>R1282*W1282</f>
        <v>2.618</v>
      </c>
      <c r="Z1282" s="52">
        <f>S1282*W1282</f>
        <v>2.3375</v>
      </c>
      <c r="AA1282" s="52">
        <f>T1282*W1282</f>
        <v>0.2805</v>
      </c>
      <c r="AB1282" s="52">
        <f>V1282*W1282</f>
        <v>0</v>
      </c>
      <c r="AC1282" s="53">
        <f>(R1282+V1282)*W1282</f>
        <v>2.618</v>
      </c>
      <c r="AD1282" s="138">
        <v>11.9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107</v>
      </c>
      <c r="F1283" s="96" t="s">
        <v>106</v>
      </c>
      <c r="G1283" s="97">
        <v>46132</v>
      </c>
      <c r="H1283" s="98">
        <v>0.49288194444444444</v>
      </c>
      <c r="I1283" s="50">
        <v>166004695</v>
      </c>
      <c r="J1283" s="96" t="s">
        <v>157</v>
      </c>
      <c r="K1283" s="49" t="s">
        <v>1494</v>
      </c>
      <c r="L1283" s="39" t="s">
        <v>1495</v>
      </c>
      <c r="M1283" s="49" t="s">
        <v>190</v>
      </c>
      <c r="N1283" s="39" t="s">
        <v>191</v>
      </c>
      <c r="O1283" s="96" t="s">
        <v>1496</v>
      </c>
      <c r="P1283" s="49" t="s">
        <v>157</v>
      </c>
      <c r="Q1283" s="96" t="s">
        <v>104</v>
      </c>
      <c r="R1283" s="52">
        <v>79.9</v>
      </c>
      <c r="S1283" s="52">
        <f>R1283-T1283</f>
        <v>71.33928571428572</v>
      </c>
      <c r="T1283" s="52">
        <f>R1283*U1283/(U1283+100)</f>
        <v>8.560714285714287</v>
      </c>
      <c r="U1283" s="50">
        <v>12</v>
      </c>
      <c r="V1283" s="53">
        <v>0</v>
      </c>
      <c r="W1283" s="147">
        <v>0.102</v>
      </c>
      <c r="X1283" s="148" t="s">
        <v>193</v>
      </c>
      <c r="Y1283" s="54">
        <f>R1283*W1283</f>
        <v>8.1498</v>
      </c>
      <c r="Z1283" s="52">
        <f>S1283*W1283</f>
        <v>7.276607142857143</v>
      </c>
      <c r="AA1283" s="52">
        <f>T1283*W1283</f>
        <v>0.8731928571428572</v>
      </c>
      <c r="AB1283" s="52">
        <f>V1283*W1283</f>
        <v>0</v>
      </c>
      <c r="AC1283" s="53">
        <f>(R1283+V1283)*W1283</f>
        <v>8.1498</v>
      </c>
      <c r="AD1283" s="138">
        <v>79.9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107</v>
      </c>
      <c r="F1284" s="96" t="s">
        <v>106</v>
      </c>
      <c r="G1284" s="97">
        <v>46132</v>
      </c>
      <c r="H1284" s="98">
        <v>0.49288194444444444</v>
      </c>
      <c r="I1284" s="50">
        <v>166004695</v>
      </c>
      <c r="J1284" s="96" t="s">
        <v>157</v>
      </c>
      <c r="K1284" s="49" t="s">
        <v>2354</v>
      </c>
      <c r="L1284" s="39" t="s">
        <v>2355</v>
      </c>
      <c r="M1284" s="49" t="s">
        <v>190</v>
      </c>
      <c r="N1284" s="39" t="s">
        <v>191</v>
      </c>
      <c r="O1284" s="96" t="s">
        <v>2356</v>
      </c>
      <c r="P1284" s="49" t="s">
        <v>157</v>
      </c>
      <c r="Q1284" s="96" t="s">
        <v>104</v>
      </c>
      <c r="R1284" s="52">
        <v>109.9</v>
      </c>
      <c r="S1284" s="52">
        <f>R1284-T1284</f>
        <v>98.125</v>
      </c>
      <c r="T1284" s="52">
        <f>R1284*U1284/(U1284+100)</f>
        <v>11.775000000000002</v>
      </c>
      <c r="U1284" s="50">
        <v>12</v>
      </c>
      <c r="V1284" s="53">
        <v>0</v>
      </c>
      <c r="W1284" s="147">
        <v>0.18</v>
      </c>
      <c r="X1284" s="148" t="s">
        <v>193</v>
      </c>
      <c r="Y1284" s="54">
        <f>R1284*W1284</f>
        <v>19.782</v>
      </c>
      <c r="Z1284" s="52">
        <f>S1284*W1284</f>
        <v>17.662499999999998</v>
      </c>
      <c r="AA1284" s="52">
        <f>T1284*W1284</f>
        <v>2.1195000000000004</v>
      </c>
      <c r="AB1284" s="52">
        <f>V1284*W1284</f>
        <v>0</v>
      </c>
      <c r="AC1284" s="53">
        <f>(R1284+V1284)*W1284</f>
        <v>19.782</v>
      </c>
      <c r="AD1284" s="138">
        <v>109.9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106</v>
      </c>
      <c r="G1285" s="97">
        <v>46132</v>
      </c>
      <c r="H1285" s="98">
        <v>0.49288194444444444</v>
      </c>
      <c r="I1285" s="50">
        <v>166004695</v>
      </c>
      <c r="J1285" s="96" t="s">
        <v>157</v>
      </c>
      <c r="K1285" s="49" t="s">
        <v>1865</v>
      </c>
      <c r="L1285" s="39" t="s">
        <v>1866</v>
      </c>
      <c r="M1285" s="49" t="s">
        <v>190</v>
      </c>
      <c r="N1285" s="39" t="s">
        <v>191</v>
      </c>
      <c r="O1285" s="96" t="s">
        <v>1867</v>
      </c>
      <c r="P1285" s="49" t="s">
        <v>157</v>
      </c>
      <c r="Q1285" s="96" t="s">
        <v>104</v>
      </c>
      <c r="R1285" s="52">
        <v>14.9</v>
      </c>
      <c r="S1285" s="52">
        <f>R1285-T1285</f>
        <v>13.303571428571429</v>
      </c>
      <c r="T1285" s="52">
        <f>R1285*U1285/(U1285+100)</f>
        <v>1.5964285714285715</v>
      </c>
      <c r="U1285" s="50">
        <v>12</v>
      </c>
      <c r="V1285" s="53">
        <v>0</v>
      </c>
      <c r="W1285" s="147">
        <v>0.142</v>
      </c>
      <c r="X1285" s="148" t="s">
        <v>193</v>
      </c>
      <c r="Y1285" s="54">
        <f>R1285*W1285</f>
        <v>2.1157999999999997</v>
      </c>
      <c r="Z1285" s="52">
        <f>S1285*W1285</f>
        <v>1.8891071428571427</v>
      </c>
      <c r="AA1285" s="52">
        <f>T1285*W1285</f>
        <v>0.22669285714285714</v>
      </c>
      <c r="AB1285" s="52">
        <f>V1285*W1285</f>
        <v>0</v>
      </c>
      <c r="AC1285" s="53">
        <f>(R1285+V1285)*W1285</f>
        <v>2.1157999999999997</v>
      </c>
      <c r="AD1285" s="138">
        <v>14.9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106</v>
      </c>
      <c r="G1286" s="97">
        <v>46132</v>
      </c>
      <c r="H1286" s="98">
        <v>0.49288194444444444</v>
      </c>
      <c r="I1286" s="50">
        <v>166004695</v>
      </c>
      <c r="J1286" s="96" t="s">
        <v>157</v>
      </c>
      <c r="K1286" s="49" t="s">
        <v>1085</v>
      </c>
      <c r="L1286" s="39" t="s">
        <v>1086</v>
      </c>
      <c r="M1286" s="49" t="s">
        <v>1087</v>
      </c>
      <c r="N1286" s="39" t="s">
        <v>1088</v>
      </c>
      <c r="O1286" s="96" t="s">
        <v>1089</v>
      </c>
      <c r="P1286" s="49" t="s">
        <v>157</v>
      </c>
      <c r="Q1286" s="96" t="s">
        <v>104</v>
      </c>
      <c r="R1286" s="52">
        <v>163.03</v>
      </c>
      <c r="S1286" s="52">
        <f>R1286-T1286</f>
        <v>145.5625</v>
      </c>
      <c r="T1286" s="52">
        <f>R1286*U1286/(U1286+100)</f>
        <v>17.4675</v>
      </c>
      <c r="U1286" s="50">
        <v>12</v>
      </c>
      <c r="V1286" s="53">
        <v>0</v>
      </c>
      <c r="W1286" s="147">
        <v>0.116</v>
      </c>
      <c r="X1286" s="148" t="s">
        <v>193</v>
      </c>
      <c r="Y1286" s="54">
        <f>R1286*W1286</f>
        <v>18.91148</v>
      </c>
      <c r="Z1286" s="52">
        <f>S1286*W1286</f>
        <v>16.88525</v>
      </c>
      <c r="AA1286" s="52">
        <f>T1286*W1286</f>
        <v>2.0262300000000004</v>
      </c>
      <c r="AB1286" s="52">
        <f>V1286*W1286</f>
        <v>0</v>
      </c>
      <c r="AC1286" s="53">
        <f>(R1286+V1286)*W1286</f>
        <v>18.91148</v>
      </c>
      <c r="AD1286" s="138">
        <v>232.9</v>
      </c>
      <c r="AE1286" s="137">
        <v>69.87</v>
      </c>
      <c r="AF1286" s="139">
        <v>8.1049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106</v>
      </c>
      <c r="G1287" s="97">
        <v>46132</v>
      </c>
      <c r="H1287" s="98">
        <v>0.49288194444444444</v>
      </c>
      <c r="I1287" s="50">
        <v>166004695</v>
      </c>
      <c r="J1287" s="96" t="s">
        <v>157</v>
      </c>
      <c r="K1287" s="49" t="s">
        <v>848</v>
      </c>
      <c r="L1287" s="39" t="s">
        <v>849</v>
      </c>
      <c r="M1287" s="49" t="s">
        <v>522</v>
      </c>
      <c r="N1287" s="39" t="s">
        <v>688</v>
      </c>
      <c r="O1287" s="96" t="s">
        <v>1342</v>
      </c>
      <c r="P1287" s="49" t="s">
        <v>157</v>
      </c>
      <c r="Q1287" s="96" t="s">
        <v>104</v>
      </c>
      <c r="R1287" s="52">
        <v>159.9</v>
      </c>
      <c r="S1287" s="52">
        <f>R1287-T1287</f>
        <v>142.76785714285714</v>
      </c>
      <c r="T1287" s="52">
        <f>R1287*U1287/(U1287+100)</f>
        <v>17.13214285714286</v>
      </c>
      <c r="U1287" s="50">
        <v>12</v>
      </c>
      <c r="V1287" s="53">
        <v>0</v>
      </c>
      <c r="W1287" s="147">
        <v>0.116</v>
      </c>
      <c r="X1287" s="148" t="s">
        <v>193</v>
      </c>
      <c r="Y1287" s="54">
        <f>R1287*W1287</f>
        <v>18.5484</v>
      </c>
      <c r="Z1287" s="52">
        <f>S1287*W1287</f>
        <v>16.561071428571427</v>
      </c>
      <c r="AA1287" s="52">
        <f>T1287*W1287</f>
        <v>1.9873285714285718</v>
      </c>
      <c r="AB1287" s="52">
        <f>V1287*W1287</f>
        <v>0</v>
      </c>
      <c r="AC1287" s="53">
        <f>(R1287+V1287)*W1287</f>
        <v>18.5484</v>
      </c>
      <c r="AD1287" s="138">
        <v>159.9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106</v>
      </c>
      <c r="G1288" s="97">
        <v>46132</v>
      </c>
      <c r="H1288" s="98">
        <v>0.49288194444444444</v>
      </c>
      <c r="I1288" s="50">
        <v>166004695</v>
      </c>
      <c r="J1288" s="96" t="s">
        <v>157</v>
      </c>
      <c r="K1288" s="49" t="s">
        <v>553</v>
      </c>
      <c r="L1288" s="39" t="s">
        <v>104</v>
      </c>
      <c r="M1288" s="49" t="s">
        <v>554</v>
      </c>
      <c r="N1288" s="39" t="s">
        <v>296</v>
      </c>
      <c r="O1288" s="96" t="s">
        <v>555</v>
      </c>
      <c r="P1288" s="49" t="s">
        <v>157</v>
      </c>
      <c r="Q1288" s="96" t="s">
        <v>104</v>
      </c>
      <c r="R1288" s="52">
        <v>8.9</v>
      </c>
      <c r="S1288" s="52">
        <f>R1288-T1288</f>
        <v>7.946428571428572</v>
      </c>
      <c r="T1288" s="52">
        <f>R1288*U1288/(U1288+100)</f>
        <v>0.9535714285714286</v>
      </c>
      <c r="U1288" s="50">
        <v>12</v>
      </c>
      <c r="V1288" s="53">
        <v>0</v>
      </c>
      <c r="W1288" s="147">
        <v>1</v>
      </c>
      <c r="X1288" s="148" t="s">
        <v>163</v>
      </c>
      <c r="Y1288" s="54">
        <f>R1288*W1288</f>
        <v>8.9</v>
      </c>
      <c r="Z1288" s="52">
        <f>S1288*W1288</f>
        <v>7.946428571428572</v>
      </c>
      <c r="AA1288" s="52">
        <f>T1288*W1288</f>
        <v>0.9535714285714286</v>
      </c>
      <c r="AB1288" s="52">
        <f>V1288*W1288</f>
        <v>0</v>
      </c>
      <c r="AC1288" s="53">
        <f>(R1288+V1288)*W1288</f>
        <v>8.9</v>
      </c>
      <c r="AD1288" s="138">
        <v>8.9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106</v>
      </c>
      <c r="G1289" s="97">
        <v>46132</v>
      </c>
      <c r="H1289" s="98">
        <v>0.49288194444444444</v>
      </c>
      <c r="I1289" s="50">
        <v>166004695</v>
      </c>
      <c r="J1289" s="96" t="s">
        <v>157</v>
      </c>
      <c r="K1289" s="49" t="s">
        <v>942</v>
      </c>
      <c r="L1289" s="39"/>
      <c r="M1289" s="49" t="s">
        <v>295</v>
      </c>
      <c r="N1289" s="39" t="s">
        <v>433</v>
      </c>
      <c r="O1289" s="96" t="s">
        <v>1332</v>
      </c>
      <c r="P1289" s="49" t="s">
        <v>235</v>
      </c>
      <c r="Q1289" s="96" t="s">
        <v>944</v>
      </c>
      <c r="R1289" s="52">
        <v>9.9</v>
      </c>
      <c r="S1289" s="52">
        <f>R1289-T1289</f>
        <v>8.839285714285715</v>
      </c>
      <c r="T1289" s="52">
        <f>R1289*U1289/(U1289+100)</f>
        <v>1.0607142857142857</v>
      </c>
      <c r="U1289" s="50">
        <v>12</v>
      </c>
      <c r="V1289" s="53">
        <v>0</v>
      </c>
      <c r="W1289" s="147">
        <v>1</v>
      </c>
      <c r="X1289" s="148" t="s">
        <v>945</v>
      </c>
      <c r="Y1289" s="54">
        <f>R1289*W1289</f>
        <v>9.9</v>
      </c>
      <c r="Z1289" s="52">
        <f>S1289*W1289</f>
        <v>8.839285714285715</v>
      </c>
      <c r="AA1289" s="52">
        <f>T1289*W1289</f>
        <v>1.0607142857142857</v>
      </c>
      <c r="AB1289" s="52">
        <f>V1289*W1289</f>
        <v>0</v>
      </c>
      <c r="AC1289" s="53">
        <f>(R1289+V1289)*W1289</f>
        <v>9.9</v>
      </c>
      <c r="AD1289" s="138">
        <v>9.9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106</v>
      </c>
      <c r="G1290" s="97">
        <v>46132</v>
      </c>
      <c r="H1290" s="98">
        <v>0.4930555555555556</v>
      </c>
      <c r="I1290" s="50">
        <v>166004696</v>
      </c>
      <c r="J1290" s="96" t="s">
        <v>157</v>
      </c>
      <c r="K1290" s="49" t="s">
        <v>2075</v>
      </c>
      <c r="L1290" s="39" t="s">
        <v>2076</v>
      </c>
      <c r="M1290" s="49" t="s">
        <v>1525</v>
      </c>
      <c r="N1290" s="39" t="s">
        <v>1230</v>
      </c>
      <c r="O1290" s="96" t="s">
        <v>2077</v>
      </c>
      <c r="P1290" s="49" t="s">
        <v>157</v>
      </c>
      <c r="Q1290" s="96" t="s">
        <v>104</v>
      </c>
      <c r="R1290" s="52">
        <v>19.9</v>
      </c>
      <c r="S1290" s="52">
        <f>R1290-T1290</f>
        <v>17.767857142857142</v>
      </c>
      <c r="T1290" s="52">
        <f>R1290*U1290/(U1290+100)</f>
        <v>2.132142857142857</v>
      </c>
      <c r="U1290" s="50">
        <v>12</v>
      </c>
      <c r="V1290" s="53">
        <v>0</v>
      </c>
      <c r="W1290" s="147">
        <v>1</v>
      </c>
      <c r="X1290" s="148" t="s">
        <v>163</v>
      </c>
      <c r="Y1290" s="54">
        <f>R1290*W1290</f>
        <v>19.9</v>
      </c>
      <c r="Z1290" s="52">
        <f>S1290*W1290</f>
        <v>17.767857142857142</v>
      </c>
      <c r="AA1290" s="52">
        <f>T1290*W1290</f>
        <v>2.132142857142857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106</v>
      </c>
      <c r="G1291" s="97">
        <v>46132</v>
      </c>
      <c r="H1291" s="98">
        <v>0.49363425925925924</v>
      </c>
      <c r="I1291" s="50">
        <v>166004697</v>
      </c>
      <c r="J1291" s="96" t="s">
        <v>157</v>
      </c>
      <c r="K1291" s="49" t="s">
        <v>1555</v>
      </c>
      <c r="L1291" s="39" t="s">
        <v>1556</v>
      </c>
      <c r="M1291" s="49" t="s">
        <v>425</v>
      </c>
      <c r="N1291" s="39" t="s">
        <v>197</v>
      </c>
      <c r="O1291" s="96" t="s">
        <v>1557</v>
      </c>
      <c r="P1291" s="49" t="s">
        <v>235</v>
      </c>
      <c r="Q1291" s="96" t="s">
        <v>236</v>
      </c>
      <c r="R1291" s="52">
        <v>5.9</v>
      </c>
      <c r="S1291" s="52">
        <f>R1291-T1291</f>
        <v>5.267857142857143</v>
      </c>
      <c r="T1291" s="52">
        <f>R1291*U1291/(U1291+100)</f>
        <v>0.6321428571428572</v>
      </c>
      <c r="U1291" s="50">
        <v>12</v>
      </c>
      <c r="V1291" s="53">
        <v>0</v>
      </c>
      <c r="W1291" s="147">
        <v>1</v>
      </c>
      <c r="X1291" s="148" t="s">
        <v>163</v>
      </c>
      <c r="Y1291" s="54">
        <f>R1291*W1291</f>
        <v>5.9</v>
      </c>
      <c r="Z1291" s="52">
        <f>S1291*W1291</f>
        <v>5.267857142857143</v>
      </c>
      <c r="AA1291" s="52">
        <f>T1291*W1291</f>
        <v>0.6321428571428572</v>
      </c>
      <c r="AB1291" s="52">
        <f>V1291*W1291</f>
        <v>0</v>
      </c>
      <c r="AC1291" s="53">
        <f>(R1291+V1291)*W1291</f>
        <v>5.9</v>
      </c>
      <c r="AD1291" s="138">
        <v>5.9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106</v>
      </c>
      <c r="G1292" s="97">
        <v>46132</v>
      </c>
      <c r="H1292" s="98">
        <v>0.49363425925925924</v>
      </c>
      <c r="I1292" s="50">
        <v>166004697</v>
      </c>
      <c r="J1292" s="96" t="s">
        <v>157</v>
      </c>
      <c r="K1292" s="49" t="s">
        <v>795</v>
      </c>
      <c r="L1292" s="39" t="s">
        <v>796</v>
      </c>
      <c r="M1292" s="49" t="s">
        <v>425</v>
      </c>
      <c r="N1292" s="39" t="s">
        <v>197</v>
      </c>
      <c r="O1292" s="96" t="s">
        <v>1558</v>
      </c>
      <c r="P1292" s="49" t="s">
        <v>235</v>
      </c>
      <c r="Q1292" s="96" t="s">
        <v>236</v>
      </c>
      <c r="R1292" s="52">
        <v>5.9</v>
      </c>
      <c r="S1292" s="52">
        <f>R1292-T1292</f>
        <v>5.267857142857143</v>
      </c>
      <c r="T1292" s="52">
        <f>R1292*U1292/(U1292+100)</f>
        <v>0.6321428571428572</v>
      </c>
      <c r="U1292" s="50">
        <v>12</v>
      </c>
      <c r="V1292" s="53">
        <v>0</v>
      </c>
      <c r="W1292" s="147">
        <v>1</v>
      </c>
      <c r="X1292" s="148" t="s">
        <v>163</v>
      </c>
      <c r="Y1292" s="54">
        <f>R1292*W1292</f>
        <v>5.9</v>
      </c>
      <c r="Z1292" s="52">
        <f>S1292*W1292</f>
        <v>5.267857142857143</v>
      </c>
      <c r="AA1292" s="52">
        <f>T1292*W1292</f>
        <v>0.6321428571428572</v>
      </c>
      <c r="AB1292" s="52">
        <f>V1292*W1292</f>
        <v>0</v>
      </c>
      <c r="AC1292" s="53">
        <f>(R1292+V1292)*W1292</f>
        <v>5.9</v>
      </c>
      <c r="AD1292" s="138">
        <v>5.9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106</v>
      </c>
      <c r="G1293" s="97">
        <v>46132</v>
      </c>
      <c r="H1293" s="98">
        <v>0.49363425925925924</v>
      </c>
      <c r="I1293" s="50">
        <v>166004697</v>
      </c>
      <c r="J1293" s="96" t="s">
        <v>157</v>
      </c>
      <c r="K1293" s="49" t="s">
        <v>1968</v>
      </c>
      <c r="L1293" s="39" t="s">
        <v>1969</v>
      </c>
      <c r="M1293" s="49" t="s">
        <v>425</v>
      </c>
      <c r="N1293" s="39" t="s">
        <v>197</v>
      </c>
      <c r="O1293" s="96" t="s">
        <v>1970</v>
      </c>
      <c r="P1293" s="49" t="s">
        <v>235</v>
      </c>
      <c r="Q1293" s="96" t="s">
        <v>236</v>
      </c>
      <c r="R1293" s="52">
        <v>5.9</v>
      </c>
      <c r="S1293" s="52">
        <f>R1293-T1293</f>
        <v>5.267857142857143</v>
      </c>
      <c r="T1293" s="52">
        <f>R1293*U1293/(U1293+100)</f>
        <v>0.6321428571428572</v>
      </c>
      <c r="U1293" s="50">
        <v>12</v>
      </c>
      <c r="V1293" s="53">
        <v>0</v>
      </c>
      <c r="W1293" s="147">
        <v>1</v>
      </c>
      <c r="X1293" s="148" t="s">
        <v>163</v>
      </c>
      <c r="Y1293" s="54">
        <f>R1293*W1293</f>
        <v>5.9</v>
      </c>
      <c r="Z1293" s="52">
        <f>S1293*W1293</f>
        <v>5.267857142857143</v>
      </c>
      <c r="AA1293" s="52">
        <f>T1293*W1293</f>
        <v>0.6321428571428572</v>
      </c>
      <c r="AB1293" s="52">
        <f>V1293*W1293</f>
        <v>0</v>
      </c>
      <c r="AC1293" s="53">
        <f>(R1293+V1293)*W1293</f>
        <v>5.9</v>
      </c>
      <c r="AD1293" s="138">
        <v>5.9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106</v>
      </c>
      <c r="G1294" s="97">
        <v>46132</v>
      </c>
      <c r="H1294" s="98">
        <v>0.49363425925925924</v>
      </c>
      <c r="I1294" s="50">
        <v>166004697</v>
      </c>
      <c r="J1294" s="96" t="s">
        <v>157</v>
      </c>
      <c r="K1294" s="49" t="s">
        <v>798</v>
      </c>
      <c r="L1294" s="39" t="s">
        <v>799</v>
      </c>
      <c r="M1294" s="49" t="s">
        <v>425</v>
      </c>
      <c r="N1294" s="39" t="s">
        <v>197</v>
      </c>
      <c r="O1294" s="96" t="s">
        <v>1684</v>
      </c>
      <c r="P1294" s="49" t="s">
        <v>235</v>
      </c>
      <c r="Q1294" s="96" t="s">
        <v>236</v>
      </c>
      <c r="R1294" s="52">
        <v>5.9</v>
      </c>
      <c r="S1294" s="52">
        <f>R1294-T1294</f>
        <v>5.267857142857143</v>
      </c>
      <c r="T1294" s="52">
        <f>R1294*U1294/(U1294+100)</f>
        <v>0.6321428571428572</v>
      </c>
      <c r="U1294" s="50">
        <v>12</v>
      </c>
      <c r="V1294" s="53">
        <v>0</v>
      </c>
      <c r="W1294" s="147">
        <v>1</v>
      </c>
      <c r="X1294" s="148" t="s">
        <v>163</v>
      </c>
      <c r="Y1294" s="54">
        <f>R1294*W1294</f>
        <v>5.9</v>
      </c>
      <c r="Z1294" s="52">
        <f>S1294*W1294</f>
        <v>5.267857142857143</v>
      </c>
      <c r="AA1294" s="52">
        <f>T1294*W1294</f>
        <v>0.6321428571428572</v>
      </c>
      <c r="AB1294" s="52">
        <f>V1294*W1294</f>
        <v>0</v>
      </c>
      <c r="AC1294" s="53">
        <f>(R1294+V1294)*W1294</f>
        <v>5.9</v>
      </c>
      <c r="AD1294" s="138">
        <v>5.9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106</v>
      </c>
      <c r="G1295" s="97">
        <v>46132</v>
      </c>
      <c r="H1295" s="98">
        <v>0.49363425925925924</v>
      </c>
      <c r="I1295" s="50">
        <v>166004697</v>
      </c>
      <c r="J1295" s="96" t="s">
        <v>157</v>
      </c>
      <c r="K1295" s="49" t="s">
        <v>2357</v>
      </c>
      <c r="L1295" s="39" t="s">
        <v>2358</v>
      </c>
      <c r="M1295" s="49" t="s">
        <v>185</v>
      </c>
      <c r="N1295" s="39" t="s">
        <v>906</v>
      </c>
      <c r="O1295" s="96" t="s">
        <v>2359</v>
      </c>
      <c r="P1295" s="49" t="s">
        <v>157</v>
      </c>
      <c r="Q1295" s="96" t="s">
        <v>104</v>
      </c>
      <c r="R1295" s="52">
        <v>29.9</v>
      </c>
      <c r="S1295" s="52">
        <f>R1295-T1295</f>
        <v>26.69642857142857</v>
      </c>
      <c r="T1295" s="52">
        <f>R1295*U1295/(U1295+100)</f>
        <v>3.2035714285714283</v>
      </c>
      <c r="U1295" s="50">
        <v>12</v>
      </c>
      <c r="V1295" s="53">
        <v>0</v>
      </c>
      <c r="W1295" s="147">
        <v>1</v>
      </c>
      <c r="X1295" s="148" t="s">
        <v>163</v>
      </c>
      <c r="Y1295" s="54">
        <f>R1295*W1295</f>
        <v>29.9</v>
      </c>
      <c r="Z1295" s="52">
        <f>S1295*W1295</f>
        <v>26.69642857142857</v>
      </c>
      <c r="AA1295" s="52">
        <f>T1295*W1295</f>
        <v>3.2035714285714283</v>
      </c>
      <c r="AB1295" s="52">
        <f>V1295*W1295</f>
        <v>0</v>
      </c>
      <c r="AC1295" s="53">
        <f>(R1295+V1295)*W1295</f>
        <v>29.9</v>
      </c>
      <c r="AD1295" s="138">
        <v>29.9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106</v>
      </c>
      <c r="G1296" s="97">
        <v>46132</v>
      </c>
      <c r="H1296" s="98">
        <v>0.49363425925925924</v>
      </c>
      <c r="I1296" s="50">
        <v>166004697</v>
      </c>
      <c r="J1296" s="96" t="s">
        <v>157</v>
      </c>
      <c r="K1296" s="49" t="s">
        <v>578</v>
      </c>
      <c r="L1296" s="39" t="s">
        <v>579</v>
      </c>
      <c r="M1296" s="49" t="s">
        <v>580</v>
      </c>
      <c r="N1296" s="39" t="s">
        <v>513</v>
      </c>
      <c r="O1296" s="96" t="s">
        <v>2360</v>
      </c>
      <c r="P1296" s="49" t="s">
        <v>157</v>
      </c>
      <c r="Q1296" s="96" t="s">
        <v>104</v>
      </c>
      <c r="R1296" s="52">
        <v>13.4</v>
      </c>
      <c r="S1296" s="52">
        <f>R1296-T1296</f>
        <v>11.964285714285715</v>
      </c>
      <c r="T1296" s="52">
        <f>R1296*U1296/(U1296+100)</f>
        <v>1.4357142857142857</v>
      </c>
      <c r="U1296" s="50">
        <v>12</v>
      </c>
      <c r="V1296" s="53">
        <v>0</v>
      </c>
      <c r="W1296" s="147">
        <v>1</v>
      </c>
      <c r="X1296" s="148" t="s">
        <v>163</v>
      </c>
      <c r="Y1296" s="54">
        <f>R1296*W1296</f>
        <v>13.4</v>
      </c>
      <c r="Z1296" s="52">
        <f>S1296*W1296</f>
        <v>11.964285714285715</v>
      </c>
      <c r="AA1296" s="52">
        <f>T1296*W1296</f>
        <v>1.4357142857142857</v>
      </c>
      <c r="AB1296" s="52">
        <f>V1296*W1296</f>
        <v>0</v>
      </c>
      <c r="AC1296" s="53">
        <f>(R1296+V1296)*W1296</f>
        <v>13.4</v>
      </c>
      <c r="AD1296" s="138">
        <v>13.4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106</v>
      </c>
      <c r="G1297" s="97">
        <v>46132</v>
      </c>
      <c r="H1297" s="98">
        <v>0.49363425925925924</v>
      </c>
      <c r="I1297" s="50">
        <v>166004697</v>
      </c>
      <c r="J1297" s="96" t="s">
        <v>157</v>
      </c>
      <c r="K1297" s="49" t="s">
        <v>578</v>
      </c>
      <c r="L1297" s="39" t="s">
        <v>579</v>
      </c>
      <c r="M1297" s="49" t="s">
        <v>580</v>
      </c>
      <c r="N1297" s="39" t="s">
        <v>513</v>
      </c>
      <c r="O1297" s="96" t="s">
        <v>2360</v>
      </c>
      <c r="P1297" s="49" t="s">
        <v>157</v>
      </c>
      <c r="Q1297" s="96" t="s">
        <v>104</v>
      </c>
      <c r="R1297" s="52">
        <v>13.4</v>
      </c>
      <c r="S1297" s="52">
        <f>R1297-T1297</f>
        <v>11.964285714285715</v>
      </c>
      <c r="T1297" s="52">
        <f>R1297*U1297/(U1297+100)</f>
        <v>1.4357142857142857</v>
      </c>
      <c r="U1297" s="50">
        <v>12</v>
      </c>
      <c r="V1297" s="53">
        <v>0</v>
      </c>
      <c r="W1297" s="147">
        <v>1</v>
      </c>
      <c r="X1297" s="148" t="s">
        <v>163</v>
      </c>
      <c r="Y1297" s="54">
        <f>R1297*W1297</f>
        <v>13.4</v>
      </c>
      <c r="Z1297" s="52">
        <f>S1297*W1297</f>
        <v>11.964285714285715</v>
      </c>
      <c r="AA1297" s="52">
        <f>T1297*W1297</f>
        <v>1.4357142857142857</v>
      </c>
      <c r="AB1297" s="52">
        <f>V1297*W1297</f>
        <v>0</v>
      </c>
      <c r="AC1297" s="53">
        <f>(R1297+V1297)*W1297</f>
        <v>13.4</v>
      </c>
      <c r="AD1297" s="138">
        <v>13.4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106</v>
      </c>
      <c r="G1298" s="97">
        <v>46132</v>
      </c>
      <c r="H1298" s="98">
        <v>0.49363425925925924</v>
      </c>
      <c r="I1298" s="50">
        <v>166004697</v>
      </c>
      <c r="J1298" s="96" t="s">
        <v>157</v>
      </c>
      <c r="K1298" s="49" t="s">
        <v>2361</v>
      </c>
      <c r="L1298" s="39" t="s">
        <v>2362</v>
      </c>
      <c r="M1298" s="49" t="s">
        <v>1536</v>
      </c>
      <c r="N1298" s="39" t="s">
        <v>601</v>
      </c>
      <c r="O1298" s="96" t="s">
        <v>2363</v>
      </c>
      <c r="P1298" s="49" t="s">
        <v>157</v>
      </c>
      <c r="Q1298" s="96" t="s">
        <v>104</v>
      </c>
      <c r="R1298" s="52">
        <v>37.9</v>
      </c>
      <c r="S1298" s="52">
        <f>R1298-T1298</f>
        <v>33.839285714285715</v>
      </c>
      <c r="T1298" s="52">
        <f>R1298*U1298/(U1298+100)</f>
        <v>4.060714285714285</v>
      </c>
      <c r="U1298" s="50">
        <v>12</v>
      </c>
      <c r="V1298" s="53">
        <v>0</v>
      </c>
      <c r="W1298" s="147">
        <v>1</v>
      </c>
      <c r="X1298" s="148" t="s">
        <v>163</v>
      </c>
      <c r="Y1298" s="54">
        <f>R1298*W1298</f>
        <v>37.9</v>
      </c>
      <c r="Z1298" s="52">
        <f>S1298*W1298</f>
        <v>33.839285714285715</v>
      </c>
      <c r="AA1298" s="52">
        <f>T1298*W1298</f>
        <v>4.060714285714285</v>
      </c>
      <c r="AB1298" s="52">
        <f>V1298*W1298</f>
        <v>0</v>
      </c>
      <c r="AC1298" s="53">
        <f>(R1298+V1298)*W1298</f>
        <v>37.9</v>
      </c>
      <c r="AD1298" s="138">
        <v>37.9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106</v>
      </c>
      <c r="G1299" s="97">
        <v>46132</v>
      </c>
      <c r="H1299" s="98">
        <v>0.49363425925925924</v>
      </c>
      <c r="I1299" s="50">
        <v>166004697</v>
      </c>
      <c r="J1299" s="96" t="s">
        <v>157</v>
      </c>
      <c r="K1299" s="49" t="s">
        <v>1097</v>
      </c>
      <c r="L1299" s="39" t="s">
        <v>1098</v>
      </c>
      <c r="M1299" s="49" t="s">
        <v>444</v>
      </c>
      <c r="N1299" s="39" t="s">
        <v>228</v>
      </c>
      <c r="O1299" s="96" t="s">
        <v>1099</v>
      </c>
      <c r="P1299" s="49" t="s">
        <v>157</v>
      </c>
      <c r="Q1299" s="96" t="s">
        <v>104</v>
      </c>
      <c r="R1299" s="52">
        <v>17.9</v>
      </c>
      <c r="S1299" s="52">
        <f>R1299-T1299</f>
        <v>15.982142857142856</v>
      </c>
      <c r="T1299" s="52">
        <f>R1299*U1299/(U1299+100)</f>
        <v>1.9178571428571427</v>
      </c>
      <c r="U1299" s="50">
        <v>12</v>
      </c>
      <c r="V1299" s="53">
        <v>0</v>
      </c>
      <c r="W1299" s="147">
        <v>1</v>
      </c>
      <c r="X1299" s="148" t="s">
        <v>163</v>
      </c>
      <c r="Y1299" s="54">
        <f>R1299*W1299</f>
        <v>17.9</v>
      </c>
      <c r="Z1299" s="52">
        <f>S1299*W1299</f>
        <v>15.982142857142856</v>
      </c>
      <c r="AA1299" s="52">
        <f>T1299*W1299</f>
        <v>1.9178571428571427</v>
      </c>
      <c r="AB1299" s="52">
        <f>V1299*W1299</f>
        <v>0</v>
      </c>
      <c r="AC1299" s="53">
        <f>(R1299+V1299)*W1299</f>
        <v>17.9</v>
      </c>
      <c r="AD1299" s="138">
        <v>17.9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106</v>
      </c>
      <c r="G1300" s="97">
        <v>46132</v>
      </c>
      <c r="H1300" s="98">
        <v>0.49363425925925924</v>
      </c>
      <c r="I1300" s="50">
        <v>166004697</v>
      </c>
      <c r="J1300" s="96" t="s">
        <v>157</v>
      </c>
      <c r="K1300" s="49" t="s">
        <v>250</v>
      </c>
      <c r="L1300" s="39" t="s">
        <v>251</v>
      </c>
      <c r="M1300" s="49" t="s">
        <v>209</v>
      </c>
      <c r="N1300" s="39" t="s">
        <v>228</v>
      </c>
      <c r="O1300" s="96" t="s">
        <v>981</v>
      </c>
      <c r="P1300" s="49" t="s">
        <v>157</v>
      </c>
      <c r="Q1300" s="96" t="s">
        <v>104</v>
      </c>
      <c r="R1300" s="52">
        <v>27.9</v>
      </c>
      <c r="S1300" s="52">
        <f>R1300-T1300</f>
        <v>24.910714285714285</v>
      </c>
      <c r="T1300" s="52">
        <f>R1300*U1300/(U1300+100)</f>
        <v>2.989285714285714</v>
      </c>
      <c r="U1300" s="50">
        <v>12</v>
      </c>
      <c r="V1300" s="53">
        <v>0</v>
      </c>
      <c r="W1300" s="147">
        <v>1</v>
      </c>
      <c r="X1300" s="148" t="s">
        <v>163</v>
      </c>
      <c r="Y1300" s="54">
        <f>R1300*W1300</f>
        <v>27.9</v>
      </c>
      <c r="Z1300" s="52">
        <f>S1300*W1300</f>
        <v>24.910714285714285</v>
      </c>
      <c r="AA1300" s="52">
        <f>T1300*W1300</f>
        <v>2.989285714285714</v>
      </c>
      <c r="AB1300" s="52">
        <f>V1300*W1300</f>
        <v>0</v>
      </c>
      <c r="AC1300" s="53">
        <f>(R1300+V1300)*W1300</f>
        <v>27.9</v>
      </c>
      <c r="AD1300" s="138">
        <v>27.9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106</v>
      </c>
      <c r="G1301" s="97">
        <v>46132</v>
      </c>
      <c r="H1301" s="98">
        <v>0.49363425925925924</v>
      </c>
      <c r="I1301" s="50">
        <v>166004697</v>
      </c>
      <c r="J1301" s="96" t="s">
        <v>157</v>
      </c>
      <c r="K1301" s="49" t="s">
        <v>2364</v>
      </c>
      <c r="L1301" s="39" t="s">
        <v>2365</v>
      </c>
      <c r="M1301" s="49" t="s">
        <v>185</v>
      </c>
      <c r="N1301" s="39" t="s">
        <v>319</v>
      </c>
      <c r="O1301" s="96" t="s">
        <v>2366</v>
      </c>
      <c r="P1301" s="49" t="s">
        <v>157</v>
      </c>
      <c r="Q1301" s="96" t="s">
        <v>104</v>
      </c>
      <c r="R1301" s="52">
        <v>42.9</v>
      </c>
      <c r="S1301" s="52">
        <f>R1301-T1301</f>
        <v>38.30357142857143</v>
      </c>
      <c r="T1301" s="52">
        <f>R1301*U1301/(U1301+100)</f>
        <v>4.596428571428571</v>
      </c>
      <c r="U1301" s="50">
        <v>12</v>
      </c>
      <c r="V1301" s="53">
        <v>0</v>
      </c>
      <c r="W1301" s="147">
        <v>1</v>
      </c>
      <c r="X1301" s="148" t="s">
        <v>163</v>
      </c>
      <c r="Y1301" s="54">
        <f>R1301*W1301</f>
        <v>42.9</v>
      </c>
      <c r="Z1301" s="52">
        <f>S1301*W1301</f>
        <v>38.30357142857143</v>
      </c>
      <c r="AA1301" s="52">
        <f>T1301*W1301</f>
        <v>4.596428571428571</v>
      </c>
      <c r="AB1301" s="52">
        <f>V1301*W1301</f>
        <v>0</v>
      </c>
      <c r="AC1301" s="53">
        <f>(R1301+V1301)*W1301</f>
        <v>42.9</v>
      </c>
      <c r="AD1301" s="138">
        <v>42.9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106</v>
      </c>
      <c r="G1302" s="97">
        <v>46132</v>
      </c>
      <c r="H1302" s="98">
        <v>0.49363425925925924</v>
      </c>
      <c r="I1302" s="50">
        <v>166004697</v>
      </c>
      <c r="J1302" s="96" t="s">
        <v>157</v>
      </c>
      <c r="K1302" s="49" t="s">
        <v>447</v>
      </c>
      <c r="L1302" s="39" t="s">
        <v>448</v>
      </c>
      <c r="M1302" s="49" t="s">
        <v>201</v>
      </c>
      <c r="N1302" s="39" t="s">
        <v>202</v>
      </c>
      <c r="O1302" s="96" t="s">
        <v>2367</v>
      </c>
      <c r="P1302" s="49" t="s">
        <v>235</v>
      </c>
      <c r="Q1302" s="96" t="s">
        <v>236</v>
      </c>
      <c r="R1302" s="52">
        <v>19.9</v>
      </c>
      <c r="S1302" s="52">
        <f>R1302-T1302</f>
        <v>17.767857142857142</v>
      </c>
      <c r="T1302" s="52">
        <f>R1302*U1302/(U1302+100)</f>
        <v>2.132142857142857</v>
      </c>
      <c r="U1302" s="50">
        <v>12</v>
      </c>
      <c r="V1302" s="53">
        <v>0</v>
      </c>
      <c r="W1302" s="147">
        <v>1</v>
      </c>
      <c r="X1302" s="148" t="s">
        <v>163</v>
      </c>
      <c r="Y1302" s="54">
        <f>R1302*W1302</f>
        <v>19.9</v>
      </c>
      <c r="Z1302" s="52">
        <f>S1302*W1302</f>
        <v>17.767857142857142</v>
      </c>
      <c r="AA1302" s="52">
        <f>T1302*W1302</f>
        <v>2.132142857142857</v>
      </c>
      <c r="AB1302" s="52">
        <f>V1302*W1302</f>
        <v>0</v>
      </c>
      <c r="AC1302" s="53">
        <f>(R1302+V1302)*W1302</f>
        <v>19.9</v>
      </c>
      <c r="AD1302" s="138">
        <v>19.9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106</v>
      </c>
      <c r="G1303" s="97">
        <v>46132</v>
      </c>
      <c r="H1303" s="98">
        <v>0.49363425925925924</v>
      </c>
      <c r="I1303" s="50">
        <v>166004697</v>
      </c>
      <c r="J1303" s="96" t="s">
        <v>157</v>
      </c>
      <c r="K1303" s="49" t="s">
        <v>926</v>
      </c>
      <c r="L1303" s="39" t="s">
        <v>927</v>
      </c>
      <c r="M1303" s="49" t="s">
        <v>255</v>
      </c>
      <c r="N1303" s="39" t="s">
        <v>256</v>
      </c>
      <c r="O1303" s="96" t="s">
        <v>2368</v>
      </c>
      <c r="P1303" s="49" t="s">
        <v>157</v>
      </c>
      <c r="Q1303" s="96" t="s">
        <v>104</v>
      </c>
      <c r="R1303" s="52">
        <v>23.9</v>
      </c>
      <c r="S1303" s="52">
        <f>R1303-T1303</f>
        <v>19.752066115702476</v>
      </c>
      <c r="T1303" s="52">
        <f>R1303*U1303/(U1303+100)</f>
        <v>4.147933884297521</v>
      </c>
      <c r="U1303" s="50">
        <v>21</v>
      </c>
      <c r="V1303" s="53">
        <v>0</v>
      </c>
      <c r="W1303" s="147">
        <v>1</v>
      </c>
      <c r="X1303" s="148" t="s">
        <v>163</v>
      </c>
      <c r="Y1303" s="54">
        <f>R1303*W1303</f>
        <v>23.9</v>
      </c>
      <c r="Z1303" s="52">
        <f>S1303*W1303</f>
        <v>19.752066115702476</v>
      </c>
      <c r="AA1303" s="52">
        <f>T1303*W1303</f>
        <v>4.147933884297521</v>
      </c>
      <c r="AB1303" s="52">
        <f>V1303*W1303</f>
        <v>0</v>
      </c>
      <c r="AC1303" s="53">
        <f>(R1303+V1303)*W1303</f>
        <v>23.9</v>
      </c>
      <c r="AD1303" s="138">
        <v>23.9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106</v>
      </c>
      <c r="G1304" s="97">
        <v>46132</v>
      </c>
      <c r="H1304" s="98">
        <v>0.49363425925925924</v>
      </c>
      <c r="I1304" s="50">
        <v>166004697</v>
      </c>
      <c r="J1304" s="96" t="s">
        <v>157</v>
      </c>
      <c r="K1304" s="49" t="s">
        <v>926</v>
      </c>
      <c r="L1304" s="39" t="s">
        <v>927</v>
      </c>
      <c r="M1304" s="49" t="s">
        <v>255</v>
      </c>
      <c r="N1304" s="39" t="s">
        <v>256</v>
      </c>
      <c r="O1304" s="96" t="s">
        <v>2368</v>
      </c>
      <c r="P1304" s="49" t="s">
        <v>157</v>
      </c>
      <c r="Q1304" s="96" t="s">
        <v>104</v>
      </c>
      <c r="R1304" s="52">
        <v>23.9</v>
      </c>
      <c r="S1304" s="52">
        <f>R1304-T1304</f>
        <v>19.752066115702476</v>
      </c>
      <c r="T1304" s="52">
        <f>R1304*U1304/(U1304+100)</f>
        <v>4.147933884297521</v>
      </c>
      <c r="U1304" s="50">
        <v>21</v>
      </c>
      <c r="V1304" s="53">
        <v>0</v>
      </c>
      <c r="W1304" s="147">
        <v>1</v>
      </c>
      <c r="X1304" s="148" t="s">
        <v>163</v>
      </c>
      <c r="Y1304" s="54">
        <f>R1304*W1304</f>
        <v>23.9</v>
      </c>
      <c r="Z1304" s="52">
        <f>S1304*W1304</f>
        <v>19.752066115702476</v>
      </c>
      <c r="AA1304" s="52">
        <f>T1304*W1304</f>
        <v>4.147933884297521</v>
      </c>
      <c r="AB1304" s="52">
        <f>V1304*W1304</f>
        <v>0</v>
      </c>
      <c r="AC1304" s="53">
        <f>(R1304+V1304)*W1304</f>
        <v>23.9</v>
      </c>
      <c r="AD1304" s="138">
        <v>23.9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106</v>
      </c>
      <c r="G1305" s="97">
        <v>46132</v>
      </c>
      <c r="H1305" s="98">
        <v>0.49363425925925924</v>
      </c>
      <c r="I1305" s="50">
        <v>166004697</v>
      </c>
      <c r="J1305" s="96" t="s">
        <v>157</v>
      </c>
      <c r="K1305" s="49" t="s">
        <v>926</v>
      </c>
      <c r="L1305" s="39" t="s">
        <v>927</v>
      </c>
      <c r="M1305" s="49" t="s">
        <v>255</v>
      </c>
      <c r="N1305" s="39" t="s">
        <v>256</v>
      </c>
      <c r="O1305" s="96" t="s">
        <v>2368</v>
      </c>
      <c r="P1305" s="49" t="s">
        <v>157</v>
      </c>
      <c r="Q1305" s="96" t="s">
        <v>104</v>
      </c>
      <c r="R1305" s="52">
        <v>23.9</v>
      </c>
      <c r="S1305" s="52">
        <f>R1305-T1305</f>
        <v>19.752066115702476</v>
      </c>
      <c r="T1305" s="52">
        <f>R1305*U1305/(U1305+100)</f>
        <v>4.147933884297521</v>
      </c>
      <c r="U1305" s="50">
        <v>21</v>
      </c>
      <c r="V1305" s="53">
        <v>0</v>
      </c>
      <c r="W1305" s="147">
        <v>1</v>
      </c>
      <c r="X1305" s="148" t="s">
        <v>163</v>
      </c>
      <c r="Y1305" s="54">
        <f>R1305*W1305</f>
        <v>23.9</v>
      </c>
      <c r="Z1305" s="52">
        <f>S1305*W1305</f>
        <v>19.752066115702476</v>
      </c>
      <c r="AA1305" s="52">
        <f>T1305*W1305</f>
        <v>4.147933884297521</v>
      </c>
      <c r="AB1305" s="52">
        <f>V1305*W1305</f>
        <v>0</v>
      </c>
      <c r="AC1305" s="53">
        <f>(R1305+V1305)*W1305</f>
        <v>23.9</v>
      </c>
      <c r="AD1305" s="138">
        <v>23.9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106</v>
      </c>
      <c r="G1306" s="97">
        <v>46132</v>
      </c>
      <c r="H1306" s="98">
        <v>0.49363425925925924</v>
      </c>
      <c r="I1306" s="50">
        <v>166004697</v>
      </c>
      <c r="J1306" s="96" t="s">
        <v>157</v>
      </c>
      <c r="K1306" s="49" t="s">
        <v>507</v>
      </c>
      <c r="L1306" s="39" t="s">
        <v>508</v>
      </c>
      <c r="M1306" s="49" t="s">
        <v>509</v>
      </c>
      <c r="N1306" s="39" t="s">
        <v>256</v>
      </c>
      <c r="O1306" s="96" t="s">
        <v>1024</v>
      </c>
      <c r="P1306" s="49" t="s">
        <v>235</v>
      </c>
      <c r="Q1306" s="96" t="s">
        <v>236</v>
      </c>
      <c r="R1306" s="52">
        <v>15.9</v>
      </c>
      <c r="S1306" s="52">
        <f>R1306-T1306</f>
        <v>13.140495867768596</v>
      </c>
      <c r="T1306" s="52">
        <f>R1306*U1306/(U1306+100)</f>
        <v>2.759504132231405</v>
      </c>
      <c r="U1306" s="50">
        <v>21</v>
      </c>
      <c r="V1306" s="53">
        <v>0</v>
      </c>
      <c r="W1306" s="147">
        <v>1</v>
      </c>
      <c r="X1306" s="148" t="s">
        <v>163</v>
      </c>
      <c r="Y1306" s="54">
        <f>R1306*W1306</f>
        <v>15.9</v>
      </c>
      <c r="Z1306" s="52">
        <f>S1306*W1306</f>
        <v>13.140495867768596</v>
      </c>
      <c r="AA1306" s="52">
        <f>T1306*W1306</f>
        <v>2.759504132231405</v>
      </c>
      <c r="AB1306" s="52">
        <f>V1306*W1306</f>
        <v>0</v>
      </c>
      <c r="AC1306" s="53">
        <f>(R1306+V1306)*W1306</f>
        <v>15.9</v>
      </c>
      <c r="AD1306" s="138">
        <v>15.9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106</v>
      </c>
      <c r="G1307" s="97">
        <v>46132</v>
      </c>
      <c r="H1307" s="98">
        <v>0.49363425925925924</v>
      </c>
      <c r="I1307" s="50">
        <v>166004697</v>
      </c>
      <c r="J1307" s="96" t="s">
        <v>157</v>
      </c>
      <c r="K1307" s="49" t="s">
        <v>507</v>
      </c>
      <c r="L1307" s="39" t="s">
        <v>508</v>
      </c>
      <c r="M1307" s="49" t="s">
        <v>509</v>
      </c>
      <c r="N1307" s="39" t="s">
        <v>256</v>
      </c>
      <c r="O1307" s="96" t="s">
        <v>1024</v>
      </c>
      <c r="P1307" s="49" t="s">
        <v>235</v>
      </c>
      <c r="Q1307" s="96" t="s">
        <v>236</v>
      </c>
      <c r="R1307" s="52">
        <v>15.9</v>
      </c>
      <c r="S1307" s="52">
        <f>R1307-T1307</f>
        <v>13.140495867768596</v>
      </c>
      <c r="T1307" s="52">
        <f>R1307*U1307/(U1307+100)</f>
        <v>2.759504132231405</v>
      </c>
      <c r="U1307" s="50">
        <v>21</v>
      </c>
      <c r="V1307" s="53">
        <v>0</v>
      </c>
      <c r="W1307" s="147">
        <v>1</v>
      </c>
      <c r="X1307" s="148" t="s">
        <v>163</v>
      </c>
      <c r="Y1307" s="54">
        <f>R1307*W1307</f>
        <v>15.9</v>
      </c>
      <c r="Z1307" s="52">
        <f>S1307*W1307</f>
        <v>13.140495867768596</v>
      </c>
      <c r="AA1307" s="52">
        <f>T1307*W1307</f>
        <v>2.759504132231405</v>
      </c>
      <c r="AB1307" s="52">
        <f>V1307*W1307</f>
        <v>0</v>
      </c>
      <c r="AC1307" s="53">
        <f>(R1307+V1307)*W1307</f>
        <v>15.9</v>
      </c>
      <c r="AD1307" s="138">
        <v>15.9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106</v>
      </c>
      <c r="G1308" s="97">
        <v>46132</v>
      </c>
      <c r="H1308" s="98">
        <v>0.49363425925925924</v>
      </c>
      <c r="I1308" s="50">
        <v>166004697</v>
      </c>
      <c r="J1308" s="96" t="s">
        <v>157</v>
      </c>
      <c r="K1308" s="49" t="s">
        <v>2369</v>
      </c>
      <c r="L1308" s="39" t="s">
        <v>2370</v>
      </c>
      <c r="M1308" s="49" t="s">
        <v>2371</v>
      </c>
      <c r="N1308" s="39" t="s">
        <v>653</v>
      </c>
      <c r="O1308" s="96" t="s">
        <v>2372</v>
      </c>
      <c r="P1308" s="49" t="s">
        <v>157</v>
      </c>
      <c r="Q1308" s="96" t="s">
        <v>104</v>
      </c>
      <c r="R1308" s="52">
        <v>37.9</v>
      </c>
      <c r="S1308" s="52">
        <f>R1308-T1308</f>
        <v>31.322314049586776</v>
      </c>
      <c r="T1308" s="52">
        <f>R1308*U1308/(U1308+100)</f>
        <v>6.577685950413223</v>
      </c>
      <c r="U1308" s="50">
        <v>21</v>
      </c>
      <c r="V1308" s="53">
        <v>0</v>
      </c>
      <c r="W1308" s="147">
        <v>1</v>
      </c>
      <c r="X1308" s="148" t="s">
        <v>163</v>
      </c>
      <c r="Y1308" s="54">
        <f>R1308*W1308</f>
        <v>37.9</v>
      </c>
      <c r="Z1308" s="52">
        <f>S1308*W1308</f>
        <v>31.322314049586776</v>
      </c>
      <c r="AA1308" s="52">
        <f>T1308*W1308</f>
        <v>6.577685950413223</v>
      </c>
      <c r="AB1308" s="52">
        <f>V1308*W1308</f>
        <v>0</v>
      </c>
      <c r="AC1308" s="53">
        <f>(R1308+V1308)*W1308</f>
        <v>37.9</v>
      </c>
      <c r="AD1308" s="138">
        <v>37.9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106</v>
      </c>
      <c r="G1309" s="97">
        <v>46132</v>
      </c>
      <c r="H1309" s="98">
        <v>0.49363425925925924</v>
      </c>
      <c r="I1309" s="50">
        <v>166004697</v>
      </c>
      <c r="J1309" s="96" t="s">
        <v>157</v>
      </c>
      <c r="K1309" s="49" t="s">
        <v>266</v>
      </c>
      <c r="L1309" s="39" t="s">
        <v>267</v>
      </c>
      <c r="M1309" s="49" t="s">
        <v>268</v>
      </c>
      <c r="N1309" s="39" t="s">
        <v>269</v>
      </c>
      <c r="O1309" s="96" t="s">
        <v>1249</v>
      </c>
      <c r="P1309" s="49" t="s">
        <v>235</v>
      </c>
      <c r="Q1309" s="96" t="s">
        <v>236</v>
      </c>
      <c r="R1309" s="52">
        <v>11.9</v>
      </c>
      <c r="S1309" s="52">
        <f>R1309-T1309</f>
        <v>10.625</v>
      </c>
      <c r="T1309" s="52">
        <f>R1309*U1309/(U1309+100)</f>
        <v>1.2750000000000001</v>
      </c>
      <c r="U1309" s="50">
        <v>12</v>
      </c>
      <c r="V1309" s="53">
        <v>0</v>
      </c>
      <c r="W1309" s="147">
        <v>1</v>
      </c>
      <c r="X1309" s="148" t="s">
        <v>163</v>
      </c>
      <c r="Y1309" s="54">
        <f>R1309*W1309</f>
        <v>11.9</v>
      </c>
      <c r="Z1309" s="52">
        <f>S1309*W1309</f>
        <v>10.625</v>
      </c>
      <c r="AA1309" s="52">
        <f>T1309*W1309</f>
        <v>1.2750000000000001</v>
      </c>
      <c r="AB1309" s="52">
        <f>V1309*W1309</f>
        <v>0</v>
      </c>
      <c r="AC1309" s="53">
        <f>(R1309+V1309)*W1309</f>
        <v>11.9</v>
      </c>
      <c r="AD1309" s="138">
        <v>11.9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106</v>
      </c>
      <c r="G1310" s="97">
        <v>46132</v>
      </c>
      <c r="H1310" s="98">
        <v>0.4960648148148148</v>
      </c>
      <c r="I1310" s="50">
        <v>166004698</v>
      </c>
      <c r="J1310" s="96" t="s">
        <v>157</v>
      </c>
      <c r="K1310" s="49" t="s">
        <v>2373</v>
      </c>
      <c r="L1310" s="39" t="s">
        <v>2374</v>
      </c>
      <c r="M1310" s="49" t="s">
        <v>1252</v>
      </c>
      <c r="N1310" s="39" t="s">
        <v>747</v>
      </c>
      <c r="O1310" s="96" t="s">
        <v>2375</v>
      </c>
      <c r="P1310" s="49" t="s">
        <v>157</v>
      </c>
      <c r="Q1310" s="96" t="s">
        <v>104</v>
      </c>
      <c r="R1310" s="52">
        <v>13.9</v>
      </c>
      <c r="S1310" s="52">
        <f>R1310-T1310</f>
        <v>12.410714285714286</v>
      </c>
      <c r="T1310" s="52">
        <f>R1310*U1310/(U1310+100)</f>
        <v>1.4892857142857143</v>
      </c>
      <c r="U1310" s="50">
        <v>12</v>
      </c>
      <c r="V1310" s="53">
        <v>0</v>
      </c>
      <c r="W1310" s="147">
        <v>1</v>
      </c>
      <c r="X1310" s="148" t="s">
        <v>163</v>
      </c>
      <c r="Y1310" s="54">
        <f>R1310*W1310</f>
        <v>13.9</v>
      </c>
      <c r="Z1310" s="52">
        <f>S1310*W1310</f>
        <v>12.410714285714286</v>
      </c>
      <c r="AA1310" s="52">
        <f>T1310*W1310</f>
        <v>1.4892857142857143</v>
      </c>
      <c r="AB1310" s="52">
        <f>V1310*W1310</f>
        <v>0</v>
      </c>
      <c r="AC1310" s="53">
        <f>(R1310+V1310)*W1310</f>
        <v>13.9</v>
      </c>
      <c r="AD1310" s="138">
        <v>13.9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106</v>
      </c>
      <c r="G1311" s="97">
        <v>46132</v>
      </c>
      <c r="H1311" s="98">
        <v>0.4960648148148148</v>
      </c>
      <c r="I1311" s="50">
        <v>166004698</v>
      </c>
      <c r="J1311" s="96" t="s">
        <v>157</v>
      </c>
      <c r="K1311" s="49" t="s">
        <v>2376</v>
      </c>
      <c r="L1311" s="39" t="s">
        <v>2377</v>
      </c>
      <c r="M1311" s="49" t="s">
        <v>1252</v>
      </c>
      <c r="N1311" s="39" t="s">
        <v>747</v>
      </c>
      <c r="O1311" s="96" t="s">
        <v>2378</v>
      </c>
      <c r="P1311" s="49" t="s">
        <v>157</v>
      </c>
      <c r="Q1311" s="96" t="s">
        <v>104</v>
      </c>
      <c r="R1311" s="52">
        <v>27.9</v>
      </c>
      <c r="S1311" s="52">
        <f>R1311-T1311</f>
        <v>24.910714285714285</v>
      </c>
      <c r="T1311" s="52">
        <f>R1311*U1311/(U1311+100)</f>
        <v>2.989285714285714</v>
      </c>
      <c r="U1311" s="50">
        <v>12</v>
      </c>
      <c r="V1311" s="53">
        <v>0</v>
      </c>
      <c r="W1311" s="147">
        <v>1</v>
      </c>
      <c r="X1311" s="148" t="s">
        <v>163</v>
      </c>
      <c r="Y1311" s="54">
        <f>R1311*W1311</f>
        <v>27.9</v>
      </c>
      <c r="Z1311" s="52">
        <f>S1311*W1311</f>
        <v>24.910714285714285</v>
      </c>
      <c r="AA1311" s="52">
        <f>T1311*W1311</f>
        <v>2.989285714285714</v>
      </c>
      <c r="AB1311" s="52">
        <f>V1311*W1311</f>
        <v>0</v>
      </c>
      <c r="AC1311" s="53">
        <f>(R1311+V1311)*W1311</f>
        <v>27.9</v>
      </c>
      <c r="AD1311" s="138">
        <v>27.9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106</v>
      </c>
      <c r="G1312" s="97">
        <v>46132</v>
      </c>
      <c r="H1312" s="98">
        <v>0.4960648148148148</v>
      </c>
      <c r="I1312" s="50">
        <v>166004698</v>
      </c>
      <c r="J1312" s="96" t="s">
        <v>157</v>
      </c>
      <c r="K1312" s="49" t="s">
        <v>2379</v>
      </c>
      <c r="L1312" s="39" t="s">
        <v>2380</v>
      </c>
      <c r="M1312" s="49" t="s">
        <v>527</v>
      </c>
      <c r="N1312" s="39" t="s">
        <v>1622</v>
      </c>
      <c r="O1312" s="96" t="s">
        <v>2381</v>
      </c>
      <c r="P1312" s="49" t="s">
        <v>235</v>
      </c>
      <c r="Q1312" s="96" t="s">
        <v>236</v>
      </c>
      <c r="R1312" s="52">
        <v>21.9</v>
      </c>
      <c r="S1312" s="52">
        <f>R1312-T1312</f>
        <v>19.553571428571427</v>
      </c>
      <c r="T1312" s="52">
        <f>R1312*U1312/(U1312+100)</f>
        <v>2.346428571428571</v>
      </c>
      <c r="U1312" s="50">
        <v>12</v>
      </c>
      <c r="V1312" s="53">
        <v>0</v>
      </c>
      <c r="W1312" s="147">
        <v>1</v>
      </c>
      <c r="X1312" s="148" t="s">
        <v>163</v>
      </c>
      <c r="Y1312" s="54">
        <f>R1312*W1312</f>
        <v>21.9</v>
      </c>
      <c r="Z1312" s="52">
        <f>S1312*W1312</f>
        <v>19.553571428571427</v>
      </c>
      <c r="AA1312" s="52">
        <f>T1312*W1312</f>
        <v>2.346428571428571</v>
      </c>
      <c r="AB1312" s="52">
        <f>V1312*W1312</f>
        <v>0</v>
      </c>
      <c r="AC1312" s="53">
        <f>(R1312+V1312)*W1312</f>
        <v>21.9</v>
      </c>
      <c r="AD1312" s="138">
        <v>21.9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106</v>
      </c>
      <c r="G1313" s="97">
        <v>46132</v>
      </c>
      <c r="H1313" s="98">
        <v>0.4960648148148148</v>
      </c>
      <c r="I1313" s="50">
        <v>166004698</v>
      </c>
      <c r="J1313" s="96" t="s">
        <v>157</v>
      </c>
      <c r="K1313" s="49" t="s">
        <v>324</v>
      </c>
      <c r="L1313" s="39" t="s">
        <v>325</v>
      </c>
      <c r="M1313" s="49" t="s">
        <v>326</v>
      </c>
      <c r="N1313" s="39" t="s">
        <v>327</v>
      </c>
      <c r="O1313" s="96" t="s">
        <v>2382</v>
      </c>
      <c r="P1313" s="49" t="s">
        <v>157</v>
      </c>
      <c r="Q1313" s="96" t="s">
        <v>104</v>
      </c>
      <c r="R1313" s="52">
        <v>8.4</v>
      </c>
      <c r="S1313" s="52">
        <f>R1313-T1313</f>
        <v>7.5</v>
      </c>
      <c r="T1313" s="52">
        <f>R1313*U1313/(U1313+100)</f>
        <v>0.9000000000000001</v>
      </c>
      <c r="U1313" s="50">
        <v>12</v>
      </c>
      <c r="V1313" s="53">
        <v>0</v>
      </c>
      <c r="W1313" s="147">
        <v>1</v>
      </c>
      <c r="X1313" s="148" t="s">
        <v>163</v>
      </c>
      <c r="Y1313" s="54">
        <f>R1313*W1313</f>
        <v>8.4</v>
      </c>
      <c r="Z1313" s="52">
        <f>S1313*W1313</f>
        <v>7.5</v>
      </c>
      <c r="AA1313" s="52">
        <f>T1313*W1313</f>
        <v>0.9000000000000001</v>
      </c>
      <c r="AB1313" s="52">
        <f>V1313*W1313</f>
        <v>0</v>
      </c>
      <c r="AC1313" s="53">
        <f>(R1313+V1313)*W1313</f>
        <v>8.4</v>
      </c>
      <c r="AD1313" s="138">
        <v>8.4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106</v>
      </c>
      <c r="G1314" s="97">
        <v>46132</v>
      </c>
      <c r="H1314" s="98">
        <v>0.4960648148148148</v>
      </c>
      <c r="I1314" s="50">
        <v>166004698</v>
      </c>
      <c r="J1314" s="96" t="s">
        <v>157</v>
      </c>
      <c r="K1314" s="49" t="s">
        <v>333</v>
      </c>
      <c r="L1314" s="39" t="s">
        <v>334</v>
      </c>
      <c r="M1314" s="49" t="s">
        <v>326</v>
      </c>
      <c r="N1314" s="39" t="s">
        <v>327</v>
      </c>
      <c r="O1314" s="96" t="s">
        <v>2383</v>
      </c>
      <c r="P1314" s="49" t="s">
        <v>157</v>
      </c>
      <c r="Q1314" s="96" t="s">
        <v>104</v>
      </c>
      <c r="R1314" s="52">
        <v>6.9</v>
      </c>
      <c r="S1314" s="52">
        <f>R1314-T1314</f>
        <v>6.160714285714286</v>
      </c>
      <c r="T1314" s="52">
        <f>R1314*U1314/(U1314+100)</f>
        <v>0.7392857142857144</v>
      </c>
      <c r="U1314" s="50">
        <v>12</v>
      </c>
      <c r="V1314" s="53">
        <v>0</v>
      </c>
      <c r="W1314" s="147">
        <v>1</v>
      </c>
      <c r="X1314" s="148" t="s">
        <v>163</v>
      </c>
      <c r="Y1314" s="54">
        <f>R1314*W1314</f>
        <v>6.9</v>
      </c>
      <c r="Z1314" s="52">
        <f>S1314*W1314</f>
        <v>6.160714285714286</v>
      </c>
      <c r="AA1314" s="52">
        <f>T1314*W1314</f>
        <v>0.7392857142857144</v>
      </c>
      <c r="AB1314" s="52">
        <f>V1314*W1314</f>
        <v>0</v>
      </c>
      <c r="AC1314" s="53">
        <f>(R1314+V1314)*W1314</f>
        <v>6.9</v>
      </c>
      <c r="AD1314" s="138">
        <v>6.9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106</v>
      </c>
      <c r="G1315" s="97">
        <v>46132</v>
      </c>
      <c r="H1315" s="98">
        <v>0.4960648148148148</v>
      </c>
      <c r="I1315" s="50">
        <v>166004698</v>
      </c>
      <c r="J1315" s="96" t="s">
        <v>157</v>
      </c>
      <c r="K1315" s="49" t="s">
        <v>1649</v>
      </c>
      <c r="L1315" s="39" t="s">
        <v>1650</v>
      </c>
      <c r="M1315" s="49" t="s">
        <v>1205</v>
      </c>
      <c r="N1315" s="39" t="s">
        <v>1643</v>
      </c>
      <c r="O1315" s="96" t="s">
        <v>1651</v>
      </c>
      <c r="P1315" s="49" t="s">
        <v>157</v>
      </c>
      <c r="Q1315" s="96" t="s">
        <v>104</v>
      </c>
      <c r="R1315" s="52">
        <v>20.93</v>
      </c>
      <c r="S1315" s="52">
        <f>R1315-T1315</f>
        <v>18.6875</v>
      </c>
      <c r="T1315" s="52">
        <f>R1315*U1315/(U1315+100)</f>
        <v>2.2425</v>
      </c>
      <c r="U1315" s="50">
        <v>12</v>
      </c>
      <c r="V1315" s="53">
        <v>0</v>
      </c>
      <c r="W1315" s="147">
        <v>1</v>
      </c>
      <c r="X1315" s="148" t="s">
        <v>163</v>
      </c>
      <c r="Y1315" s="54">
        <f>R1315*W1315</f>
        <v>20.93</v>
      </c>
      <c r="Z1315" s="52">
        <f>S1315*W1315</f>
        <v>18.6875</v>
      </c>
      <c r="AA1315" s="52">
        <f>T1315*W1315</f>
        <v>2.2425</v>
      </c>
      <c r="AB1315" s="52">
        <f>V1315*W1315</f>
        <v>0</v>
      </c>
      <c r="AC1315" s="53">
        <f>(R1315+V1315)*W1315</f>
        <v>20.93</v>
      </c>
      <c r="AD1315" s="138">
        <v>29.9</v>
      </c>
      <c r="AE1315" s="137">
        <v>8.97</v>
      </c>
      <c r="AF1315" s="139">
        <v>8.97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106</v>
      </c>
      <c r="G1316" s="97">
        <v>46132</v>
      </c>
      <c r="H1316" s="98">
        <v>0.4960648148148148</v>
      </c>
      <c r="I1316" s="50">
        <v>166004698</v>
      </c>
      <c r="J1316" s="96" t="s">
        <v>157</v>
      </c>
      <c r="K1316" s="49" t="s">
        <v>2384</v>
      </c>
      <c r="L1316" s="39" t="s">
        <v>2385</v>
      </c>
      <c r="M1316" s="49" t="s">
        <v>300</v>
      </c>
      <c r="N1316" s="39" t="s">
        <v>1382</v>
      </c>
      <c r="O1316" s="96" t="s">
        <v>2386</v>
      </c>
      <c r="P1316" s="49" t="s">
        <v>157</v>
      </c>
      <c r="Q1316" s="96" t="s">
        <v>104</v>
      </c>
      <c r="R1316" s="52">
        <v>52.9</v>
      </c>
      <c r="S1316" s="52">
        <f>R1316-T1316</f>
        <v>47.232142857142854</v>
      </c>
      <c r="T1316" s="52">
        <f>R1316*U1316/(U1316+100)</f>
        <v>5.667857142857143</v>
      </c>
      <c r="U1316" s="50">
        <v>12</v>
      </c>
      <c r="V1316" s="53">
        <v>0</v>
      </c>
      <c r="W1316" s="147">
        <v>1</v>
      </c>
      <c r="X1316" s="148" t="s">
        <v>163</v>
      </c>
      <c r="Y1316" s="54">
        <f>R1316*W1316</f>
        <v>52.9</v>
      </c>
      <c r="Z1316" s="52">
        <f>S1316*W1316</f>
        <v>47.232142857142854</v>
      </c>
      <c r="AA1316" s="52">
        <f>T1316*W1316</f>
        <v>5.667857142857143</v>
      </c>
      <c r="AB1316" s="52">
        <f>V1316*W1316</f>
        <v>0</v>
      </c>
      <c r="AC1316" s="53">
        <f>(R1316+V1316)*W1316</f>
        <v>52.9</v>
      </c>
      <c r="AD1316" s="138">
        <v>52.9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106</v>
      </c>
      <c r="G1317" s="97">
        <v>46132</v>
      </c>
      <c r="H1317" s="98">
        <v>0.4960648148148148</v>
      </c>
      <c r="I1317" s="50">
        <v>166004698</v>
      </c>
      <c r="J1317" s="96" t="s">
        <v>157</v>
      </c>
      <c r="K1317" s="49" t="s">
        <v>339</v>
      </c>
      <c r="L1317" s="39" t="s">
        <v>340</v>
      </c>
      <c r="M1317" s="49" t="s">
        <v>341</v>
      </c>
      <c r="N1317" s="39" t="s">
        <v>233</v>
      </c>
      <c r="O1317" s="96" t="s">
        <v>2387</v>
      </c>
      <c r="P1317" s="49" t="s">
        <v>157</v>
      </c>
      <c r="Q1317" s="96" t="s">
        <v>104</v>
      </c>
      <c r="R1317" s="52">
        <v>18.9</v>
      </c>
      <c r="S1317" s="52">
        <f>R1317-T1317</f>
        <v>15.6198347107438</v>
      </c>
      <c r="T1317" s="52">
        <f>R1317*U1317/(U1317+100)</f>
        <v>3.2801652892561983</v>
      </c>
      <c r="U1317" s="50">
        <v>21</v>
      </c>
      <c r="V1317" s="53">
        <v>0</v>
      </c>
      <c r="W1317" s="147">
        <v>1</v>
      </c>
      <c r="X1317" s="148" t="s">
        <v>163</v>
      </c>
      <c r="Y1317" s="54">
        <f>R1317*W1317</f>
        <v>18.9</v>
      </c>
      <c r="Z1317" s="52">
        <f>S1317*W1317</f>
        <v>15.6198347107438</v>
      </c>
      <c r="AA1317" s="52">
        <f>T1317*W1317</f>
        <v>3.2801652892561983</v>
      </c>
      <c r="AB1317" s="52">
        <f>V1317*W1317</f>
        <v>0</v>
      </c>
      <c r="AC1317" s="53">
        <f>(R1317+V1317)*W1317</f>
        <v>18.9</v>
      </c>
      <c r="AD1317" s="138">
        <v>18.9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106</v>
      </c>
      <c r="G1318" s="97">
        <v>46132</v>
      </c>
      <c r="H1318" s="98">
        <v>0.4960648148148148</v>
      </c>
      <c r="I1318" s="50">
        <v>166004698</v>
      </c>
      <c r="J1318" s="96" t="s">
        <v>157</v>
      </c>
      <c r="K1318" s="49" t="s">
        <v>343</v>
      </c>
      <c r="L1318" s="39" t="s">
        <v>344</v>
      </c>
      <c r="M1318" s="49" t="s">
        <v>232</v>
      </c>
      <c r="N1318" s="39" t="s">
        <v>233</v>
      </c>
      <c r="O1318" s="96" t="s">
        <v>1434</v>
      </c>
      <c r="P1318" s="49" t="s">
        <v>235</v>
      </c>
      <c r="Q1318" s="96" t="s">
        <v>236</v>
      </c>
      <c r="R1318" s="52">
        <v>24.9</v>
      </c>
      <c r="S1318" s="52">
        <f>R1318-T1318</f>
        <v>20.578512396694215</v>
      </c>
      <c r="T1318" s="52">
        <f>R1318*U1318/(U1318+100)</f>
        <v>4.321487603305785</v>
      </c>
      <c r="U1318" s="50">
        <v>21</v>
      </c>
      <c r="V1318" s="53">
        <v>0</v>
      </c>
      <c r="W1318" s="147">
        <v>1</v>
      </c>
      <c r="X1318" s="148" t="s">
        <v>163</v>
      </c>
      <c r="Y1318" s="54">
        <f>R1318*W1318</f>
        <v>24.9</v>
      </c>
      <c r="Z1318" s="52">
        <f>S1318*W1318</f>
        <v>20.578512396694215</v>
      </c>
      <c r="AA1318" s="52">
        <f>T1318*W1318</f>
        <v>4.321487603305785</v>
      </c>
      <c r="AB1318" s="52">
        <f>V1318*W1318</f>
        <v>0</v>
      </c>
      <c r="AC1318" s="53">
        <f>(R1318+V1318)*W1318</f>
        <v>24.9</v>
      </c>
      <c r="AD1318" s="138">
        <v>24.9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106</v>
      </c>
      <c r="G1319" s="97">
        <v>46132</v>
      </c>
      <c r="H1319" s="98">
        <v>0.4960648148148148</v>
      </c>
      <c r="I1319" s="50">
        <v>166004698</v>
      </c>
      <c r="J1319" s="96" t="s">
        <v>157</v>
      </c>
      <c r="K1319" s="49" t="s">
        <v>2388</v>
      </c>
      <c r="L1319" s="39" t="s">
        <v>2389</v>
      </c>
      <c r="M1319" s="49" t="s">
        <v>214</v>
      </c>
      <c r="N1319" s="39" t="s">
        <v>1595</v>
      </c>
      <c r="O1319" s="96" t="s">
        <v>2390</v>
      </c>
      <c r="P1319" s="49" t="s">
        <v>157</v>
      </c>
      <c r="Q1319" s="96" t="s">
        <v>104</v>
      </c>
      <c r="R1319" s="52">
        <v>39.9</v>
      </c>
      <c r="S1319" s="52">
        <f>R1319-T1319</f>
        <v>35.625</v>
      </c>
      <c r="T1319" s="52">
        <f>R1319*U1319/(U1319+100)</f>
        <v>4.2749999999999995</v>
      </c>
      <c r="U1319" s="50">
        <v>12</v>
      </c>
      <c r="V1319" s="53">
        <v>0</v>
      </c>
      <c r="W1319" s="147">
        <v>1</v>
      </c>
      <c r="X1319" s="148" t="s">
        <v>163</v>
      </c>
      <c r="Y1319" s="54">
        <f>R1319*W1319</f>
        <v>39.9</v>
      </c>
      <c r="Z1319" s="52">
        <f>S1319*W1319</f>
        <v>35.625</v>
      </c>
      <c r="AA1319" s="52">
        <f>T1319*W1319</f>
        <v>4.2749999999999995</v>
      </c>
      <c r="AB1319" s="52">
        <f>V1319*W1319</f>
        <v>0</v>
      </c>
      <c r="AC1319" s="53">
        <f>(R1319+V1319)*W1319</f>
        <v>39.9</v>
      </c>
      <c r="AD1319" s="138">
        <v>39.9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106</v>
      </c>
      <c r="G1320" s="97">
        <v>46132</v>
      </c>
      <c r="H1320" s="98">
        <v>0.4960648148148148</v>
      </c>
      <c r="I1320" s="50">
        <v>166004698</v>
      </c>
      <c r="J1320" s="96" t="s">
        <v>157</v>
      </c>
      <c r="K1320" s="49" t="s">
        <v>2391</v>
      </c>
      <c r="L1320" s="39" t="s">
        <v>2392</v>
      </c>
      <c r="M1320" s="49" t="s">
        <v>185</v>
      </c>
      <c r="N1320" s="39" t="s">
        <v>2393</v>
      </c>
      <c r="O1320" s="96" t="s">
        <v>2394</v>
      </c>
      <c r="P1320" s="49" t="s">
        <v>157</v>
      </c>
      <c r="Q1320" s="96" t="s">
        <v>104</v>
      </c>
      <c r="R1320" s="52">
        <v>21.9</v>
      </c>
      <c r="S1320" s="52">
        <f>R1320-T1320</f>
        <v>18.099173553719005</v>
      </c>
      <c r="T1320" s="52">
        <f>R1320*U1320/(U1320+100)</f>
        <v>3.8008264462809915</v>
      </c>
      <c r="U1320" s="50">
        <v>21</v>
      </c>
      <c r="V1320" s="53">
        <v>0</v>
      </c>
      <c r="W1320" s="147">
        <v>1</v>
      </c>
      <c r="X1320" s="148" t="s">
        <v>163</v>
      </c>
      <c r="Y1320" s="54">
        <f>R1320*W1320</f>
        <v>21.9</v>
      </c>
      <c r="Z1320" s="52">
        <f>S1320*W1320</f>
        <v>18.099173553719005</v>
      </c>
      <c r="AA1320" s="52">
        <f>T1320*W1320</f>
        <v>3.8008264462809915</v>
      </c>
      <c r="AB1320" s="52">
        <f>V1320*W1320</f>
        <v>0</v>
      </c>
      <c r="AC1320" s="53">
        <f>(R1320+V1320)*W1320</f>
        <v>21.9</v>
      </c>
      <c r="AD1320" s="138">
        <v>21.9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106</v>
      </c>
      <c r="G1321" s="97">
        <v>46132</v>
      </c>
      <c r="H1321" s="98">
        <v>0.4960648148148148</v>
      </c>
      <c r="I1321" s="50">
        <v>166004698</v>
      </c>
      <c r="J1321" s="96" t="s">
        <v>157</v>
      </c>
      <c r="K1321" s="49" t="s">
        <v>2395</v>
      </c>
      <c r="L1321" s="39" t="s">
        <v>2396</v>
      </c>
      <c r="M1321" s="49" t="s">
        <v>1222</v>
      </c>
      <c r="N1321" s="39" t="s">
        <v>653</v>
      </c>
      <c r="O1321" s="96" t="s">
        <v>2397</v>
      </c>
      <c r="P1321" s="49" t="s">
        <v>157</v>
      </c>
      <c r="Q1321" s="96" t="s">
        <v>104</v>
      </c>
      <c r="R1321" s="52">
        <v>49.9</v>
      </c>
      <c r="S1321" s="52">
        <f>R1321-T1321</f>
        <v>41.239669421487605</v>
      </c>
      <c r="T1321" s="52">
        <f>R1321*U1321/(U1321+100)</f>
        <v>8.660330578512395</v>
      </c>
      <c r="U1321" s="50">
        <v>21</v>
      </c>
      <c r="V1321" s="53">
        <v>0</v>
      </c>
      <c r="W1321" s="147">
        <v>1</v>
      </c>
      <c r="X1321" s="148" t="s">
        <v>163</v>
      </c>
      <c r="Y1321" s="54">
        <f>R1321*W1321</f>
        <v>49.9</v>
      </c>
      <c r="Z1321" s="52">
        <f>S1321*W1321</f>
        <v>41.239669421487605</v>
      </c>
      <c r="AA1321" s="52">
        <f>T1321*W1321</f>
        <v>8.660330578512395</v>
      </c>
      <c r="AB1321" s="52">
        <f>V1321*W1321</f>
        <v>0</v>
      </c>
      <c r="AC1321" s="53">
        <f>(R1321+V1321)*W1321</f>
        <v>49.9</v>
      </c>
      <c r="AD1321" s="138">
        <v>49.9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106</v>
      </c>
      <c r="G1322" s="97">
        <v>46132</v>
      </c>
      <c r="H1322" s="98">
        <v>0.4960648148148148</v>
      </c>
      <c r="I1322" s="50">
        <v>166004698</v>
      </c>
      <c r="J1322" s="96" t="s">
        <v>157</v>
      </c>
      <c r="K1322" s="49" t="s">
        <v>2398</v>
      </c>
      <c r="L1322" s="39" t="s">
        <v>2399</v>
      </c>
      <c r="M1322" s="49" t="s">
        <v>862</v>
      </c>
      <c r="N1322" s="39" t="s">
        <v>863</v>
      </c>
      <c r="O1322" s="96" t="s">
        <v>2400</v>
      </c>
      <c r="P1322" s="49" t="s">
        <v>157</v>
      </c>
      <c r="Q1322" s="96" t="s">
        <v>104</v>
      </c>
      <c r="R1322" s="52">
        <v>145</v>
      </c>
      <c r="S1322" s="52">
        <f>R1322-T1322</f>
        <v>119.83471074380165</v>
      </c>
      <c r="T1322" s="52">
        <f>R1322*U1322/(U1322+100)</f>
        <v>25.165289256198346</v>
      </c>
      <c r="U1322" s="50">
        <v>21</v>
      </c>
      <c r="V1322" s="53">
        <v>0</v>
      </c>
      <c r="W1322" s="147">
        <v>1</v>
      </c>
      <c r="X1322" s="148" t="s">
        <v>163</v>
      </c>
      <c r="Y1322" s="54">
        <f>R1322*W1322</f>
        <v>145</v>
      </c>
      <c r="Z1322" s="52">
        <f>S1322*W1322</f>
        <v>119.83471074380165</v>
      </c>
      <c r="AA1322" s="52">
        <f>T1322*W1322</f>
        <v>25.165289256198346</v>
      </c>
      <c r="AB1322" s="52">
        <f>V1322*W1322</f>
        <v>0</v>
      </c>
      <c r="AC1322" s="53">
        <f>(R1322+V1322)*W1322</f>
        <v>145</v>
      </c>
      <c r="AD1322" s="138">
        <v>145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106</v>
      </c>
      <c r="G1323" s="97">
        <v>46132</v>
      </c>
      <c r="H1323" s="98">
        <v>0.4960648148148148</v>
      </c>
      <c r="I1323" s="50">
        <v>166004698</v>
      </c>
      <c r="J1323" s="96" t="s">
        <v>157</v>
      </c>
      <c r="K1323" s="49" t="s">
        <v>2398</v>
      </c>
      <c r="L1323" s="39" t="s">
        <v>2399</v>
      </c>
      <c r="M1323" s="49" t="s">
        <v>862</v>
      </c>
      <c r="N1323" s="39" t="s">
        <v>863</v>
      </c>
      <c r="O1323" s="96" t="s">
        <v>2400</v>
      </c>
      <c r="P1323" s="49" t="s">
        <v>157</v>
      </c>
      <c r="Q1323" s="96" t="s">
        <v>104</v>
      </c>
      <c r="R1323" s="52">
        <v>145</v>
      </c>
      <c r="S1323" s="52">
        <f>R1323-T1323</f>
        <v>119.83471074380165</v>
      </c>
      <c r="T1323" s="52">
        <f>R1323*U1323/(U1323+100)</f>
        <v>25.165289256198346</v>
      </c>
      <c r="U1323" s="50">
        <v>21</v>
      </c>
      <c r="V1323" s="53">
        <v>0</v>
      </c>
      <c r="W1323" s="147">
        <v>1</v>
      </c>
      <c r="X1323" s="148" t="s">
        <v>163</v>
      </c>
      <c r="Y1323" s="54">
        <f>R1323*W1323</f>
        <v>145</v>
      </c>
      <c r="Z1323" s="52">
        <f>S1323*W1323</f>
        <v>119.83471074380165</v>
      </c>
      <c r="AA1323" s="52">
        <f>T1323*W1323</f>
        <v>25.165289256198346</v>
      </c>
      <c r="AB1323" s="52">
        <f>V1323*W1323</f>
        <v>0</v>
      </c>
      <c r="AC1323" s="53">
        <f>(R1323+V1323)*W1323</f>
        <v>145</v>
      </c>
      <c r="AD1323" s="138">
        <v>145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106</v>
      </c>
      <c r="G1324" s="97">
        <v>46132</v>
      </c>
      <c r="H1324" s="98">
        <v>0.4960648148148148</v>
      </c>
      <c r="I1324" s="50">
        <v>166004698</v>
      </c>
      <c r="J1324" s="96" t="s">
        <v>157</v>
      </c>
      <c r="K1324" s="49" t="s">
        <v>1148</v>
      </c>
      <c r="L1324" s="39" t="s">
        <v>1149</v>
      </c>
      <c r="M1324" s="49" t="s">
        <v>862</v>
      </c>
      <c r="N1324" s="39" t="s">
        <v>863</v>
      </c>
      <c r="O1324" s="96" t="s">
        <v>1150</v>
      </c>
      <c r="P1324" s="49" t="s">
        <v>157</v>
      </c>
      <c r="Q1324" s="96" t="s">
        <v>104</v>
      </c>
      <c r="R1324" s="52">
        <v>145</v>
      </c>
      <c r="S1324" s="52">
        <f>R1324-T1324</f>
        <v>119.83471074380165</v>
      </c>
      <c r="T1324" s="52">
        <f>R1324*U1324/(U1324+100)</f>
        <v>25.165289256198346</v>
      </c>
      <c r="U1324" s="50">
        <v>21</v>
      </c>
      <c r="V1324" s="53">
        <v>0</v>
      </c>
      <c r="W1324" s="147">
        <v>1</v>
      </c>
      <c r="X1324" s="148" t="s">
        <v>163</v>
      </c>
      <c r="Y1324" s="54">
        <f>R1324*W1324</f>
        <v>145</v>
      </c>
      <c r="Z1324" s="52">
        <f>S1324*W1324</f>
        <v>119.83471074380165</v>
      </c>
      <c r="AA1324" s="52">
        <f>T1324*W1324</f>
        <v>25.165289256198346</v>
      </c>
      <c r="AB1324" s="52">
        <f>V1324*W1324</f>
        <v>0</v>
      </c>
      <c r="AC1324" s="53">
        <f>(R1324+V1324)*W1324</f>
        <v>145</v>
      </c>
      <c r="AD1324" s="138">
        <v>145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106</v>
      </c>
      <c r="G1325" s="97">
        <v>46132</v>
      </c>
      <c r="H1325" s="98">
        <v>0.4960648148148148</v>
      </c>
      <c r="I1325" s="50">
        <v>166004698</v>
      </c>
      <c r="J1325" s="96" t="s">
        <v>157</v>
      </c>
      <c r="K1325" s="49" t="s">
        <v>2401</v>
      </c>
      <c r="L1325" s="39" t="s">
        <v>2402</v>
      </c>
      <c r="M1325" s="49" t="s">
        <v>185</v>
      </c>
      <c r="N1325" s="39" t="s">
        <v>186</v>
      </c>
      <c r="O1325" s="96" t="s">
        <v>2403</v>
      </c>
      <c r="P1325" s="49" t="s">
        <v>157</v>
      </c>
      <c r="Q1325" s="96" t="s">
        <v>104</v>
      </c>
      <c r="R1325" s="52">
        <v>6.4</v>
      </c>
      <c r="S1325" s="52">
        <f>R1325-T1325</f>
        <v>5.289256198347108</v>
      </c>
      <c r="T1325" s="52">
        <f>R1325*U1325/(U1325+100)</f>
        <v>1.1107438016528925</v>
      </c>
      <c r="U1325" s="50">
        <v>21</v>
      </c>
      <c r="V1325" s="53">
        <v>0</v>
      </c>
      <c r="W1325" s="147">
        <v>1</v>
      </c>
      <c r="X1325" s="148" t="s">
        <v>163</v>
      </c>
      <c r="Y1325" s="54">
        <f>R1325*W1325</f>
        <v>6.4</v>
      </c>
      <c r="Z1325" s="52">
        <f>S1325*W1325</f>
        <v>5.289256198347108</v>
      </c>
      <c r="AA1325" s="52">
        <f>T1325*W1325</f>
        <v>1.1107438016528925</v>
      </c>
      <c r="AB1325" s="52">
        <f>V1325*W1325</f>
        <v>0</v>
      </c>
      <c r="AC1325" s="53">
        <f>(R1325+V1325)*W1325</f>
        <v>6.4</v>
      </c>
      <c r="AD1325" s="138">
        <v>6.4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106</v>
      </c>
      <c r="G1326" s="97">
        <v>46132</v>
      </c>
      <c r="H1326" s="98">
        <v>0.4960648148148148</v>
      </c>
      <c r="I1326" s="50">
        <v>166004698</v>
      </c>
      <c r="J1326" s="96" t="s">
        <v>157</v>
      </c>
      <c r="K1326" s="49" t="s">
        <v>266</v>
      </c>
      <c r="L1326" s="39" t="s">
        <v>267</v>
      </c>
      <c r="M1326" s="49" t="s">
        <v>268</v>
      </c>
      <c r="N1326" s="39" t="s">
        <v>269</v>
      </c>
      <c r="O1326" s="96" t="s">
        <v>1249</v>
      </c>
      <c r="P1326" s="49" t="s">
        <v>235</v>
      </c>
      <c r="Q1326" s="96" t="s">
        <v>236</v>
      </c>
      <c r="R1326" s="52">
        <v>11.9</v>
      </c>
      <c r="S1326" s="52">
        <f>R1326-T1326</f>
        <v>10.625</v>
      </c>
      <c r="T1326" s="52">
        <f>R1326*U1326/(U1326+100)</f>
        <v>1.2750000000000001</v>
      </c>
      <c r="U1326" s="50">
        <v>12</v>
      </c>
      <c r="V1326" s="53">
        <v>0</v>
      </c>
      <c r="W1326" s="147">
        <v>3</v>
      </c>
      <c r="X1326" s="148" t="s">
        <v>163</v>
      </c>
      <c r="Y1326" s="54">
        <f>R1326*W1326</f>
        <v>35.7</v>
      </c>
      <c r="Z1326" s="52">
        <f>S1326*W1326</f>
        <v>31.875</v>
      </c>
      <c r="AA1326" s="52">
        <f>T1326*W1326</f>
        <v>3.825</v>
      </c>
      <c r="AB1326" s="52">
        <f>V1326*W1326</f>
        <v>0</v>
      </c>
      <c r="AC1326" s="53">
        <f>(R1326+V1326)*W1326</f>
        <v>35.7</v>
      </c>
      <c r="AD1326" s="138">
        <v>11.9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106</v>
      </c>
      <c r="G1327" s="97">
        <v>46132</v>
      </c>
      <c r="H1327" s="98">
        <v>0.4960648148148148</v>
      </c>
      <c r="I1327" s="50">
        <v>166004698</v>
      </c>
      <c r="J1327" s="96" t="s">
        <v>157</v>
      </c>
      <c r="K1327" s="49" t="s">
        <v>2404</v>
      </c>
      <c r="L1327" s="39" t="s">
        <v>2405</v>
      </c>
      <c r="M1327" s="49" t="s">
        <v>522</v>
      </c>
      <c r="N1327" s="39" t="s">
        <v>2406</v>
      </c>
      <c r="O1327" s="96" t="s">
        <v>2407</v>
      </c>
      <c r="P1327" s="49" t="s">
        <v>157</v>
      </c>
      <c r="Q1327" s="96" t="s">
        <v>104</v>
      </c>
      <c r="R1327" s="52">
        <v>159.9</v>
      </c>
      <c r="S1327" s="52">
        <f>R1327-T1327</f>
        <v>142.76785714285714</v>
      </c>
      <c r="T1327" s="52">
        <f>R1327*U1327/(U1327+100)</f>
        <v>17.13214285714286</v>
      </c>
      <c r="U1327" s="50">
        <v>12</v>
      </c>
      <c r="V1327" s="53">
        <v>0</v>
      </c>
      <c r="W1327" s="147">
        <v>1.308</v>
      </c>
      <c r="X1327" s="148" t="s">
        <v>193</v>
      </c>
      <c r="Y1327" s="54">
        <f>R1327*W1327</f>
        <v>209.1492</v>
      </c>
      <c r="Z1327" s="52">
        <f>S1327*W1327</f>
        <v>186.74035714285714</v>
      </c>
      <c r="AA1327" s="52">
        <f>T1327*W1327</f>
        <v>22.40884285714286</v>
      </c>
      <c r="AB1327" s="52">
        <f>V1327*W1327</f>
        <v>0</v>
      </c>
      <c r="AC1327" s="53">
        <f>(R1327+V1327)*W1327</f>
        <v>209.1492</v>
      </c>
      <c r="AD1327" s="138">
        <v>159.9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106</v>
      </c>
      <c r="G1328" s="97">
        <v>46132</v>
      </c>
      <c r="H1328" s="98">
        <v>0.4960648148148148</v>
      </c>
      <c r="I1328" s="50">
        <v>166004698</v>
      </c>
      <c r="J1328" s="96" t="s">
        <v>157</v>
      </c>
      <c r="K1328" s="49" t="s">
        <v>553</v>
      </c>
      <c r="L1328" s="39" t="s">
        <v>104</v>
      </c>
      <c r="M1328" s="49" t="s">
        <v>554</v>
      </c>
      <c r="N1328" s="39" t="s">
        <v>296</v>
      </c>
      <c r="O1328" s="96" t="s">
        <v>555</v>
      </c>
      <c r="P1328" s="49" t="s">
        <v>157</v>
      </c>
      <c r="Q1328" s="96" t="s">
        <v>104</v>
      </c>
      <c r="R1328" s="52">
        <v>8.9</v>
      </c>
      <c r="S1328" s="52">
        <f>R1328-T1328</f>
        <v>7.946428571428572</v>
      </c>
      <c r="T1328" s="52">
        <f>R1328*U1328/(U1328+100)</f>
        <v>0.9535714285714286</v>
      </c>
      <c r="U1328" s="50">
        <v>12</v>
      </c>
      <c r="V1328" s="53">
        <v>0</v>
      </c>
      <c r="W1328" s="147">
        <v>3</v>
      </c>
      <c r="X1328" s="148" t="s">
        <v>163</v>
      </c>
      <c r="Y1328" s="54">
        <f>R1328*W1328</f>
        <v>26.700000000000003</v>
      </c>
      <c r="Z1328" s="52">
        <f>S1328*W1328</f>
        <v>23.839285714285715</v>
      </c>
      <c r="AA1328" s="52">
        <f>T1328*W1328</f>
        <v>2.8607142857142858</v>
      </c>
      <c r="AB1328" s="52">
        <f>V1328*W1328</f>
        <v>0</v>
      </c>
      <c r="AC1328" s="53">
        <f>(R1328+V1328)*W1328</f>
        <v>26.700000000000003</v>
      </c>
      <c r="AD1328" s="138">
        <v>8.9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106</v>
      </c>
      <c r="G1329" s="97">
        <v>46132</v>
      </c>
      <c r="H1329" s="98">
        <v>0.4960648148148148</v>
      </c>
      <c r="I1329" s="50">
        <v>166004698</v>
      </c>
      <c r="J1329" s="96" t="s">
        <v>157</v>
      </c>
      <c r="K1329" s="49" t="s">
        <v>942</v>
      </c>
      <c r="L1329" s="39"/>
      <c r="M1329" s="49" t="s">
        <v>295</v>
      </c>
      <c r="N1329" s="39" t="s">
        <v>433</v>
      </c>
      <c r="O1329" s="96" t="s">
        <v>1332</v>
      </c>
      <c r="P1329" s="49" t="s">
        <v>235</v>
      </c>
      <c r="Q1329" s="96" t="s">
        <v>944</v>
      </c>
      <c r="R1329" s="52">
        <v>9.9</v>
      </c>
      <c r="S1329" s="52">
        <f>R1329-T1329</f>
        <v>8.839285714285715</v>
      </c>
      <c r="T1329" s="52">
        <f>R1329*U1329/(U1329+100)</f>
        <v>1.0607142857142857</v>
      </c>
      <c r="U1329" s="50">
        <v>12</v>
      </c>
      <c r="V1329" s="53">
        <v>0</v>
      </c>
      <c r="W1329" s="147">
        <v>1</v>
      </c>
      <c r="X1329" s="148" t="s">
        <v>945</v>
      </c>
      <c r="Y1329" s="54">
        <f>R1329*W1329</f>
        <v>9.9</v>
      </c>
      <c r="Z1329" s="52">
        <f>S1329*W1329</f>
        <v>8.839285714285715</v>
      </c>
      <c r="AA1329" s="52">
        <f>T1329*W1329</f>
        <v>1.0607142857142857</v>
      </c>
      <c r="AB1329" s="52">
        <f>V1329*W1329</f>
        <v>0</v>
      </c>
      <c r="AC1329" s="53">
        <f>(R1329+V1329)*W1329</f>
        <v>9.9</v>
      </c>
      <c r="AD1329" s="138">
        <v>9.9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106</v>
      </c>
      <c r="G1330" s="97">
        <v>46132</v>
      </c>
      <c r="H1330" s="98">
        <v>0.4970023148148148</v>
      </c>
      <c r="I1330" s="50">
        <v>166004699</v>
      </c>
      <c r="J1330" s="96" t="s">
        <v>157</v>
      </c>
      <c r="K1330" s="49" t="s">
        <v>2408</v>
      </c>
      <c r="L1330" s="39" t="s">
        <v>2409</v>
      </c>
      <c r="M1330" s="49" t="s">
        <v>1252</v>
      </c>
      <c r="N1330" s="39" t="s">
        <v>239</v>
      </c>
      <c r="O1330" s="96" t="s">
        <v>2410</v>
      </c>
      <c r="P1330" s="49" t="s">
        <v>157</v>
      </c>
      <c r="Q1330" s="96" t="s">
        <v>104</v>
      </c>
      <c r="R1330" s="52">
        <v>25.9</v>
      </c>
      <c r="S1330" s="52">
        <f>R1330-T1330</f>
        <v>23.125</v>
      </c>
      <c r="T1330" s="52">
        <f>R1330*U1330/(U1330+100)</f>
        <v>2.7749999999999995</v>
      </c>
      <c r="U1330" s="50">
        <v>12</v>
      </c>
      <c r="V1330" s="53">
        <v>0</v>
      </c>
      <c r="W1330" s="147">
        <v>1</v>
      </c>
      <c r="X1330" s="148" t="s">
        <v>163</v>
      </c>
      <c r="Y1330" s="54">
        <f>R1330*W1330</f>
        <v>25.9</v>
      </c>
      <c r="Z1330" s="52">
        <f>S1330*W1330</f>
        <v>23.125</v>
      </c>
      <c r="AA1330" s="52">
        <f>T1330*W1330</f>
        <v>2.7749999999999995</v>
      </c>
      <c r="AB1330" s="52">
        <f>V1330*W1330</f>
        <v>0</v>
      </c>
      <c r="AC1330" s="53">
        <f>(R1330+V1330)*W1330</f>
        <v>25.9</v>
      </c>
      <c r="AD1330" s="138">
        <v>25.9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106</v>
      </c>
      <c r="G1331" s="97">
        <v>46132</v>
      </c>
      <c r="H1331" s="98">
        <v>0.4970023148148148</v>
      </c>
      <c r="I1331" s="50">
        <v>166004699</v>
      </c>
      <c r="J1331" s="96" t="s">
        <v>157</v>
      </c>
      <c r="K1331" s="49" t="s">
        <v>2411</v>
      </c>
      <c r="L1331" s="39" t="s">
        <v>2412</v>
      </c>
      <c r="M1331" s="49" t="s">
        <v>201</v>
      </c>
      <c r="N1331" s="39" t="s">
        <v>202</v>
      </c>
      <c r="O1331" s="96" t="s">
        <v>2413</v>
      </c>
      <c r="P1331" s="49" t="s">
        <v>157</v>
      </c>
      <c r="Q1331" s="96" t="s">
        <v>104</v>
      </c>
      <c r="R1331" s="52">
        <v>11.9</v>
      </c>
      <c r="S1331" s="52">
        <f>R1331-T1331</f>
        <v>10.625</v>
      </c>
      <c r="T1331" s="52">
        <f>R1331*U1331/(U1331+100)</f>
        <v>1.2750000000000001</v>
      </c>
      <c r="U1331" s="50">
        <v>12</v>
      </c>
      <c r="V1331" s="53">
        <v>0</v>
      </c>
      <c r="W1331" s="147">
        <v>1</v>
      </c>
      <c r="X1331" s="148" t="s">
        <v>163</v>
      </c>
      <c r="Y1331" s="54">
        <f>R1331*W1331</f>
        <v>11.9</v>
      </c>
      <c r="Z1331" s="52">
        <f>S1331*W1331</f>
        <v>10.625</v>
      </c>
      <c r="AA1331" s="52">
        <f>T1331*W1331</f>
        <v>1.2750000000000001</v>
      </c>
      <c r="AB1331" s="52">
        <f>V1331*W1331</f>
        <v>0</v>
      </c>
      <c r="AC1331" s="53">
        <f>(R1331+V1331)*W1331</f>
        <v>11.9</v>
      </c>
      <c r="AD1331" s="138">
        <v>11.9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106</v>
      </c>
      <c r="G1332" s="97">
        <v>46132</v>
      </c>
      <c r="H1332" s="98">
        <v>0.4970023148148148</v>
      </c>
      <c r="I1332" s="50">
        <v>166004699</v>
      </c>
      <c r="J1332" s="96" t="s">
        <v>157</v>
      </c>
      <c r="K1332" s="49" t="s">
        <v>2411</v>
      </c>
      <c r="L1332" s="39" t="s">
        <v>2412</v>
      </c>
      <c r="M1332" s="49" t="s">
        <v>201</v>
      </c>
      <c r="N1332" s="39" t="s">
        <v>202</v>
      </c>
      <c r="O1332" s="96" t="s">
        <v>2413</v>
      </c>
      <c r="P1332" s="49" t="s">
        <v>157</v>
      </c>
      <c r="Q1332" s="96" t="s">
        <v>104</v>
      </c>
      <c r="R1332" s="52">
        <v>11.9</v>
      </c>
      <c r="S1332" s="52">
        <f>R1332-T1332</f>
        <v>10.625</v>
      </c>
      <c r="T1332" s="52">
        <f>R1332*U1332/(U1332+100)</f>
        <v>1.2750000000000001</v>
      </c>
      <c r="U1332" s="50">
        <v>12</v>
      </c>
      <c r="V1332" s="53">
        <v>0</v>
      </c>
      <c r="W1332" s="147">
        <v>1</v>
      </c>
      <c r="X1332" s="148" t="s">
        <v>163</v>
      </c>
      <c r="Y1332" s="54">
        <f>R1332*W1332</f>
        <v>11.9</v>
      </c>
      <c r="Z1332" s="52">
        <f>S1332*W1332</f>
        <v>10.625</v>
      </c>
      <c r="AA1332" s="52">
        <f>T1332*W1332</f>
        <v>1.2750000000000001</v>
      </c>
      <c r="AB1332" s="52">
        <f>V1332*W1332</f>
        <v>0</v>
      </c>
      <c r="AC1332" s="53">
        <f>(R1332+V1332)*W1332</f>
        <v>11.9</v>
      </c>
      <c r="AD1332" s="138">
        <v>11.9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106</v>
      </c>
      <c r="G1333" s="97">
        <v>46132</v>
      </c>
      <c r="H1333" s="98">
        <v>0.4970023148148148</v>
      </c>
      <c r="I1333" s="50">
        <v>166004699</v>
      </c>
      <c r="J1333" s="96" t="s">
        <v>157</v>
      </c>
      <c r="K1333" s="49" t="s">
        <v>2414</v>
      </c>
      <c r="L1333" s="39" t="s">
        <v>2415</v>
      </c>
      <c r="M1333" s="49" t="s">
        <v>277</v>
      </c>
      <c r="N1333" s="39" t="s">
        <v>1732</v>
      </c>
      <c r="O1333" s="96" t="s">
        <v>2416</v>
      </c>
      <c r="P1333" s="49" t="s">
        <v>157</v>
      </c>
      <c r="Q1333" s="96" t="s">
        <v>104</v>
      </c>
      <c r="R1333" s="52">
        <v>74.9</v>
      </c>
      <c r="S1333" s="52">
        <f>R1333-T1333</f>
        <v>66.875</v>
      </c>
      <c r="T1333" s="52">
        <f>R1333*U1333/(U1333+100)</f>
        <v>8.025</v>
      </c>
      <c r="U1333" s="50">
        <v>12</v>
      </c>
      <c r="V1333" s="53">
        <v>0</v>
      </c>
      <c r="W1333" s="147">
        <v>1</v>
      </c>
      <c r="X1333" s="148" t="s">
        <v>163</v>
      </c>
      <c r="Y1333" s="54">
        <f>R1333*W1333</f>
        <v>74.9</v>
      </c>
      <c r="Z1333" s="52">
        <f>S1333*W1333</f>
        <v>66.875</v>
      </c>
      <c r="AA1333" s="52">
        <f>T1333*W1333</f>
        <v>8.025</v>
      </c>
      <c r="AB1333" s="52">
        <f>V1333*W1333</f>
        <v>0</v>
      </c>
      <c r="AC1333" s="53">
        <f>(R1333+V1333)*W1333</f>
        <v>74.9</v>
      </c>
      <c r="AD1333" s="138">
        <v>74.9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106</v>
      </c>
      <c r="G1334" s="97">
        <v>46132</v>
      </c>
      <c r="H1334" s="98">
        <v>0.4970023148148148</v>
      </c>
      <c r="I1334" s="50">
        <v>166004699</v>
      </c>
      <c r="J1334" s="96" t="s">
        <v>157</v>
      </c>
      <c r="K1334" s="49" t="s">
        <v>293</v>
      </c>
      <c r="L1334" s="39" t="s">
        <v>294</v>
      </c>
      <c r="M1334" s="49" t="s">
        <v>295</v>
      </c>
      <c r="N1334" s="39" t="s">
        <v>296</v>
      </c>
      <c r="O1334" s="96" t="s">
        <v>297</v>
      </c>
      <c r="P1334" s="49" t="s">
        <v>157</v>
      </c>
      <c r="Q1334" s="96" t="s">
        <v>104</v>
      </c>
      <c r="R1334" s="52">
        <v>2.9</v>
      </c>
      <c r="S1334" s="52">
        <f>R1334-T1334</f>
        <v>2.5892857142857144</v>
      </c>
      <c r="T1334" s="52">
        <f>R1334*U1334/(U1334+100)</f>
        <v>0.31071428571428567</v>
      </c>
      <c r="U1334" s="50">
        <v>12</v>
      </c>
      <c r="V1334" s="53">
        <v>0</v>
      </c>
      <c r="W1334" s="147">
        <v>3</v>
      </c>
      <c r="X1334" s="148" t="s">
        <v>163</v>
      </c>
      <c r="Y1334" s="54">
        <f>R1334*W1334</f>
        <v>8.7</v>
      </c>
      <c r="Z1334" s="52">
        <f>S1334*W1334</f>
        <v>7.767857142857143</v>
      </c>
      <c r="AA1334" s="52">
        <f>T1334*W1334</f>
        <v>0.9321428571428569</v>
      </c>
      <c r="AB1334" s="52">
        <f>V1334*W1334</f>
        <v>0</v>
      </c>
      <c r="AC1334" s="53">
        <f>(R1334+V1334)*W1334</f>
        <v>8.7</v>
      </c>
      <c r="AD1334" s="138">
        <v>2.9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106</v>
      </c>
      <c r="G1335" s="97">
        <v>46132</v>
      </c>
      <c r="H1335" s="98">
        <v>0.4975115740740741</v>
      </c>
      <c r="I1335" s="50">
        <v>166004700</v>
      </c>
      <c r="J1335" s="96" t="s">
        <v>157</v>
      </c>
      <c r="K1335" s="49" t="s">
        <v>967</v>
      </c>
      <c r="L1335" s="39" t="s">
        <v>968</v>
      </c>
      <c r="M1335" s="49" t="s">
        <v>444</v>
      </c>
      <c r="N1335" s="39" t="s">
        <v>445</v>
      </c>
      <c r="O1335" s="96" t="s">
        <v>981</v>
      </c>
      <c r="P1335" s="49" t="s">
        <v>157</v>
      </c>
      <c r="Q1335" s="96" t="s">
        <v>104</v>
      </c>
      <c r="R1335" s="52">
        <v>16.9</v>
      </c>
      <c r="S1335" s="52">
        <f>R1335-T1335</f>
        <v>15.089285714285714</v>
      </c>
      <c r="T1335" s="52">
        <f>R1335*U1335/(U1335+100)</f>
        <v>1.8107142857142855</v>
      </c>
      <c r="U1335" s="50">
        <v>12</v>
      </c>
      <c r="V1335" s="53">
        <v>0</v>
      </c>
      <c r="W1335" s="147">
        <v>1</v>
      </c>
      <c r="X1335" s="148" t="s">
        <v>163</v>
      </c>
      <c r="Y1335" s="54">
        <f>R1335*W1335</f>
        <v>16.9</v>
      </c>
      <c r="Z1335" s="52">
        <f>S1335*W1335</f>
        <v>15.089285714285714</v>
      </c>
      <c r="AA1335" s="52">
        <f>T1335*W1335</f>
        <v>1.8107142857142855</v>
      </c>
      <c r="AB1335" s="52">
        <f>V1335*W1335</f>
        <v>0</v>
      </c>
      <c r="AC1335" s="53">
        <f>(R1335+V1335)*W1335</f>
        <v>16.9</v>
      </c>
      <c r="AD1335" s="138">
        <v>16.9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106</v>
      </c>
      <c r="G1336" s="97">
        <v>46132</v>
      </c>
      <c r="H1336" s="98">
        <v>0.4975115740740741</v>
      </c>
      <c r="I1336" s="50">
        <v>166004700</v>
      </c>
      <c r="J1336" s="96" t="s">
        <v>157</v>
      </c>
      <c r="K1336" s="49" t="s">
        <v>207</v>
      </c>
      <c r="L1336" s="39" t="s">
        <v>208</v>
      </c>
      <c r="M1336" s="49" t="s">
        <v>209</v>
      </c>
      <c r="N1336" s="39" t="s">
        <v>210</v>
      </c>
      <c r="O1336" s="96" t="s">
        <v>2417</v>
      </c>
      <c r="P1336" s="49" t="s">
        <v>157</v>
      </c>
      <c r="Q1336" s="96" t="s">
        <v>104</v>
      </c>
      <c r="R1336" s="52">
        <v>17.9</v>
      </c>
      <c r="S1336" s="52">
        <f>R1336-T1336</f>
        <v>15.982142857142856</v>
      </c>
      <c r="T1336" s="52">
        <f>R1336*U1336/(U1336+100)</f>
        <v>1.9178571428571427</v>
      </c>
      <c r="U1336" s="50">
        <v>12</v>
      </c>
      <c r="V1336" s="53">
        <v>0</v>
      </c>
      <c r="W1336" s="147">
        <v>1</v>
      </c>
      <c r="X1336" s="148" t="s">
        <v>163</v>
      </c>
      <c r="Y1336" s="54">
        <f>R1336*W1336</f>
        <v>17.9</v>
      </c>
      <c r="Z1336" s="52">
        <f>S1336*W1336</f>
        <v>15.982142857142856</v>
      </c>
      <c r="AA1336" s="52">
        <f>T1336*W1336</f>
        <v>1.9178571428571427</v>
      </c>
      <c r="AB1336" s="52">
        <f>V1336*W1336</f>
        <v>0</v>
      </c>
      <c r="AC1336" s="53">
        <f>(R1336+V1336)*W1336</f>
        <v>17.9</v>
      </c>
      <c r="AD1336" s="138">
        <v>17.9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106</v>
      </c>
      <c r="G1337" s="97">
        <v>46132</v>
      </c>
      <c r="H1337" s="98">
        <v>0.4975115740740741</v>
      </c>
      <c r="I1337" s="50">
        <v>166004700</v>
      </c>
      <c r="J1337" s="96" t="s">
        <v>157</v>
      </c>
      <c r="K1337" s="49" t="s">
        <v>2098</v>
      </c>
      <c r="L1337" s="39" t="s">
        <v>2099</v>
      </c>
      <c r="M1337" s="49" t="s">
        <v>709</v>
      </c>
      <c r="N1337" s="39" t="s">
        <v>874</v>
      </c>
      <c r="O1337" s="96" t="s">
        <v>2100</v>
      </c>
      <c r="P1337" s="49" t="s">
        <v>157</v>
      </c>
      <c r="Q1337" s="96" t="s">
        <v>104</v>
      </c>
      <c r="R1337" s="52">
        <v>39.9</v>
      </c>
      <c r="S1337" s="52">
        <f>R1337-T1337</f>
        <v>35.625</v>
      </c>
      <c r="T1337" s="52">
        <f>R1337*U1337/(U1337+100)</f>
        <v>4.2749999999999995</v>
      </c>
      <c r="U1337" s="50">
        <v>12</v>
      </c>
      <c r="V1337" s="53">
        <v>0</v>
      </c>
      <c r="W1337" s="147">
        <v>1</v>
      </c>
      <c r="X1337" s="148" t="s">
        <v>163</v>
      </c>
      <c r="Y1337" s="54">
        <f>R1337*W1337</f>
        <v>39.9</v>
      </c>
      <c r="Z1337" s="52">
        <f>S1337*W1337</f>
        <v>35.625</v>
      </c>
      <c r="AA1337" s="52">
        <f>T1337*W1337</f>
        <v>4.2749999999999995</v>
      </c>
      <c r="AB1337" s="52">
        <f>V1337*W1337</f>
        <v>0</v>
      </c>
      <c r="AC1337" s="53">
        <f>(R1337+V1337)*W1337</f>
        <v>39.9</v>
      </c>
      <c r="AD1337" s="138">
        <v>39.9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106</v>
      </c>
      <c r="G1338" s="97">
        <v>46132</v>
      </c>
      <c r="H1338" s="98">
        <v>0.4975115740740741</v>
      </c>
      <c r="I1338" s="50">
        <v>166004700</v>
      </c>
      <c r="J1338" s="96" t="s">
        <v>157</v>
      </c>
      <c r="K1338" s="49" t="s">
        <v>2418</v>
      </c>
      <c r="L1338" s="39" t="s">
        <v>2419</v>
      </c>
      <c r="M1338" s="49" t="s">
        <v>862</v>
      </c>
      <c r="N1338" s="39" t="s">
        <v>863</v>
      </c>
      <c r="O1338" s="96" t="s">
        <v>2420</v>
      </c>
      <c r="P1338" s="49" t="s">
        <v>157</v>
      </c>
      <c r="Q1338" s="96" t="s">
        <v>104</v>
      </c>
      <c r="R1338" s="52">
        <v>173</v>
      </c>
      <c r="S1338" s="52">
        <f>R1338-T1338</f>
        <v>142.97520661157026</v>
      </c>
      <c r="T1338" s="52">
        <f>R1338*U1338/(U1338+100)</f>
        <v>30.024793388429753</v>
      </c>
      <c r="U1338" s="50">
        <v>21</v>
      </c>
      <c r="V1338" s="53">
        <v>0</v>
      </c>
      <c r="W1338" s="147">
        <v>1</v>
      </c>
      <c r="X1338" s="148" t="s">
        <v>163</v>
      </c>
      <c r="Y1338" s="54">
        <f>R1338*W1338</f>
        <v>173</v>
      </c>
      <c r="Z1338" s="52">
        <f>S1338*W1338</f>
        <v>142.97520661157026</v>
      </c>
      <c r="AA1338" s="52">
        <f>T1338*W1338</f>
        <v>30.024793388429753</v>
      </c>
      <c r="AB1338" s="52">
        <f>V1338*W1338</f>
        <v>0</v>
      </c>
      <c r="AC1338" s="53">
        <f>(R1338+V1338)*W1338</f>
        <v>173</v>
      </c>
      <c r="AD1338" s="138">
        <v>173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106</v>
      </c>
      <c r="G1339" s="97">
        <v>46132</v>
      </c>
      <c r="H1339" s="98">
        <v>0.4975115740740741</v>
      </c>
      <c r="I1339" s="50">
        <v>166004700</v>
      </c>
      <c r="J1339" s="96" t="s">
        <v>157</v>
      </c>
      <c r="K1339" s="49" t="s">
        <v>1329</v>
      </c>
      <c r="L1339" s="39" t="s">
        <v>1330</v>
      </c>
      <c r="M1339" s="49" t="s">
        <v>403</v>
      </c>
      <c r="N1339" s="39" t="s">
        <v>373</v>
      </c>
      <c r="O1339" s="96" t="s">
        <v>1331</v>
      </c>
      <c r="P1339" s="49" t="s">
        <v>157</v>
      </c>
      <c r="Q1339" s="96" t="s">
        <v>104</v>
      </c>
      <c r="R1339" s="52">
        <v>171.9</v>
      </c>
      <c r="S1339" s="52">
        <f>R1339-T1339</f>
        <v>153.48214285714286</v>
      </c>
      <c r="T1339" s="52">
        <f>R1339*U1339/(U1339+100)</f>
        <v>18.417857142857144</v>
      </c>
      <c r="U1339" s="50">
        <v>12</v>
      </c>
      <c r="V1339" s="53">
        <v>0</v>
      </c>
      <c r="W1339" s="147">
        <v>0.318</v>
      </c>
      <c r="X1339" s="148" t="s">
        <v>193</v>
      </c>
      <c r="Y1339" s="54">
        <f>R1339*W1339</f>
        <v>54.6642</v>
      </c>
      <c r="Z1339" s="52">
        <f>S1339*W1339</f>
        <v>48.80732142857143</v>
      </c>
      <c r="AA1339" s="52">
        <f>T1339*W1339</f>
        <v>5.856878571428572</v>
      </c>
      <c r="AB1339" s="52">
        <f>V1339*W1339</f>
        <v>0</v>
      </c>
      <c r="AC1339" s="53">
        <f>(R1339+V1339)*W1339</f>
        <v>54.6642</v>
      </c>
      <c r="AD1339" s="138">
        <v>171.9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106</v>
      </c>
      <c r="G1340" s="97">
        <v>46132</v>
      </c>
      <c r="H1340" s="98">
        <v>0.4975115740740741</v>
      </c>
      <c r="I1340" s="50">
        <v>166004700</v>
      </c>
      <c r="J1340" s="96" t="s">
        <v>157</v>
      </c>
      <c r="K1340" s="49" t="s">
        <v>2421</v>
      </c>
      <c r="L1340" s="39" t="s">
        <v>2422</v>
      </c>
      <c r="M1340" s="49" t="s">
        <v>403</v>
      </c>
      <c r="N1340" s="39" t="s">
        <v>523</v>
      </c>
      <c r="O1340" s="96" t="s">
        <v>2423</v>
      </c>
      <c r="P1340" s="49" t="s">
        <v>157</v>
      </c>
      <c r="Q1340" s="96" t="s">
        <v>104</v>
      </c>
      <c r="R1340" s="52">
        <v>217.9</v>
      </c>
      <c r="S1340" s="52">
        <f>R1340-T1340</f>
        <v>194.55357142857144</v>
      </c>
      <c r="T1340" s="52">
        <f>R1340*U1340/(U1340+100)</f>
        <v>23.34642857142857</v>
      </c>
      <c r="U1340" s="50">
        <v>12</v>
      </c>
      <c r="V1340" s="53">
        <v>0</v>
      </c>
      <c r="W1340" s="147">
        <v>0.712</v>
      </c>
      <c r="X1340" s="148" t="s">
        <v>193</v>
      </c>
      <c r="Y1340" s="54">
        <f>R1340*W1340</f>
        <v>155.1448</v>
      </c>
      <c r="Z1340" s="52">
        <f>S1340*W1340</f>
        <v>138.52214285714285</v>
      </c>
      <c r="AA1340" s="52">
        <f>T1340*W1340</f>
        <v>16.622657142857143</v>
      </c>
      <c r="AB1340" s="52">
        <f>V1340*W1340</f>
        <v>0</v>
      </c>
      <c r="AC1340" s="53">
        <f>(R1340+V1340)*W1340</f>
        <v>155.1448</v>
      </c>
      <c r="AD1340" s="138">
        <v>217.9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106</v>
      </c>
      <c r="G1341" s="97">
        <v>46132</v>
      </c>
      <c r="H1341" s="98">
        <v>0.4975115740740741</v>
      </c>
      <c r="I1341" s="50">
        <v>166004700</v>
      </c>
      <c r="J1341" s="96" t="s">
        <v>157</v>
      </c>
      <c r="K1341" s="49" t="s">
        <v>293</v>
      </c>
      <c r="L1341" s="39" t="s">
        <v>294</v>
      </c>
      <c r="M1341" s="49" t="s">
        <v>295</v>
      </c>
      <c r="N1341" s="39" t="s">
        <v>296</v>
      </c>
      <c r="O1341" s="96" t="s">
        <v>297</v>
      </c>
      <c r="P1341" s="49" t="s">
        <v>157</v>
      </c>
      <c r="Q1341" s="96" t="s">
        <v>104</v>
      </c>
      <c r="R1341" s="52">
        <v>2.9</v>
      </c>
      <c r="S1341" s="52">
        <f>R1341-T1341</f>
        <v>2.5892857142857144</v>
      </c>
      <c r="T1341" s="52">
        <f>R1341*U1341/(U1341+100)</f>
        <v>0.31071428571428567</v>
      </c>
      <c r="U1341" s="50">
        <v>12</v>
      </c>
      <c r="V1341" s="53">
        <v>0</v>
      </c>
      <c r="W1341" s="147">
        <v>6</v>
      </c>
      <c r="X1341" s="148" t="s">
        <v>163</v>
      </c>
      <c r="Y1341" s="54">
        <f>R1341*W1341</f>
        <v>17.4</v>
      </c>
      <c r="Z1341" s="52">
        <f>S1341*W1341</f>
        <v>15.535714285714286</v>
      </c>
      <c r="AA1341" s="52">
        <f>T1341*W1341</f>
        <v>1.8642857142857139</v>
      </c>
      <c r="AB1341" s="52">
        <f>V1341*W1341</f>
        <v>0</v>
      </c>
      <c r="AC1341" s="53">
        <f>(R1341+V1341)*W1341</f>
        <v>17.4</v>
      </c>
      <c r="AD1341" s="138">
        <v>2.9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106</v>
      </c>
      <c r="G1342" s="97">
        <v>46132</v>
      </c>
      <c r="H1342" s="98">
        <v>0.4975115740740741</v>
      </c>
      <c r="I1342" s="50">
        <v>166004700</v>
      </c>
      <c r="J1342" s="96" t="s">
        <v>157</v>
      </c>
      <c r="K1342" s="49" t="s">
        <v>1164</v>
      </c>
      <c r="L1342" s="39" t="s">
        <v>1165</v>
      </c>
      <c r="M1342" s="49" t="s">
        <v>277</v>
      </c>
      <c r="N1342" s="39" t="s">
        <v>408</v>
      </c>
      <c r="O1342" s="96" t="s">
        <v>1166</v>
      </c>
      <c r="P1342" s="49" t="s">
        <v>157</v>
      </c>
      <c r="Q1342" s="96" t="s">
        <v>104</v>
      </c>
      <c r="R1342" s="52">
        <v>159.9</v>
      </c>
      <c r="S1342" s="52">
        <f>R1342-T1342</f>
        <v>142.76785714285714</v>
      </c>
      <c r="T1342" s="52">
        <f>R1342*U1342/(U1342+100)</f>
        <v>17.13214285714286</v>
      </c>
      <c r="U1342" s="50">
        <v>12</v>
      </c>
      <c r="V1342" s="53">
        <v>0</v>
      </c>
      <c r="W1342" s="147">
        <v>0.206</v>
      </c>
      <c r="X1342" s="148" t="s">
        <v>410</v>
      </c>
      <c r="Y1342" s="54">
        <f>R1342*W1342</f>
        <v>32.9394</v>
      </c>
      <c r="Z1342" s="52">
        <f>S1342*W1342</f>
        <v>29.41017857142857</v>
      </c>
      <c r="AA1342" s="52">
        <f>T1342*W1342</f>
        <v>3.5292214285714287</v>
      </c>
      <c r="AB1342" s="52">
        <f>V1342*W1342</f>
        <v>0</v>
      </c>
      <c r="AC1342" s="53">
        <f>(R1342+V1342)*W1342</f>
        <v>32.9394</v>
      </c>
      <c r="AD1342" s="138">
        <v>159.9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106</v>
      </c>
      <c r="G1343" s="97">
        <v>46132</v>
      </c>
      <c r="H1343" s="98">
        <v>0.4975115740740741</v>
      </c>
      <c r="I1343" s="50">
        <v>166004700</v>
      </c>
      <c r="J1343" s="96" t="s">
        <v>157</v>
      </c>
      <c r="K1343" s="49" t="s">
        <v>2424</v>
      </c>
      <c r="L1343" s="39" t="s">
        <v>2425</v>
      </c>
      <c r="M1343" s="49" t="s">
        <v>277</v>
      </c>
      <c r="N1343" s="39" t="s">
        <v>408</v>
      </c>
      <c r="O1343" s="96" t="s">
        <v>2426</v>
      </c>
      <c r="P1343" s="49" t="s">
        <v>157</v>
      </c>
      <c r="Q1343" s="96" t="s">
        <v>104</v>
      </c>
      <c r="R1343" s="52">
        <v>227.9</v>
      </c>
      <c r="S1343" s="52">
        <f>R1343-T1343</f>
        <v>203.48214285714286</v>
      </c>
      <c r="T1343" s="52">
        <f>R1343*U1343/(U1343+100)</f>
        <v>24.417857142857144</v>
      </c>
      <c r="U1343" s="50">
        <v>12</v>
      </c>
      <c r="V1343" s="53">
        <v>0</v>
      </c>
      <c r="W1343" s="147">
        <v>0.17</v>
      </c>
      <c r="X1343" s="148" t="s">
        <v>410</v>
      </c>
      <c r="Y1343" s="54">
        <f>R1343*W1343</f>
        <v>38.743</v>
      </c>
      <c r="Z1343" s="52">
        <f>S1343*W1343</f>
        <v>34.59196428571429</v>
      </c>
      <c r="AA1343" s="52">
        <f>T1343*W1343</f>
        <v>4.151035714285715</v>
      </c>
      <c r="AB1343" s="52">
        <f>V1343*W1343</f>
        <v>0</v>
      </c>
      <c r="AC1343" s="53">
        <f>(R1343+V1343)*W1343</f>
        <v>38.743</v>
      </c>
      <c r="AD1343" s="138">
        <v>227.9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106</v>
      </c>
      <c r="G1344" s="97">
        <v>46132</v>
      </c>
      <c r="H1344" s="98">
        <v>0.4979050925925926</v>
      </c>
      <c r="I1344" s="50">
        <v>166004701</v>
      </c>
      <c r="J1344" s="96" t="s">
        <v>157</v>
      </c>
      <c r="K1344" s="49" t="s">
        <v>2427</v>
      </c>
      <c r="L1344" s="39" t="s">
        <v>2428</v>
      </c>
      <c r="M1344" s="49" t="s">
        <v>185</v>
      </c>
      <c r="N1344" s="39" t="s">
        <v>244</v>
      </c>
      <c r="O1344" s="96" t="s">
        <v>2429</v>
      </c>
      <c r="P1344" s="49" t="s">
        <v>157</v>
      </c>
      <c r="Q1344" s="96" t="s">
        <v>104</v>
      </c>
      <c r="R1344" s="52">
        <v>19.9</v>
      </c>
      <c r="S1344" s="52">
        <f>R1344-T1344</f>
        <v>17.767857142857142</v>
      </c>
      <c r="T1344" s="52">
        <f>R1344*U1344/(U1344+100)</f>
        <v>2.132142857142857</v>
      </c>
      <c r="U1344" s="50">
        <v>12</v>
      </c>
      <c r="V1344" s="53">
        <v>0</v>
      </c>
      <c r="W1344" s="147">
        <v>1</v>
      </c>
      <c r="X1344" s="148" t="s">
        <v>163</v>
      </c>
      <c r="Y1344" s="54">
        <f>R1344*W1344</f>
        <v>19.9</v>
      </c>
      <c r="Z1344" s="52">
        <f>S1344*W1344</f>
        <v>17.767857142857142</v>
      </c>
      <c r="AA1344" s="52">
        <f>T1344*W1344</f>
        <v>2.132142857142857</v>
      </c>
      <c r="AB1344" s="52">
        <f>V1344*W1344</f>
        <v>0</v>
      </c>
      <c r="AC1344" s="53">
        <f>(R1344+V1344)*W1344</f>
        <v>19.9</v>
      </c>
      <c r="AD1344" s="138">
        <v>19.9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106</v>
      </c>
      <c r="G1345" s="97">
        <v>46132</v>
      </c>
      <c r="H1345" s="98">
        <v>0.4986921296296296</v>
      </c>
      <c r="I1345" s="50">
        <v>166004702</v>
      </c>
      <c r="J1345" s="96" t="s">
        <v>157</v>
      </c>
      <c r="K1345" s="49" t="s">
        <v>2225</v>
      </c>
      <c r="L1345" s="39" t="s">
        <v>2226</v>
      </c>
      <c r="M1345" s="49" t="s">
        <v>1647</v>
      </c>
      <c r="N1345" s="39" t="s">
        <v>838</v>
      </c>
      <c r="O1345" s="96" t="s">
        <v>2227</v>
      </c>
      <c r="P1345" s="49" t="s">
        <v>157</v>
      </c>
      <c r="Q1345" s="96" t="s">
        <v>104</v>
      </c>
      <c r="R1345" s="52">
        <v>54.9</v>
      </c>
      <c r="S1345" s="52">
        <f>R1345-T1345</f>
        <v>49.01785714285714</v>
      </c>
      <c r="T1345" s="52">
        <f>R1345*U1345/(U1345+100)</f>
        <v>5.882142857142857</v>
      </c>
      <c r="U1345" s="50">
        <v>12</v>
      </c>
      <c r="V1345" s="53">
        <v>0</v>
      </c>
      <c r="W1345" s="147">
        <v>1</v>
      </c>
      <c r="X1345" s="148" t="s">
        <v>163</v>
      </c>
      <c r="Y1345" s="54">
        <f>R1345*W1345</f>
        <v>54.9</v>
      </c>
      <c r="Z1345" s="52">
        <f>S1345*W1345</f>
        <v>49.01785714285714</v>
      </c>
      <c r="AA1345" s="52">
        <f>T1345*W1345</f>
        <v>5.882142857142857</v>
      </c>
      <c r="AB1345" s="52">
        <f>V1345*W1345</f>
        <v>0</v>
      </c>
      <c r="AC1345" s="53">
        <f>(R1345+V1345)*W1345</f>
        <v>54.9</v>
      </c>
      <c r="AD1345" s="138">
        <v>54.9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106</v>
      </c>
      <c r="G1346" s="97">
        <v>46132</v>
      </c>
      <c r="H1346" s="98">
        <v>0.4986921296296296</v>
      </c>
      <c r="I1346" s="50">
        <v>166004702</v>
      </c>
      <c r="J1346" s="96" t="s">
        <v>157</v>
      </c>
      <c r="K1346" s="49" t="s">
        <v>2225</v>
      </c>
      <c r="L1346" s="39" t="s">
        <v>2226</v>
      </c>
      <c r="M1346" s="49" t="s">
        <v>1647</v>
      </c>
      <c r="N1346" s="39" t="s">
        <v>838</v>
      </c>
      <c r="O1346" s="96" t="s">
        <v>2227</v>
      </c>
      <c r="P1346" s="49" t="s">
        <v>157</v>
      </c>
      <c r="Q1346" s="96" t="s">
        <v>104</v>
      </c>
      <c r="R1346" s="52">
        <v>54.9</v>
      </c>
      <c r="S1346" s="52">
        <f>R1346-T1346</f>
        <v>49.01785714285714</v>
      </c>
      <c r="T1346" s="52">
        <f>R1346*U1346/(U1346+100)</f>
        <v>5.882142857142857</v>
      </c>
      <c r="U1346" s="50">
        <v>12</v>
      </c>
      <c r="V1346" s="53">
        <v>0</v>
      </c>
      <c r="W1346" s="147">
        <v>1</v>
      </c>
      <c r="X1346" s="148" t="s">
        <v>163</v>
      </c>
      <c r="Y1346" s="54">
        <f>R1346*W1346</f>
        <v>54.9</v>
      </c>
      <c r="Z1346" s="52">
        <f>S1346*W1346</f>
        <v>49.01785714285714</v>
      </c>
      <c r="AA1346" s="52">
        <f>T1346*W1346</f>
        <v>5.882142857142857</v>
      </c>
      <c r="AB1346" s="52">
        <f>V1346*W1346</f>
        <v>0</v>
      </c>
      <c r="AC1346" s="53">
        <f>(R1346+V1346)*W1346</f>
        <v>54.9</v>
      </c>
      <c r="AD1346" s="138">
        <v>54.9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106</v>
      </c>
      <c r="G1347" s="97">
        <v>46132</v>
      </c>
      <c r="H1347" s="98">
        <v>0.4986921296296296</v>
      </c>
      <c r="I1347" s="50">
        <v>166004702</v>
      </c>
      <c r="J1347" s="96" t="s">
        <v>157</v>
      </c>
      <c r="K1347" s="49" t="s">
        <v>2225</v>
      </c>
      <c r="L1347" s="39" t="s">
        <v>2226</v>
      </c>
      <c r="M1347" s="49" t="s">
        <v>1647</v>
      </c>
      <c r="N1347" s="39" t="s">
        <v>838</v>
      </c>
      <c r="O1347" s="96" t="s">
        <v>2227</v>
      </c>
      <c r="P1347" s="49" t="s">
        <v>157</v>
      </c>
      <c r="Q1347" s="96" t="s">
        <v>104</v>
      </c>
      <c r="R1347" s="52">
        <v>54.9</v>
      </c>
      <c r="S1347" s="52">
        <f>R1347-T1347</f>
        <v>49.01785714285714</v>
      </c>
      <c r="T1347" s="52">
        <f>R1347*U1347/(U1347+100)</f>
        <v>5.882142857142857</v>
      </c>
      <c r="U1347" s="50">
        <v>12</v>
      </c>
      <c r="V1347" s="53">
        <v>0</v>
      </c>
      <c r="W1347" s="147">
        <v>1</v>
      </c>
      <c r="X1347" s="148" t="s">
        <v>163</v>
      </c>
      <c r="Y1347" s="54">
        <f>R1347*W1347</f>
        <v>54.9</v>
      </c>
      <c r="Z1347" s="52">
        <f>S1347*W1347</f>
        <v>49.01785714285714</v>
      </c>
      <c r="AA1347" s="52">
        <f>T1347*W1347</f>
        <v>5.882142857142857</v>
      </c>
      <c r="AB1347" s="52">
        <f>V1347*W1347</f>
        <v>0</v>
      </c>
      <c r="AC1347" s="53">
        <f>(R1347+V1347)*W1347</f>
        <v>54.9</v>
      </c>
      <c r="AD1347" s="138">
        <v>54.9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106</v>
      </c>
      <c r="G1348" s="97">
        <v>46132</v>
      </c>
      <c r="H1348" s="98">
        <v>0.4986921296296296</v>
      </c>
      <c r="I1348" s="50">
        <v>166004702</v>
      </c>
      <c r="J1348" s="96" t="s">
        <v>157</v>
      </c>
      <c r="K1348" s="49" t="s">
        <v>1645</v>
      </c>
      <c r="L1348" s="39" t="s">
        <v>1646</v>
      </c>
      <c r="M1348" s="49" t="s">
        <v>1647</v>
      </c>
      <c r="N1348" s="39" t="s">
        <v>373</v>
      </c>
      <c r="O1348" s="96" t="s">
        <v>1648</v>
      </c>
      <c r="P1348" s="49" t="s">
        <v>157</v>
      </c>
      <c r="Q1348" s="96" t="s">
        <v>104</v>
      </c>
      <c r="R1348" s="52">
        <v>38.43</v>
      </c>
      <c r="S1348" s="52">
        <f>R1348-T1348</f>
        <v>34.3125</v>
      </c>
      <c r="T1348" s="52">
        <f>R1348*U1348/(U1348+100)</f>
        <v>4.1175</v>
      </c>
      <c r="U1348" s="50">
        <v>12</v>
      </c>
      <c r="V1348" s="53">
        <v>0</v>
      </c>
      <c r="W1348" s="147">
        <v>1</v>
      </c>
      <c r="X1348" s="148" t="s">
        <v>163</v>
      </c>
      <c r="Y1348" s="54">
        <f>R1348*W1348</f>
        <v>38.43</v>
      </c>
      <c r="Z1348" s="52">
        <f>S1348*W1348</f>
        <v>34.3125</v>
      </c>
      <c r="AA1348" s="52">
        <f>T1348*W1348</f>
        <v>4.1175</v>
      </c>
      <c r="AB1348" s="52">
        <f>V1348*W1348</f>
        <v>0</v>
      </c>
      <c r="AC1348" s="53">
        <f>(R1348+V1348)*W1348</f>
        <v>38.43</v>
      </c>
      <c r="AD1348" s="138">
        <v>54.9</v>
      </c>
      <c r="AE1348" s="137">
        <v>16.47</v>
      </c>
      <c r="AF1348" s="139">
        <v>16.47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106</v>
      </c>
      <c r="G1349" s="97">
        <v>46132</v>
      </c>
      <c r="H1349" s="98">
        <v>0.4986921296296296</v>
      </c>
      <c r="I1349" s="50">
        <v>166004702</v>
      </c>
      <c r="J1349" s="96" t="s">
        <v>157</v>
      </c>
      <c r="K1349" s="49" t="s">
        <v>2430</v>
      </c>
      <c r="L1349" s="39" t="s">
        <v>2431</v>
      </c>
      <c r="M1349" s="49" t="s">
        <v>1647</v>
      </c>
      <c r="N1349" s="39" t="s">
        <v>838</v>
      </c>
      <c r="O1349" s="96" t="s">
        <v>2432</v>
      </c>
      <c r="P1349" s="49" t="s">
        <v>157</v>
      </c>
      <c r="Q1349" s="96" t="s">
        <v>104</v>
      </c>
      <c r="R1349" s="52">
        <v>44.03</v>
      </c>
      <c r="S1349" s="52">
        <f>R1349-T1349</f>
        <v>39.3125</v>
      </c>
      <c r="T1349" s="52">
        <f>R1349*U1349/(U1349+100)</f>
        <v>4.7175</v>
      </c>
      <c r="U1349" s="50">
        <v>12</v>
      </c>
      <c r="V1349" s="53">
        <v>0</v>
      </c>
      <c r="W1349" s="147">
        <v>1</v>
      </c>
      <c r="X1349" s="148" t="s">
        <v>163</v>
      </c>
      <c r="Y1349" s="54">
        <f>R1349*W1349</f>
        <v>44.03</v>
      </c>
      <c r="Z1349" s="52">
        <f>S1349*W1349</f>
        <v>39.3125</v>
      </c>
      <c r="AA1349" s="52">
        <f>T1349*W1349</f>
        <v>4.7175</v>
      </c>
      <c r="AB1349" s="52">
        <f>V1349*W1349</f>
        <v>0</v>
      </c>
      <c r="AC1349" s="53">
        <f>(R1349+V1349)*W1349</f>
        <v>44.03</v>
      </c>
      <c r="AD1349" s="138">
        <v>62.9</v>
      </c>
      <c r="AE1349" s="137">
        <v>18.87</v>
      </c>
      <c r="AF1349" s="139">
        <v>18.87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106</v>
      </c>
      <c r="G1350" s="97">
        <v>46132</v>
      </c>
      <c r="H1350" s="98">
        <v>0.4986921296296296</v>
      </c>
      <c r="I1350" s="50">
        <v>166004702</v>
      </c>
      <c r="J1350" s="96" t="s">
        <v>157</v>
      </c>
      <c r="K1350" s="49" t="s">
        <v>183</v>
      </c>
      <c r="L1350" s="39" t="s">
        <v>184</v>
      </c>
      <c r="M1350" s="49" t="s">
        <v>185</v>
      </c>
      <c r="N1350" s="39" t="s">
        <v>186</v>
      </c>
      <c r="O1350" s="96" t="s">
        <v>988</v>
      </c>
      <c r="P1350" s="49" t="s">
        <v>157</v>
      </c>
      <c r="Q1350" s="96" t="s">
        <v>104</v>
      </c>
      <c r="R1350" s="52">
        <v>1.9</v>
      </c>
      <c r="S1350" s="52">
        <f>R1350-T1350</f>
        <v>1.5702479338842974</v>
      </c>
      <c r="T1350" s="52">
        <f>R1350*U1350/(U1350+100)</f>
        <v>0.32975206611570246</v>
      </c>
      <c r="U1350" s="50">
        <v>21</v>
      </c>
      <c r="V1350" s="53">
        <v>0</v>
      </c>
      <c r="W1350" s="147">
        <v>1</v>
      </c>
      <c r="X1350" s="148" t="s">
        <v>163</v>
      </c>
      <c r="Y1350" s="54">
        <f>R1350*W1350</f>
        <v>1.9</v>
      </c>
      <c r="Z1350" s="52">
        <f>S1350*W1350</f>
        <v>1.5702479338842974</v>
      </c>
      <c r="AA1350" s="52">
        <f>T1350*W1350</f>
        <v>0.32975206611570246</v>
      </c>
      <c r="AB1350" s="52">
        <f>V1350*W1350</f>
        <v>0</v>
      </c>
      <c r="AC1350" s="53">
        <f>(R1350+V1350)*W1350</f>
        <v>1.9</v>
      </c>
      <c r="AD1350" s="138">
        <v>1.9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106</v>
      </c>
      <c r="G1351" s="97">
        <v>46132</v>
      </c>
      <c r="H1351" s="98">
        <v>0.4986921296296296</v>
      </c>
      <c r="I1351" s="50">
        <v>166004702</v>
      </c>
      <c r="J1351" s="96" t="s">
        <v>157</v>
      </c>
      <c r="K1351" s="49" t="s">
        <v>183</v>
      </c>
      <c r="L1351" s="39" t="s">
        <v>184</v>
      </c>
      <c r="M1351" s="49" t="s">
        <v>185</v>
      </c>
      <c r="N1351" s="39" t="s">
        <v>186</v>
      </c>
      <c r="O1351" s="96" t="s">
        <v>988</v>
      </c>
      <c r="P1351" s="49" t="s">
        <v>157</v>
      </c>
      <c r="Q1351" s="96" t="s">
        <v>104</v>
      </c>
      <c r="R1351" s="52">
        <v>1.9</v>
      </c>
      <c r="S1351" s="52">
        <f>R1351-T1351</f>
        <v>1.5702479338842974</v>
      </c>
      <c r="T1351" s="52">
        <f>R1351*U1351/(U1351+100)</f>
        <v>0.32975206611570246</v>
      </c>
      <c r="U1351" s="50">
        <v>21</v>
      </c>
      <c r="V1351" s="53">
        <v>0</v>
      </c>
      <c r="W1351" s="147">
        <v>1</v>
      </c>
      <c r="X1351" s="148" t="s">
        <v>163</v>
      </c>
      <c r="Y1351" s="54">
        <f>R1351*W1351</f>
        <v>1.9</v>
      </c>
      <c r="Z1351" s="52">
        <f>S1351*W1351</f>
        <v>1.5702479338842974</v>
      </c>
      <c r="AA1351" s="52">
        <f>T1351*W1351</f>
        <v>0.32975206611570246</v>
      </c>
      <c r="AB1351" s="52">
        <f>V1351*W1351</f>
        <v>0</v>
      </c>
      <c r="AC1351" s="53">
        <f>(R1351+V1351)*W1351</f>
        <v>1.9</v>
      </c>
      <c r="AD1351" s="138">
        <v>1.9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106</v>
      </c>
      <c r="G1352" s="97">
        <v>46132</v>
      </c>
      <c r="H1352" s="98">
        <v>0.4986921296296296</v>
      </c>
      <c r="I1352" s="50">
        <v>166004702</v>
      </c>
      <c r="J1352" s="96" t="s">
        <v>157</v>
      </c>
      <c r="K1352" s="49" t="s">
        <v>2433</v>
      </c>
      <c r="L1352" s="39" t="s">
        <v>2434</v>
      </c>
      <c r="M1352" s="49" t="s">
        <v>277</v>
      </c>
      <c r="N1352" s="39" t="s">
        <v>1732</v>
      </c>
      <c r="O1352" s="96" t="s">
        <v>2435</v>
      </c>
      <c r="P1352" s="49" t="s">
        <v>157</v>
      </c>
      <c r="Q1352" s="96" t="s">
        <v>104</v>
      </c>
      <c r="R1352" s="52">
        <v>69.9</v>
      </c>
      <c r="S1352" s="52">
        <f>R1352-T1352</f>
        <v>62.41071428571429</v>
      </c>
      <c r="T1352" s="52">
        <f>R1352*U1352/(U1352+100)</f>
        <v>7.489285714285715</v>
      </c>
      <c r="U1352" s="50">
        <v>12</v>
      </c>
      <c r="V1352" s="53">
        <v>0</v>
      </c>
      <c r="W1352" s="147">
        <v>1</v>
      </c>
      <c r="X1352" s="148" t="s">
        <v>163</v>
      </c>
      <c r="Y1352" s="54">
        <f>R1352*W1352</f>
        <v>69.9</v>
      </c>
      <c r="Z1352" s="52">
        <f>S1352*W1352</f>
        <v>62.41071428571429</v>
      </c>
      <c r="AA1352" s="52">
        <f>T1352*W1352</f>
        <v>7.489285714285715</v>
      </c>
      <c r="AB1352" s="52">
        <f>V1352*W1352</f>
        <v>0</v>
      </c>
      <c r="AC1352" s="53">
        <f>(R1352+V1352)*W1352</f>
        <v>69.9</v>
      </c>
      <c r="AD1352" s="138">
        <v>69.9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106</v>
      </c>
      <c r="G1353" s="97">
        <v>46132</v>
      </c>
      <c r="H1353" s="98">
        <v>0.4986921296296296</v>
      </c>
      <c r="I1353" s="50">
        <v>166004702</v>
      </c>
      <c r="J1353" s="96" t="s">
        <v>157</v>
      </c>
      <c r="K1353" s="49" t="s">
        <v>2433</v>
      </c>
      <c r="L1353" s="39" t="s">
        <v>2434</v>
      </c>
      <c r="M1353" s="49" t="s">
        <v>277</v>
      </c>
      <c r="N1353" s="39" t="s">
        <v>1732</v>
      </c>
      <c r="O1353" s="96" t="s">
        <v>2435</v>
      </c>
      <c r="P1353" s="49" t="s">
        <v>157</v>
      </c>
      <c r="Q1353" s="96" t="s">
        <v>104</v>
      </c>
      <c r="R1353" s="52">
        <v>69.9</v>
      </c>
      <c r="S1353" s="52">
        <f>R1353-T1353</f>
        <v>62.41071428571429</v>
      </c>
      <c r="T1353" s="52">
        <f>R1353*U1353/(U1353+100)</f>
        <v>7.489285714285715</v>
      </c>
      <c r="U1353" s="50">
        <v>12</v>
      </c>
      <c r="V1353" s="53">
        <v>0</v>
      </c>
      <c r="W1353" s="147">
        <v>1</v>
      </c>
      <c r="X1353" s="148" t="s">
        <v>163</v>
      </c>
      <c r="Y1353" s="54">
        <f>R1353*W1353</f>
        <v>69.9</v>
      </c>
      <c r="Z1353" s="52">
        <f>S1353*W1353</f>
        <v>62.41071428571429</v>
      </c>
      <c r="AA1353" s="52">
        <f>T1353*W1353</f>
        <v>7.489285714285715</v>
      </c>
      <c r="AB1353" s="52">
        <f>V1353*W1353</f>
        <v>0</v>
      </c>
      <c r="AC1353" s="53">
        <f>(R1353+V1353)*W1353</f>
        <v>69.9</v>
      </c>
      <c r="AD1353" s="138">
        <v>69.9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106</v>
      </c>
      <c r="G1354" s="97">
        <v>46132</v>
      </c>
      <c r="H1354" s="98">
        <v>0.4986921296296296</v>
      </c>
      <c r="I1354" s="50">
        <v>166004702</v>
      </c>
      <c r="J1354" s="96" t="s">
        <v>157</v>
      </c>
      <c r="K1354" s="49" t="s">
        <v>2436</v>
      </c>
      <c r="L1354" s="39" t="s">
        <v>2437</v>
      </c>
      <c r="M1354" s="49" t="s">
        <v>1193</v>
      </c>
      <c r="N1354" s="39" t="s">
        <v>1194</v>
      </c>
      <c r="O1354" s="96" t="s">
        <v>2438</v>
      </c>
      <c r="P1354" s="49" t="s">
        <v>157</v>
      </c>
      <c r="Q1354" s="96" t="s">
        <v>104</v>
      </c>
      <c r="R1354" s="52">
        <v>124.53</v>
      </c>
      <c r="S1354" s="52">
        <f>R1354-T1354</f>
        <v>111.1875</v>
      </c>
      <c r="T1354" s="52">
        <f>R1354*U1354/(U1354+100)</f>
        <v>13.342500000000001</v>
      </c>
      <c r="U1354" s="50">
        <v>12</v>
      </c>
      <c r="V1354" s="53">
        <v>0</v>
      </c>
      <c r="W1354" s="147">
        <v>1</v>
      </c>
      <c r="X1354" s="148" t="s">
        <v>163</v>
      </c>
      <c r="Y1354" s="54">
        <f>R1354*W1354</f>
        <v>124.53</v>
      </c>
      <c r="Z1354" s="52">
        <f>S1354*W1354</f>
        <v>111.1875</v>
      </c>
      <c r="AA1354" s="52">
        <f>T1354*W1354</f>
        <v>13.342500000000001</v>
      </c>
      <c r="AB1354" s="52">
        <f>V1354*W1354</f>
        <v>0</v>
      </c>
      <c r="AC1354" s="53">
        <f>(R1354+V1354)*W1354</f>
        <v>124.53</v>
      </c>
      <c r="AD1354" s="138">
        <v>177.9</v>
      </c>
      <c r="AE1354" s="137">
        <v>53.37</v>
      </c>
      <c r="AF1354" s="139">
        <v>53.37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106</v>
      </c>
      <c r="G1355" s="97">
        <v>46132</v>
      </c>
      <c r="H1355" s="98">
        <v>0.4986921296296296</v>
      </c>
      <c r="I1355" s="50">
        <v>166004702</v>
      </c>
      <c r="J1355" s="96" t="s">
        <v>157</v>
      </c>
      <c r="K1355" s="49" t="s">
        <v>2436</v>
      </c>
      <c r="L1355" s="39" t="s">
        <v>2437</v>
      </c>
      <c r="M1355" s="49" t="s">
        <v>1193</v>
      </c>
      <c r="N1355" s="39" t="s">
        <v>1194</v>
      </c>
      <c r="O1355" s="96" t="s">
        <v>2438</v>
      </c>
      <c r="P1355" s="49" t="s">
        <v>157</v>
      </c>
      <c r="Q1355" s="96" t="s">
        <v>104</v>
      </c>
      <c r="R1355" s="52">
        <v>124.53</v>
      </c>
      <c r="S1355" s="52">
        <f>R1355-T1355</f>
        <v>111.1875</v>
      </c>
      <c r="T1355" s="52">
        <f>R1355*U1355/(U1355+100)</f>
        <v>13.342500000000001</v>
      </c>
      <c r="U1355" s="50">
        <v>12</v>
      </c>
      <c r="V1355" s="53">
        <v>0</v>
      </c>
      <c r="W1355" s="147">
        <v>1</v>
      </c>
      <c r="X1355" s="148" t="s">
        <v>163</v>
      </c>
      <c r="Y1355" s="54">
        <f>R1355*W1355</f>
        <v>124.53</v>
      </c>
      <c r="Z1355" s="52">
        <f>S1355*W1355</f>
        <v>111.1875</v>
      </c>
      <c r="AA1355" s="52">
        <f>T1355*W1355</f>
        <v>13.342500000000001</v>
      </c>
      <c r="AB1355" s="52">
        <f>V1355*W1355</f>
        <v>0</v>
      </c>
      <c r="AC1355" s="53">
        <f>(R1355+V1355)*W1355</f>
        <v>124.53</v>
      </c>
      <c r="AD1355" s="138">
        <v>177.9</v>
      </c>
      <c r="AE1355" s="137">
        <v>53.37</v>
      </c>
      <c r="AF1355" s="139">
        <v>53.37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106</v>
      </c>
      <c r="G1356" s="97">
        <v>46132</v>
      </c>
      <c r="H1356" s="98">
        <v>0.49899305555555556</v>
      </c>
      <c r="I1356" s="50">
        <v>166004703</v>
      </c>
      <c r="J1356" s="96" t="s">
        <v>157</v>
      </c>
      <c r="K1356" s="49" t="s">
        <v>1727</v>
      </c>
      <c r="L1356" s="39" t="s">
        <v>1728</v>
      </c>
      <c r="M1356" s="49" t="s">
        <v>429</v>
      </c>
      <c r="N1356" s="39" t="s">
        <v>348</v>
      </c>
      <c r="O1356" s="96" t="s">
        <v>1729</v>
      </c>
      <c r="P1356" s="49" t="s">
        <v>157</v>
      </c>
      <c r="Q1356" s="96" t="s">
        <v>104</v>
      </c>
      <c r="R1356" s="52">
        <v>25.9</v>
      </c>
      <c r="S1356" s="52">
        <f>R1356-T1356</f>
        <v>23.125</v>
      </c>
      <c r="T1356" s="52">
        <f>R1356*U1356/(U1356+100)</f>
        <v>2.7749999999999995</v>
      </c>
      <c r="U1356" s="50">
        <v>12</v>
      </c>
      <c r="V1356" s="53">
        <v>0</v>
      </c>
      <c r="W1356" s="147">
        <v>1</v>
      </c>
      <c r="X1356" s="148" t="s">
        <v>163</v>
      </c>
      <c r="Y1356" s="54">
        <f>R1356*W1356</f>
        <v>25.9</v>
      </c>
      <c r="Z1356" s="52">
        <f>S1356*W1356</f>
        <v>23.125</v>
      </c>
      <c r="AA1356" s="52">
        <f>T1356*W1356</f>
        <v>2.7749999999999995</v>
      </c>
      <c r="AB1356" s="52">
        <f>V1356*W1356</f>
        <v>0</v>
      </c>
      <c r="AC1356" s="53">
        <f>(R1356+V1356)*W1356</f>
        <v>25.9</v>
      </c>
      <c r="AD1356" s="138">
        <v>25.9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106</v>
      </c>
      <c r="G1357" s="97">
        <v>46132</v>
      </c>
      <c r="H1357" s="98">
        <v>0.49899305555555556</v>
      </c>
      <c r="I1357" s="50">
        <v>166004703</v>
      </c>
      <c r="J1357" s="96" t="s">
        <v>157</v>
      </c>
      <c r="K1357" s="49" t="s">
        <v>2439</v>
      </c>
      <c r="L1357" s="39" t="s">
        <v>2440</v>
      </c>
      <c r="M1357" s="49" t="s">
        <v>429</v>
      </c>
      <c r="N1357" s="39" t="s">
        <v>1485</v>
      </c>
      <c r="O1357" s="96" t="s">
        <v>2441</v>
      </c>
      <c r="P1357" s="49" t="s">
        <v>157</v>
      </c>
      <c r="Q1357" s="96" t="s">
        <v>104</v>
      </c>
      <c r="R1357" s="52">
        <v>21.9</v>
      </c>
      <c r="S1357" s="52">
        <f>R1357-T1357</f>
        <v>19.553571428571427</v>
      </c>
      <c r="T1357" s="52">
        <f>R1357*U1357/(U1357+100)</f>
        <v>2.346428571428571</v>
      </c>
      <c r="U1357" s="50">
        <v>12</v>
      </c>
      <c r="V1357" s="53">
        <v>0</v>
      </c>
      <c r="W1357" s="147">
        <v>1</v>
      </c>
      <c r="X1357" s="148" t="s">
        <v>163</v>
      </c>
      <c r="Y1357" s="54">
        <f>R1357*W1357</f>
        <v>21.9</v>
      </c>
      <c r="Z1357" s="52">
        <f>S1357*W1357</f>
        <v>19.553571428571427</v>
      </c>
      <c r="AA1357" s="52">
        <f>T1357*W1357</f>
        <v>2.346428571428571</v>
      </c>
      <c r="AB1357" s="52">
        <f>V1357*W1357</f>
        <v>0</v>
      </c>
      <c r="AC1357" s="53">
        <f>(R1357+V1357)*W1357</f>
        <v>21.9</v>
      </c>
      <c r="AD1357" s="138">
        <v>21.9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106</v>
      </c>
      <c r="G1358" s="97">
        <v>46132</v>
      </c>
      <c r="H1358" s="98">
        <v>0.49899305555555556</v>
      </c>
      <c r="I1358" s="50">
        <v>166004703</v>
      </c>
      <c r="J1358" s="96" t="s">
        <v>157</v>
      </c>
      <c r="K1358" s="49" t="s">
        <v>2442</v>
      </c>
      <c r="L1358" s="39" t="s">
        <v>2443</v>
      </c>
      <c r="M1358" s="49" t="s">
        <v>429</v>
      </c>
      <c r="N1358" s="39" t="s">
        <v>1485</v>
      </c>
      <c r="O1358" s="96" t="s">
        <v>2444</v>
      </c>
      <c r="P1358" s="49" t="s">
        <v>157</v>
      </c>
      <c r="Q1358" s="96" t="s">
        <v>104</v>
      </c>
      <c r="R1358" s="52">
        <v>21.9</v>
      </c>
      <c r="S1358" s="52">
        <f>R1358-T1358</f>
        <v>19.553571428571427</v>
      </c>
      <c r="T1358" s="52">
        <f>R1358*U1358/(U1358+100)</f>
        <v>2.346428571428571</v>
      </c>
      <c r="U1358" s="50">
        <v>12</v>
      </c>
      <c r="V1358" s="53">
        <v>0</v>
      </c>
      <c r="W1358" s="147">
        <v>1</v>
      </c>
      <c r="X1358" s="148" t="s">
        <v>163</v>
      </c>
      <c r="Y1358" s="54">
        <f>R1358*W1358</f>
        <v>21.9</v>
      </c>
      <c r="Z1358" s="52">
        <f>S1358*W1358</f>
        <v>19.553571428571427</v>
      </c>
      <c r="AA1358" s="52">
        <f>T1358*W1358</f>
        <v>2.346428571428571</v>
      </c>
      <c r="AB1358" s="52">
        <f>V1358*W1358</f>
        <v>0</v>
      </c>
      <c r="AC1358" s="53">
        <f>(R1358+V1358)*W1358</f>
        <v>21.9</v>
      </c>
      <c r="AD1358" s="138">
        <v>21.9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106</v>
      </c>
      <c r="G1359" s="97">
        <v>46132</v>
      </c>
      <c r="H1359" s="98">
        <v>0.49899305555555556</v>
      </c>
      <c r="I1359" s="50">
        <v>166004703</v>
      </c>
      <c r="J1359" s="96" t="s">
        <v>157</v>
      </c>
      <c r="K1359" s="49" t="s">
        <v>553</v>
      </c>
      <c r="L1359" s="39" t="s">
        <v>104</v>
      </c>
      <c r="M1359" s="49" t="s">
        <v>554</v>
      </c>
      <c r="N1359" s="39" t="s">
        <v>296</v>
      </c>
      <c r="O1359" s="96" t="s">
        <v>555</v>
      </c>
      <c r="P1359" s="49" t="s">
        <v>157</v>
      </c>
      <c r="Q1359" s="96" t="s">
        <v>104</v>
      </c>
      <c r="R1359" s="52">
        <v>8.9</v>
      </c>
      <c r="S1359" s="52">
        <f>R1359-T1359</f>
        <v>7.946428571428572</v>
      </c>
      <c r="T1359" s="52">
        <f>R1359*U1359/(U1359+100)</f>
        <v>0.9535714285714286</v>
      </c>
      <c r="U1359" s="50">
        <v>12</v>
      </c>
      <c r="V1359" s="53">
        <v>0</v>
      </c>
      <c r="W1359" s="147">
        <v>1</v>
      </c>
      <c r="X1359" s="148" t="s">
        <v>163</v>
      </c>
      <c r="Y1359" s="54">
        <f>R1359*W1359</f>
        <v>8.9</v>
      </c>
      <c r="Z1359" s="52">
        <f>S1359*W1359</f>
        <v>7.946428571428572</v>
      </c>
      <c r="AA1359" s="52">
        <f>T1359*W1359</f>
        <v>0.9535714285714286</v>
      </c>
      <c r="AB1359" s="52">
        <f>V1359*W1359</f>
        <v>0</v>
      </c>
      <c r="AC1359" s="53">
        <f>(R1359+V1359)*W1359</f>
        <v>8.9</v>
      </c>
      <c r="AD1359" s="138">
        <v>8.9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106</v>
      </c>
      <c r="G1360" s="97">
        <v>46132</v>
      </c>
      <c r="H1360" s="98">
        <v>0.49899305555555556</v>
      </c>
      <c r="I1360" s="50">
        <v>166004703</v>
      </c>
      <c r="J1360" s="96" t="s">
        <v>157</v>
      </c>
      <c r="K1360" s="49" t="s">
        <v>1691</v>
      </c>
      <c r="L1360" s="39" t="s">
        <v>104</v>
      </c>
      <c r="M1360" s="49" t="s">
        <v>554</v>
      </c>
      <c r="N1360" s="39" t="s">
        <v>296</v>
      </c>
      <c r="O1360" s="96" t="s">
        <v>1692</v>
      </c>
      <c r="P1360" s="49" t="s">
        <v>157</v>
      </c>
      <c r="Q1360" s="96" t="s">
        <v>104</v>
      </c>
      <c r="R1360" s="52">
        <v>11.9</v>
      </c>
      <c r="S1360" s="52">
        <f>R1360-T1360</f>
        <v>10.625</v>
      </c>
      <c r="T1360" s="52">
        <f>R1360*U1360/(U1360+100)</f>
        <v>1.2750000000000001</v>
      </c>
      <c r="U1360" s="50">
        <v>12</v>
      </c>
      <c r="V1360" s="53">
        <v>0</v>
      </c>
      <c r="W1360" s="147">
        <v>1</v>
      </c>
      <c r="X1360" s="148" t="s">
        <v>163</v>
      </c>
      <c r="Y1360" s="54">
        <f>R1360*W1360</f>
        <v>11.9</v>
      </c>
      <c r="Z1360" s="52">
        <f>S1360*W1360</f>
        <v>10.625</v>
      </c>
      <c r="AA1360" s="52">
        <f>T1360*W1360</f>
        <v>1.2750000000000001</v>
      </c>
      <c r="AB1360" s="52">
        <f>V1360*W1360</f>
        <v>0</v>
      </c>
      <c r="AC1360" s="53">
        <f>(R1360+V1360)*W1360</f>
        <v>11.9</v>
      </c>
      <c r="AD1360" s="138">
        <v>11.9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106</v>
      </c>
      <c r="G1361" s="97">
        <v>46132</v>
      </c>
      <c r="H1361" s="98">
        <v>0.5000925925925926</v>
      </c>
      <c r="I1361" s="50">
        <v>166004704</v>
      </c>
      <c r="J1361" s="96" t="s">
        <v>157</v>
      </c>
      <c r="K1361" s="49" t="s">
        <v>2445</v>
      </c>
      <c r="L1361" s="39" t="s">
        <v>2446</v>
      </c>
      <c r="M1361" s="49" t="s">
        <v>466</v>
      </c>
      <c r="N1361" s="39" t="s">
        <v>202</v>
      </c>
      <c r="O1361" s="96" t="s">
        <v>2447</v>
      </c>
      <c r="P1361" s="49" t="s">
        <v>157</v>
      </c>
      <c r="Q1361" s="96" t="s">
        <v>104</v>
      </c>
      <c r="R1361" s="52">
        <v>21.9</v>
      </c>
      <c r="S1361" s="52">
        <f>R1361-T1361</f>
        <v>19.553571428571427</v>
      </c>
      <c r="T1361" s="52">
        <f>R1361*U1361/(U1361+100)</f>
        <v>2.346428571428571</v>
      </c>
      <c r="U1361" s="50">
        <v>12</v>
      </c>
      <c r="V1361" s="53">
        <v>0</v>
      </c>
      <c r="W1361" s="147">
        <v>1</v>
      </c>
      <c r="X1361" s="148" t="s">
        <v>163</v>
      </c>
      <c r="Y1361" s="54">
        <f>R1361*W1361</f>
        <v>21.9</v>
      </c>
      <c r="Z1361" s="52">
        <f>S1361*W1361</f>
        <v>19.553571428571427</v>
      </c>
      <c r="AA1361" s="52">
        <f>T1361*W1361</f>
        <v>2.346428571428571</v>
      </c>
      <c r="AB1361" s="52">
        <f>V1361*W1361</f>
        <v>0</v>
      </c>
      <c r="AC1361" s="53">
        <f>(R1361+V1361)*W1361</f>
        <v>21.9</v>
      </c>
      <c r="AD1361" s="138">
        <v>21.9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106</v>
      </c>
      <c r="G1362" s="97">
        <v>46132</v>
      </c>
      <c r="H1362" s="98">
        <v>0.5000925925925926</v>
      </c>
      <c r="I1362" s="50">
        <v>166004704</v>
      </c>
      <c r="J1362" s="96" t="s">
        <v>157</v>
      </c>
      <c r="K1362" s="49" t="s">
        <v>2445</v>
      </c>
      <c r="L1362" s="39" t="s">
        <v>2446</v>
      </c>
      <c r="M1362" s="49" t="s">
        <v>466</v>
      </c>
      <c r="N1362" s="39" t="s">
        <v>202</v>
      </c>
      <c r="O1362" s="96" t="s">
        <v>2447</v>
      </c>
      <c r="P1362" s="49" t="s">
        <v>157</v>
      </c>
      <c r="Q1362" s="96" t="s">
        <v>104</v>
      </c>
      <c r="R1362" s="52">
        <v>21.9</v>
      </c>
      <c r="S1362" s="52">
        <f>R1362-T1362</f>
        <v>19.553571428571427</v>
      </c>
      <c r="T1362" s="52">
        <f>R1362*U1362/(U1362+100)</f>
        <v>2.346428571428571</v>
      </c>
      <c r="U1362" s="50">
        <v>12</v>
      </c>
      <c r="V1362" s="53">
        <v>0</v>
      </c>
      <c r="W1362" s="147">
        <v>1</v>
      </c>
      <c r="X1362" s="148" t="s">
        <v>163</v>
      </c>
      <c r="Y1362" s="54">
        <f>R1362*W1362</f>
        <v>21.9</v>
      </c>
      <c r="Z1362" s="52">
        <f>S1362*W1362</f>
        <v>19.553571428571427</v>
      </c>
      <c r="AA1362" s="52">
        <f>T1362*W1362</f>
        <v>2.346428571428571</v>
      </c>
      <c r="AB1362" s="52">
        <f>V1362*W1362</f>
        <v>0</v>
      </c>
      <c r="AC1362" s="53">
        <f>(R1362+V1362)*W1362</f>
        <v>21.9</v>
      </c>
      <c r="AD1362" s="138">
        <v>21.9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106</v>
      </c>
      <c r="G1363" s="97">
        <v>46132</v>
      </c>
      <c r="H1363" s="98">
        <v>0.5000925925925926</v>
      </c>
      <c r="I1363" s="50">
        <v>166004704</v>
      </c>
      <c r="J1363" s="96" t="s">
        <v>157</v>
      </c>
      <c r="K1363" s="49" t="s">
        <v>655</v>
      </c>
      <c r="L1363" s="39" t="s">
        <v>656</v>
      </c>
      <c r="M1363" s="49" t="s">
        <v>190</v>
      </c>
      <c r="N1363" s="39" t="s">
        <v>532</v>
      </c>
      <c r="O1363" s="96" t="s">
        <v>657</v>
      </c>
      <c r="P1363" s="49" t="s">
        <v>157</v>
      </c>
      <c r="Q1363" s="96" t="s">
        <v>104</v>
      </c>
      <c r="R1363" s="52">
        <v>25.13</v>
      </c>
      <c r="S1363" s="52">
        <f>R1363-T1363</f>
        <v>22.4375</v>
      </c>
      <c r="T1363" s="52">
        <f>R1363*U1363/(U1363+100)</f>
        <v>2.6925</v>
      </c>
      <c r="U1363" s="50">
        <v>12</v>
      </c>
      <c r="V1363" s="53">
        <v>0</v>
      </c>
      <c r="W1363" s="147">
        <v>0.504</v>
      </c>
      <c r="X1363" s="148" t="s">
        <v>193</v>
      </c>
      <c r="Y1363" s="54">
        <f>R1363*W1363</f>
        <v>12.665519999999999</v>
      </c>
      <c r="Z1363" s="52">
        <f>S1363*W1363</f>
        <v>11.3085</v>
      </c>
      <c r="AA1363" s="52">
        <f>T1363*W1363</f>
        <v>1.35702</v>
      </c>
      <c r="AB1363" s="52">
        <f>V1363*W1363</f>
        <v>0</v>
      </c>
      <c r="AC1363" s="53">
        <f>(R1363+V1363)*W1363</f>
        <v>12.665519999999999</v>
      </c>
      <c r="AD1363" s="138">
        <v>25.13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106</v>
      </c>
      <c r="G1364" s="97">
        <v>46132</v>
      </c>
      <c r="H1364" s="98">
        <v>0.5000925925925926</v>
      </c>
      <c r="I1364" s="50">
        <v>166004704</v>
      </c>
      <c r="J1364" s="96" t="s">
        <v>157</v>
      </c>
      <c r="K1364" s="49" t="s">
        <v>453</v>
      </c>
      <c r="L1364" s="39" t="s">
        <v>454</v>
      </c>
      <c r="M1364" s="49" t="s">
        <v>190</v>
      </c>
      <c r="N1364" s="39" t="s">
        <v>191</v>
      </c>
      <c r="O1364" s="96" t="s">
        <v>455</v>
      </c>
      <c r="P1364" s="49" t="s">
        <v>157</v>
      </c>
      <c r="Q1364" s="96" t="s">
        <v>104</v>
      </c>
      <c r="R1364" s="52">
        <v>49.9</v>
      </c>
      <c r="S1364" s="52">
        <f>R1364-T1364</f>
        <v>44.55357142857143</v>
      </c>
      <c r="T1364" s="52">
        <f>R1364*U1364/(U1364+100)</f>
        <v>5.346428571428571</v>
      </c>
      <c r="U1364" s="50">
        <v>12</v>
      </c>
      <c r="V1364" s="53">
        <v>0</v>
      </c>
      <c r="W1364" s="147">
        <v>0.324</v>
      </c>
      <c r="X1364" s="148" t="s">
        <v>193</v>
      </c>
      <c r="Y1364" s="54">
        <f>R1364*W1364</f>
        <v>16.1676</v>
      </c>
      <c r="Z1364" s="52">
        <f>S1364*W1364</f>
        <v>14.435357142857145</v>
      </c>
      <c r="AA1364" s="52">
        <f>T1364*W1364</f>
        <v>1.732242857142857</v>
      </c>
      <c r="AB1364" s="52">
        <f>V1364*W1364</f>
        <v>0</v>
      </c>
      <c r="AC1364" s="53">
        <f>(R1364+V1364)*W1364</f>
        <v>16.1676</v>
      </c>
      <c r="AD1364" s="138">
        <v>49.9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106</v>
      </c>
      <c r="G1365" s="97">
        <v>46132</v>
      </c>
      <c r="H1365" s="98">
        <v>0.5000925925925926</v>
      </c>
      <c r="I1365" s="50">
        <v>166004704</v>
      </c>
      <c r="J1365" s="96" t="s">
        <v>157</v>
      </c>
      <c r="K1365" s="49" t="s">
        <v>1224</v>
      </c>
      <c r="L1365" s="39" t="s">
        <v>1225</v>
      </c>
      <c r="M1365" s="49" t="s">
        <v>190</v>
      </c>
      <c r="N1365" s="39" t="s">
        <v>532</v>
      </c>
      <c r="O1365" s="96" t="s">
        <v>1226</v>
      </c>
      <c r="P1365" s="49" t="s">
        <v>157</v>
      </c>
      <c r="Q1365" s="96" t="s">
        <v>104</v>
      </c>
      <c r="R1365" s="52">
        <v>44.9</v>
      </c>
      <c r="S1365" s="52">
        <f>R1365-T1365</f>
        <v>40.089285714285715</v>
      </c>
      <c r="T1365" s="52">
        <f>R1365*U1365/(U1365+100)</f>
        <v>4.810714285714285</v>
      </c>
      <c r="U1365" s="50">
        <v>12</v>
      </c>
      <c r="V1365" s="53">
        <v>0</v>
      </c>
      <c r="W1365" s="147">
        <v>0.274</v>
      </c>
      <c r="X1365" s="148" t="s">
        <v>193</v>
      </c>
      <c r="Y1365" s="54">
        <f>R1365*W1365</f>
        <v>12.3026</v>
      </c>
      <c r="Z1365" s="52">
        <f>S1365*W1365</f>
        <v>10.984464285714287</v>
      </c>
      <c r="AA1365" s="52">
        <f>T1365*W1365</f>
        <v>1.3181357142857142</v>
      </c>
      <c r="AB1365" s="52">
        <f>V1365*W1365</f>
        <v>0</v>
      </c>
      <c r="AC1365" s="53">
        <f>(R1365+V1365)*W1365</f>
        <v>12.3026</v>
      </c>
      <c r="AD1365" s="138">
        <v>44.9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106</v>
      </c>
      <c r="G1366" s="97">
        <v>46132</v>
      </c>
      <c r="H1366" s="98">
        <v>0.5000925925925926</v>
      </c>
      <c r="I1366" s="50">
        <v>166004704</v>
      </c>
      <c r="J1366" s="96" t="s">
        <v>157</v>
      </c>
      <c r="K1366" s="49" t="s">
        <v>530</v>
      </c>
      <c r="L1366" s="39" t="s">
        <v>531</v>
      </c>
      <c r="M1366" s="49" t="s">
        <v>190</v>
      </c>
      <c r="N1366" s="39" t="s">
        <v>532</v>
      </c>
      <c r="O1366" s="96" t="s">
        <v>533</v>
      </c>
      <c r="P1366" s="49" t="s">
        <v>157</v>
      </c>
      <c r="Q1366" s="96" t="s">
        <v>104</v>
      </c>
      <c r="R1366" s="52">
        <v>25.9</v>
      </c>
      <c r="S1366" s="52">
        <f>R1366-T1366</f>
        <v>23.125</v>
      </c>
      <c r="T1366" s="52">
        <f>R1366*U1366/(U1366+100)</f>
        <v>2.7749999999999995</v>
      </c>
      <c r="U1366" s="50">
        <v>12</v>
      </c>
      <c r="V1366" s="53">
        <v>0</v>
      </c>
      <c r="W1366" s="147">
        <v>0.34</v>
      </c>
      <c r="X1366" s="148" t="s">
        <v>193</v>
      </c>
      <c r="Y1366" s="54">
        <f>R1366*W1366</f>
        <v>8.806000000000001</v>
      </c>
      <c r="Z1366" s="52">
        <f>S1366*W1366</f>
        <v>7.862500000000001</v>
      </c>
      <c r="AA1366" s="52">
        <f>T1366*W1366</f>
        <v>0.9434999999999999</v>
      </c>
      <c r="AB1366" s="52">
        <f>V1366*W1366</f>
        <v>0</v>
      </c>
      <c r="AC1366" s="53">
        <f>(R1366+V1366)*W1366</f>
        <v>8.806000000000001</v>
      </c>
      <c r="AD1366" s="138">
        <v>25.9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106</v>
      </c>
      <c r="G1367" s="97">
        <v>46132</v>
      </c>
      <c r="H1367" s="98">
        <v>0.5000925925925926</v>
      </c>
      <c r="I1367" s="50">
        <v>166004704</v>
      </c>
      <c r="J1367" s="96" t="s">
        <v>157</v>
      </c>
      <c r="K1367" s="49" t="s">
        <v>2448</v>
      </c>
      <c r="L1367" s="39" t="s">
        <v>2449</v>
      </c>
      <c r="M1367" s="49" t="s">
        <v>190</v>
      </c>
      <c r="N1367" s="39" t="s">
        <v>191</v>
      </c>
      <c r="O1367" s="96" t="s">
        <v>2450</v>
      </c>
      <c r="P1367" s="49" t="s">
        <v>157</v>
      </c>
      <c r="Q1367" s="96" t="s">
        <v>104</v>
      </c>
      <c r="R1367" s="52">
        <v>49.9</v>
      </c>
      <c r="S1367" s="52">
        <f>R1367-T1367</f>
        <v>44.55357142857143</v>
      </c>
      <c r="T1367" s="52">
        <f>R1367*U1367/(U1367+100)</f>
        <v>5.346428571428571</v>
      </c>
      <c r="U1367" s="50">
        <v>12</v>
      </c>
      <c r="V1367" s="53">
        <v>0</v>
      </c>
      <c r="W1367" s="147">
        <v>0.162</v>
      </c>
      <c r="X1367" s="148" t="s">
        <v>193</v>
      </c>
      <c r="Y1367" s="54">
        <f>R1367*W1367</f>
        <v>8.0838</v>
      </c>
      <c r="Z1367" s="52">
        <f>S1367*W1367</f>
        <v>7.217678571428572</v>
      </c>
      <c r="AA1367" s="52">
        <f>T1367*W1367</f>
        <v>0.8661214285714285</v>
      </c>
      <c r="AB1367" s="52">
        <f>V1367*W1367</f>
        <v>0</v>
      </c>
      <c r="AC1367" s="53">
        <f>(R1367+V1367)*W1367</f>
        <v>8.0838</v>
      </c>
      <c r="AD1367" s="138">
        <v>49.9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106</v>
      </c>
      <c r="G1368" s="97">
        <v>46132</v>
      </c>
      <c r="H1368" s="98">
        <v>0.501099537037037</v>
      </c>
      <c r="I1368" s="50">
        <v>166004705</v>
      </c>
      <c r="J1368" s="96" t="s">
        <v>157</v>
      </c>
      <c r="K1368" s="49" t="s">
        <v>2155</v>
      </c>
      <c r="L1368" s="39" t="s">
        <v>2156</v>
      </c>
      <c r="M1368" s="49" t="s">
        <v>1428</v>
      </c>
      <c r="N1368" s="39" t="s">
        <v>609</v>
      </c>
      <c r="O1368" s="96" t="s">
        <v>2157</v>
      </c>
      <c r="P1368" s="49" t="s">
        <v>157</v>
      </c>
      <c r="Q1368" s="96" t="s">
        <v>104</v>
      </c>
      <c r="R1368" s="52">
        <v>11.9</v>
      </c>
      <c r="S1368" s="52">
        <f>R1368-T1368</f>
        <v>10.625</v>
      </c>
      <c r="T1368" s="52">
        <f>R1368*U1368/(U1368+100)</f>
        <v>1.2750000000000001</v>
      </c>
      <c r="U1368" s="50">
        <v>12</v>
      </c>
      <c r="V1368" s="53">
        <v>0</v>
      </c>
      <c r="W1368" s="147">
        <v>1</v>
      </c>
      <c r="X1368" s="148" t="s">
        <v>163</v>
      </c>
      <c r="Y1368" s="54">
        <f>R1368*W1368</f>
        <v>11.9</v>
      </c>
      <c r="Z1368" s="52">
        <f>S1368*W1368</f>
        <v>10.625</v>
      </c>
      <c r="AA1368" s="52">
        <f>T1368*W1368</f>
        <v>1.2750000000000001</v>
      </c>
      <c r="AB1368" s="52">
        <f>V1368*W1368</f>
        <v>0</v>
      </c>
      <c r="AC1368" s="53">
        <f>(R1368+V1368)*W1368</f>
        <v>11.9</v>
      </c>
      <c r="AD1368" s="138">
        <v>11.9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106</v>
      </c>
      <c r="G1369" s="97">
        <v>46132</v>
      </c>
      <c r="H1369" s="98">
        <v>0.501099537037037</v>
      </c>
      <c r="I1369" s="50">
        <v>166004705</v>
      </c>
      <c r="J1369" s="96" t="s">
        <v>157</v>
      </c>
      <c r="K1369" s="49" t="s">
        <v>1888</v>
      </c>
      <c r="L1369" s="39" t="s">
        <v>1889</v>
      </c>
      <c r="M1369" s="49" t="s">
        <v>823</v>
      </c>
      <c r="N1369" s="39" t="s">
        <v>1890</v>
      </c>
      <c r="O1369" s="96" t="s">
        <v>1891</v>
      </c>
      <c r="P1369" s="49" t="s">
        <v>157</v>
      </c>
      <c r="Q1369" s="96" t="s">
        <v>104</v>
      </c>
      <c r="R1369" s="52">
        <v>23.9</v>
      </c>
      <c r="S1369" s="52">
        <f>R1369-T1369</f>
        <v>21.33928571428571</v>
      </c>
      <c r="T1369" s="52">
        <f>R1369*U1369/(U1369+100)</f>
        <v>2.5607142857142855</v>
      </c>
      <c r="U1369" s="50">
        <v>12</v>
      </c>
      <c r="V1369" s="53">
        <v>0</v>
      </c>
      <c r="W1369" s="147">
        <v>1</v>
      </c>
      <c r="X1369" s="148" t="s">
        <v>163</v>
      </c>
      <c r="Y1369" s="54">
        <f>R1369*W1369</f>
        <v>23.9</v>
      </c>
      <c r="Z1369" s="52">
        <f>S1369*W1369</f>
        <v>21.33928571428571</v>
      </c>
      <c r="AA1369" s="52">
        <f>T1369*W1369</f>
        <v>2.5607142857142855</v>
      </c>
      <c r="AB1369" s="52">
        <f>V1369*W1369</f>
        <v>0</v>
      </c>
      <c r="AC1369" s="53">
        <f>(R1369+V1369)*W1369</f>
        <v>23.9</v>
      </c>
      <c r="AD1369" s="138">
        <v>23.9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106</v>
      </c>
      <c r="G1370" s="97">
        <v>46132</v>
      </c>
      <c r="H1370" s="98">
        <v>0.501099537037037</v>
      </c>
      <c r="I1370" s="50">
        <v>166004705</v>
      </c>
      <c r="J1370" s="96" t="s">
        <v>157</v>
      </c>
      <c r="K1370" s="49" t="s">
        <v>655</v>
      </c>
      <c r="L1370" s="39" t="s">
        <v>656</v>
      </c>
      <c r="M1370" s="49" t="s">
        <v>190</v>
      </c>
      <c r="N1370" s="39" t="s">
        <v>532</v>
      </c>
      <c r="O1370" s="96" t="s">
        <v>657</v>
      </c>
      <c r="P1370" s="49" t="s">
        <v>157</v>
      </c>
      <c r="Q1370" s="96" t="s">
        <v>104</v>
      </c>
      <c r="R1370" s="52">
        <v>25.13</v>
      </c>
      <c r="S1370" s="52">
        <f>R1370-T1370</f>
        <v>22.4375</v>
      </c>
      <c r="T1370" s="52">
        <f>R1370*U1370/(U1370+100)</f>
        <v>2.6925</v>
      </c>
      <c r="U1370" s="50">
        <v>12</v>
      </c>
      <c r="V1370" s="53">
        <v>0</v>
      </c>
      <c r="W1370" s="147">
        <v>0.252</v>
      </c>
      <c r="X1370" s="148" t="s">
        <v>193</v>
      </c>
      <c r="Y1370" s="54">
        <f>R1370*W1370</f>
        <v>6.3327599999999995</v>
      </c>
      <c r="Z1370" s="52">
        <f>S1370*W1370</f>
        <v>5.65425</v>
      </c>
      <c r="AA1370" s="52">
        <f>T1370*W1370</f>
        <v>0.67851</v>
      </c>
      <c r="AB1370" s="52">
        <f>V1370*W1370</f>
        <v>0</v>
      </c>
      <c r="AC1370" s="53">
        <f>(R1370+V1370)*W1370</f>
        <v>6.3327599999999995</v>
      </c>
      <c r="AD1370" s="138">
        <v>25.13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106</v>
      </c>
      <c r="G1371" s="97">
        <v>46132</v>
      </c>
      <c r="H1371" s="98">
        <v>0.501099537037037</v>
      </c>
      <c r="I1371" s="50">
        <v>166004705</v>
      </c>
      <c r="J1371" s="96" t="s">
        <v>157</v>
      </c>
      <c r="K1371" s="49" t="s">
        <v>1224</v>
      </c>
      <c r="L1371" s="39" t="s">
        <v>1225</v>
      </c>
      <c r="M1371" s="49" t="s">
        <v>190</v>
      </c>
      <c r="N1371" s="39" t="s">
        <v>532</v>
      </c>
      <c r="O1371" s="96" t="s">
        <v>1226</v>
      </c>
      <c r="P1371" s="49" t="s">
        <v>157</v>
      </c>
      <c r="Q1371" s="96" t="s">
        <v>104</v>
      </c>
      <c r="R1371" s="52">
        <v>44.9</v>
      </c>
      <c r="S1371" s="52">
        <f>R1371-T1371</f>
        <v>40.089285714285715</v>
      </c>
      <c r="T1371" s="52">
        <f>R1371*U1371/(U1371+100)</f>
        <v>4.810714285714285</v>
      </c>
      <c r="U1371" s="50">
        <v>12</v>
      </c>
      <c r="V1371" s="53">
        <v>0</v>
      </c>
      <c r="W1371" s="147">
        <v>0.414</v>
      </c>
      <c r="X1371" s="148" t="s">
        <v>193</v>
      </c>
      <c r="Y1371" s="54">
        <f>R1371*W1371</f>
        <v>18.5886</v>
      </c>
      <c r="Z1371" s="52">
        <f>S1371*W1371</f>
        <v>16.596964285714286</v>
      </c>
      <c r="AA1371" s="52">
        <f>T1371*W1371</f>
        <v>1.991635714285714</v>
      </c>
      <c r="AB1371" s="52">
        <f>V1371*W1371</f>
        <v>0</v>
      </c>
      <c r="AC1371" s="53">
        <f>(R1371+V1371)*W1371</f>
        <v>18.5886</v>
      </c>
      <c r="AD1371" s="138">
        <v>44.9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106</v>
      </c>
      <c r="G1372" s="97">
        <v>46132</v>
      </c>
      <c r="H1372" s="98">
        <v>0.501099537037037</v>
      </c>
      <c r="I1372" s="50">
        <v>166004705</v>
      </c>
      <c r="J1372" s="96" t="s">
        <v>157</v>
      </c>
      <c r="K1372" s="49" t="s">
        <v>1021</v>
      </c>
      <c r="L1372" s="39" t="s">
        <v>1022</v>
      </c>
      <c r="M1372" s="49" t="s">
        <v>190</v>
      </c>
      <c r="N1372" s="39" t="s">
        <v>532</v>
      </c>
      <c r="O1372" s="96" t="s">
        <v>1023</v>
      </c>
      <c r="P1372" s="49" t="s">
        <v>157</v>
      </c>
      <c r="Q1372" s="96" t="s">
        <v>104</v>
      </c>
      <c r="R1372" s="52">
        <v>48.9</v>
      </c>
      <c r="S1372" s="52">
        <f>R1372-T1372</f>
        <v>43.660714285714285</v>
      </c>
      <c r="T1372" s="52">
        <f>R1372*U1372/(U1372+100)</f>
        <v>5.239285714285714</v>
      </c>
      <c r="U1372" s="50">
        <v>12</v>
      </c>
      <c r="V1372" s="53">
        <v>0</v>
      </c>
      <c r="W1372" s="147">
        <v>0.37</v>
      </c>
      <c r="X1372" s="148" t="s">
        <v>193</v>
      </c>
      <c r="Y1372" s="54">
        <f>R1372*W1372</f>
        <v>18.093</v>
      </c>
      <c r="Z1372" s="52">
        <f>S1372*W1372</f>
        <v>16.154464285714287</v>
      </c>
      <c r="AA1372" s="52">
        <f>T1372*W1372</f>
        <v>1.938535714285714</v>
      </c>
      <c r="AB1372" s="52">
        <f>V1372*W1372</f>
        <v>0</v>
      </c>
      <c r="AC1372" s="53">
        <f>(R1372+V1372)*W1372</f>
        <v>18.093</v>
      </c>
      <c r="AD1372" s="138">
        <v>48.9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106</v>
      </c>
      <c r="G1373" s="97">
        <v>46132</v>
      </c>
      <c r="H1373" s="98">
        <v>0.501099537037037</v>
      </c>
      <c r="I1373" s="50">
        <v>166004705</v>
      </c>
      <c r="J1373" s="96" t="s">
        <v>157</v>
      </c>
      <c r="K1373" s="49" t="s">
        <v>2451</v>
      </c>
      <c r="L1373" s="39"/>
      <c r="M1373" s="49" t="s">
        <v>295</v>
      </c>
      <c r="N1373" s="39" t="s">
        <v>433</v>
      </c>
      <c r="O1373" s="96" t="s">
        <v>2452</v>
      </c>
      <c r="P1373" s="49" t="s">
        <v>157</v>
      </c>
      <c r="Q1373" s="96" t="s">
        <v>104</v>
      </c>
      <c r="R1373" s="52">
        <v>29.9</v>
      </c>
      <c r="S1373" s="52">
        <f>R1373-T1373</f>
        <v>26.69642857142857</v>
      </c>
      <c r="T1373" s="52">
        <f>R1373*U1373/(U1373+100)</f>
        <v>3.2035714285714283</v>
      </c>
      <c r="U1373" s="50">
        <v>12</v>
      </c>
      <c r="V1373" s="53">
        <v>0</v>
      </c>
      <c r="W1373" s="147">
        <v>1</v>
      </c>
      <c r="X1373" s="148" t="s">
        <v>945</v>
      </c>
      <c r="Y1373" s="54">
        <f>R1373*W1373</f>
        <v>29.9</v>
      </c>
      <c r="Z1373" s="52">
        <f>S1373*W1373</f>
        <v>26.69642857142857</v>
      </c>
      <c r="AA1373" s="52">
        <f>T1373*W1373</f>
        <v>3.2035714285714283</v>
      </c>
      <c r="AB1373" s="52">
        <f>V1373*W1373</f>
        <v>0</v>
      </c>
      <c r="AC1373" s="53">
        <f>(R1373+V1373)*W1373</f>
        <v>29.9</v>
      </c>
      <c r="AD1373" s="138">
        <v>29.9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106</v>
      </c>
      <c r="G1374" s="97">
        <v>46132</v>
      </c>
      <c r="H1374" s="98">
        <v>0.5027777777777778</v>
      </c>
      <c r="I1374" s="50">
        <v>166004706</v>
      </c>
      <c r="J1374" s="96" t="s">
        <v>157</v>
      </c>
      <c r="K1374" s="49" t="s">
        <v>2453</v>
      </c>
      <c r="L1374" s="39" t="s">
        <v>2454</v>
      </c>
      <c r="M1374" s="49" t="s">
        <v>1252</v>
      </c>
      <c r="N1374" s="39" t="s">
        <v>404</v>
      </c>
      <c r="O1374" s="96" t="s">
        <v>2455</v>
      </c>
      <c r="P1374" s="49" t="s">
        <v>157</v>
      </c>
      <c r="Q1374" s="96" t="s">
        <v>104</v>
      </c>
      <c r="R1374" s="52">
        <v>14.9</v>
      </c>
      <c r="S1374" s="52">
        <f>R1374-T1374</f>
        <v>13.303571428571429</v>
      </c>
      <c r="T1374" s="52">
        <f>R1374*U1374/(U1374+100)</f>
        <v>1.5964285714285715</v>
      </c>
      <c r="U1374" s="50">
        <v>12</v>
      </c>
      <c r="V1374" s="53">
        <v>0</v>
      </c>
      <c r="W1374" s="147">
        <v>1</v>
      </c>
      <c r="X1374" s="148" t="s">
        <v>163</v>
      </c>
      <c r="Y1374" s="54">
        <f>R1374*W1374</f>
        <v>14.9</v>
      </c>
      <c r="Z1374" s="52">
        <f>S1374*W1374</f>
        <v>13.303571428571429</v>
      </c>
      <c r="AA1374" s="52">
        <f>T1374*W1374</f>
        <v>1.5964285714285715</v>
      </c>
      <c r="AB1374" s="52">
        <f>V1374*W1374</f>
        <v>0</v>
      </c>
      <c r="AC1374" s="53">
        <f>(R1374+V1374)*W1374</f>
        <v>14.9</v>
      </c>
      <c r="AD1374" s="138">
        <v>14.9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106</v>
      </c>
      <c r="G1375" s="97">
        <v>46132</v>
      </c>
      <c r="H1375" s="98">
        <v>0.5027777777777778</v>
      </c>
      <c r="I1375" s="50">
        <v>166004706</v>
      </c>
      <c r="J1375" s="96" t="s">
        <v>157</v>
      </c>
      <c r="K1375" s="49" t="s">
        <v>2456</v>
      </c>
      <c r="L1375" s="39" t="s">
        <v>2457</v>
      </c>
      <c r="M1375" s="49" t="s">
        <v>954</v>
      </c>
      <c r="N1375" s="39" t="s">
        <v>233</v>
      </c>
      <c r="O1375" s="96" t="s">
        <v>2458</v>
      </c>
      <c r="P1375" s="49" t="s">
        <v>157</v>
      </c>
      <c r="Q1375" s="96" t="s">
        <v>104</v>
      </c>
      <c r="R1375" s="52">
        <v>19.9</v>
      </c>
      <c r="S1375" s="52">
        <f>R1375-T1375</f>
        <v>16.446280991735534</v>
      </c>
      <c r="T1375" s="52">
        <f>R1375*U1375/(U1375+100)</f>
        <v>3.4537190082644624</v>
      </c>
      <c r="U1375" s="50">
        <v>21</v>
      </c>
      <c r="V1375" s="53">
        <v>0</v>
      </c>
      <c r="W1375" s="147">
        <v>1</v>
      </c>
      <c r="X1375" s="148" t="s">
        <v>163</v>
      </c>
      <c r="Y1375" s="54">
        <f>R1375*W1375</f>
        <v>19.9</v>
      </c>
      <c r="Z1375" s="52">
        <f>S1375*W1375</f>
        <v>16.446280991735534</v>
      </c>
      <c r="AA1375" s="52">
        <f>T1375*W1375</f>
        <v>3.4537190082644624</v>
      </c>
      <c r="AB1375" s="52">
        <f>V1375*W1375</f>
        <v>0</v>
      </c>
      <c r="AC1375" s="53">
        <f>(R1375+V1375)*W1375</f>
        <v>19.9</v>
      </c>
      <c r="AD1375" s="138">
        <v>19.9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106</v>
      </c>
      <c r="G1376" s="97">
        <v>46132</v>
      </c>
      <c r="H1376" s="98">
        <v>0.5032175925925926</v>
      </c>
      <c r="I1376" s="50">
        <v>166004707</v>
      </c>
      <c r="J1376" s="96" t="s">
        <v>157</v>
      </c>
      <c r="K1376" s="49" t="s">
        <v>967</v>
      </c>
      <c r="L1376" s="39" t="s">
        <v>968</v>
      </c>
      <c r="M1376" s="49" t="s">
        <v>444</v>
      </c>
      <c r="N1376" s="39" t="s">
        <v>445</v>
      </c>
      <c r="O1376" s="96" t="s">
        <v>981</v>
      </c>
      <c r="P1376" s="49" t="s">
        <v>157</v>
      </c>
      <c r="Q1376" s="96" t="s">
        <v>104</v>
      </c>
      <c r="R1376" s="52">
        <v>16.9</v>
      </c>
      <c r="S1376" s="52">
        <f>R1376-T1376</f>
        <v>15.089285714285714</v>
      </c>
      <c r="T1376" s="52">
        <f>R1376*U1376/(U1376+100)</f>
        <v>1.8107142857142855</v>
      </c>
      <c r="U1376" s="50">
        <v>12</v>
      </c>
      <c r="V1376" s="53">
        <v>0</v>
      </c>
      <c r="W1376" s="147">
        <v>1</v>
      </c>
      <c r="X1376" s="148" t="s">
        <v>163</v>
      </c>
      <c r="Y1376" s="54">
        <f>R1376*W1376</f>
        <v>16.9</v>
      </c>
      <c r="Z1376" s="52">
        <f>S1376*W1376</f>
        <v>15.089285714285714</v>
      </c>
      <c r="AA1376" s="52">
        <f>T1376*W1376</f>
        <v>1.8107142857142855</v>
      </c>
      <c r="AB1376" s="52">
        <f>V1376*W1376</f>
        <v>0</v>
      </c>
      <c r="AC1376" s="53">
        <f>(R1376+V1376)*W1376</f>
        <v>16.9</v>
      </c>
      <c r="AD1376" s="138">
        <v>16.9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106</v>
      </c>
      <c r="G1377" s="97">
        <v>46132</v>
      </c>
      <c r="H1377" s="98">
        <v>0.5047222222222222</v>
      </c>
      <c r="I1377" s="50">
        <v>166004708</v>
      </c>
      <c r="J1377" s="96" t="s">
        <v>157</v>
      </c>
      <c r="K1377" s="49" t="s">
        <v>2459</v>
      </c>
      <c r="L1377" s="39" t="s">
        <v>2460</v>
      </c>
      <c r="M1377" s="49" t="s">
        <v>399</v>
      </c>
      <c r="N1377" s="39" t="s">
        <v>353</v>
      </c>
      <c r="O1377" s="96" t="s">
        <v>2461</v>
      </c>
      <c r="P1377" s="49" t="s">
        <v>235</v>
      </c>
      <c r="Q1377" s="96" t="s">
        <v>236</v>
      </c>
      <c r="R1377" s="52">
        <v>26.9</v>
      </c>
      <c r="S1377" s="52">
        <f>R1377-T1377</f>
        <v>22.231404958677686</v>
      </c>
      <c r="T1377" s="52">
        <f>R1377*U1377/(U1377+100)</f>
        <v>4.668595041322314</v>
      </c>
      <c r="U1377" s="50">
        <v>21</v>
      </c>
      <c r="V1377" s="53">
        <v>0</v>
      </c>
      <c r="W1377" s="147">
        <v>1</v>
      </c>
      <c r="X1377" s="148" t="s">
        <v>163</v>
      </c>
      <c r="Y1377" s="54">
        <f>R1377*W1377</f>
        <v>26.9</v>
      </c>
      <c r="Z1377" s="52">
        <f>S1377*W1377</f>
        <v>22.231404958677686</v>
      </c>
      <c r="AA1377" s="52">
        <f>T1377*W1377</f>
        <v>4.668595041322314</v>
      </c>
      <c r="AB1377" s="52">
        <f>V1377*W1377</f>
        <v>0</v>
      </c>
      <c r="AC1377" s="53">
        <f>(R1377+V1377)*W1377</f>
        <v>26.9</v>
      </c>
      <c r="AD1377" s="138">
        <v>26.9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106</v>
      </c>
      <c r="G1378" s="97">
        <v>46132</v>
      </c>
      <c r="H1378" s="98">
        <v>0.5048263888888889</v>
      </c>
      <c r="I1378" s="50">
        <v>166004709</v>
      </c>
      <c r="J1378" s="96" t="s">
        <v>157</v>
      </c>
      <c r="K1378" s="49" t="s">
        <v>378</v>
      </c>
      <c r="L1378" s="39" t="s">
        <v>379</v>
      </c>
      <c r="M1378" s="49" t="s">
        <v>171</v>
      </c>
      <c r="N1378" s="39" t="s">
        <v>264</v>
      </c>
      <c r="O1378" s="96" t="s">
        <v>2462</v>
      </c>
      <c r="P1378" s="49" t="s">
        <v>157</v>
      </c>
      <c r="Q1378" s="96" t="s">
        <v>104</v>
      </c>
      <c r="R1378" s="52">
        <v>4.5</v>
      </c>
      <c r="S1378" s="52">
        <f>R1378-T1378</f>
        <v>4.017857142857143</v>
      </c>
      <c r="T1378" s="52">
        <f>R1378*U1378/(U1378+100)</f>
        <v>0.48214285714285715</v>
      </c>
      <c r="U1378" s="50">
        <v>12</v>
      </c>
      <c r="V1378" s="53">
        <v>0</v>
      </c>
      <c r="W1378" s="147">
        <v>1</v>
      </c>
      <c r="X1378" s="148" t="s">
        <v>163</v>
      </c>
      <c r="Y1378" s="54">
        <f>R1378*W1378</f>
        <v>4.5</v>
      </c>
      <c r="Z1378" s="52">
        <f>S1378*W1378</f>
        <v>4.017857142857143</v>
      </c>
      <c r="AA1378" s="52">
        <f>T1378*W1378</f>
        <v>0.48214285714285715</v>
      </c>
      <c r="AB1378" s="52">
        <f>V1378*W1378</f>
        <v>0</v>
      </c>
      <c r="AC1378" s="53">
        <f>(R1378+V1378)*W1378</f>
        <v>4.5</v>
      </c>
      <c r="AD1378" s="138">
        <v>4.5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106</v>
      </c>
      <c r="G1379" s="97">
        <v>46132</v>
      </c>
      <c r="H1379" s="98">
        <v>0.5063310185185185</v>
      </c>
      <c r="I1379" s="50">
        <v>166004710</v>
      </c>
      <c r="J1379" s="96" t="s">
        <v>157</v>
      </c>
      <c r="K1379" s="49" t="s">
        <v>1895</v>
      </c>
      <c r="L1379" s="39" t="s">
        <v>1896</v>
      </c>
      <c r="M1379" s="49" t="s">
        <v>429</v>
      </c>
      <c r="N1379" s="39" t="s">
        <v>239</v>
      </c>
      <c r="O1379" s="96" t="s">
        <v>1897</v>
      </c>
      <c r="P1379" s="49" t="s">
        <v>157</v>
      </c>
      <c r="Q1379" s="96" t="s">
        <v>104</v>
      </c>
      <c r="R1379" s="52">
        <v>19.9</v>
      </c>
      <c r="S1379" s="52">
        <f>R1379-T1379</f>
        <v>17.767857142857142</v>
      </c>
      <c r="T1379" s="52">
        <f>R1379*U1379/(U1379+100)</f>
        <v>2.132142857142857</v>
      </c>
      <c r="U1379" s="50">
        <v>12</v>
      </c>
      <c r="V1379" s="53">
        <v>0</v>
      </c>
      <c r="W1379" s="147">
        <v>1</v>
      </c>
      <c r="X1379" s="148" t="s">
        <v>163</v>
      </c>
      <c r="Y1379" s="54">
        <f>R1379*W1379</f>
        <v>19.9</v>
      </c>
      <c r="Z1379" s="52">
        <f>S1379*W1379</f>
        <v>17.767857142857142</v>
      </c>
      <c r="AA1379" s="52">
        <f>T1379*W1379</f>
        <v>2.132142857142857</v>
      </c>
      <c r="AB1379" s="52">
        <f>V1379*W1379</f>
        <v>0</v>
      </c>
      <c r="AC1379" s="53">
        <f>(R1379+V1379)*W1379</f>
        <v>19.9</v>
      </c>
      <c r="AD1379" s="138">
        <v>19.9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106</v>
      </c>
      <c r="G1380" s="97">
        <v>46132</v>
      </c>
      <c r="H1380" s="98">
        <v>0.5063310185185185</v>
      </c>
      <c r="I1380" s="50">
        <v>166004710</v>
      </c>
      <c r="J1380" s="96" t="s">
        <v>157</v>
      </c>
      <c r="K1380" s="49" t="s">
        <v>595</v>
      </c>
      <c r="L1380" s="39" t="s">
        <v>596</v>
      </c>
      <c r="M1380" s="49" t="s">
        <v>429</v>
      </c>
      <c r="N1380" s="39" t="s">
        <v>239</v>
      </c>
      <c r="O1380" s="96" t="s">
        <v>597</v>
      </c>
      <c r="P1380" s="49" t="s">
        <v>157</v>
      </c>
      <c r="Q1380" s="96" t="s">
        <v>104</v>
      </c>
      <c r="R1380" s="52">
        <v>19.9</v>
      </c>
      <c r="S1380" s="52">
        <f>R1380-T1380</f>
        <v>17.767857142857142</v>
      </c>
      <c r="T1380" s="52">
        <f>R1380*U1380/(U1380+100)</f>
        <v>2.132142857142857</v>
      </c>
      <c r="U1380" s="50">
        <v>12</v>
      </c>
      <c r="V1380" s="53">
        <v>0</v>
      </c>
      <c r="W1380" s="147">
        <v>1</v>
      </c>
      <c r="X1380" s="148" t="s">
        <v>163</v>
      </c>
      <c r="Y1380" s="54">
        <f>R1380*W1380</f>
        <v>19.9</v>
      </c>
      <c r="Z1380" s="52">
        <f>S1380*W1380</f>
        <v>17.767857142857142</v>
      </c>
      <c r="AA1380" s="52">
        <f>T1380*W1380</f>
        <v>2.132142857142857</v>
      </c>
      <c r="AB1380" s="52">
        <f>V1380*W1380</f>
        <v>0</v>
      </c>
      <c r="AC1380" s="53">
        <f>(R1380+V1380)*W1380</f>
        <v>19.9</v>
      </c>
      <c r="AD1380" s="138">
        <v>19.9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106</v>
      </c>
      <c r="G1381" s="97">
        <v>46132</v>
      </c>
      <c r="H1381" s="98">
        <v>0.5063310185185185</v>
      </c>
      <c r="I1381" s="50">
        <v>166004710</v>
      </c>
      <c r="J1381" s="96" t="s">
        <v>157</v>
      </c>
      <c r="K1381" s="49" t="s">
        <v>2463</v>
      </c>
      <c r="L1381" s="39" t="s">
        <v>2464</v>
      </c>
      <c r="M1381" s="49" t="s">
        <v>1536</v>
      </c>
      <c r="N1381" s="39" t="s">
        <v>601</v>
      </c>
      <c r="O1381" s="96" t="s">
        <v>2465</v>
      </c>
      <c r="P1381" s="49" t="s">
        <v>157</v>
      </c>
      <c r="Q1381" s="96" t="s">
        <v>104</v>
      </c>
      <c r="R1381" s="52">
        <v>31.9</v>
      </c>
      <c r="S1381" s="52">
        <f>R1381-T1381</f>
        <v>28.482142857142858</v>
      </c>
      <c r="T1381" s="52">
        <f>R1381*U1381/(U1381+100)</f>
        <v>3.4178571428571423</v>
      </c>
      <c r="U1381" s="50">
        <v>12</v>
      </c>
      <c r="V1381" s="53">
        <v>0</v>
      </c>
      <c r="W1381" s="147">
        <v>1</v>
      </c>
      <c r="X1381" s="148" t="s">
        <v>163</v>
      </c>
      <c r="Y1381" s="54">
        <f>R1381*W1381</f>
        <v>31.9</v>
      </c>
      <c r="Z1381" s="52">
        <f>S1381*W1381</f>
        <v>28.482142857142858</v>
      </c>
      <c r="AA1381" s="52">
        <f>T1381*W1381</f>
        <v>3.4178571428571423</v>
      </c>
      <c r="AB1381" s="52">
        <f>V1381*W1381</f>
        <v>0</v>
      </c>
      <c r="AC1381" s="53">
        <f>(R1381+V1381)*W1381</f>
        <v>31.9</v>
      </c>
      <c r="AD1381" s="138">
        <v>31.9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106</v>
      </c>
      <c r="G1382" s="97">
        <v>46132</v>
      </c>
      <c r="H1382" s="98">
        <v>0.5063310185185185</v>
      </c>
      <c r="I1382" s="50">
        <v>166004710</v>
      </c>
      <c r="J1382" s="96" t="s">
        <v>157</v>
      </c>
      <c r="K1382" s="49" t="s">
        <v>2466</v>
      </c>
      <c r="L1382" s="39" t="s">
        <v>2467</v>
      </c>
      <c r="M1382" s="49" t="s">
        <v>893</v>
      </c>
      <c r="N1382" s="39" t="s">
        <v>202</v>
      </c>
      <c r="O1382" s="96" t="s">
        <v>2468</v>
      </c>
      <c r="P1382" s="49" t="s">
        <v>157</v>
      </c>
      <c r="Q1382" s="96" t="s">
        <v>104</v>
      </c>
      <c r="R1382" s="52">
        <v>19.9</v>
      </c>
      <c r="S1382" s="52">
        <f>R1382-T1382</f>
        <v>17.767857142857142</v>
      </c>
      <c r="T1382" s="52">
        <f>R1382*U1382/(U1382+100)</f>
        <v>2.132142857142857</v>
      </c>
      <c r="U1382" s="50">
        <v>12</v>
      </c>
      <c r="V1382" s="53">
        <v>0</v>
      </c>
      <c r="W1382" s="147">
        <v>1</v>
      </c>
      <c r="X1382" s="148" t="s">
        <v>163</v>
      </c>
      <c r="Y1382" s="54">
        <f>R1382*W1382</f>
        <v>19.9</v>
      </c>
      <c r="Z1382" s="52">
        <f>S1382*W1382</f>
        <v>17.767857142857142</v>
      </c>
      <c r="AA1382" s="52">
        <f>T1382*W1382</f>
        <v>2.132142857142857</v>
      </c>
      <c r="AB1382" s="52">
        <f>V1382*W1382</f>
        <v>0</v>
      </c>
      <c r="AC1382" s="53">
        <f>(R1382+V1382)*W1382</f>
        <v>19.9</v>
      </c>
      <c r="AD1382" s="138">
        <v>19.9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106</v>
      </c>
      <c r="G1383" s="97">
        <v>46132</v>
      </c>
      <c r="H1383" s="98">
        <v>0.5063310185185185</v>
      </c>
      <c r="I1383" s="50">
        <v>166004710</v>
      </c>
      <c r="J1383" s="96" t="s">
        <v>157</v>
      </c>
      <c r="K1383" s="49" t="s">
        <v>2469</v>
      </c>
      <c r="L1383" s="39" t="s">
        <v>2470</v>
      </c>
      <c r="M1383" s="49" t="s">
        <v>893</v>
      </c>
      <c r="N1383" s="39" t="s">
        <v>202</v>
      </c>
      <c r="O1383" s="96" t="s">
        <v>2471</v>
      </c>
      <c r="P1383" s="49" t="s">
        <v>157</v>
      </c>
      <c r="Q1383" s="96" t="s">
        <v>104</v>
      </c>
      <c r="R1383" s="52">
        <v>19.9</v>
      </c>
      <c r="S1383" s="52">
        <f>R1383-T1383</f>
        <v>17.767857142857142</v>
      </c>
      <c r="T1383" s="52">
        <f>R1383*U1383/(U1383+100)</f>
        <v>2.132142857142857</v>
      </c>
      <c r="U1383" s="50">
        <v>12</v>
      </c>
      <c r="V1383" s="53">
        <v>0</v>
      </c>
      <c r="W1383" s="147">
        <v>1</v>
      </c>
      <c r="X1383" s="148" t="s">
        <v>163</v>
      </c>
      <c r="Y1383" s="54">
        <f>R1383*W1383</f>
        <v>19.9</v>
      </c>
      <c r="Z1383" s="52">
        <f>S1383*W1383</f>
        <v>17.767857142857142</v>
      </c>
      <c r="AA1383" s="52">
        <f>T1383*W1383</f>
        <v>2.132142857142857</v>
      </c>
      <c r="AB1383" s="52">
        <f>V1383*W1383</f>
        <v>0</v>
      </c>
      <c r="AC1383" s="53">
        <f>(R1383+V1383)*W1383</f>
        <v>19.9</v>
      </c>
      <c r="AD1383" s="138">
        <v>19.9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106</v>
      </c>
      <c r="G1384" s="97">
        <v>46132</v>
      </c>
      <c r="H1384" s="98">
        <v>0.5063310185185185</v>
      </c>
      <c r="I1384" s="50">
        <v>166004710</v>
      </c>
      <c r="J1384" s="96" t="s">
        <v>157</v>
      </c>
      <c r="K1384" s="49" t="s">
        <v>2472</v>
      </c>
      <c r="L1384" s="39" t="s">
        <v>2473</v>
      </c>
      <c r="M1384" s="49" t="s">
        <v>893</v>
      </c>
      <c r="N1384" s="39" t="s">
        <v>202</v>
      </c>
      <c r="O1384" s="96" t="s">
        <v>2474</v>
      </c>
      <c r="P1384" s="49" t="s">
        <v>157</v>
      </c>
      <c r="Q1384" s="96" t="s">
        <v>104</v>
      </c>
      <c r="R1384" s="52">
        <v>19.9</v>
      </c>
      <c r="S1384" s="52">
        <f>R1384-T1384</f>
        <v>17.767857142857142</v>
      </c>
      <c r="T1384" s="52">
        <f>R1384*U1384/(U1384+100)</f>
        <v>2.132142857142857</v>
      </c>
      <c r="U1384" s="50">
        <v>12</v>
      </c>
      <c r="V1384" s="53">
        <v>0</v>
      </c>
      <c r="W1384" s="147">
        <v>1</v>
      </c>
      <c r="X1384" s="148" t="s">
        <v>163</v>
      </c>
      <c r="Y1384" s="54">
        <f>R1384*W1384</f>
        <v>19.9</v>
      </c>
      <c r="Z1384" s="52">
        <f>S1384*W1384</f>
        <v>17.767857142857142</v>
      </c>
      <c r="AA1384" s="52">
        <f>T1384*W1384</f>
        <v>2.132142857142857</v>
      </c>
      <c r="AB1384" s="52">
        <f>V1384*W1384</f>
        <v>0</v>
      </c>
      <c r="AC1384" s="53">
        <f>(R1384+V1384)*W1384</f>
        <v>19.9</v>
      </c>
      <c r="AD1384" s="138">
        <v>19.9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106</v>
      </c>
      <c r="G1385" s="97">
        <v>46132</v>
      </c>
      <c r="H1385" s="98">
        <v>0.5063310185185185</v>
      </c>
      <c r="I1385" s="50">
        <v>166004710</v>
      </c>
      <c r="J1385" s="96" t="s">
        <v>157</v>
      </c>
      <c r="K1385" s="49" t="s">
        <v>1232</v>
      </c>
      <c r="L1385" s="39" t="s">
        <v>1233</v>
      </c>
      <c r="M1385" s="49" t="s">
        <v>466</v>
      </c>
      <c r="N1385" s="39" t="s">
        <v>291</v>
      </c>
      <c r="O1385" s="96" t="s">
        <v>1234</v>
      </c>
      <c r="P1385" s="49" t="s">
        <v>235</v>
      </c>
      <c r="Q1385" s="96" t="s">
        <v>236</v>
      </c>
      <c r="R1385" s="52">
        <v>26.9</v>
      </c>
      <c r="S1385" s="52">
        <f>R1385-T1385</f>
        <v>24.017857142857142</v>
      </c>
      <c r="T1385" s="52">
        <f>R1385*U1385/(U1385+100)</f>
        <v>2.8821428571428567</v>
      </c>
      <c r="U1385" s="50">
        <v>12</v>
      </c>
      <c r="V1385" s="53">
        <v>0</v>
      </c>
      <c r="W1385" s="147">
        <v>1</v>
      </c>
      <c r="X1385" s="148" t="s">
        <v>163</v>
      </c>
      <c r="Y1385" s="54">
        <f>R1385*W1385</f>
        <v>26.9</v>
      </c>
      <c r="Z1385" s="52">
        <f>S1385*W1385</f>
        <v>24.017857142857142</v>
      </c>
      <c r="AA1385" s="52">
        <f>T1385*W1385</f>
        <v>2.8821428571428567</v>
      </c>
      <c r="AB1385" s="52">
        <f>V1385*W1385</f>
        <v>0</v>
      </c>
      <c r="AC1385" s="53">
        <f>(R1385+V1385)*W1385</f>
        <v>26.9</v>
      </c>
      <c r="AD1385" s="138">
        <v>26.9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106</v>
      </c>
      <c r="G1386" s="97">
        <v>46132</v>
      </c>
      <c r="H1386" s="98">
        <v>0.5063310185185185</v>
      </c>
      <c r="I1386" s="50">
        <v>166004710</v>
      </c>
      <c r="J1386" s="96" t="s">
        <v>157</v>
      </c>
      <c r="K1386" s="49" t="s">
        <v>2475</v>
      </c>
      <c r="L1386" s="39" t="s">
        <v>2476</v>
      </c>
      <c r="M1386" s="49" t="s">
        <v>277</v>
      </c>
      <c r="N1386" s="39" t="s">
        <v>751</v>
      </c>
      <c r="O1386" s="96" t="s">
        <v>2477</v>
      </c>
      <c r="P1386" s="49" t="s">
        <v>235</v>
      </c>
      <c r="Q1386" s="96" t="s">
        <v>236</v>
      </c>
      <c r="R1386" s="52">
        <v>34.9</v>
      </c>
      <c r="S1386" s="52">
        <f>R1386-T1386</f>
        <v>31.160714285714285</v>
      </c>
      <c r="T1386" s="52">
        <f>R1386*U1386/(U1386+100)</f>
        <v>3.739285714285714</v>
      </c>
      <c r="U1386" s="50">
        <v>12</v>
      </c>
      <c r="V1386" s="53">
        <v>0</v>
      </c>
      <c r="W1386" s="147">
        <v>1</v>
      </c>
      <c r="X1386" s="148" t="s">
        <v>163</v>
      </c>
      <c r="Y1386" s="54">
        <f>R1386*W1386</f>
        <v>34.9</v>
      </c>
      <c r="Z1386" s="52">
        <f>S1386*W1386</f>
        <v>31.160714285714285</v>
      </c>
      <c r="AA1386" s="52">
        <f>T1386*W1386</f>
        <v>3.739285714285714</v>
      </c>
      <c r="AB1386" s="52">
        <f>V1386*W1386</f>
        <v>0</v>
      </c>
      <c r="AC1386" s="53">
        <f>(R1386+V1386)*W1386</f>
        <v>34.9</v>
      </c>
      <c r="AD1386" s="138">
        <v>34.9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106</v>
      </c>
      <c r="G1387" s="97">
        <v>46132</v>
      </c>
      <c r="H1387" s="98">
        <v>0.5063310185185185</v>
      </c>
      <c r="I1387" s="50">
        <v>166004710</v>
      </c>
      <c r="J1387" s="96" t="s">
        <v>157</v>
      </c>
      <c r="K1387" s="49" t="s">
        <v>1275</v>
      </c>
      <c r="L1387" s="39" t="s">
        <v>1276</v>
      </c>
      <c r="M1387" s="49" t="s">
        <v>214</v>
      </c>
      <c r="N1387" s="39" t="s">
        <v>501</v>
      </c>
      <c r="O1387" s="96" t="s">
        <v>1277</v>
      </c>
      <c r="P1387" s="49" t="s">
        <v>157</v>
      </c>
      <c r="Q1387" s="96" t="s">
        <v>104</v>
      </c>
      <c r="R1387" s="52">
        <v>13.9</v>
      </c>
      <c r="S1387" s="52">
        <f>R1387-T1387</f>
        <v>12.410714285714286</v>
      </c>
      <c r="T1387" s="52">
        <f>R1387*U1387/(U1387+100)</f>
        <v>1.4892857142857143</v>
      </c>
      <c r="U1387" s="50">
        <v>12</v>
      </c>
      <c r="V1387" s="53">
        <v>0</v>
      </c>
      <c r="W1387" s="147">
        <v>1</v>
      </c>
      <c r="X1387" s="148" t="s">
        <v>163</v>
      </c>
      <c r="Y1387" s="54">
        <f>R1387*W1387</f>
        <v>13.9</v>
      </c>
      <c r="Z1387" s="52">
        <f>S1387*W1387</f>
        <v>12.410714285714286</v>
      </c>
      <c r="AA1387" s="52">
        <f>T1387*W1387</f>
        <v>1.4892857142857143</v>
      </c>
      <c r="AB1387" s="52">
        <f>V1387*W1387</f>
        <v>0</v>
      </c>
      <c r="AC1387" s="53">
        <f>(R1387+V1387)*W1387</f>
        <v>13.9</v>
      </c>
      <c r="AD1387" s="138">
        <v>13.9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106</v>
      </c>
      <c r="G1388" s="97">
        <v>46132</v>
      </c>
      <c r="H1388" s="98">
        <v>0.5063310185185185</v>
      </c>
      <c r="I1388" s="50">
        <v>166004710</v>
      </c>
      <c r="J1388" s="96" t="s">
        <v>157</v>
      </c>
      <c r="K1388" s="49" t="s">
        <v>183</v>
      </c>
      <c r="L1388" s="39" t="s">
        <v>184</v>
      </c>
      <c r="M1388" s="49" t="s">
        <v>185</v>
      </c>
      <c r="N1388" s="39" t="s">
        <v>186</v>
      </c>
      <c r="O1388" s="96" t="s">
        <v>988</v>
      </c>
      <c r="P1388" s="49" t="s">
        <v>157</v>
      </c>
      <c r="Q1388" s="96" t="s">
        <v>104</v>
      </c>
      <c r="R1388" s="52">
        <v>1.9</v>
      </c>
      <c r="S1388" s="52">
        <f>R1388-T1388</f>
        <v>1.5702479338842974</v>
      </c>
      <c r="T1388" s="52">
        <f>R1388*U1388/(U1388+100)</f>
        <v>0.32975206611570246</v>
      </c>
      <c r="U1388" s="50">
        <v>21</v>
      </c>
      <c r="V1388" s="53">
        <v>0</v>
      </c>
      <c r="W1388" s="147">
        <v>1</v>
      </c>
      <c r="X1388" s="148" t="s">
        <v>163</v>
      </c>
      <c r="Y1388" s="54">
        <f>R1388*W1388</f>
        <v>1.9</v>
      </c>
      <c r="Z1388" s="52">
        <f>S1388*W1388</f>
        <v>1.5702479338842974</v>
      </c>
      <c r="AA1388" s="52">
        <f>T1388*W1388</f>
        <v>0.32975206611570246</v>
      </c>
      <c r="AB1388" s="52">
        <f>V1388*W1388</f>
        <v>0</v>
      </c>
      <c r="AC1388" s="53">
        <f>(R1388+V1388)*W1388</f>
        <v>1.9</v>
      </c>
      <c r="AD1388" s="138">
        <v>1.9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106</v>
      </c>
      <c r="G1389" s="97">
        <v>46132</v>
      </c>
      <c r="H1389" s="98">
        <v>0.5063310185185185</v>
      </c>
      <c r="I1389" s="50">
        <v>166004710</v>
      </c>
      <c r="J1389" s="96" t="s">
        <v>157</v>
      </c>
      <c r="K1389" s="49" t="s">
        <v>1494</v>
      </c>
      <c r="L1389" s="39" t="s">
        <v>1495</v>
      </c>
      <c r="M1389" s="49" t="s">
        <v>190</v>
      </c>
      <c r="N1389" s="39" t="s">
        <v>191</v>
      </c>
      <c r="O1389" s="96" t="s">
        <v>1496</v>
      </c>
      <c r="P1389" s="49" t="s">
        <v>157</v>
      </c>
      <c r="Q1389" s="96" t="s">
        <v>104</v>
      </c>
      <c r="R1389" s="52">
        <v>79.9</v>
      </c>
      <c r="S1389" s="52">
        <f>R1389-T1389</f>
        <v>71.33928571428572</v>
      </c>
      <c r="T1389" s="52">
        <f>R1389*U1389/(U1389+100)</f>
        <v>8.560714285714287</v>
      </c>
      <c r="U1389" s="50">
        <v>12</v>
      </c>
      <c r="V1389" s="53">
        <v>0</v>
      </c>
      <c r="W1389" s="147">
        <v>0.25</v>
      </c>
      <c r="X1389" s="148" t="s">
        <v>193</v>
      </c>
      <c r="Y1389" s="54">
        <f>R1389*W1389</f>
        <v>19.975</v>
      </c>
      <c r="Z1389" s="52">
        <f>S1389*W1389</f>
        <v>17.83482142857143</v>
      </c>
      <c r="AA1389" s="52">
        <f>T1389*W1389</f>
        <v>2.1401785714285717</v>
      </c>
      <c r="AB1389" s="52">
        <f>V1389*W1389</f>
        <v>0</v>
      </c>
      <c r="AC1389" s="53">
        <f>(R1389+V1389)*W1389</f>
        <v>19.975</v>
      </c>
      <c r="AD1389" s="138">
        <v>79.9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106</v>
      </c>
      <c r="G1390" s="97">
        <v>46132</v>
      </c>
      <c r="H1390" s="98">
        <v>0.5063310185185185</v>
      </c>
      <c r="I1390" s="50">
        <v>166004710</v>
      </c>
      <c r="J1390" s="96" t="s">
        <v>157</v>
      </c>
      <c r="K1390" s="49" t="s">
        <v>1787</v>
      </c>
      <c r="L1390" s="39" t="s">
        <v>1788</v>
      </c>
      <c r="M1390" s="49" t="s">
        <v>190</v>
      </c>
      <c r="N1390" s="39" t="s">
        <v>191</v>
      </c>
      <c r="O1390" s="96" t="s">
        <v>1789</v>
      </c>
      <c r="P1390" s="49" t="s">
        <v>157</v>
      </c>
      <c r="Q1390" s="96" t="s">
        <v>104</v>
      </c>
      <c r="R1390" s="52">
        <v>109.9</v>
      </c>
      <c r="S1390" s="52">
        <f>R1390-T1390</f>
        <v>98.125</v>
      </c>
      <c r="T1390" s="52">
        <f>R1390*U1390/(U1390+100)</f>
        <v>11.775000000000002</v>
      </c>
      <c r="U1390" s="50">
        <v>12</v>
      </c>
      <c r="V1390" s="53">
        <v>0</v>
      </c>
      <c r="W1390" s="147">
        <v>0.28</v>
      </c>
      <c r="X1390" s="148" t="s">
        <v>193</v>
      </c>
      <c r="Y1390" s="54">
        <f>R1390*W1390</f>
        <v>30.772000000000006</v>
      </c>
      <c r="Z1390" s="52">
        <f>S1390*W1390</f>
        <v>27.475</v>
      </c>
      <c r="AA1390" s="52">
        <f>T1390*W1390</f>
        <v>3.297000000000001</v>
      </c>
      <c r="AB1390" s="52">
        <f>V1390*W1390</f>
        <v>0</v>
      </c>
      <c r="AC1390" s="53">
        <f>(R1390+V1390)*W1390</f>
        <v>30.772000000000006</v>
      </c>
      <c r="AD1390" s="138">
        <v>109.9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106</v>
      </c>
      <c r="G1391" s="97">
        <v>46132</v>
      </c>
      <c r="H1391" s="98">
        <v>0.5063310185185185</v>
      </c>
      <c r="I1391" s="50">
        <v>166004710</v>
      </c>
      <c r="J1391" s="96" t="s">
        <v>157</v>
      </c>
      <c r="K1391" s="49" t="s">
        <v>188</v>
      </c>
      <c r="L1391" s="39" t="s">
        <v>189</v>
      </c>
      <c r="M1391" s="49" t="s">
        <v>190</v>
      </c>
      <c r="N1391" s="39" t="s">
        <v>191</v>
      </c>
      <c r="O1391" s="96" t="s">
        <v>192</v>
      </c>
      <c r="P1391" s="49" t="s">
        <v>157</v>
      </c>
      <c r="Q1391" s="96" t="s">
        <v>104</v>
      </c>
      <c r="R1391" s="52">
        <v>49.9</v>
      </c>
      <c r="S1391" s="52">
        <f>R1391-T1391</f>
        <v>44.55357142857143</v>
      </c>
      <c r="T1391" s="52">
        <f>R1391*U1391/(U1391+100)</f>
        <v>5.346428571428571</v>
      </c>
      <c r="U1391" s="50">
        <v>12</v>
      </c>
      <c r="V1391" s="53">
        <v>0</v>
      </c>
      <c r="W1391" s="147">
        <v>0.27</v>
      </c>
      <c r="X1391" s="148" t="s">
        <v>193</v>
      </c>
      <c r="Y1391" s="54">
        <f>R1391*W1391</f>
        <v>13.473</v>
      </c>
      <c r="Z1391" s="52">
        <f>S1391*W1391</f>
        <v>12.029464285714287</v>
      </c>
      <c r="AA1391" s="52">
        <f>T1391*W1391</f>
        <v>1.4435357142857141</v>
      </c>
      <c r="AB1391" s="52">
        <f>V1391*W1391</f>
        <v>0</v>
      </c>
      <c r="AC1391" s="53">
        <f>(R1391+V1391)*W1391</f>
        <v>13.473</v>
      </c>
      <c r="AD1391" s="138">
        <v>49.9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106</v>
      </c>
      <c r="G1392" s="97">
        <v>46132</v>
      </c>
      <c r="H1392" s="98">
        <v>0.5063310185185185</v>
      </c>
      <c r="I1392" s="50">
        <v>166004710</v>
      </c>
      <c r="J1392" s="96" t="s">
        <v>157</v>
      </c>
      <c r="K1392" s="49" t="s">
        <v>2478</v>
      </c>
      <c r="L1392" s="39" t="s">
        <v>104</v>
      </c>
      <c r="M1392" s="49" t="s">
        <v>190</v>
      </c>
      <c r="N1392" s="39" t="s">
        <v>462</v>
      </c>
      <c r="O1392" s="96" t="s">
        <v>2479</v>
      </c>
      <c r="P1392" s="49" t="s">
        <v>157</v>
      </c>
      <c r="Q1392" s="96" t="s">
        <v>104</v>
      </c>
      <c r="R1392" s="52">
        <v>59.9</v>
      </c>
      <c r="S1392" s="52">
        <f>R1392-T1392</f>
        <v>53.482142857142854</v>
      </c>
      <c r="T1392" s="52">
        <f>R1392*U1392/(U1392+100)</f>
        <v>6.417857142857143</v>
      </c>
      <c r="U1392" s="50">
        <v>12</v>
      </c>
      <c r="V1392" s="53">
        <v>0</v>
      </c>
      <c r="W1392" s="147">
        <v>1</v>
      </c>
      <c r="X1392" s="148" t="s">
        <v>163</v>
      </c>
      <c r="Y1392" s="54">
        <f>R1392*W1392</f>
        <v>59.9</v>
      </c>
      <c r="Z1392" s="52">
        <f>S1392*W1392</f>
        <v>53.482142857142854</v>
      </c>
      <c r="AA1392" s="52">
        <f>T1392*W1392</f>
        <v>6.417857142857143</v>
      </c>
      <c r="AB1392" s="52">
        <f>V1392*W1392</f>
        <v>0</v>
      </c>
      <c r="AC1392" s="53">
        <f>(R1392+V1392)*W1392</f>
        <v>59.9</v>
      </c>
      <c r="AD1392" s="138">
        <v>59.9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106</v>
      </c>
      <c r="G1393" s="97">
        <v>46132</v>
      </c>
      <c r="H1393" s="98">
        <v>0.5063310185185185</v>
      </c>
      <c r="I1393" s="50">
        <v>166004710</v>
      </c>
      <c r="J1393" s="96" t="s">
        <v>157</v>
      </c>
      <c r="K1393" s="49" t="s">
        <v>293</v>
      </c>
      <c r="L1393" s="39" t="s">
        <v>294</v>
      </c>
      <c r="M1393" s="49" t="s">
        <v>295</v>
      </c>
      <c r="N1393" s="39" t="s">
        <v>296</v>
      </c>
      <c r="O1393" s="96" t="s">
        <v>297</v>
      </c>
      <c r="P1393" s="49" t="s">
        <v>157</v>
      </c>
      <c r="Q1393" s="96" t="s">
        <v>104</v>
      </c>
      <c r="R1393" s="52">
        <v>2.9</v>
      </c>
      <c r="S1393" s="52">
        <f>R1393-T1393</f>
        <v>2.5892857142857144</v>
      </c>
      <c r="T1393" s="52">
        <f>R1393*U1393/(U1393+100)</f>
        <v>0.31071428571428567</v>
      </c>
      <c r="U1393" s="50">
        <v>12</v>
      </c>
      <c r="V1393" s="53">
        <v>0</v>
      </c>
      <c r="W1393" s="147">
        <v>3</v>
      </c>
      <c r="X1393" s="148" t="s">
        <v>163</v>
      </c>
      <c r="Y1393" s="54">
        <f>R1393*W1393</f>
        <v>8.7</v>
      </c>
      <c r="Z1393" s="52">
        <f>S1393*W1393</f>
        <v>7.767857142857143</v>
      </c>
      <c r="AA1393" s="52">
        <f>T1393*W1393</f>
        <v>0.9321428571428569</v>
      </c>
      <c r="AB1393" s="52">
        <f>V1393*W1393</f>
        <v>0</v>
      </c>
      <c r="AC1393" s="53">
        <f>(R1393+V1393)*W1393</f>
        <v>8.7</v>
      </c>
      <c r="AD1393" s="138">
        <v>2.9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106</v>
      </c>
      <c r="G1394" s="97">
        <v>46132</v>
      </c>
      <c r="H1394" s="98">
        <v>0.506875</v>
      </c>
      <c r="I1394" s="50">
        <v>166004711</v>
      </c>
      <c r="J1394" s="96" t="s">
        <v>157</v>
      </c>
      <c r="K1394" s="49" t="s">
        <v>2480</v>
      </c>
      <c r="L1394" s="39" t="s">
        <v>2481</v>
      </c>
      <c r="M1394" s="49" t="s">
        <v>277</v>
      </c>
      <c r="N1394" s="39" t="s">
        <v>751</v>
      </c>
      <c r="O1394" s="96" t="s">
        <v>2482</v>
      </c>
      <c r="P1394" s="49" t="s">
        <v>235</v>
      </c>
      <c r="Q1394" s="96" t="s">
        <v>236</v>
      </c>
      <c r="R1394" s="52">
        <v>34.9</v>
      </c>
      <c r="S1394" s="52">
        <f>R1394-T1394</f>
        <v>31.160714285714285</v>
      </c>
      <c r="T1394" s="52">
        <f>R1394*U1394/(U1394+100)</f>
        <v>3.739285714285714</v>
      </c>
      <c r="U1394" s="50">
        <v>12</v>
      </c>
      <c r="V1394" s="53">
        <v>0</v>
      </c>
      <c r="W1394" s="147">
        <v>1</v>
      </c>
      <c r="X1394" s="148" t="s">
        <v>163</v>
      </c>
      <c r="Y1394" s="54">
        <f>R1394*W1394</f>
        <v>34.9</v>
      </c>
      <c r="Z1394" s="52">
        <f>S1394*W1394</f>
        <v>31.160714285714285</v>
      </c>
      <c r="AA1394" s="52">
        <f>T1394*W1394</f>
        <v>3.739285714285714</v>
      </c>
      <c r="AB1394" s="52">
        <f>V1394*W1394</f>
        <v>0</v>
      </c>
      <c r="AC1394" s="53">
        <f>(R1394+V1394)*W1394</f>
        <v>34.9</v>
      </c>
      <c r="AD1394" s="138">
        <v>34.9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106</v>
      </c>
      <c r="G1395" s="97">
        <v>46132</v>
      </c>
      <c r="H1395" s="98">
        <v>0.506875</v>
      </c>
      <c r="I1395" s="50">
        <v>166004711</v>
      </c>
      <c r="J1395" s="96" t="s">
        <v>157</v>
      </c>
      <c r="K1395" s="49" t="s">
        <v>2480</v>
      </c>
      <c r="L1395" s="39" t="s">
        <v>2481</v>
      </c>
      <c r="M1395" s="49" t="s">
        <v>277</v>
      </c>
      <c r="N1395" s="39" t="s">
        <v>751</v>
      </c>
      <c r="O1395" s="96" t="s">
        <v>2482</v>
      </c>
      <c r="P1395" s="49" t="s">
        <v>235</v>
      </c>
      <c r="Q1395" s="96" t="s">
        <v>236</v>
      </c>
      <c r="R1395" s="52">
        <v>34.9</v>
      </c>
      <c r="S1395" s="52">
        <f>R1395-T1395</f>
        <v>31.160714285714285</v>
      </c>
      <c r="T1395" s="52">
        <f>R1395*U1395/(U1395+100)</f>
        <v>3.739285714285714</v>
      </c>
      <c r="U1395" s="50">
        <v>12</v>
      </c>
      <c r="V1395" s="53">
        <v>0</v>
      </c>
      <c r="W1395" s="147">
        <v>1</v>
      </c>
      <c r="X1395" s="148" t="s">
        <v>163</v>
      </c>
      <c r="Y1395" s="54">
        <f>R1395*W1395</f>
        <v>34.9</v>
      </c>
      <c r="Z1395" s="52">
        <f>S1395*W1395</f>
        <v>31.160714285714285</v>
      </c>
      <c r="AA1395" s="52">
        <f>T1395*W1395</f>
        <v>3.739285714285714</v>
      </c>
      <c r="AB1395" s="52">
        <f>V1395*W1395</f>
        <v>0</v>
      </c>
      <c r="AC1395" s="53">
        <f>(R1395+V1395)*W1395</f>
        <v>34.9</v>
      </c>
      <c r="AD1395" s="138">
        <v>34.9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106</v>
      </c>
      <c r="G1396" s="97">
        <v>46132</v>
      </c>
      <c r="H1396" s="98">
        <v>0.506875</v>
      </c>
      <c r="I1396" s="50">
        <v>166004711</v>
      </c>
      <c r="J1396" s="96" t="s">
        <v>157</v>
      </c>
      <c r="K1396" s="49" t="s">
        <v>1275</v>
      </c>
      <c r="L1396" s="39" t="s">
        <v>1276</v>
      </c>
      <c r="M1396" s="49" t="s">
        <v>214</v>
      </c>
      <c r="N1396" s="39" t="s">
        <v>501</v>
      </c>
      <c r="O1396" s="96" t="s">
        <v>1277</v>
      </c>
      <c r="P1396" s="49" t="s">
        <v>157</v>
      </c>
      <c r="Q1396" s="96" t="s">
        <v>104</v>
      </c>
      <c r="R1396" s="52">
        <v>13.9</v>
      </c>
      <c r="S1396" s="52">
        <f>R1396-T1396</f>
        <v>12.410714285714286</v>
      </c>
      <c r="T1396" s="52">
        <f>R1396*U1396/(U1396+100)</f>
        <v>1.4892857142857143</v>
      </c>
      <c r="U1396" s="50">
        <v>12</v>
      </c>
      <c r="V1396" s="53">
        <v>0</v>
      </c>
      <c r="W1396" s="147">
        <v>2</v>
      </c>
      <c r="X1396" s="148" t="s">
        <v>163</v>
      </c>
      <c r="Y1396" s="54">
        <f>R1396*W1396</f>
        <v>27.8</v>
      </c>
      <c r="Z1396" s="52">
        <f>S1396*W1396</f>
        <v>24.821428571428573</v>
      </c>
      <c r="AA1396" s="52">
        <f>T1396*W1396</f>
        <v>2.9785714285714286</v>
      </c>
      <c r="AB1396" s="52">
        <f>V1396*W1396</f>
        <v>0</v>
      </c>
      <c r="AC1396" s="53">
        <f>(R1396+V1396)*W1396</f>
        <v>27.8</v>
      </c>
      <c r="AD1396" s="138">
        <v>13.9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106</v>
      </c>
      <c r="G1397" s="97">
        <v>46132</v>
      </c>
      <c r="H1397" s="98">
        <v>0.506875</v>
      </c>
      <c r="I1397" s="50">
        <v>166004711</v>
      </c>
      <c r="J1397" s="96" t="s">
        <v>157</v>
      </c>
      <c r="K1397" s="49" t="s">
        <v>1688</v>
      </c>
      <c r="L1397" s="39" t="s">
        <v>1689</v>
      </c>
      <c r="M1397" s="49" t="s">
        <v>862</v>
      </c>
      <c r="N1397" s="39" t="s">
        <v>863</v>
      </c>
      <c r="O1397" s="96" t="s">
        <v>1690</v>
      </c>
      <c r="P1397" s="49" t="s">
        <v>157</v>
      </c>
      <c r="Q1397" s="96" t="s">
        <v>104</v>
      </c>
      <c r="R1397" s="52">
        <v>159</v>
      </c>
      <c r="S1397" s="52">
        <f>R1397-T1397</f>
        <v>131.40495867768595</v>
      </c>
      <c r="T1397" s="52">
        <f>R1397*U1397/(U1397+100)</f>
        <v>27.59504132231405</v>
      </c>
      <c r="U1397" s="50">
        <v>21</v>
      </c>
      <c r="V1397" s="53">
        <v>0</v>
      </c>
      <c r="W1397" s="147">
        <v>1</v>
      </c>
      <c r="X1397" s="148" t="s">
        <v>163</v>
      </c>
      <c r="Y1397" s="54">
        <f>R1397*W1397</f>
        <v>159</v>
      </c>
      <c r="Z1397" s="52">
        <f>S1397*W1397</f>
        <v>131.40495867768595</v>
      </c>
      <c r="AA1397" s="52">
        <f>T1397*W1397</f>
        <v>27.59504132231405</v>
      </c>
      <c r="AB1397" s="52">
        <f>V1397*W1397</f>
        <v>0</v>
      </c>
      <c r="AC1397" s="53">
        <f>(R1397+V1397)*W1397</f>
        <v>159</v>
      </c>
      <c r="AD1397" s="138">
        <v>159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106</v>
      </c>
      <c r="G1398" s="97">
        <v>46132</v>
      </c>
      <c r="H1398" s="98">
        <v>0.5421296296296296</v>
      </c>
      <c r="I1398" s="50">
        <v>166004712</v>
      </c>
      <c r="J1398" s="96" t="s">
        <v>157</v>
      </c>
      <c r="K1398" s="49" t="s">
        <v>2483</v>
      </c>
      <c r="L1398" s="39" t="s">
        <v>2484</v>
      </c>
      <c r="M1398" s="49" t="s">
        <v>219</v>
      </c>
      <c r="N1398" s="39" t="s">
        <v>244</v>
      </c>
      <c r="O1398" s="96" t="s">
        <v>2485</v>
      </c>
      <c r="P1398" s="49" t="s">
        <v>157</v>
      </c>
      <c r="Q1398" s="96" t="s">
        <v>104</v>
      </c>
      <c r="R1398" s="52">
        <v>35.9</v>
      </c>
      <c r="S1398" s="52">
        <f>R1398-T1398</f>
        <v>32.05357142857143</v>
      </c>
      <c r="T1398" s="52">
        <f>R1398*U1398/(U1398+100)</f>
        <v>3.846428571428571</v>
      </c>
      <c r="U1398" s="50">
        <v>12</v>
      </c>
      <c r="V1398" s="53">
        <v>0</v>
      </c>
      <c r="W1398" s="147">
        <v>1</v>
      </c>
      <c r="X1398" s="148" t="s">
        <v>163</v>
      </c>
      <c r="Y1398" s="54">
        <f>R1398*W1398</f>
        <v>35.9</v>
      </c>
      <c r="Z1398" s="52">
        <f>S1398*W1398</f>
        <v>32.05357142857143</v>
      </c>
      <c r="AA1398" s="52">
        <f>T1398*W1398</f>
        <v>3.846428571428571</v>
      </c>
      <c r="AB1398" s="52">
        <f>V1398*W1398</f>
        <v>0</v>
      </c>
      <c r="AC1398" s="53">
        <f>(R1398+V1398)*W1398</f>
        <v>35.9</v>
      </c>
      <c r="AD1398" s="138">
        <v>35.9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106</v>
      </c>
      <c r="G1399" s="97">
        <v>46132</v>
      </c>
      <c r="H1399" s="98">
        <v>0.5421296296296296</v>
      </c>
      <c r="I1399" s="50">
        <v>166004712</v>
      </c>
      <c r="J1399" s="96" t="s">
        <v>157</v>
      </c>
      <c r="K1399" s="49" t="s">
        <v>2486</v>
      </c>
      <c r="L1399" s="39" t="s">
        <v>2487</v>
      </c>
      <c r="M1399" s="49" t="s">
        <v>219</v>
      </c>
      <c r="N1399" s="39" t="s">
        <v>167</v>
      </c>
      <c r="O1399" s="96" t="s">
        <v>2488</v>
      </c>
      <c r="P1399" s="49" t="s">
        <v>157</v>
      </c>
      <c r="Q1399" s="96" t="s">
        <v>104</v>
      </c>
      <c r="R1399" s="52">
        <v>27.9</v>
      </c>
      <c r="S1399" s="52">
        <f>R1399-T1399</f>
        <v>23.05785123966942</v>
      </c>
      <c r="T1399" s="52">
        <f>R1399*U1399/(U1399+100)</f>
        <v>4.842148760330578</v>
      </c>
      <c r="U1399" s="50">
        <v>21</v>
      </c>
      <c r="V1399" s="53">
        <v>0</v>
      </c>
      <c r="W1399" s="147">
        <v>1</v>
      </c>
      <c r="X1399" s="148" t="s">
        <v>163</v>
      </c>
      <c r="Y1399" s="54">
        <f>R1399*W1399</f>
        <v>27.9</v>
      </c>
      <c r="Z1399" s="52">
        <f>S1399*W1399</f>
        <v>23.05785123966942</v>
      </c>
      <c r="AA1399" s="52">
        <f>T1399*W1399</f>
        <v>4.842148760330578</v>
      </c>
      <c r="AB1399" s="52">
        <f>V1399*W1399</f>
        <v>0</v>
      </c>
      <c r="AC1399" s="53">
        <f>(R1399+V1399)*W1399</f>
        <v>27.9</v>
      </c>
      <c r="AD1399" s="138">
        <v>27.9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106</v>
      </c>
      <c r="G1400" s="97">
        <v>46132</v>
      </c>
      <c r="H1400" s="98">
        <v>0.5425347222222222</v>
      </c>
      <c r="I1400" s="50">
        <v>166004713</v>
      </c>
      <c r="J1400" s="96" t="s">
        <v>157</v>
      </c>
      <c r="K1400" s="49" t="s">
        <v>2486</v>
      </c>
      <c r="L1400" s="39" t="s">
        <v>2487</v>
      </c>
      <c r="M1400" s="49" t="s">
        <v>219</v>
      </c>
      <c r="N1400" s="39" t="s">
        <v>167</v>
      </c>
      <c r="O1400" s="96" t="s">
        <v>2488</v>
      </c>
      <c r="P1400" s="49" t="s">
        <v>157</v>
      </c>
      <c r="Q1400" s="96" t="s">
        <v>104</v>
      </c>
      <c r="R1400" s="52">
        <v>27.9</v>
      </c>
      <c r="S1400" s="52">
        <f>R1400-T1400</f>
        <v>23.05785123966942</v>
      </c>
      <c r="T1400" s="52">
        <f>R1400*U1400/(U1400+100)</f>
        <v>4.842148760330578</v>
      </c>
      <c r="U1400" s="50">
        <v>21</v>
      </c>
      <c r="V1400" s="53">
        <v>0</v>
      </c>
      <c r="W1400" s="147">
        <v>1</v>
      </c>
      <c r="X1400" s="148" t="s">
        <v>163</v>
      </c>
      <c r="Y1400" s="54">
        <f>R1400*W1400</f>
        <v>27.9</v>
      </c>
      <c r="Z1400" s="52">
        <f>S1400*W1400</f>
        <v>23.05785123966942</v>
      </c>
      <c r="AA1400" s="52">
        <f>T1400*W1400</f>
        <v>4.842148760330578</v>
      </c>
      <c r="AB1400" s="52">
        <f>V1400*W1400</f>
        <v>0</v>
      </c>
      <c r="AC1400" s="53">
        <f>(R1400+V1400)*W1400</f>
        <v>27.9</v>
      </c>
      <c r="AD1400" s="138">
        <v>27.9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106</v>
      </c>
      <c r="G1401" s="97">
        <v>46132</v>
      </c>
      <c r="H1401" s="98">
        <v>0.5425347222222222</v>
      </c>
      <c r="I1401" s="50">
        <v>166004713</v>
      </c>
      <c r="J1401" s="96" t="s">
        <v>157</v>
      </c>
      <c r="K1401" s="49" t="s">
        <v>2489</v>
      </c>
      <c r="L1401" s="39" t="s">
        <v>2490</v>
      </c>
      <c r="M1401" s="49" t="s">
        <v>1311</v>
      </c>
      <c r="N1401" s="39" t="s">
        <v>167</v>
      </c>
      <c r="O1401" s="96" t="s">
        <v>2491</v>
      </c>
      <c r="P1401" s="49" t="s">
        <v>157</v>
      </c>
      <c r="Q1401" s="96" t="s">
        <v>104</v>
      </c>
      <c r="R1401" s="52">
        <v>67.9</v>
      </c>
      <c r="S1401" s="52">
        <f>R1401-T1401</f>
        <v>56.11570247933885</v>
      </c>
      <c r="T1401" s="52">
        <f>R1401*U1401/(U1401+100)</f>
        <v>11.784297520661157</v>
      </c>
      <c r="U1401" s="50">
        <v>21</v>
      </c>
      <c r="V1401" s="53">
        <v>0</v>
      </c>
      <c r="W1401" s="147">
        <v>1</v>
      </c>
      <c r="X1401" s="148" t="s">
        <v>163</v>
      </c>
      <c r="Y1401" s="54">
        <f>R1401*W1401</f>
        <v>67.9</v>
      </c>
      <c r="Z1401" s="52">
        <f>S1401*W1401</f>
        <v>56.11570247933885</v>
      </c>
      <c r="AA1401" s="52">
        <f>T1401*W1401</f>
        <v>11.784297520661157</v>
      </c>
      <c r="AB1401" s="52">
        <f>V1401*W1401</f>
        <v>0</v>
      </c>
      <c r="AC1401" s="53">
        <f>(R1401+V1401)*W1401</f>
        <v>67.9</v>
      </c>
      <c r="AD1401" s="138">
        <v>67.9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106</v>
      </c>
      <c r="G1402" s="97">
        <v>46132</v>
      </c>
      <c r="H1402" s="98">
        <v>0.5437731481481481</v>
      </c>
      <c r="I1402" s="50">
        <v>166004714</v>
      </c>
      <c r="J1402" s="96" t="s">
        <v>157</v>
      </c>
      <c r="K1402" s="49" t="s">
        <v>680</v>
      </c>
      <c r="L1402" s="39" t="s">
        <v>681</v>
      </c>
      <c r="M1402" s="49" t="s">
        <v>190</v>
      </c>
      <c r="N1402" s="39" t="s">
        <v>532</v>
      </c>
      <c r="O1402" s="96" t="s">
        <v>682</v>
      </c>
      <c r="P1402" s="49" t="s">
        <v>157</v>
      </c>
      <c r="Q1402" s="96" t="s">
        <v>104</v>
      </c>
      <c r="R1402" s="52">
        <v>24.9</v>
      </c>
      <c r="S1402" s="52">
        <f>R1402-T1402</f>
        <v>22.232142857142858</v>
      </c>
      <c r="T1402" s="52">
        <f>R1402*U1402/(U1402+100)</f>
        <v>2.6678571428571423</v>
      </c>
      <c r="U1402" s="50">
        <v>12</v>
      </c>
      <c r="V1402" s="53">
        <v>0</v>
      </c>
      <c r="W1402" s="147">
        <v>0.24</v>
      </c>
      <c r="X1402" s="148" t="s">
        <v>193</v>
      </c>
      <c r="Y1402" s="54">
        <f>R1402*W1402</f>
        <v>5.975999999999999</v>
      </c>
      <c r="Z1402" s="52">
        <f>S1402*W1402</f>
        <v>5.335714285714285</v>
      </c>
      <c r="AA1402" s="52">
        <f>T1402*W1402</f>
        <v>0.6402857142857141</v>
      </c>
      <c r="AB1402" s="52">
        <f>V1402*W1402</f>
        <v>0</v>
      </c>
      <c r="AC1402" s="53">
        <f>(R1402+V1402)*W1402</f>
        <v>5.975999999999999</v>
      </c>
      <c r="AD1402" s="138">
        <v>24.9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106</v>
      </c>
      <c r="G1403" s="97">
        <v>46132</v>
      </c>
      <c r="H1403" s="98">
        <v>0.5454282407407407</v>
      </c>
      <c r="I1403" s="50">
        <v>166004715</v>
      </c>
      <c r="J1403" s="96" t="s">
        <v>157</v>
      </c>
      <c r="K1403" s="49" t="s">
        <v>2398</v>
      </c>
      <c r="L1403" s="39" t="s">
        <v>2399</v>
      </c>
      <c r="M1403" s="49" t="s">
        <v>862</v>
      </c>
      <c r="N1403" s="39" t="s">
        <v>863</v>
      </c>
      <c r="O1403" s="96" t="s">
        <v>2400</v>
      </c>
      <c r="P1403" s="49" t="s">
        <v>157</v>
      </c>
      <c r="Q1403" s="96" t="s">
        <v>104</v>
      </c>
      <c r="R1403" s="52">
        <v>145</v>
      </c>
      <c r="S1403" s="52">
        <f>R1403-T1403</f>
        <v>119.83471074380165</v>
      </c>
      <c r="T1403" s="52">
        <f>R1403*U1403/(U1403+100)</f>
        <v>25.165289256198346</v>
      </c>
      <c r="U1403" s="50">
        <v>21</v>
      </c>
      <c r="V1403" s="53">
        <v>0</v>
      </c>
      <c r="W1403" s="147">
        <v>1</v>
      </c>
      <c r="X1403" s="148" t="s">
        <v>163</v>
      </c>
      <c r="Y1403" s="54">
        <f>R1403*W1403</f>
        <v>145</v>
      </c>
      <c r="Z1403" s="52">
        <f>S1403*W1403</f>
        <v>119.83471074380165</v>
      </c>
      <c r="AA1403" s="52">
        <f>T1403*W1403</f>
        <v>25.165289256198346</v>
      </c>
      <c r="AB1403" s="52">
        <f>V1403*W1403</f>
        <v>0</v>
      </c>
      <c r="AC1403" s="53">
        <f>(R1403+V1403)*W1403</f>
        <v>145</v>
      </c>
      <c r="AD1403" s="138">
        <v>145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106</v>
      </c>
      <c r="G1404" s="97">
        <v>46132</v>
      </c>
      <c r="H1404" s="98">
        <v>0.5454282407407407</v>
      </c>
      <c r="I1404" s="50">
        <v>166004715</v>
      </c>
      <c r="J1404" s="96" t="s">
        <v>157</v>
      </c>
      <c r="K1404" s="49" t="s">
        <v>2398</v>
      </c>
      <c r="L1404" s="39" t="s">
        <v>2399</v>
      </c>
      <c r="M1404" s="49" t="s">
        <v>862</v>
      </c>
      <c r="N1404" s="39" t="s">
        <v>863</v>
      </c>
      <c r="O1404" s="96" t="s">
        <v>2400</v>
      </c>
      <c r="P1404" s="49" t="s">
        <v>157</v>
      </c>
      <c r="Q1404" s="96" t="s">
        <v>104</v>
      </c>
      <c r="R1404" s="52">
        <v>145</v>
      </c>
      <c r="S1404" s="52">
        <f>R1404-T1404</f>
        <v>119.83471074380165</v>
      </c>
      <c r="T1404" s="52">
        <f>R1404*U1404/(U1404+100)</f>
        <v>25.165289256198346</v>
      </c>
      <c r="U1404" s="50">
        <v>21</v>
      </c>
      <c r="V1404" s="53">
        <v>0</v>
      </c>
      <c r="W1404" s="147">
        <v>1</v>
      </c>
      <c r="X1404" s="148" t="s">
        <v>163</v>
      </c>
      <c r="Y1404" s="54">
        <f>R1404*W1404</f>
        <v>145</v>
      </c>
      <c r="Z1404" s="52">
        <f>S1404*W1404</f>
        <v>119.83471074380165</v>
      </c>
      <c r="AA1404" s="52">
        <f>T1404*W1404</f>
        <v>25.165289256198346</v>
      </c>
      <c r="AB1404" s="52">
        <f>V1404*W1404</f>
        <v>0</v>
      </c>
      <c r="AC1404" s="53">
        <f>(R1404+V1404)*W1404</f>
        <v>145</v>
      </c>
      <c r="AD1404" s="138">
        <v>145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106</v>
      </c>
      <c r="G1405" s="97">
        <v>46132</v>
      </c>
      <c r="H1405" s="98">
        <v>0.5454282407407407</v>
      </c>
      <c r="I1405" s="50">
        <v>166004715</v>
      </c>
      <c r="J1405" s="96" t="s">
        <v>157</v>
      </c>
      <c r="K1405" s="49" t="s">
        <v>2398</v>
      </c>
      <c r="L1405" s="39" t="s">
        <v>2399</v>
      </c>
      <c r="M1405" s="49" t="s">
        <v>862</v>
      </c>
      <c r="N1405" s="39" t="s">
        <v>863</v>
      </c>
      <c r="O1405" s="96" t="s">
        <v>2400</v>
      </c>
      <c r="P1405" s="49" t="s">
        <v>157</v>
      </c>
      <c r="Q1405" s="96" t="s">
        <v>104</v>
      </c>
      <c r="R1405" s="52">
        <v>145</v>
      </c>
      <c r="S1405" s="52">
        <f>R1405-T1405</f>
        <v>119.83471074380165</v>
      </c>
      <c r="T1405" s="52">
        <f>R1405*U1405/(U1405+100)</f>
        <v>25.165289256198346</v>
      </c>
      <c r="U1405" s="50">
        <v>21</v>
      </c>
      <c r="V1405" s="53">
        <v>0</v>
      </c>
      <c r="W1405" s="147">
        <v>1</v>
      </c>
      <c r="X1405" s="148" t="s">
        <v>163</v>
      </c>
      <c r="Y1405" s="54">
        <f>R1405*W1405</f>
        <v>145</v>
      </c>
      <c r="Z1405" s="52">
        <f>S1405*W1405</f>
        <v>119.83471074380165</v>
      </c>
      <c r="AA1405" s="52">
        <f>T1405*W1405</f>
        <v>25.165289256198346</v>
      </c>
      <c r="AB1405" s="52">
        <f>V1405*W1405</f>
        <v>0</v>
      </c>
      <c r="AC1405" s="53">
        <f>(R1405+V1405)*W1405</f>
        <v>145</v>
      </c>
      <c r="AD1405" s="138">
        <v>145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106</v>
      </c>
      <c r="G1406" s="97">
        <v>46132</v>
      </c>
      <c r="H1406" s="98">
        <v>0.5454282407407407</v>
      </c>
      <c r="I1406" s="50">
        <v>166004715</v>
      </c>
      <c r="J1406" s="96" t="s">
        <v>157</v>
      </c>
      <c r="K1406" s="49" t="s">
        <v>2398</v>
      </c>
      <c r="L1406" s="39" t="s">
        <v>2399</v>
      </c>
      <c r="M1406" s="49" t="s">
        <v>862</v>
      </c>
      <c r="N1406" s="39" t="s">
        <v>863</v>
      </c>
      <c r="O1406" s="96" t="s">
        <v>2400</v>
      </c>
      <c r="P1406" s="49" t="s">
        <v>157</v>
      </c>
      <c r="Q1406" s="96" t="s">
        <v>104</v>
      </c>
      <c r="R1406" s="52">
        <v>145</v>
      </c>
      <c r="S1406" s="52">
        <f>R1406-T1406</f>
        <v>119.83471074380165</v>
      </c>
      <c r="T1406" s="52">
        <f>R1406*U1406/(U1406+100)</f>
        <v>25.165289256198346</v>
      </c>
      <c r="U1406" s="50">
        <v>21</v>
      </c>
      <c r="V1406" s="53">
        <v>0</v>
      </c>
      <c r="W1406" s="147">
        <v>1</v>
      </c>
      <c r="X1406" s="148" t="s">
        <v>163</v>
      </c>
      <c r="Y1406" s="54">
        <f>R1406*W1406</f>
        <v>145</v>
      </c>
      <c r="Z1406" s="52">
        <f>S1406*W1406</f>
        <v>119.83471074380165</v>
      </c>
      <c r="AA1406" s="52">
        <f>T1406*W1406</f>
        <v>25.165289256198346</v>
      </c>
      <c r="AB1406" s="52">
        <f>V1406*W1406</f>
        <v>0</v>
      </c>
      <c r="AC1406" s="53">
        <f>(R1406+V1406)*W1406</f>
        <v>145</v>
      </c>
      <c r="AD1406" s="138">
        <v>145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106</v>
      </c>
      <c r="G1407" s="97">
        <v>46132</v>
      </c>
      <c r="H1407" s="98">
        <v>0.5454282407407407</v>
      </c>
      <c r="I1407" s="50">
        <v>166004715</v>
      </c>
      <c r="J1407" s="96" t="s">
        <v>157</v>
      </c>
      <c r="K1407" s="49" t="s">
        <v>2398</v>
      </c>
      <c r="L1407" s="39" t="s">
        <v>2399</v>
      </c>
      <c r="M1407" s="49" t="s">
        <v>862</v>
      </c>
      <c r="N1407" s="39" t="s">
        <v>863</v>
      </c>
      <c r="O1407" s="96" t="s">
        <v>2400</v>
      </c>
      <c r="P1407" s="49" t="s">
        <v>157</v>
      </c>
      <c r="Q1407" s="96" t="s">
        <v>104</v>
      </c>
      <c r="R1407" s="52">
        <v>145</v>
      </c>
      <c r="S1407" s="52">
        <f>R1407-T1407</f>
        <v>119.83471074380165</v>
      </c>
      <c r="T1407" s="52">
        <f>R1407*U1407/(U1407+100)</f>
        <v>25.165289256198346</v>
      </c>
      <c r="U1407" s="50">
        <v>21</v>
      </c>
      <c r="V1407" s="53">
        <v>0</v>
      </c>
      <c r="W1407" s="147">
        <v>1</v>
      </c>
      <c r="X1407" s="148" t="s">
        <v>163</v>
      </c>
      <c r="Y1407" s="54">
        <f>R1407*W1407</f>
        <v>145</v>
      </c>
      <c r="Z1407" s="52">
        <f>S1407*W1407</f>
        <v>119.83471074380165</v>
      </c>
      <c r="AA1407" s="52">
        <f>T1407*W1407</f>
        <v>25.165289256198346</v>
      </c>
      <c r="AB1407" s="52">
        <f>V1407*W1407</f>
        <v>0</v>
      </c>
      <c r="AC1407" s="53">
        <f>(R1407+V1407)*W1407</f>
        <v>145</v>
      </c>
      <c r="AD1407" s="138">
        <v>145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106</v>
      </c>
      <c r="G1408" s="97">
        <v>46132</v>
      </c>
      <c r="H1408" s="98">
        <v>0.5454282407407407</v>
      </c>
      <c r="I1408" s="50">
        <v>166004715</v>
      </c>
      <c r="J1408" s="96" t="s">
        <v>157</v>
      </c>
      <c r="K1408" s="49" t="s">
        <v>2398</v>
      </c>
      <c r="L1408" s="39" t="s">
        <v>2399</v>
      </c>
      <c r="M1408" s="49" t="s">
        <v>862</v>
      </c>
      <c r="N1408" s="39" t="s">
        <v>863</v>
      </c>
      <c r="O1408" s="96" t="s">
        <v>2400</v>
      </c>
      <c r="P1408" s="49" t="s">
        <v>157</v>
      </c>
      <c r="Q1408" s="96" t="s">
        <v>104</v>
      </c>
      <c r="R1408" s="52">
        <v>145</v>
      </c>
      <c r="S1408" s="52">
        <f>R1408-T1408</f>
        <v>119.83471074380165</v>
      </c>
      <c r="T1408" s="52">
        <f>R1408*U1408/(U1408+100)</f>
        <v>25.165289256198346</v>
      </c>
      <c r="U1408" s="50">
        <v>21</v>
      </c>
      <c r="V1408" s="53">
        <v>0</v>
      </c>
      <c r="W1408" s="147">
        <v>1</v>
      </c>
      <c r="X1408" s="148" t="s">
        <v>163</v>
      </c>
      <c r="Y1408" s="54">
        <f>R1408*W1408</f>
        <v>145</v>
      </c>
      <c r="Z1408" s="52">
        <f>S1408*W1408</f>
        <v>119.83471074380165</v>
      </c>
      <c r="AA1408" s="52">
        <f>T1408*W1408</f>
        <v>25.165289256198346</v>
      </c>
      <c r="AB1408" s="52">
        <f>V1408*W1408</f>
        <v>0</v>
      </c>
      <c r="AC1408" s="53">
        <f>(R1408+V1408)*W1408</f>
        <v>145</v>
      </c>
      <c r="AD1408" s="138">
        <v>145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106</v>
      </c>
      <c r="G1409" s="97">
        <v>46132</v>
      </c>
      <c r="H1409" s="98">
        <v>0.5454282407407407</v>
      </c>
      <c r="I1409" s="50">
        <v>166004715</v>
      </c>
      <c r="J1409" s="96" t="s">
        <v>157</v>
      </c>
      <c r="K1409" s="49" t="s">
        <v>2398</v>
      </c>
      <c r="L1409" s="39" t="s">
        <v>2399</v>
      </c>
      <c r="M1409" s="49" t="s">
        <v>862</v>
      </c>
      <c r="N1409" s="39" t="s">
        <v>863</v>
      </c>
      <c r="O1409" s="96" t="s">
        <v>2400</v>
      </c>
      <c r="P1409" s="49" t="s">
        <v>157</v>
      </c>
      <c r="Q1409" s="96" t="s">
        <v>104</v>
      </c>
      <c r="R1409" s="52">
        <v>145</v>
      </c>
      <c r="S1409" s="52">
        <f>R1409-T1409</f>
        <v>119.83471074380165</v>
      </c>
      <c r="T1409" s="52">
        <f>R1409*U1409/(U1409+100)</f>
        <v>25.165289256198346</v>
      </c>
      <c r="U1409" s="50">
        <v>21</v>
      </c>
      <c r="V1409" s="53">
        <v>0</v>
      </c>
      <c r="W1409" s="147">
        <v>1</v>
      </c>
      <c r="X1409" s="148" t="s">
        <v>163</v>
      </c>
      <c r="Y1409" s="54">
        <f>R1409*W1409</f>
        <v>145</v>
      </c>
      <c r="Z1409" s="52">
        <f>S1409*W1409</f>
        <v>119.83471074380165</v>
      </c>
      <c r="AA1409" s="52">
        <f>T1409*W1409</f>
        <v>25.165289256198346</v>
      </c>
      <c r="AB1409" s="52">
        <f>V1409*W1409</f>
        <v>0</v>
      </c>
      <c r="AC1409" s="53">
        <f>(R1409+V1409)*W1409</f>
        <v>145</v>
      </c>
      <c r="AD1409" s="138">
        <v>145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106</v>
      </c>
      <c r="G1410" s="97">
        <v>46132</v>
      </c>
      <c r="H1410" s="98">
        <v>0.5454282407407407</v>
      </c>
      <c r="I1410" s="50">
        <v>166004715</v>
      </c>
      <c r="J1410" s="96" t="s">
        <v>157</v>
      </c>
      <c r="K1410" s="49" t="s">
        <v>2398</v>
      </c>
      <c r="L1410" s="39" t="s">
        <v>2399</v>
      </c>
      <c r="M1410" s="49" t="s">
        <v>862</v>
      </c>
      <c r="N1410" s="39" t="s">
        <v>863</v>
      </c>
      <c r="O1410" s="96" t="s">
        <v>2400</v>
      </c>
      <c r="P1410" s="49" t="s">
        <v>157</v>
      </c>
      <c r="Q1410" s="96" t="s">
        <v>104</v>
      </c>
      <c r="R1410" s="52">
        <v>145</v>
      </c>
      <c r="S1410" s="52">
        <f>R1410-T1410</f>
        <v>119.83471074380165</v>
      </c>
      <c r="T1410" s="52">
        <f>R1410*U1410/(U1410+100)</f>
        <v>25.165289256198346</v>
      </c>
      <c r="U1410" s="50">
        <v>21</v>
      </c>
      <c r="V1410" s="53">
        <v>0</v>
      </c>
      <c r="W1410" s="147">
        <v>1</v>
      </c>
      <c r="X1410" s="148" t="s">
        <v>163</v>
      </c>
      <c r="Y1410" s="54">
        <f>R1410*W1410</f>
        <v>145</v>
      </c>
      <c r="Z1410" s="52">
        <f>S1410*W1410</f>
        <v>119.83471074380165</v>
      </c>
      <c r="AA1410" s="52">
        <f>T1410*W1410</f>
        <v>25.165289256198346</v>
      </c>
      <c r="AB1410" s="52">
        <f>V1410*W1410</f>
        <v>0</v>
      </c>
      <c r="AC1410" s="53">
        <f>(R1410+V1410)*W1410</f>
        <v>145</v>
      </c>
      <c r="AD1410" s="138">
        <v>145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106</v>
      </c>
      <c r="G1411" s="97">
        <v>46132</v>
      </c>
      <c r="H1411" s="98">
        <v>0.5457407407407407</v>
      </c>
      <c r="I1411" s="50">
        <v>166004716</v>
      </c>
      <c r="J1411" s="96" t="s">
        <v>157</v>
      </c>
      <c r="K1411" s="49" t="s">
        <v>2483</v>
      </c>
      <c r="L1411" s="39" t="s">
        <v>2484</v>
      </c>
      <c r="M1411" s="49" t="s">
        <v>219</v>
      </c>
      <c r="N1411" s="39" t="s">
        <v>244</v>
      </c>
      <c r="O1411" s="96" t="s">
        <v>2485</v>
      </c>
      <c r="P1411" s="49" t="s">
        <v>157</v>
      </c>
      <c r="Q1411" s="96" t="s">
        <v>104</v>
      </c>
      <c r="R1411" s="52">
        <v>35.9</v>
      </c>
      <c r="S1411" s="52">
        <f>R1411-T1411</f>
        <v>32.05357142857143</v>
      </c>
      <c r="T1411" s="52">
        <f>R1411*U1411/(U1411+100)</f>
        <v>3.846428571428571</v>
      </c>
      <c r="U1411" s="50">
        <v>12</v>
      </c>
      <c r="V1411" s="53">
        <v>0</v>
      </c>
      <c r="W1411" s="147">
        <v>1</v>
      </c>
      <c r="X1411" s="148" t="s">
        <v>163</v>
      </c>
      <c r="Y1411" s="54">
        <f>R1411*W1411</f>
        <v>35.9</v>
      </c>
      <c r="Z1411" s="52">
        <f>S1411*W1411</f>
        <v>32.05357142857143</v>
      </c>
      <c r="AA1411" s="52">
        <f>T1411*W1411</f>
        <v>3.846428571428571</v>
      </c>
      <c r="AB1411" s="52">
        <f>V1411*W1411</f>
        <v>0</v>
      </c>
      <c r="AC1411" s="53">
        <f>(R1411+V1411)*W1411</f>
        <v>35.9</v>
      </c>
      <c r="AD1411" s="138">
        <v>35.9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106</v>
      </c>
      <c r="G1412" s="97">
        <v>46132</v>
      </c>
      <c r="H1412" s="98">
        <v>0.5457407407407407</v>
      </c>
      <c r="I1412" s="50">
        <v>166004716</v>
      </c>
      <c r="J1412" s="96" t="s">
        <v>157</v>
      </c>
      <c r="K1412" s="49" t="s">
        <v>2492</v>
      </c>
      <c r="L1412" s="39" t="s">
        <v>2493</v>
      </c>
      <c r="M1412" s="49" t="s">
        <v>671</v>
      </c>
      <c r="N1412" s="39" t="s">
        <v>404</v>
      </c>
      <c r="O1412" s="96" t="s">
        <v>2494</v>
      </c>
      <c r="P1412" s="49" t="s">
        <v>157</v>
      </c>
      <c r="Q1412" s="96" t="s">
        <v>104</v>
      </c>
      <c r="R1412" s="52">
        <v>16.9</v>
      </c>
      <c r="S1412" s="52">
        <f>R1412-T1412</f>
        <v>15.089285714285714</v>
      </c>
      <c r="T1412" s="52">
        <f>R1412*U1412/(U1412+100)</f>
        <v>1.8107142857142855</v>
      </c>
      <c r="U1412" s="50">
        <v>12</v>
      </c>
      <c r="V1412" s="53">
        <v>0</v>
      </c>
      <c r="W1412" s="147">
        <v>1</v>
      </c>
      <c r="X1412" s="148" t="s">
        <v>163</v>
      </c>
      <c r="Y1412" s="54">
        <f>R1412*W1412</f>
        <v>16.9</v>
      </c>
      <c r="Z1412" s="52">
        <f>S1412*W1412</f>
        <v>15.089285714285714</v>
      </c>
      <c r="AA1412" s="52">
        <f>T1412*W1412</f>
        <v>1.8107142857142855</v>
      </c>
      <c r="AB1412" s="52">
        <f>V1412*W1412</f>
        <v>0</v>
      </c>
      <c r="AC1412" s="53">
        <f>(R1412+V1412)*W1412</f>
        <v>16.9</v>
      </c>
      <c r="AD1412" s="138">
        <v>16.9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106</v>
      </c>
      <c r="G1413" s="97">
        <v>46132</v>
      </c>
      <c r="H1413" s="98">
        <v>0.5457407407407407</v>
      </c>
      <c r="I1413" s="50">
        <v>166004716</v>
      </c>
      <c r="J1413" s="96" t="s">
        <v>157</v>
      </c>
      <c r="K1413" s="49" t="s">
        <v>2495</v>
      </c>
      <c r="L1413" s="39" t="s">
        <v>2496</v>
      </c>
      <c r="M1413" s="49" t="s">
        <v>219</v>
      </c>
      <c r="N1413" s="39" t="s">
        <v>167</v>
      </c>
      <c r="O1413" s="96" t="s">
        <v>2497</v>
      </c>
      <c r="P1413" s="49" t="s">
        <v>157</v>
      </c>
      <c r="Q1413" s="96" t="s">
        <v>104</v>
      </c>
      <c r="R1413" s="52">
        <v>27.9</v>
      </c>
      <c r="S1413" s="52">
        <f>R1413-T1413</f>
        <v>23.05785123966942</v>
      </c>
      <c r="T1413" s="52">
        <f>R1413*U1413/(U1413+100)</f>
        <v>4.842148760330578</v>
      </c>
      <c r="U1413" s="50">
        <v>21</v>
      </c>
      <c r="V1413" s="53">
        <v>0</v>
      </c>
      <c r="W1413" s="147">
        <v>1</v>
      </c>
      <c r="X1413" s="148" t="s">
        <v>163</v>
      </c>
      <c r="Y1413" s="54">
        <f>R1413*W1413</f>
        <v>27.9</v>
      </c>
      <c r="Z1413" s="52">
        <f>S1413*W1413</f>
        <v>23.05785123966942</v>
      </c>
      <c r="AA1413" s="52">
        <f>T1413*W1413</f>
        <v>4.842148760330578</v>
      </c>
      <c r="AB1413" s="52">
        <f>V1413*W1413</f>
        <v>0</v>
      </c>
      <c r="AC1413" s="53">
        <f>(R1413+V1413)*W1413</f>
        <v>27.9</v>
      </c>
      <c r="AD1413" s="138">
        <v>27.9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106</v>
      </c>
      <c r="G1414" s="97">
        <v>46132</v>
      </c>
      <c r="H1414" s="98">
        <v>0.546886574074074</v>
      </c>
      <c r="I1414" s="50">
        <v>166004717</v>
      </c>
      <c r="J1414" s="96" t="s">
        <v>157</v>
      </c>
      <c r="K1414" s="49" t="s">
        <v>1918</v>
      </c>
      <c r="L1414" s="39" t="s">
        <v>1919</v>
      </c>
      <c r="M1414" s="49" t="s">
        <v>185</v>
      </c>
      <c r="N1414" s="39" t="s">
        <v>476</v>
      </c>
      <c r="O1414" s="96" t="s">
        <v>1920</v>
      </c>
      <c r="P1414" s="49" t="s">
        <v>157</v>
      </c>
      <c r="Q1414" s="96" t="s">
        <v>104</v>
      </c>
      <c r="R1414" s="52">
        <v>19.9</v>
      </c>
      <c r="S1414" s="52">
        <f>R1414-T1414</f>
        <v>17.767857142857142</v>
      </c>
      <c r="T1414" s="52">
        <f>R1414*U1414/(U1414+100)</f>
        <v>2.132142857142857</v>
      </c>
      <c r="U1414" s="50">
        <v>12</v>
      </c>
      <c r="V1414" s="53">
        <v>0</v>
      </c>
      <c r="W1414" s="147">
        <v>1</v>
      </c>
      <c r="X1414" s="148" t="s">
        <v>163</v>
      </c>
      <c r="Y1414" s="54">
        <f>R1414*W1414</f>
        <v>19.9</v>
      </c>
      <c r="Z1414" s="52">
        <f>S1414*W1414</f>
        <v>17.767857142857142</v>
      </c>
      <c r="AA1414" s="52">
        <f>T1414*W1414</f>
        <v>2.132142857142857</v>
      </c>
      <c r="AB1414" s="52">
        <f>V1414*W1414</f>
        <v>0</v>
      </c>
      <c r="AC1414" s="53">
        <f>(R1414+V1414)*W1414</f>
        <v>19.9</v>
      </c>
      <c r="AD1414" s="138">
        <v>19.9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106</v>
      </c>
      <c r="G1415" s="97">
        <v>46132</v>
      </c>
      <c r="H1415" s="98">
        <v>0.546886574074074</v>
      </c>
      <c r="I1415" s="50">
        <v>166004717</v>
      </c>
      <c r="J1415" s="96" t="s">
        <v>157</v>
      </c>
      <c r="K1415" s="49" t="s">
        <v>1918</v>
      </c>
      <c r="L1415" s="39" t="s">
        <v>1919</v>
      </c>
      <c r="M1415" s="49" t="s">
        <v>185</v>
      </c>
      <c r="N1415" s="39" t="s">
        <v>476</v>
      </c>
      <c r="O1415" s="96" t="s">
        <v>1920</v>
      </c>
      <c r="P1415" s="49" t="s">
        <v>157</v>
      </c>
      <c r="Q1415" s="96" t="s">
        <v>104</v>
      </c>
      <c r="R1415" s="52">
        <v>19.9</v>
      </c>
      <c r="S1415" s="52">
        <f>R1415-T1415</f>
        <v>17.767857142857142</v>
      </c>
      <c r="T1415" s="52">
        <f>R1415*U1415/(U1415+100)</f>
        <v>2.132142857142857</v>
      </c>
      <c r="U1415" s="50">
        <v>12</v>
      </c>
      <c r="V1415" s="53">
        <v>0</v>
      </c>
      <c r="W1415" s="147">
        <v>1</v>
      </c>
      <c r="X1415" s="148" t="s">
        <v>163</v>
      </c>
      <c r="Y1415" s="54">
        <f>R1415*W1415</f>
        <v>19.9</v>
      </c>
      <c r="Z1415" s="52">
        <f>S1415*W1415</f>
        <v>17.767857142857142</v>
      </c>
      <c r="AA1415" s="52">
        <f>T1415*W1415</f>
        <v>2.132142857142857</v>
      </c>
      <c r="AB1415" s="52">
        <f>V1415*W1415</f>
        <v>0</v>
      </c>
      <c r="AC1415" s="53">
        <f>(R1415+V1415)*W1415</f>
        <v>19.9</v>
      </c>
      <c r="AD1415" s="138">
        <v>19.9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106</v>
      </c>
      <c r="G1416" s="97">
        <v>46132</v>
      </c>
      <c r="H1416" s="98">
        <v>0.546886574074074</v>
      </c>
      <c r="I1416" s="50">
        <v>166004717</v>
      </c>
      <c r="J1416" s="96" t="s">
        <v>157</v>
      </c>
      <c r="K1416" s="49" t="s">
        <v>2498</v>
      </c>
      <c r="L1416" s="39" t="s">
        <v>2499</v>
      </c>
      <c r="M1416" s="49" t="s">
        <v>300</v>
      </c>
      <c r="N1416" s="39" t="s">
        <v>481</v>
      </c>
      <c r="O1416" s="96" t="s">
        <v>2500</v>
      </c>
      <c r="P1416" s="49" t="s">
        <v>157</v>
      </c>
      <c r="Q1416" s="96" t="s">
        <v>104</v>
      </c>
      <c r="R1416" s="52">
        <v>43.9</v>
      </c>
      <c r="S1416" s="52">
        <f>R1416-T1416</f>
        <v>39.19642857142857</v>
      </c>
      <c r="T1416" s="52">
        <f>R1416*U1416/(U1416+100)</f>
        <v>4.703571428571428</v>
      </c>
      <c r="U1416" s="50">
        <v>12</v>
      </c>
      <c r="V1416" s="53">
        <v>0</v>
      </c>
      <c r="W1416" s="147">
        <v>1</v>
      </c>
      <c r="X1416" s="148" t="s">
        <v>163</v>
      </c>
      <c r="Y1416" s="54">
        <f>R1416*W1416</f>
        <v>43.9</v>
      </c>
      <c r="Z1416" s="52">
        <f>S1416*W1416</f>
        <v>39.19642857142857</v>
      </c>
      <c r="AA1416" s="52">
        <f>T1416*W1416</f>
        <v>4.703571428571428</v>
      </c>
      <c r="AB1416" s="52">
        <f>V1416*W1416</f>
        <v>0</v>
      </c>
      <c r="AC1416" s="53">
        <f>(R1416+V1416)*W1416</f>
        <v>43.9</v>
      </c>
      <c r="AD1416" s="138">
        <v>43.9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106</v>
      </c>
      <c r="G1417" s="97">
        <v>46132</v>
      </c>
      <c r="H1417" s="98">
        <v>0.546886574074074</v>
      </c>
      <c r="I1417" s="50">
        <v>166004717</v>
      </c>
      <c r="J1417" s="96" t="s">
        <v>157</v>
      </c>
      <c r="K1417" s="49" t="s">
        <v>2501</v>
      </c>
      <c r="L1417" s="39" t="s">
        <v>2502</v>
      </c>
      <c r="M1417" s="49" t="s">
        <v>326</v>
      </c>
      <c r="N1417" s="39" t="s">
        <v>481</v>
      </c>
      <c r="O1417" s="96" t="s">
        <v>2503</v>
      </c>
      <c r="P1417" s="49" t="s">
        <v>157</v>
      </c>
      <c r="Q1417" s="96" t="s">
        <v>104</v>
      </c>
      <c r="R1417" s="52">
        <v>69.9</v>
      </c>
      <c r="S1417" s="52">
        <f>R1417-T1417</f>
        <v>62.41071428571429</v>
      </c>
      <c r="T1417" s="52">
        <f>R1417*U1417/(U1417+100)</f>
        <v>7.489285714285715</v>
      </c>
      <c r="U1417" s="50">
        <v>12</v>
      </c>
      <c r="V1417" s="53">
        <v>0</v>
      </c>
      <c r="W1417" s="147">
        <v>1</v>
      </c>
      <c r="X1417" s="148" t="s">
        <v>163</v>
      </c>
      <c r="Y1417" s="54">
        <f>R1417*W1417</f>
        <v>69.9</v>
      </c>
      <c r="Z1417" s="52">
        <f>S1417*W1417</f>
        <v>62.41071428571429</v>
      </c>
      <c r="AA1417" s="52">
        <f>T1417*W1417</f>
        <v>7.489285714285715</v>
      </c>
      <c r="AB1417" s="52">
        <f>V1417*W1417</f>
        <v>0</v>
      </c>
      <c r="AC1417" s="53">
        <f>(R1417+V1417)*W1417</f>
        <v>69.9</v>
      </c>
      <c r="AD1417" s="138">
        <v>69.9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106</v>
      </c>
      <c r="G1418" s="97">
        <v>46132</v>
      </c>
      <c r="H1418" s="98">
        <v>0.546886574074074</v>
      </c>
      <c r="I1418" s="50">
        <v>166004717</v>
      </c>
      <c r="J1418" s="96" t="s">
        <v>157</v>
      </c>
      <c r="K1418" s="49" t="s">
        <v>2504</v>
      </c>
      <c r="L1418" s="39" t="s">
        <v>2505</v>
      </c>
      <c r="M1418" s="49" t="s">
        <v>300</v>
      </c>
      <c r="N1418" s="39" t="s">
        <v>1377</v>
      </c>
      <c r="O1418" s="96" t="s">
        <v>2506</v>
      </c>
      <c r="P1418" s="49" t="s">
        <v>157</v>
      </c>
      <c r="Q1418" s="96" t="s">
        <v>104</v>
      </c>
      <c r="R1418" s="52">
        <v>6.9</v>
      </c>
      <c r="S1418" s="52">
        <f>R1418-T1418</f>
        <v>6.160714285714286</v>
      </c>
      <c r="T1418" s="52">
        <f>R1418*U1418/(U1418+100)</f>
        <v>0.7392857142857144</v>
      </c>
      <c r="U1418" s="50">
        <v>12</v>
      </c>
      <c r="V1418" s="53">
        <v>0</v>
      </c>
      <c r="W1418" s="147">
        <v>1</v>
      </c>
      <c r="X1418" s="148" t="s">
        <v>163</v>
      </c>
      <c r="Y1418" s="54">
        <f>R1418*W1418</f>
        <v>6.9</v>
      </c>
      <c r="Z1418" s="52">
        <f>S1418*W1418</f>
        <v>6.160714285714286</v>
      </c>
      <c r="AA1418" s="52">
        <f>T1418*W1418</f>
        <v>0.7392857142857144</v>
      </c>
      <c r="AB1418" s="52">
        <f>V1418*W1418</f>
        <v>0</v>
      </c>
      <c r="AC1418" s="53">
        <f>(R1418+V1418)*W1418</f>
        <v>6.9</v>
      </c>
      <c r="AD1418" s="138">
        <v>6.9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106</v>
      </c>
      <c r="G1419" s="97">
        <v>46132</v>
      </c>
      <c r="H1419" s="98">
        <v>0.546886574074074</v>
      </c>
      <c r="I1419" s="50">
        <v>166004717</v>
      </c>
      <c r="J1419" s="96" t="s">
        <v>157</v>
      </c>
      <c r="K1419" s="49" t="s">
        <v>2504</v>
      </c>
      <c r="L1419" s="39" t="s">
        <v>2505</v>
      </c>
      <c r="M1419" s="49" t="s">
        <v>300</v>
      </c>
      <c r="N1419" s="39" t="s">
        <v>1377</v>
      </c>
      <c r="O1419" s="96" t="s">
        <v>2506</v>
      </c>
      <c r="P1419" s="49" t="s">
        <v>157</v>
      </c>
      <c r="Q1419" s="96" t="s">
        <v>104</v>
      </c>
      <c r="R1419" s="52">
        <v>6.9</v>
      </c>
      <c r="S1419" s="52">
        <f>R1419-T1419</f>
        <v>6.160714285714286</v>
      </c>
      <c r="T1419" s="52">
        <f>R1419*U1419/(U1419+100)</f>
        <v>0.7392857142857144</v>
      </c>
      <c r="U1419" s="50">
        <v>12</v>
      </c>
      <c r="V1419" s="53">
        <v>0</v>
      </c>
      <c r="W1419" s="147">
        <v>1</v>
      </c>
      <c r="X1419" s="148" t="s">
        <v>163</v>
      </c>
      <c r="Y1419" s="54">
        <f>R1419*W1419</f>
        <v>6.9</v>
      </c>
      <c r="Z1419" s="52">
        <f>S1419*W1419</f>
        <v>6.160714285714286</v>
      </c>
      <c r="AA1419" s="52">
        <f>T1419*W1419</f>
        <v>0.7392857142857144</v>
      </c>
      <c r="AB1419" s="52">
        <f>V1419*W1419</f>
        <v>0</v>
      </c>
      <c r="AC1419" s="53">
        <f>(R1419+V1419)*W1419</f>
        <v>6.9</v>
      </c>
      <c r="AD1419" s="138">
        <v>6.9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106</v>
      </c>
      <c r="G1420" s="97">
        <v>46132</v>
      </c>
      <c r="H1420" s="98">
        <v>0.546886574074074</v>
      </c>
      <c r="I1420" s="50">
        <v>166004717</v>
      </c>
      <c r="J1420" s="96" t="s">
        <v>157</v>
      </c>
      <c r="K1420" s="49" t="s">
        <v>2507</v>
      </c>
      <c r="L1420" s="39" t="s">
        <v>2508</v>
      </c>
      <c r="M1420" s="49" t="s">
        <v>300</v>
      </c>
      <c r="N1420" s="39" t="s">
        <v>1377</v>
      </c>
      <c r="O1420" s="96" t="s">
        <v>2509</v>
      </c>
      <c r="P1420" s="49" t="s">
        <v>157</v>
      </c>
      <c r="Q1420" s="96" t="s">
        <v>104</v>
      </c>
      <c r="R1420" s="52">
        <v>6.9</v>
      </c>
      <c r="S1420" s="52">
        <f>R1420-T1420</f>
        <v>6.160714285714286</v>
      </c>
      <c r="T1420" s="52">
        <f>R1420*U1420/(U1420+100)</f>
        <v>0.7392857142857144</v>
      </c>
      <c r="U1420" s="50">
        <v>12</v>
      </c>
      <c r="V1420" s="53">
        <v>0</v>
      </c>
      <c r="W1420" s="147">
        <v>1</v>
      </c>
      <c r="X1420" s="148" t="s">
        <v>163</v>
      </c>
      <c r="Y1420" s="54">
        <f>R1420*W1420</f>
        <v>6.9</v>
      </c>
      <c r="Z1420" s="52">
        <f>S1420*W1420</f>
        <v>6.160714285714286</v>
      </c>
      <c r="AA1420" s="52">
        <f>T1420*W1420</f>
        <v>0.7392857142857144</v>
      </c>
      <c r="AB1420" s="52">
        <f>V1420*W1420</f>
        <v>0</v>
      </c>
      <c r="AC1420" s="53">
        <f>(R1420+V1420)*W1420</f>
        <v>6.9</v>
      </c>
      <c r="AD1420" s="138">
        <v>6.9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106</v>
      </c>
      <c r="G1421" s="97">
        <v>46132</v>
      </c>
      <c r="H1421" s="98">
        <v>0.546886574074074</v>
      </c>
      <c r="I1421" s="50">
        <v>166004717</v>
      </c>
      <c r="J1421" s="96" t="s">
        <v>157</v>
      </c>
      <c r="K1421" s="49" t="s">
        <v>2507</v>
      </c>
      <c r="L1421" s="39" t="s">
        <v>2508</v>
      </c>
      <c r="M1421" s="49" t="s">
        <v>300</v>
      </c>
      <c r="N1421" s="39" t="s">
        <v>1377</v>
      </c>
      <c r="O1421" s="96" t="s">
        <v>2509</v>
      </c>
      <c r="P1421" s="49" t="s">
        <v>157</v>
      </c>
      <c r="Q1421" s="96" t="s">
        <v>104</v>
      </c>
      <c r="R1421" s="52">
        <v>6.9</v>
      </c>
      <c r="S1421" s="52">
        <f>R1421-T1421</f>
        <v>6.160714285714286</v>
      </c>
      <c r="T1421" s="52">
        <f>R1421*U1421/(U1421+100)</f>
        <v>0.7392857142857144</v>
      </c>
      <c r="U1421" s="50">
        <v>12</v>
      </c>
      <c r="V1421" s="53">
        <v>0</v>
      </c>
      <c r="W1421" s="147">
        <v>1</v>
      </c>
      <c r="X1421" s="148" t="s">
        <v>163</v>
      </c>
      <c r="Y1421" s="54">
        <f>R1421*W1421</f>
        <v>6.9</v>
      </c>
      <c r="Z1421" s="52">
        <f>S1421*W1421</f>
        <v>6.160714285714286</v>
      </c>
      <c r="AA1421" s="52">
        <f>T1421*W1421</f>
        <v>0.7392857142857144</v>
      </c>
      <c r="AB1421" s="52">
        <f>V1421*W1421</f>
        <v>0</v>
      </c>
      <c r="AC1421" s="53">
        <f>(R1421+V1421)*W1421</f>
        <v>6.9</v>
      </c>
      <c r="AD1421" s="138">
        <v>6.9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106</v>
      </c>
      <c r="G1422" s="97">
        <v>46132</v>
      </c>
      <c r="H1422" s="98">
        <v>0.546886574074074</v>
      </c>
      <c r="I1422" s="50">
        <v>166004717</v>
      </c>
      <c r="J1422" s="96" t="s">
        <v>157</v>
      </c>
      <c r="K1422" s="49" t="s">
        <v>2510</v>
      </c>
      <c r="L1422" s="39" t="s">
        <v>2511</v>
      </c>
      <c r="M1422" s="49" t="s">
        <v>862</v>
      </c>
      <c r="N1422" s="39" t="s">
        <v>863</v>
      </c>
      <c r="O1422" s="96" t="s">
        <v>2512</v>
      </c>
      <c r="P1422" s="49" t="s">
        <v>157</v>
      </c>
      <c r="Q1422" s="96" t="s">
        <v>104</v>
      </c>
      <c r="R1422" s="52">
        <v>161</v>
      </c>
      <c r="S1422" s="52">
        <f>R1422-T1422</f>
        <v>133.05785123966942</v>
      </c>
      <c r="T1422" s="52">
        <f>R1422*U1422/(U1422+100)</f>
        <v>27.94214876033058</v>
      </c>
      <c r="U1422" s="50">
        <v>21</v>
      </c>
      <c r="V1422" s="53">
        <v>0</v>
      </c>
      <c r="W1422" s="147">
        <v>1</v>
      </c>
      <c r="X1422" s="148" t="s">
        <v>163</v>
      </c>
      <c r="Y1422" s="54">
        <f>R1422*W1422</f>
        <v>161</v>
      </c>
      <c r="Z1422" s="52">
        <f>S1422*W1422</f>
        <v>133.05785123966942</v>
      </c>
      <c r="AA1422" s="52">
        <f>T1422*W1422</f>
        <v>27.94214876033058</v>
      </c>
      <c r="AB1422" s="52">
        <f>V1422*W1422</f>
        <v>0</v>
      </c>
      <c r="AC1422" s="53">
        <f>(R1422+V1422)*W1422</f>
        <v>161</v>
      </c>
      <c r="AD1422" s="138">
        <v>161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106</v>
      </c>
      <c r="G1423" s="97">
        <v>46132</v>
      </c>
      <c r="H1423" s="98">
        <v>0.546886574074074</v>
      </c>
      <c r="I1423" s="50">
        <v>166004717</v>
      </c>
      <c r="J1423" s="96" t="s">
        <v>157</v>
      </c>
      <c r="K1423" s="49" t="s">
        <v>293</v>
      </c>
      <c r="L1423" s="39" t="s">
        <v>294</v>
      </c>
      <c r="M1423" s="49" t="s">
        <v>295</v>
      </c>
      <c r="N1423" s="39" t="s">
        <v>296</v>
      </c>
      <c r="O1423" s="96" t="s">
        <v>297</v>
      </c>
      <c r="P1423" s="49" t="s">
        <v>157</v>
      </c>
      <c r="Q1423" s="96" t="s">
        <v>104</v>
      </c>
      <c r="R1423" s="52">
        <v>2.9</v>
      </c>
      <c r="S1423" s="52">
        <f>R1423-T1423</f>
        <v>2.5892857142857144</v>
      </c>
      <c r="T1423" s="52">
        <f>R1423*U1423/(U1423+100)</f>
        <v>0.31071428571428567</v>
      </c>
      <c r="U1423" s="50">
        <v>12</v>
      </c>
      <c r="V1423" s="53">
        <v>0</v>
      </c>
      <c r="W1423" s="147">
        <v>6</v>
      </c>
      <c r="X1423" s="148" t="s">
        <v>163</v>
      </c>
      <c r="Y1423" s="54">
        <f>R1423*W1423</f>
        <v>17.4</v>
      </c>
      <c r="Z1423" s="52">
        <f>S1423*W1423</f>
        <v>15.535714285714286</v>
      </c>
      <c r="AA1423" s="52">
        <f>T1423*W1423</f>
        <v>1.8642857142857139</v>
      </c>
      <c r="AB1423" s="52">
        <f>V1423*W1423</f>
        <v>0</v>
      </c>
      <c r="AC1423" s="53">
        <f>(R1423+V1423)*W1423</f>
        <v>17.4</v>
      </c>
      <c r="AD1423" s="138">
        <v>2.9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106</v>
      </c>
      <c r="G1424" s="97">
        <v>46132</v>
      </c>
      <c r="H1424" s="98">
        <v>0.5471875</v>
      </c>
      <c r="I1424" s="50">
        <v>166004718</v>
      </c>
      <c r="J1424" s="96" t="s">
        <v>157</v>
      </c>
      <c r="K1424" s="49" t="s">
        <v>2513</v>
      </c>
      <c r="L1424" s="39" t="s">
        <v>2514</v>
      </c>
      <c r="M1424" s="49" t="s">
        <v>466</v>
      </c>
      <c r="N1424" s="39" t="s">
        <v>1068</v>
      </c>
      <c r="O1424" s="96" t="s">
        <v>2515</v>
      </c>
      <c r="P1424" s="49" t="s">
        <v>157</v>
      </c>
      <c r="Q1424" s="96" t="s">
        <v>104</v>
      </c>
      <c r="R1424" s="52">
        <v>44.9</v>
      </c>
      <c r="S1424" s="52">
        <f>R1424-T1424</f>
        <v>40.089285714285715</v>
      </c>
      <c r="T1424" s="52">
        <f>R1424*U1424/(U1424+100)</f>
        <v>4.810714285714285</v>
      </c>
      <c r="U1424" s="50">
        <v>12</v>
      </c>
      <c r="V1424" s="53">
        <v>0</v>
      </c>
      <c r="W1424" s="147">
        <v>1</v>
      </c>
      <c r="X1424" s="148" t="s">
        <v>163</v>
      </c>
      <c r="Y1424" s="54">
        <f>R1424*W1424</f>
        <v>44.9</v>
      </c>
      <c r="Z1424" s="52">
        <f>S1424*W1424</f>
        <v>40.089285714285715</v>
      </c>
      <c r="AA1424" s="52">
        <f>T1424*W1424</f>
        <v>4.810714285714285</v>
      </c>
      <c r="AB1424" s="52">
        <f>V1424*W1424</f>
        <v>0</v>
      </c>
      <c r="AC1424" s="53">
        <f>(R1424+V1424)*W1424</f>
        <v>44.9</v>
      </c>
      <c r="AD1424" s="138">
        <v>44.9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106</v>
      </c>
      <c r="G1425" s="97">
        <v>46132</v>
      </c>
      <c r="H1425" s="98">
        <v>0.5471875</v>
      </c>
      <c r="I1425" s="50">
        <v>166004718</v>
      </c>
      <c r="J1425" s="96" t="s">
        <v>157</v>
      </c>
      <c r="K1425" s="49" t="s">
        <v>183</v>
      </c>
      <c r="L1425" s="39" t="s">
        <v>184</v>
      </c>
      <c r="M1425" s="49" t="s">
        <v>185</v>
      </c>
      <c r="N1425" s="39" t="s">
        <v>186</v>
      </c>
      <c r="O1425" s="96" t="s">
        <v>988</v>
      </c>
      <c r="P1425" s="49" t="s">
        <v>157</v>
      </c>
      <c r="Q1425" s="96" t="s">
        <v>104</v>
      </c>
      <c r="R1425" s="52">
        <v>1.9</v>
      </c>
      <c r="S1425" s="52">
        <f>R1425-T1425</f>
        <v>1.5702479338842974</v>
      </c>
      <c r="T1425" s="52">
        <f>R1425*U1425/(U1425+100)</f>
        <v>0.32975206611570246</v>
      </c>
      <c r="U1425" s="50">
        <v>21</v>
      </c>
      <c r="V1425" s="53">
        <v>0</v>
      </c>
      <c r="W1425" s="147">
        <v>1</v>
      </c>
      <c r="X1425" s="148" t="s">
        <v>163</v>
      </c>
      <c r="Y1425" s="54">
        <f>R1425*W1425</f>
        <v>1.9</v>
      </c>
      <c r="Z1425" s="52">
        <f>S1425*W1425</f>
        <v>1.5702479338842974</v>
      </c>
      <c r="AA1425" s="52">
        <f>T1425*W1425</f>
        <v>0.32975206611570246</v>
      </c>
      <c r="AB1425" s="52">
        <f>V1425*W1425</f>
        <v>0</v>
      </c>
      <c r="AC1425" s="53">
        <f>(R1425+V1425)*W1425</f>
        <v>1.9</v>
      </c>
      <c r="AD1425" s="138">
        <v>1.9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106</v>
      </c>
      <c r="G1426" s="97">
        <v>46132</v>
      </c>
      <c r="H1426" s="98">
        <v>0.5471875</v>
      </c>
      <c r="I1426" s="50">
        <v>166004718</v>
      </c>
      <c r="J1426" s="96" t="s">
        <v>157</v>
      </c>
      <c r="K1426" s="49" t="s">
        <v>2516</v>
      </c>
      <c r="L1426" s="39" t="s">
        <v>2517</v>
      </c>
      <c r="M1426" s="49" t="s">
        <v>277</v>
      </c>
      <c r="N1426" s="39" t="s">
        <v>373</v>
      </c>
      <c r="O1426" s="96" t="s">
        <v>2518</v>
      </c>
      <c r="P1426" s="49" t="s">
        <v>157</v>
      </c>
      <c r="Q1426" s="96" t="s">
        <v>104</v>
      </c>
      <c r="R1426" s="52">
        <v>54.9</v>
      </c>
      <c r="S1426" s="52">
        <f>R1426-T1426</f>
        <v>49.01785714285714</v>
      </c>
      <c r="T1426" s="52">
        <f>R1426*U1426/(U1426+100)</f>
        <v>5.882142857142857</v>
      </c>
      <c r="U1426" s="50">
        <v>12</v>
      </c>
      <c r="V1426" s="53">
        <v>0</v>
      </c>
      <c r="W1426" s="147">
        <v>1</v>
      </c>
      <c r="X1426" s="148" t="s">
        <v>163</v>
      </c>
      <c r="Y1426" s="54">
        <f>R1426*W1426</f>
        <v>54.9</v>
      </c>
      <c r="Z1426" s="52">
        <f>S1426*W1426</f>
        <v>49.01785714285714</v>
      </c>
      <c r="AA1426" s="52">
        <f>T1426*W1426</f>
        <v>5.882142857142857</v>
      </c>
      <c r="AB1426" s="52">
        <f>V1426*W1426</f>
        <v>0</v>
      </c>
      <c r="AC1426" s="53">
        <f>(R1426+V1426)*W1426</f>
        <v>54.9</v>
      </c>
      <c r="AD1426" s="138">
        <v>54.9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106</v>
      </c>
      <c r="G1427" s="97">
        <v>46132</v>
      </c>
      <c r="H1427" s="98">
        <v>0.5471875</v>
      </c>
      <c r="I1427" s="50">
        <v>166004718</v>
      </c>
      <c r="J1427" s="96" t="s">
        <v>157</v>
      </c>
      <c r="K1427" s="49" t="s">
        <v>2519</v>
      </c>
      <c r="L1427" s="39" t="s">
        <v>2520</v>
      </c>
      <c r="M1427" s="49" t="s">
        <v>277</v>
      </c>
      <c r="N1427" s="39" t="s">
        <v>490</v>
      </c>
      <c r="O1427" s="96" t="s">
        <v>2521</v>
      </c>
      <c r="P1427" s="49" t="s">
        <v>157</v>
      </c>
      <c r="Q1427" s="96" t="s">
        <v>104</v>
      </c>
      <c r="R1427" s="52">
        <v>37.9</v>
      </c>
      <c r="S1427" s="52">
        <f>R1427-T1427</f>
        <v>33.839285714285715</v>
      </c>
      <c r="T1427" s="52">
        <f>R1427*U1427/(U1427+100)</f>
        <v>4.060714285714285</v>
      </c>
      <c r="U1427" s="50">
        <v>12</v>
      </c>
      <c r="V1427" s="53">
        <v>0</v>
      </c>
      <c r="W1427" s="147">
        <v>1</v>
      </c>
      <c r="X1427" s="148" t="s">
        <v>163</v>
      </c>
      <c r="Y1427" s="54">
        <f>R1427*W1427</f>
        <v>37.9</v>
      </c>
      <c r="Z1427" s="52">
        <f>S1427*W1427</f>
        <v>33.839285714285715</v>
      </c>
      <c r="AA1427" s="52">
        <f>T1427*W1427</f>
        <v>4.060714285714285</v>
      </c>
      <c r="AB1427" s="52">
        <f>V1427*W1427</f>
        <v>0</v>
      </c>
      <c r="AC1427" s="53">
        <f>(R1427+V1427)*W1427</f>
        <v>37.9</v>
      </c>
      <c r="AD1427" s="138">
        <v>37.9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106</v>
      </c>
      <c r="G1428" s="97">
        <v>46132</v>
      </c>
      <c r="H1428" s="98">
        <v>0.5473726851851852</v>
      </c>
      <c r="I1428" s="50">
        <v>166004719</v>
      </c>
      <c r="J1428" s="96" t="s">
        <v>157</v>
      </c>
      <c r="K1428" s="49" t="s">
        <v>1661</v>
      </c>
      <c r="L1428" s="39" t="s">
        <v>1662</v>
      </c>
      <c r="M1428" s="49" t="s">
        <v>196</v>
      </c>
      <c r="N1428" s="39" t="s">
        <v>239</v>
      </c>
      <c r="O1428" s="96" t="s">
        <v>1663</v>
      </c>
      <c r="P1428" s="49" t="s">
        <v>157</v>
      </c>
      <c r="Q1428" s="96" t="s">
        <v>104</v>
      </c>
      <c r="R1428" s="52">
        <v>11.4</v>
      </c>
      <c r="S1428" s="52">
        <f>R1428-T1428</f>
        <v>10.178571428571429</v>
      </c>
      <c r="T1428" s="52">
        <f>R1428*U1428/(U1428+100)</f>
        <v>1.2214285714285715</v>
      </c>
      <c r="U1428" s="50">
        <v>12</v>
      </c>
      <c r="V1428" s="53">
        <v>0</v>
      </c>
      <c r="W1428" s="147">
        <v>1</v>
      </c>
      <c r="X1428" s="148" t="s">
        <v>163</v>
      </c>
      <c r="Y1428" s="54">
        <f>R1428*W1428</f>
        <v>11.4</v>
      </c>
      <c r="Z1428" s="52">
        <f>S1428*W1428</f>
        <v>10.178571428571429</v>
      </c>
      <c r="AA1428" s="52">
        <f>T1428*W1428</f>
        <v>1.2214285714285715</v>
      </c>
      <c r="AB1428" s="52">
        <f>V1428*W1428</f>
        <v>0</v>
      </c>
      <c r="AC1428" s="53">
        <f>(R1428+V1428)*W1428</f>
        <v>11.4</v>
      </c>
      <c r="AD1428" s="138">
        <v>11.4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106</v>
      </c>
      <c r="G1429" s="97">
        <v>46132</v>
      </c>
      <c r="H1429" s="98">
        <v>0.547488425925926</v>
      </c>
      <c r="I1429" s="50">
        <v>166004720</v>
      </c>
      <c r="J1429" s="96" t="s">
        <v>157</v>
      </c>
      <c r="K1429" s="49" t="s">
        <v>2522</v>
      </c>
      <c r="L1429" s="39" t="s">
        <v>2523</v>
      </c>
      <c r="M1429" s="49" t="s">
        <v>219</v>
      </c>
      <c r="N1429" s="39" t="s">
        <v>641</v>
      </c>
      <c r="O1429" s="96" t="s">
        <v>2524</v>
      </c>
      <c r="P1429" s="49" t="s">
        <v>157</v>
      </c>
      <c r="Q1429" s="96" t="s">
        <v>104</v>
      </c>
      <c r="R1429" s="52">
        <v>35.9</v>
      </c>
      <c r="S1429" s="52">
        <f>R1429-T1429</f>
        <v>32.05357142857143</v>
      </c>
      <c r="T1429" s="52">
        <f>R1429*U1429/(U1429+100)</f>
        <v>3.846428571428571</v>
      </c>
      <c r="U1429" s="50">
        <v>12</v>
      </c>
      <c r="V1429" s="53">
        <v>0</v>
      </c>
      <c r="W1429" s="147">
        <v>1</v>
      </c>
      <c r="X1429" s="148" t="s">
        <v>163</v>
      </c>
      <c r="Y1429" s="54">
        <f>R1429*W1429</f>
        <v>35.9</v>
      </c>
      <c r="Z1429" s="52">
        <f>S1429*W1429</f>
        <v>32.05357142857143</v>
      </c>
      <c r="AA1429" s="52">
        <f>T1429*W1429</f>
        <v>3.846428571428571</v>
      </c>
      <c r="AB1429" s="52">
        <f>V1429*W1429</f>
        <v>0</v>
      </c>
      <c r="AC1429" s="53">
        <f>(R1429+V1429)*W1429</f>
        <v>35.9</v>
      </c>
      <c r="AD1429" s="138">
        <v>35.9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106</v>
      </c>
      <c r="G1430" s="97">
        <v>46132</v>
      </c>
      <c r="H1430" s="98">
        <v>0.547488425925926</v>
      </c>
      <c r="I1430" s="50">
        <v>166004720</v>
      </c>
      <c r="J1430" s="96" t="s">
        <v>157</v>
      </c>
      <c r="K1430" s="49" t="s">
        <v>2525</v>
      </c>
      <c r="L1430" s="39" t="s">
        <v>2526</v>
      </c>
      <c r="M1430" s="49" t="s">
        <v>1095</v>
      </c>
      <c r="N1430" s="39" t="s">
        <v>793</v>
      </c>
      <c r="O1430" s="96" t="s">
        <v>2527</v>
      </c>
      <c r="P1430" s="49" t="s">
        <v>157</v>
      </c>
      <c r="Q1430" s="96" t="s">
        <v>104</v>
      </c>
      <c r="R1430" s="52">
        <v>2.5</v>
      </c>
      <c r="S1430" s="52">
        <f>R1430-T1430</f>
        <v>2.232142857142857</v>
      </c>
      <c r="T1430" s="52">
        <f>R1430*U1430/(U1430+100)</f>
        <v>0.26785714285714285</v>
      </c>
      <c r="U1430" s="50">
        <v>12</v>
      </c>
      <c r="V1430" s="53">
        <v>0</v>
      </c>
      <c r="W1430" s="147">
        <v>1</v>
      </c>
      <c r="X1430" s="148" t="s">
        <v>163</v>
      </c>
      <c r="Y1430" s="54">
        <f>R1430*W1430</f>
        <v>2.5</v>
      </c>
      <c r="Z1430" s="52">
        <f>S1430*W1430</f>
        <v>2.232142857142857</v>
      </c>
      <c r="AA1430" s="52">
        <f>T1430*W1430</f>
        <v>0.26785714285714285</v>
      </c>
      <c r="AB1430" s="52">
        <f>V1430*W1430</f>
        <v>0</v>
      </c>
      <c r="AC1430" s="53">
        <f>(R1430+V1430)*W1430</f>
        <v>2.5</v>
      </c>
      <c r="AD1430" s="138">
        <v>2.5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106</v>
      </c>
      <c r="G1431" s="97">
        <v>46132</v>
      </c>
      <c r="H1431" s="98">
        <v>0.5481828703703704</v>
      </c>
      <c r="I1431" s="50">
        <v>166004721</v>
      </c>
      <c r="J1431" s="96" t="s">
        <v>157</v>
      </c>
      <c r="K1431" s="49" t="s">
        <v>2528</v>
      </c>
      <c r="L1431" s="39" t="s">
        <v>2529</v>
      </c>
      <c r="M1431" s="49" t="s">
        <v>185</v>
      </c>
      <c r="N1431" s="39" t="s">
        <v>264</v>
      </c>
      <c r="O1431" s="96" t="s">
        <v>2530</v>
      </c>
      <c r="P1431" s="49" t="s">
        <v>157</v>
      </c>
      <c r="Q1431" s="96" t="s">
        <v>104</v>
      </c>
      <c r="R1431" s="52">
        <v>31.9</v>
      </c>
      <c r="S1431" s="52">
        <f>R1431-T1431</f>
        <v>28.482142857142858</v>
      </c>
      <c r="T1431" s="52">
        <f>R1431*U1431/(U1431+100)</f>
        <v>3.4178571428571423</v>
      </c>
      <c r="U1431" s="50">
        <v>12</v>
      </c>
      <c r="V1431" s="53">
        <v>0</v>
      </c>
      <c r="W1431" s="147">
        <v>1</v>
      </c>
      <c r="X1431" s="148" t="s">
        <v>163</v>
      </c>
      <c r="Y1431" s="54">
        <f>R1431*W1431</f>
        <v>31.9</v>
      </c>
      <c r="Z1431" s="52">
        <f>S1431*W1431</f>
        <v>28.482142857142858</v>
      </c>
      <c r="AA1431" s="52">
        <f>T1431*W1431</f>
        <v>3.4178571428571423</v>
      </c>
      <c r="AB1431" s="52">
        <f>V1431*W1431</f>
        <v>0</v>
      </c>
      <c r="AC1431" s="53">
        <f>(R1431+V1431)*W1431</f>
        <v>31.9</v>
      </c>
      <c r="AD1431" s="138">
        <v>31.9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106</v>
      </c>
      <c r="G1432" s="97">
        <v>46132</v>
      </c>
      <c r="H1432" s="98">
        <v>0.5481828703703704</v>
      </c>
      <c r="I1432" s="50">
        <v>166004721</v>
      </c>
      <c r="J1432" s="96" t="s">
        <v>157</v>
      </c>
      <c r="K1432" s="49" t="s">
        <v>1523</v>
      </c>
      <c r="L1432" s="39" t="s">
        <v>1524</v>
      </c>
      <c r="M1432" s="49" t="s">
        <v>1525</v>
      </c>
      <c r="N1432" s="39" t="s">
        <v>1230</v>
      </c>
      <c r="O1432" s="96" t="s">
        <v>1526</v>
      </c>
      <c r="P1432" s="49" t="s">
        <v>157</v>
      </c>
      <c r="Q1432" s="96" t="s">
        <v>104</v>
      </c>
      <c r="R1432" s="52">
        <v>25.9</v>
      </c>
      <c r="S1432" s="52">
        <f>R1432-T1432</f>
        <v>23.125</v>
      </c>
      <c r="T1432" s="52">
        <f>R1432*U1432/(U1432+100)</f>
        <v>2.7749999999999995</v>
      </c>
      <c r="U1432" s="50">
        <v>12</v>
      </c>
      <c r="V1432" s="53">
        <v>0</v>
      </c>
      <c r="W1432" s="147">
        <v>1</v>
      </c>
      <c r="X1432" s="148" t="s">
        <v>163</v>
      </c>
      <c r="Y1432" s="54">
        <f>R1432*W1432</f>
        <v>25.9</v>
      </c>
      <c r="Z1432" s="52">
        <f>S1432*W1432</f>
        <v>23.125</v>
      </c>
      <c r="AA1432" s="52">
        <f>T1432*W1432</f>
        <v>2.7749999999999995</v>
      </c>
      <c r="AB1432" s="52">
        <f>V1432*W1432</f>
        <v>0</v>
      </c>
      <c r="AC1432" s="53">
        <f>(R1432+V1432)*W1432</f>
        <v>25.9</v>
      </c>
      <c r="AD1432" s="138">
        <v>25.9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106</v>
      </c>
      <c r="G1433" s="97">
        <v>46132</v>
      </c>
      <c r="H1433" s="98">
        <v>0.5481828703703704</v>
      </c>
      <c r="I1433" s="50">
        <v>166004721</v>
      </c>
      <c r="J1433" s="96" t="s">
        <v>157</v>
      </c>
      <c r="K1433" s="49" t="s">
        <v>1227</v>
      </c>
      <c r="L1433" s="39" t="s">
        <v>1228</v>
      </c>
      <c r="M1433" s="49" t="s">
        <v>1229</v>
      </c>
      <c r="N1433" s="39" t="s">
        <v>1230</v>
      </c>
      <c r="O1433" s="96" t="s">
        <v>1231</v>
      </c>
      <c r="P1433" s="49" t="s">
        <v>157</v>
      </c>
      <c r="Q1433" s="96" t="s">
        <v>104</v>
      </c>
      <c r="R1433" s="52">
        <v>29.9</v>
      </c>
      <c r="S1433" s="52">
        <f>R1433-T1433</f>
        <v>26.69642857142857</v>
      </c>
      <c r="T1433" s="52">
        <f>R1433*U1433/(U1433+100)</f>
        <v>3.2035714285714283</v>
      </c>
      <c r="U1433" s="50">
        <v>12</v>
      </c>
      <c r="V1433" s="53">
        <v>0</v>
      </c>
      <c r="W1433" s="147">
        <v>1</v>
      </c>
      <c r="X1433" s="148" t="s">
        <v>163</v>
      </c>
      <c r="Y1433" s="54">
        <f>R1433*W1433</f>
        <v>29.9</v>
      </c>
      <c r="Z1433" s="52">
        <f>S1433*W1433</f>
        <v>26.69642857142857</v>
      </c>
      <c r="AA1433" s="52">
        <f>T1433*W1433</f>
        <v>3.2035714285714283</v>
      </c>
      <c r="AB1433" s="52">
        <f>V1433*W1433</f>
        <v>0</v>
      </c>
      <c r="AC1433" s="53">
        <f>(R1433+V1433)*W1433</f>
        <v>29.9</v>
      </c>
      <c r="AD1433" s="138">
        <v>29.9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106</v>
      </c>
      <c r="G1434" s="97">
        <v>46132</v>
      </c>
      <c r="H1434" s="98">
        <v>0.5481828703703704</v>
      </c>
      <c r="I1434" s="50">
        <v>166004721</v>
      </c>
      <c r="J1434" s="96" t="s">
        <v>157</v>
      </c>
      <c r="K1434" s="49" t="s">
        <v>2531</v>
      </c>
      <c r="L1434" s="39" t="s">
        <v>2532</v>
      </c>
      <c r="M1434" s="49" t="s">
        <v>1536</v>
      </c>
      <c r="N1434" s="39" t="s">
        <v>601</v>
      </c>
      <c r="O1434" s="96" t="s">
        <v>2533</v>
      </c>
      <c r="P1434" s="49" t="s">
        <v>157</v>
      </c>
      <c r="Q1434" s="96" t="s">
        <v>104</v>
      </c>
      <c r="R1434" s="52">
        <v>31.9</v>
      </c>
      <c r="S1434" s="52">
        <f>R1434-T1434</f>
        <v>28.482142857142858</v>
      </c>
      <c r="T1434" s="52">
        <f>R1434*U1434/(U1434+100)</f>
        <v>3.4178571428571423</v>
      </c>
      <c r="U1434" s="50">
        <v>12</v>
      </c>
      <c r="V1434" s="53">
        <v>0</v>
      </c>
      <c r="W1434" s="147">
        <v>1</v>
      </c>
      <c r="X1434" s="148" t="s">
        <v>163</v>
      </c>
      <c r="Y1434" s="54">
        <f>R1434*W1434</f>
        <v>31.9</v>
      </c>
      <c r="Z1434" s="52">
        <f>S1434*W1434</f>
        <v>28.482142857142858</v>
      </c>
      <c r="AA1434" s="52">
        <f>T1434*W1434</f>
        <v>3.4178571428571423</v>
      </c>
      <c r="AB1434" s="52">
        <f>V1434*W1434</f>
        <v>0</v>
      </c>
      <c r="AC1434" s="53">
        <f>(R1434+V1434)*W1434</f>
        <v>31.9</v>
      </c>
      <c r="AD1434" s="138">
        <v>31.9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106</v>
      </c>
      <c r="G1435" s="97">
        <v>46132</v>
      </c>
      <c r="H1435" s="98">
        <v>0.5481828703703704</v>
      </c>
      <c r="I1435" s="50">
        <v>166004721</v>
      </c>
      <c r="J1435" s="96" t="s">
        <v>157</v>
      </c>
      <c r="K1435" s="49" t="s">
        <v>1744</v>
      </c>
      <c r="L1435" s="39" t="s">
        <v>1745</v>
      </c>
      <c r="M1435" s="49" t="s">
        <v>300</v>
      </c>
      <c r="N1435" s="39" t="s">
        <v>1485</v>
      </c>
      <c r="O1435" s="96" t="s">
        <v>1746</v>
      </c>
      <c r="P1435" s="49" t="s">
        <v>157</v>
      </c>
      <c r="Q1435" s="96" t="s">
        <v>104</v>
      </c>
      <c r="R1435" s="52">
        <v>34.9</v>
      </c>
      <c r="S1435" s="52">
        <f>R1435-T1435</f>
        <v>31.160714285714285</v>
      </c>
      <c r="T1435" s="52">
        <f>R1435*U1435/(U1435+100)</f>
        <v>3.739285714285714</v>
      </c>
      <c r="U1435" s="50">
        <v>12</v>
      </c>
      <c r="V1435" s="53">
        <v>0</v>
      </c>
      <c r="W1435" s="147">
        <v>1</v>
      </c>
      <c r="X1435" s="148" t="s">
        <v>163</v>
      </c>
      <c r="Y1435" s="54">
        <f>R1435*W1435</f>
        <v>34.9</v>
      </c>
      <c r="Z1435" s="52">
        <f>S1435*W1435</f>
        <v>31.160714285714285</v>
      </c>
      <c r="AA1435" s="52">
        <f>T1435*W1435</f>
        <v>3.739285714285714</v>
      </c>
      <c r="AB1435" s="52">
        <f>V1435*W1435</f>
        <v>0</v>
      </c>
      <c r="AC1435" s="53">
        <f>(R1435+V1435)*W1435</f>
        <v>34.9</v>
      </c>
      <c r="AD1435" s="138">
        <v>34.9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106</v>
      </c>
      <c r="G1436" s="97">
        <v>46132</v>
      </c>
      <c r="H1436" s="98">
        <v>0.5481828703703704</v>
      </c>
      <c r="I1436" s="50">
        <v>166004721</v>
      </c>
      <c r="J1436" s="96" t="s">
        <v>157</v>
      </c>
      <c r="K1436" s="49" t="s">
        <v>2534</v>
      </c>
      <c r="L1436" s="39" t="s">
        <v>2535</v>
      </c>
      <c r="M1436" s="49" t="s">
        <v>300</v>
      </c>
      <c r="N1436" s="39" t="s">
        <v>1485</v>
      </c>
      <c r="O1436" s="96" t="s">
        <v>2536</v>
      </c>
      <c r="P1436" s="49" t="s">
        <v>157</v>
      </c>
      <c r="Q1436" s="96" t="s">
        <v>104</v>
      </c>
      <c r="R1436" s="52">
        <v>34.9</v>
      </c>
      <c r="S1436" s="52">
        <f>R1436-T1436</f>
        <v>31.160714285714285</v>
      </c>
      <c r="T1436" s="52">
        <f>R1436*U1436/(U1436+100)</f>
        <v>3.739285714285714</v>
      </c>
      <c r="U1436" s="50">
        <v>12</v>
      </c>
      <c r="V1436" s="53">
        <v>0</v>
      </c>
      <c r="W1436" s="147">
        <v>1</v>
      </c>
      <c r="X1436" s="148" t="s">
        <v>163</v>
      </c>
      <c r="Y1436" s="54">
        <f>R1436*W1436</f>
        <v>34.9</v>
      </c>
      <c r="Z1436" s="52">
        <f>S1436*W1436</f>
        <v>31.160714285714285</v>
      </c>
      <c r="AA1436" s="52">
        <f>T1436*W1436</f>
        <v>3.739285714285714</v>
      </c>
      <c r="AB1436" s="52">
        <f>V1436*W1436</f>
        <v>0</v>
      </c>
      <c r="AC1436" s="53">
        <f>(R1436+V1436)*W1436</f>
        <v>34.9</v>
      </c>
      <c r="AD1436" s="138">
        <v>34.9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106</v>
      </c>
      <c r="G1437" s="97">
        <v>46132</v>
      </c>
      <c r="H1437" s="98">
        <v>0.5481828703703704</v>
      </c>
      <c r="I1437" s="50">
        <v>166004721</v>
      </c>
      <c r="J1437" s="96" t="s">
        <v>157</v>
      </c>
      <c r="K1437" s="49" t="s">
        <v>1747</v>
      </c>
      <c r="L1437" s="39" t="s">
        <v>1748</v>
      </c>
      <c r="M1437" s="49" t="s">
        <v>300</v>
      </c>
      <c r="N1437" s="39" t="s">
        <v>1485</v>
      </c>
      <c r="O1437" s="96" t="s">
        <v>1749</v>
      </c>
      <c r="P1437" s="49" t="s">
        <v>157</v>
      </c>
      <c r="Q1437" s="96" t="s">
        <v>104</v>
      </c>
      <c r="R1437" s="52">
        <v>34.9</v>
      </c>
      <c r="S1437" s="52">
        <f>R1437-T1437</f>
        <v>31.160714285714285</v>
      </c>
      <c r="T1437" s="52">
        <f>R1437*U1437/(U1437+100)</f>
        <v>3.739285714285714</v>
      </c>
      <c r="U1437" s="50">
        <v>12</v>
      </c>
      <c r="V1437" s="53">
        <v>0</v>
      </c>
      <c r="W1437" s="147">
        <v>1</v>
      </c>
      <c r="X1437" s="148" t="s">
        <v>163</v>
      </c>
      <c r="Y1437" s="54">
        <f>R1437*W1437</f>
        <v>34.9</v>
      </c>
      <c r="Z1437" s="52">
        <f>S1437*W1437</f>
        <v>31.160714285714285</v>
      </c>
      <c r="AA1437" s="52">
        <f>T1437*W1437</f>
        <v>3.739285714285714</v>
      </c>
      <c r="AB1437" s="52">
        <f>V1437*W1437</f>
        <v>0</v>
      </c>
      <c r="AC1437" s="53">
        <f>(R1437+V1437)*W1437</f>
        <v>34.9</v>
      </c>
      <c r="AD1437" s="138">
        <v>34.9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106</v>
      </c>
      <c r="G1438" s="97">
        <v>46132</v>
      </c>
      <c r="H1438" s="98">
        <v>0.5481828703703704</v>
      </c>
      <c r="I1438" s="50">
        <v>166004721</v>
      </c>
      <c r="J1438" s="96" t="s">
        <v>157</v>
      </c>
      <c r="K1438" s="49" t="s">
        <v>1440</v>
      </c>
      <c r="L1438" s="39" t="s">
        <v>1441</v>
      </c>
      <c r="M1438" s="49" t="s">
        <v>190</v>
      </c>
      <c r="N1438" s="39" t="s">
        <v>191</v>
      </c>
      <c r="O1438" s="96" t="s">
        <v>1442</v>
      </c>
      <c r="P1438" s="49" t="s">
        <v>157</v>
      </c>
      <c r="Q1438" s="96" t="s">
        <v>104</v>
      </c>
      <c r="R1438" s="52">
        <v>8.9</v>
      </c>
      <c r="S1438" s="52">
        <f>R1438-T1438</f>
        <v>7.946428571428572</v>
      </c>
      <c r="T1438" s="52">
        <f>R1438*U1438/(U1438+100)</f>
        <v>0.9535714285714286</v>
      </c>
      <c r="U1438" s="50">
        <v>12</v>
      </c>
      <c r="V1438" s="53">
        <v>0</v>
      </c>
      <c r="W1438" s="147">
        <v>1.998</v>
      </c>
      <c r="X1438" s="148" t="s">
        <v>193</v>
      </c>
      <c r="Y1438" s="54">
        <f>R1438*W1438</f>
        <v>17.7822</v>
      </c>
      <c r="Z1438" s="52">
        <f>S1438*W1438</f>
        <v>15.876964285714287</v>
      </c>
      <c r="AA1438" s="52">
        <f>T1438*W1438</f>
        <v>1.9052357142857144</v>
      </c>
      <c r="AB1438" s="52">
        <f>V1438*W1438</f>
        <v>0</v>
      </c>
      <c r="AC1438" s="53">
        <f>(R1438+V1438)*W1438</f>
        <v>17.7822</v>
      </c>
      <c r="AD1438" s="138">
        <v>8.9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106</v>
      </c>
      <c r="G1439" s="97">
        <v>46132</v>
      </c>
      <c r="H1439" s="98">
        <v>0.5481828703703704</v>
      </c>
      <c r="I1439" s="50">
        <v>166004721</v>
      </c>
      <c r="J1439" s="96" t="s">
        <v>157</v>
      </c>
      <c r="K1439" s="49" t="s">
        <v>2537</v>
      </c>
      <c r="L1439" s="39" t="s">
        <v>2538</v>
      </c>
      <c r="M1439" s="49" t="s">
        <v>268</v>
      </c>
      <c r="N1439" s="39" t="s">
        <v>513</v>
      </c>
      <c r="O1439" s="96" t="s">
        <v>2539</v>
      </c>
      <c r="P1439" s="49" t="s">
        <v>157</v>
      </c>
      <c r="Q1439" s="96" t="s">
        <v>104</v>
      </c>
      <c r="R1439" s="52">
        <v>34.9</v>
      </c>
      <c r="S1439" s="52">
        <f>R1439-T1439</f>
        <v>31.160714285714285</v>
      </c>
      <c r="T1439" s="52">
        <f>R1439*U1439/(U1439+100)</f>
        <v>3.739285714285714</v>
      </c>
      <c r="U1439" s="50">
        <v>12</v>
      </c>
      <c r="V1439" s="53">
        <v>0</v>
      </c>
      <c r="W1439" s="147">
        <v>1</v>
      </c>
      <c r="X1439" s="148" t="s">
        <v>163</v>
      </c>
      <c r="Y1439" s="54">
        <f>R1439*W1439</f>
        <v>34.9</v>
      </c>
      <c r="Z1439" s="52">
        <f>S1439*W1439</f>
        <v>31.160714285714285</v>
      </c>
      <c r="AA1439" s="52">
        <f>T1439*W1439</f>
        <v>3.739285714285714</v>
      </c>
      <c r="AB1439" s="52">
        <f>V1439*W1439</f>
        <v>0</v>
      </c>
      <c r="AC1439" s="53">
        <f>(R1439+V1439)*W1439</f>
        <v>34.9</v>
      </c>
      <c r="AD1439" s="138">
        <v>34.9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106</v>
      </c>
      <c r="G1440" s="97">
        <v>46132</v>
      </c>
      <c r="H1440" s="98">
        <v>0.5481828703703704</v>
      </c>
      <c r="I1440" s="50">
        <v>166004721</v>
      </c>
      <c r="J1440" s="96" t="s">
        <v>157</v>
      </c>
      <c r="K1440" s="49" t="s">
        <v>553</v>
      </c>
      <c r="L1440" s="39" t="s">
        <v>104</v>
      </c>
      <c r="M1440" s="49" t="s">
        <v>554</v>
      </c>
      <c r="N1440" s="39" t="s">
        <v>296</v>
      </c>
      <c r="O1440" s="96" t="s">
        <v>555</v>
      </c>
      <c r="P1440" s="49" t="s">
        <v>157</v>
      </c>
      <c r="Q1440" s="96" t="s">
        <v>104</v>
      </c>
      <c r="R1440" s="52">
        <v>8.9</v>
      </c>
      <c r="S1440" s="52">
        <f>R1440-T1440</f>
        <v>7.946428571428572</v>
      </c>
      <c r="T1440" s="52">
        <f>R1440*U1440/(U1440+100)</f>
        <v>0.9535714285714286</v>
      </c>
      <c r="U1440" s="50">
        <v>12</v>
      </c>
      <c r="V1440" s="53">
        <v>0</v>
      </c>
      <c r="W1440" s="147">
        <v>4</v>
      </c>
      <c r="X1440" s="148" t="s">
        <v>163</v>
      </c>
      <c r="Y1440" s="54">
        <f>R1440*W1440</f>
        <v>35.6</v>
      </c>
      <c r="Z1440" s="52">
        <f>S1440*W1440</f>
        <v>31.78571428571429</v>
      </c>
      <c r="AA1440" s="52">
        <f>T1440*W1440</f>
        <v>3.8142857142857145</v>
      </c>
      <c r="AB1440" s="52">
        <f>V1440*W1440</f>
        <v>0</v>
      </c>
      <c r="AC1440" s="53">
        <f>(R1440+V1440)*W1440</f>
        <v>35.6</v>
      </c>
      <c r="AD1440" s="138">
        <v>8.9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106</v>
      </c>
      <c r="G1441" s="97">
        <v>46132</v>
      </c>
      <c r="H1441" s="98">
        <v>0.5485648148148148</v>
      </c>
      <c r="I1441" s="50">
        <v>166004722</v>
      </c>
      <c r="J1441" s="96" t="s">
        <v>157</v>
      </c>
      <c r="K1441" s="49" t="s">
        <v>1980</v>
      </c>
      <c r="L1441" s="39" t="s">
        <v>1981</v>
      </c>
      <c r="M1441" s="49" t="s">
        <v>277</v>
      </c>
      <c r="N1441" s="39" t="s">
        <v>751</v>
      </c>
      <c r="O1441" s="96" t="s">
        <v>1982</v>
      </c>
      <c r="P1441" s="49" t="s">
        <v>235</v>
      </c>
      <c r="Q1441" s="96" t="s">
        <v>753</v>
      </c>
      <c r="R1441" s="52">
        <v>34.9</v>
      </c>
      <c r="S1441" s="52">
        <f>R1441-T1441</f>
        <v>31.160714285714285</v>
      </c>
      <c r="T1441" s="52">
        <f>R1441*U1441/(U1441+100)</f>
        <v>3.739285714285714</v>
      </c>
      <c r="U1441" s="50">
        <v>12</v>
      </c>
      <c r="V1441" s="53">
        <v>0</v>
      </c>
      <c r="W1441" s="147">
        <v>1</v>
      </c>
      <c r="X1441" s="148" t="s">
        <v>163</v>
      </c>
      <c r="Y1441" s="54">
        <f>R1441*W1441</f>
        <v>34.9</v>
      </c>
      <c r="Z1441" s="52">
        <f>S1441*W1441</f>
        <v>31.160714285714285</v>
      </c>
      <c r="AA1441" s="52">
        <f>T1441*W1441</f>
        <v>3.739285714285714</v>
      </c>
      <c r="AB1441" s="52">
        <f>V1441*W1441</f>
        <v>0</v>
      </c>
      <c r="AC1441" s="53">
        <f>(R1441+V1441)*W1441</f>
        <v>34.9</v>
      </c>
      <c r="AD1441" s="138">
        <v>34.9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106</v>
      </c>
      <c r="G1442" s="97">
        <v>46132</v>
      </c>
      <c r="H1442" s="98">
        <v>0.5485648148148148</v>
      </c>
      <c r="I1442" s="50">
        <v>166004722</v>
      </c>
      <c r="J1442" s="96" t="s">
        <v>157</v>
      </c>
      <c r="K1442" s="49" t="s">
        <v>2540</v>
      </c>
      <c r="L1442" s="39" t="s">
        <v>2541</v>
      </c>
      <c r="M1442" s="49" t="s">
        <v>190</v>
      </c>
      <c r="N1442" s="39" t="s">
        <v>462</v>
      </c>
      <c r="O1442" s="96" t="s">
        <v>2542</v>
      </c>
      <c r="P1442" s="49" t="s">
        <v>157</v>
      </c>
      <c r="Q1442" s="96" t="s">
        <v>104</v>
      </c>
      <c r="R1442" s="52">
        <v>73.9</v>
      </c>
      <c r="S1442" s="52">
        <f>R1442-T1442</f>
        <v>65.98214285714286</v>
      </c>
      <c r="T1442" s="52">
        <f>R1442*U1442/(U1442+100)</f>
        <v>7.917857142857144</v>
      </c>
      <c r="U1442" s="50">
        <v>12</v>
      </c>
      <c r="V1442" s="53">
        <v>0</v>
      </c>
      <c r="W1442" s="147">
        <v>1</v>
      </c>
      <c r="X1442" s="148" t="s">
        <v>163</v>
      </c>
      <c r="Y1442" s="54">
        <f>R1442*W1442</f>
        <v>73.9</v>
      </c>
      <c r="Z1442" s="52">
        <f>S1442*W1442</f>
        <v>65.98214285714286</v>
      </c>
      <c r="AA1442" s="52">
        <f>T1442*W1442</f>
        <v>7.917857142857144</v>
      </c>
      <c r="AB1442" s="52">
        <f>V1442*W1442</f>
        <v>0</v>
      </c>
      <c r="AC1442" s="53">
        <f>(R1442+V1442)*W1442</f>
        <v>73.9</v>
      </c>
      <c r="AD1442" s="138">
        <v>73.9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106</v>
      </c>
      <c r="G1443" s="97">
        <v>46132</v>
      </c>
      <c r="H1443" s="98">
        <v>0.5485648148148148</v>
      </c>
      <c r="I1443" s="50">
        <v>166004722</v>
      </c>
      <c r="J1443" s="96" t="s">
        <v>157</v>
      </c>
      <c r="K1443" s="49" t="s">
        <v>1513</v>
      </c>
      <c r="L1443" s="39" t="s">
        <v>104</v>
      </c>
      <c r="M1443" s="49" t="s">
        <v>190</v>
      </c>
      <c r="N1443" s="39" t="s">
        <v>462</v>
      </c>
      <c r="O1443" s="96" t="s">
        <v>1514</v>
      </c>
      <c r="P1443" s="49" t="s">
        <v>157</v>
      </c>
      <c r="Q1443" s="96" t="s">
        <v>104</v>
      </c>
      <c r="R1443" s="52">
        <v>19.9</v>
      </c>
      <c r="S1443" s="52">
        <f>R1443-T1443</f>
        <v>17.767857142857142</v>
      </c>
      <c r="T1443" s="52">
        <f>R1443*U1443/(U1443+100)</f>
        <v>2.132142857142857</v>
      </c>
      <c r="U1443" s="50">
        <v>12</v>
      </c>
      <c r="V1443" s="53">
        <v>0</v>
      </c>
      <c r="W1443" s="147">
        <v>1</v>
      </c>
      <c r="X1443" s="148" t="s">
        <v>163</v>
      </c>
      <c r="Y1443" s="54">
        <f>R1443*W1443</f>
        <v>19.9</v>
      </c>
      <c r="Z1443" s="52">
        <f>S1443*W1443</f>
        <v>17.767857142857142</v>
      </c>
      <c r="AA1443" s="52">
        <f>T1443*W1443</f>
        <v>2.132142857142857</v>
      </c>
      <c r="AB1443" s="52">
        <f>V1443*W1443</f>
        <v>0</v>
      </c>
      <c r="AC1443" s="53">
        <f>(R1443+V1443)*W1443</f>
        <v>19.9</v>
      </c>
      <c r="AD1443" s="138">
        <v>19.9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106</v>
      </c>
      <c r="G1444" s="97">
        <v>46132</v>
      </c>
      <c r="H1444" s="98">
        <v>0.5485648148148148</v>
      </c>
      <c r="I1444" s="50">
        <v>166004722</v>
      </c>
      <c r="J1444" s="96" t="s">
        <v>157</v>
      </c>
      <c r="K1444" s="49" t="s">
        <v>293</v>
      </c>
      <c r="L1444" s="39" t="s">
        <v>294</v>
      </c>
      <c r="M1444" s="49" t="s">
        <v>295</v>
      </c>
      <c r="N1444" s="39" t="s">
        <v>296</v>
      </c>
      <c r="O1444" s="96" t="s">
        <v>297</v>
      </c>
      <c r="P1444" s="49" t="s">
        <v>157</v>
      </c>
      <c r="Q1444" s="96" t="s">
        <v>104</v>
      </c>
      <c r="R1444" s="52">
        <v>2.9</v>
      </c>
      <c r="S1444" s="52">
        <f>R1444-T1444</f>
        <v>2.5892857142857144</v>
      </c>
      <c r="T1444" s="52">
        <f>R1444*U1444/(U1444+100)</f>
        <v>0.31071428571428567</v>
      </c>
      <c r="U1444" s="50">
        <v>12</v>
      </c>
      <c r="V1444" s="53">
        <v>0</v>
      </c>
      <c r="W1444" s="147">
        <v>8</v>
      </c>
      <c r="X1444" s="148" t="s">
        <v>163</v>
      </c>
      <c r="Y1444" s="54">
        <f>R1444*W1444</f>
        <v>23.2</v>
      </c>
      <c r="Z1444" s="52">
        <f>S1444*W1444</f>
        <v>20.714285714285715</v>
      </c>
      <c r="AA1444" s="52">
        <f>T1444*W1444</f>
        <v>2.4857142857142853</v>
      </c>
      <c r="AB1444" s="52">
        <f>V1444*W1444</f>
        <v>0</v>
      </c>
      <c r="AC1444" s="53">
        <f>(R1444+V1444)*W1444</f>
        <v>23.2</v>
      </c>
      <c r="AD1444" s="138">
        <v>2.9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106</v>
      </c>
      <c r="G1445" s="97">
        <v>46132</v>
      </c>
      <c r="H1445" s="98">
        <v>0.5488541666666666</v>
      </c>
      <c r="I1445" s="50">
        <v>166004723</v>
      </c>
      <c r="J1445" s="96" t="s">
        <v>157</v>
      </c>
      <c r="K1445" s="49" t="s">
        <v>2543</v>
      </c>
      <c r="L1445" s="39" t="s">
        <v>2544</v>
      </c>
      <c r="M1445" s="49" t="s">
        <v>166</v>
      </c>
      <c r="N1445" s="39" t="s">
        <v>220</v>
      </c>
      <c r="O1445" s="96" t="s">
        <v>2545</v>
      </c>
      <c r="P1445" s="49" t="s">
        <v>157</v>
      </c>
      <c r="Q1445" s="96" t="s">
        <v>104</v>
      </c>
      <c r="R1445" s="52">
        <v>11.4</v>
      </c>
      <c r="S1445" s="52">
        <f>R1445-T1445</f>
        <v>9.421487603305785</v>
      </c>
      <c r="T1445" s="52">
        <f>R1445*U1445/(U1445+100)</f>
        <v>1.9785123966942149</v>
      </c>
      <c r="U1445" s="50">
        <v>21</v>
      </c>
      <c r="V1445" s="53">
        <v>0</v>
      </c>
      <c r="W1445" s="147">
        <v>1</v>
      </c>
      <c r="X1445" s="148" t="s">
        <v>163</v>
      </c>
      <c r="Y1445" s="54">
        <f>R1445*W1445</f>
        <v>11.4</v>
      </c>
      <c r="Z1445" s="52">
        <f>S1445*W1445</f>
        <v>9.421487603305785</v>
      </c>
      <c r="AA1445" s="52">
        <f>T1445*W1445</f>
        <v>1.9785123966942149</v>
      </c>
      <c r="AB1445" s="52">
        <f>V1445*W1445</f>
        <v>0</v>
      </c>
      <c r="AC1445" s="53">
        <f>(R1445+V1445)*W1445</f>
        <v>11.4</v>
      </c>
      <c r="AD1445" s="138">
        <v>11.4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106</v>
      </c>
      <c r="G1446" s="97">
        <v>46132</v>
      </c>
      <c r="H1446" s="98">
        <v>0.5488541666666666</v>
      </c>
      <c r="I1446" s="50">
        <v>166004723</v>
      </c>
      <c r="J1446" s="96" t="s">
        <v>157</v>
      </c>
      <c r="K1446" s="49" t="s">
        <v>2543</v>
      </c>
      <c r="L1446" s="39" t="s">
        <v>2544</v>
      </c>
      <c r="M1446" s="49" t="s">
        <v>166</v>
      </c>
      <c r="N1446" s="39" t="s">
        <v>220</v>
      </c>
      <c r="O1446" s="96" t="s">
        <v>2545</v>
      </c>
      <c r="P1446" s="49" t="s">
        <v>157</v>
      </c>
      <c r="Q1446" s="96" t="s">
        <v>104</v>
      </c>
      <c r="R1446" s="52">
        <v>11.4</v>
      </c>
      <c r="S1446" s="52">
        <f>R1446-T1446</f>
        <v>9.421487603305785</v>
      </c>
      <c r="T1446" s="52">
        <f>R1446*U1446/(U1446+100)</f>
        <v>1.9785123966942149</v>
      </c>
      <c r="U1446" s="50">
        <v>21</v>
      </c>
      <c r="V1446" s="53">
        <v>0</v>
      </c>
      <c r="W1446" s="147">
        <v>1</v>
      </c>
      <c r="X1446" s="148" t="s">
        <v>163</v>
      </c>
      <c r="Y1446" s="54">
        <f>R1446*W1446</f>
        <v>11.4</v>
      </c>
      <c r="Z1446" s="52">
        <f>S1446*W1446</f>
        <v>9.421487603305785</v>
      </c>
      <c r="AA1446" s="52">
        <f>T1446*W1446</f>
        <v>1.9785123966942149</v>
      </c>
      <c r="AB1446" s="52">
        <f>V1446*W1446</f>
        <v>0</v>
      </c>
      <c r="AC1446" s="53">
        <f>(R1446+V1446)*W1446</f>
        <v>11.4</v>
      </c>
      <c r="AD1446" s="138">
        <v>11.4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106</v>
      </c>
      <c r="G1447" s="97">
        <v>46132</v>
      </c>
      <c r="H1447" s="98">
        <v>0.5494675925925926</v>
      </c>
      <c r="I1447" s="50">
        <v>166004724</v>
      </c>
      <c r="J1447" s="96" t="s">
        <v>157</v>
      </c>
      <c r="K1447" s="49" t="s">
        <v>2546</v>
      </c>
      <c r="L1447" s="39" t="s">
        <v>2547</v>
      </c>
      <c r="M1447" s="49" t="s">
        <v>466</v>
      </c>
      <c r="N1447" s="39" t="s">
        <v>609</v>
      </c>
      <c r="O1447" s="96" t="s">
        <v>2548</v>
      </c>
      <c r="P1447" s="49" t="s">
        <v>157</v>
      </c>
      <c r="Q1447" s="96" t="s">
        <v>104</v>
      </c>
      <c r="R1447" s="52">
        <v>10.43</v>
      </c>
      <c r="S1447" s="52">
        <f>R1447-T1447</f>
        <v>9.3125</v>
      </c>
      <c r="T1447" s="52">
        <f>R1447*U1447/(U1447+100)</f>
        <v>1.1175</v>
      </c>
      <c r="U1447" s="50">
        <v>12</v>
      </c>
      <c r="V1447" s="53">
        <v>0</v>
      </c>
      <c r="W1447" s="147">
        <v>1</v>
      </c>
      <c r="X1447" s="148" t="s">
        <v>163</v>
      </c>
      <c r="Y1447" s="54">
        <f>R1447*W1447</f>
        <v>10.43</v>
      </c>
      <c r="Z1447" s="52">
        <f>S1447*W1447</f>
        <v>9.3125</v>
      </c>
      <c r="AA1447" s="52">
        <f>T1447*W1447</f>
        <v>1.1175</v>
      </c>
      <c r="AB1447" s="52">
        <f>V1447*W1447</f>
        <v>0</v>
      </c>
      <c r="AC1447" s="53">
        <f>(R1447+V1447)*W1447</f>
        <v>10.43</v>
      </c>
      <c r="AD1447" s="138">
        <v>14.9</v>
      </c>
      <c r="AE1447" s="137">
        <v>4.47</v>
      </c>
      <c r="AF1447" s="139">
        <v>4.47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106</v>
      </c>
      <c r="G1448" s="97">
        <v>46132</v>
      </c>
      <c r="H1448" s="98">
        <v>0.5494675925925926</v>
      </c>
      <c r="I1448" s="50">
        <v>166004724</v>
      </c>
      <c r="J1448" s="96" t="s">
        <v>157</v>
      </c>
      <c r="K1448" s="49" t="s">
        <v>2301</v>
      </c>
      <c r="L1448" s="39" t="s">
        <v>2302</v>
      </c>
      <c r="M1448" s="49" t="s">
        <v>282</v>
      </c>
      <c r="N1448" s="39" t="s">
        <v>609</v>
      </c>
      <c r="O1448" s="96" t="s">
        <v>2303</v>
      </c>
      <c r="P1448" s="49" t="s">
        <v>157</v>
      </c>
      <c r="Q1448" s="96" t="s">
        <v>104</v>
      </c>
      <c r="R1448" s="52">
        <v>11.83</v>
      </c>
      <c r="S1448" s="52">
        <f>R1448-T1448</f>
        <v>10.5625</v>
      </c>
      <c r="T1448" s="52">
        <f>R1448*U1448/(U1448+100)</f>
        <v>1.2675</v>
      </c>
      <c r="U1448" s="50">
        <v>12</v>
      </c>
      <c r="V1448" s="53">
        <v>0</v>
      </c>
      <c r="W1448" s="147">
        <v>1</v>
      </c>
      <c r="X1448" s="148" t="s">
        <v>163</v>
      </c>
      <c r="Y1448" s="54">
        <f>R1448*W1448</f>
        <v>11.83</v>
      </c>
      <c r="Z1448" s="52">
        <f>S1448*W1448</f>
        <v>10.5625</v>
      </c>
      <c r="AA1448" s="52">
        <f>T1448*W1448</f>
        <v>1.2675</v>
      </c>
      <c r="AB1448" s="52">
        <f>V1448*W1448</f>
        <v>0</v>
      </c>
      <c r="AC1448" s="53">
        <f>(R1448+V1448)*W1448</f>
        <v>11.83</v>
      </c>
      <c r="AD1448" s="138">
        <v>16.9</v>
      </c>
      <c r="AE1448" s="137">
        <v>5.07</v>
      </c>
      <c r="AF1448" s="139">
        <v>5.07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106</v>
      </c>
      <c r="G1449" s="97">
        <v>46132</v>
      </c>
      <c r="H1449" s="98">
        <v>0.5494675925925926</v>
      </c>
      <c r="I1449" s="50">
        <v>166004724</v>
      </c>
      <c r="J1449" s="96" t="s">
        <v>157</v>
      </c>
      <c r="K1449" s="49" t="s">
        <v>329</v>
      </c>
      <c r="L1449" s="39" t="s">
        <v>330</v>
      </c>
      <c r="M1449" s="49" t="s">
        <v>185</v>
      </c>
      <c r="N1449" s="39" t="s">
        <v>331</v>
      </c>
      <c r="O1449" s="96" t="s">
        <v>1640</v>
      </c>
      <c r="P1449" s="49" t="s">
        <v>157</v>
      </c>
      <c r="Q1449" s="96" t="s">
        <v>104</v>
      </c>
      <c r="R1449" s="52">
        <v>49.9</v>
      </c>
      <c r="S1449" s="52">
        <f>R1449-T1449</f>
        <v>44.55357142857143</v>
      </c>
      <c r="T1449" s="52">
        <f>R1449*U1449/(U1449+100)</f>
        <v>5.346428571428571</v>
      </c>
      <c r="U1449" s="50">
        <v>12</v>
      </c>
      <c r="V1449" s="53">
        <v>0</v>
      </c>
      <c r="W1449" s="147">
        <v>1</v>
      </c>
      <c r="X1449" s="148" t="s">
        <v>163</v>
      </c>
      <c r="Y1449" s="54">
        <f>R1449*W1449</f>
        <v>49.9</v>
      </c>
      <c r="Z1449" s="52">
        <f>S1449*W1449</f>
        <v>44.55357142857143</v>
      </c>
      <c r="AA1449" s="52">
        <f>T1449*W1449</f>
        <v>5.346428571428571</v>
      </c>
      <c r="AB1449" s="52">
        <f>V1449*W1449</f>
        <v>0</v>
      </c>
      <c r="AC1449" s="53">
        <f>(R1449+V1449)*W1449</f>
        <v>49.9</v>
      </c>
      <c r="AD1449" s="138">
        <v>49.9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106</v>
      </c>
      <c r="G1450" s="97">
        <v>46132</v>
      </c>
      <c r="H1450" s="98">
        <v>0.5494675925925926</v>
      </c>
      <c r="I1450" s="50">
        <v>166004724</v>
      </c>
      <c r="J1450" s="96" t="s">
        <v>157</v>
      </c>
      <c r="K1450" s="49" t="s">
        <v>336</v>
      </c>
      <c r="L1450" s="39" t="s">
        <v>337</v>
      </c>
      <c r="M1450" s="49" t="s">
        <v>190</v>
      </c>
      <c r="N1450" s="39" t="s">
        <v>191</v>
      </c>
      <c r="O1450" s="96" t="s">
        <v>338</v>
      </c>
      <c r="P1450" s="49" t="s">
        <v>157</v>
      </c>
      <c r="Q1450" s="96" t="s">
        <v>104</v>
      </c>
      <c r="R1450" s="52">
        <v>11.9</v>
      </c>
      <c r="S1450" s="52">
        <f>R1450-T1450</f>
        <v>10.625</v>
      </c>
      <c r="T1450" s="52">
        <f>R1450*U1450/(U1450+100)</f>
        <v>1.2750000000000001</v>
      </c>
      <c r="U1450" s="50">
        <v>12</v>
      </c>
      <c r="V1450" s="53">
        <v>0</v>
      </c>
      <c r="W1450" s="147">
        <v>0.568</v>
      </c>
      <c r="X1450" s="148" t="s">
        <v>193</v>
      </c>
      <c r="Y1450" s="54">
        <f>R1450*W1450</f>
        <v>6.7592</v>
      </c>
      <c r="Z1450" s="52">
        <f>S1450*W1450</f>
        <v>6.034999999999999</v>
      </c>
      <c r="AA1450" s="52">
        <f>T1450*W1450</f>
        <v>0.7242000000000001</v>
      </c>
      <c r="AB1450" s="52">
        <f>V1450*W1450</f>
        <v>0</v>
      </c>
      <c r="AC1450" s="53">
        <f>(R1450+V1450)*W1450</f>
        <v>6.7592</v>
      </c>
      <c r="AD1450" s="138">
        <v>11.9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106</v>
      </c>
      <c r="G1451" s="97">
        <v>46132</v>
      </c>
      <c r="H1451" s="98">
        <v>0.5494675925925926</v>
      </c>
      <c r="I1451" s="50">
        <v>166004724</v>
      </c>
      <c r="J1451" s="96" t="s">
        <v>157</v>
      </c>
      <c r="K1451" s="49" t="s">
        <v>530</v>
      </c>
      <c r="L1451" s="39" t="s">
        <v>531</v>
      </c>
      <c r="M1451" s="49" t="s">
        <v>190</v>
      </c>
      <c r="N1451" s="39" t="s">
        <v>532</v>
      </c>
      <c r="O1451" s="96" t="s">
        <v>533</v>
      </c>
      <c r="P1451" s="49" t="s">
        <v>157</v>
      </c>
      <c r="Q1451" s="96" t="s">
        <v>104</v>
      </c>
      <c r="R1451" s="52">
        <v>25.9</v>
      </c>
      <c r="S1451" s="52">
        <f>R1451-T1451</f>
        <v>23.125</v>
      </c>
      <c r="T1451" s="52">
        <f>R1451*U1451/(U1451+100)</f>
        <v>2.7749999999999995</v>
      </c>
      <c r="U1451" s="50">
        <v>12</v>
      </c>
      <c r="V1451" s="53">
        <v>0</v>
      </c>
      <c r="W1451" s="147">
        <v>0.332</v>
      </c>
      <c r="X1451" s="148" t="s">
        <v>193</v>
      </c>
      <c r="Y1451" s="54">
        <f>R1451*W1451</f>
        <v>8.5988</v>
      </c>
      <c r="Z1451" s="52">
        <f>S1451*W1451</f>
        <v>7.6775</v>
      </c>
      <c r="AA1451" s="52">
        <f>T1451*W1451</f>
        <v>0.9212999999999999</v>
      </c>
      <c r="AB1451" s="52">
        <f>V1451*W1451</f>
        <v>0</v>
      </c>
      <c r="AC1451" s="53">
        <f>(R1451+V1451)*W1451</f>
        <v>8.5988</v>
      </c>
      <c r="AD1451" s="138">
        <v>25.9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106</v>
      </c>
      <c r="G1452" s="97">
        <v>46132</v>
      </c>
      <c r="H1452" s="98">
        <v>0.5494675925925926</v>
      </c>
      <c r="I1452" s="50">
        <v>166004724</v>
      </c>
      <c r="J1452" s="96" t="s">
        <v>157</v>
      </c>
      <c r="K1452" s="49" t="s">
        <v>686</v>
      </c>
      <c r="L1452" s="39" t="s">
        <v>687</v>
      </c>
      <c r="M1452" s="49" t="s">
        <v>369</v>
      </c>
      <c r="N1452" s="39" t="s">
        <v>688</v>
      </c>
      <c r="O1452" s="96" t="s">
        <v>1341</v>
      </c>
      <c r="P1452" s="49" t="s">
        <v>157</v>
      </c>
      <c r="Q1452" s="96" t="s">
        <v>104</v>
      </c>
      <c r="R1452" s="52">
        <v>227.9</v>
      </c>
      <c r="S1452" s="52">
        <f>R1452-T1452</f>
        <v>203.48214285714286</v>
      </c>
      <c r="T1452" s="52">
        <f>R1452*U1452/(U1452+100)</f>
        <v>24.417857142857144</v>
      </c>
      <c r="U1452" s="50">
        <v>12</v>
      </c>
      <c r="V1452" s="53">
        <v>0</v>
      </c>
      <c r="W1452" s="147">
        <v>0.202</v>
      </c>
      <c r="X1452" s="148" t="s">
        <v>193</v>
      </c>
      <c r="Y1452" s="54">
        <f>R1452*W1452</f>
        <v>46.0358</v>
      </c>
      <c r="Z1452" s="52">
        <f>S1452*W1452</f>
        <v>41.10339285714286</v>
      </c>
      <c r="AA1452" s="52">
        <f>T1452*W1452</f>
        <v>4.932407142857143</v>
      </c>
      <c r="AB1452" s="52">
        <f>V1452*W1452</f>
        <v>0</v>
      </c>
      <c r="AC1452" s="53">
        <f>(R1452+V1452)*W1452</f>
        <v>46.0358</v>
      </c>
      <c r="AD1452" s="138">
        <v>227.9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106</v>
      </c>
      <c r="G1453" s="97">
        <v>46132</v>
      </c>
      <c r="H1453" s="98">
        <v>0.5494675925925926</v>
      </c>
      <c r="I1453" s="50">
        <v>166004724</v>
      </c>
      <c r="J1453" s="96" t="s">
        <v>157</v>
      </c>
      <c r="K1453" s="49" t="s">
        <v>293</v>
      </c>
      <c r="L1453" s="39" t="s">
        <v>294</v>
      </c>
      <c r="M1453" s="49" t="s">
        <v>295</v>
      </c>
      <c r="N1453" s="39" t="s">
        <v>296</v>
      </c>
      <c r="O1453" s="96" t="s">
        <v>297</v>
      </c>
      <c r="P1453" s="49" t="s">
        <v>157</v>
      </c>
      <c r="Q1453" s="96" t="s">
        <v>104</v>
      </c>
      <c r="R1453" s="52">
        <v>2.9</v>
      </c>
      <c r="S1453" s="52">
        <f>R1453-T1453</f>
        <v>2.5892857142857144</v>
      </c>
      <c r="T1453" s="52">
        <f>R1453*U1453/(U1453+100)</f>
        <v>0.31071428571428567</v>
      </c>
      <c r="U1453" s="50">
        <v>12</v>
      </c>
      <c r="V1453" s="53">
        <v>0</v>
      </c>
      <c r="W1453" s="147">
        <v>5</v>
      </c>
      <c r="X1453" s="148" t="s">
        <v>163</v>
      </c>
      <c r="Y1453" s="54">
        <f>R1453*W1453</f>
        <v>14.5</v>
      </c>
      <c r="Z1453" s="52">
        <f>S1453*W1453</f>
        <v>12.946428571428573</v>
      </c>
      <c r="AA1453" s="52">
        <f>T1453*W1453</f>
        <v>1.5535714285714284</v>
      </c>
      <c r="AB1453" s="52">
        <f>V1453*W1453</f>
        <v>0</v>
      </c>
      <c r="AC1453" s="53">
        <f>(R1453+V1453)*W1453</f>
        <v>14.5</v>
      </c>
      <c r="AD1453" s="138">
        <v>2.9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106</v>
      </c>
      <c r="G1454" s="97">
        <v>46132</v>
      </c>
      <c r="H1454" s="98">
        <v>0.5494675925925926</v>
      </c>
      <c r="I1454" s="50">
        <v>166004724</v>
      </c>
      <c r="J1454" s="96" t="s">
        <v>157</v>
      </c>
      <c r="K1454" s="49" t="s">
        <v>942</v>
      </c>
      <c r="L1454" s="39"/>
      <c r="M1454" s="49" t="s">
        <v>295</v>
      </c>
      <c r="N1454" s="39" t="s">
        <v>433</v>
      </c>
      <c r="O1454" s="96" t="s">
        <v>1332</v>
      </c>
      <c r="P1454" s="49" t="s">
        <v>235</v>
      </c>
      <c r="Q1454" s="96" t="s">
        <v>944</v>
      </c>
      <c r="R1454" s="52">
        <v>9.9</v>
      </c>
      <c r="S1454" s="52">
        <f>R1454-T1454</f>
        <v>8.839285714285715</v>
      </c>
      <c r="T1454" s="52">
        <f>R1454*U1454/(U1454+100)</f>
        <v>1.0607142857142857</v>
      </c>
      <c r="U1454" s="50">
        <v>12</v>
      </c>
      <c r="V1454" s="53">
        <v>0</v>
      </c>
      <c r="W1454" s="147">
        <v>1</v>
      </c>
      <c r="X1454" s="148" t="s">
        <v>945</v>
      </c>
      <c r="Y1454" s="54">
        <f>R1454*W1454</f>
        <v>9.9</v>
      </c>
      <c r="Z1454" s="52">
        <f>S1454*W1454</f>
        <v>8.839285714285715</v>
      </c>
      <c r="AA1454" s="52">
        <f>T1454*W1454</f>
        <v>1.0607142857142857</v>
      </c>
      <c r="AB1454" s="52">
        <f>V1454*W1454</f>
        <v>0</v>
      </c>
      <c r="AC1454" s="53">
        <f>(R1454+V1454)*W1454</f>
        <v>9.9</v>
      </c>
      <c r="AD1454" s="138">
        <v>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106</v>
      </c>
      <c r="G1455" s="97">
        <v>46132</v>
      </c>
      <c r="H1455" s="98">
        <v>0.5495949074074075</v>
      </c>
      <c r="I1455" s="50">
        <v>166004725</v>
      </c>
      <c r="J1455" s="96" t="s">
        <v>157</v>
      </c>
      <c r="K1455" s="49" t="s">
        <v>435</v>
      </c>
      <c r="L1455" s="39" t="s">
        <v>436</v>
      </c>
      <c r="M1455" s="49" t="s">
        <v>219</v>
      </c>
      <c r="N1455" s="39" t="s">
        <v>244</v>
      </c>
      <c r="O1455" s="96" t="s">
        <v>2549</v>
      </c>
      <c r="P1455" s="49" t="s">
        <v>157</v>
      </c>
      <c r="Q1455" s="96" t="s">
        <v>104</v>
      </c>
      <c r="R1455" s="52">
        <v>49.9</v>
      </c>
      <c r="S1455" s="52">
        <f>R1455-T1455</f>
        <v>44.55357142857143</v>
      </c>
      <c r="T1455" s="52">
        <f>R1455*U1455/(U1455+100)</f>
        <v>5.346428571428571</v>
      </c>
      <c r="U1455" s="50">
        <v>12</v>
      </c>
      <c r="V1455" s="53">
        <v>0</v>
      </c>
      <c r="W1455" s="147">
        <v>1</v>
      </c>
      <c r="X1455" s="148" t="s">
        <v>163</v>
      </c>
      <c r="Y1455" s="54">
        <f>R1455*W1455</f>
        <v>49.9</v>
      </c>
      <c r="Z1455" s="52">
        <f>S1455*W1455</f>
        <v>44.55357142857143</v>
      </c>
      <c r="AA1455" s="52">
        <f>T1455*W1455</f>
        <v>5.346428571428571</v>
      </c>
      <c r="AB1455" s="52">
        <f>V1455*W1455</f>
        <v>0</v>
      </c>
      <c r="AC1455" s="53">
        <f>(R1455+V1455)*W1455</f>
        <v>49.9</v>
      </c>
      <c r="AD1455" s="138">
        <v>49.9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106</v>
      </c>
      <c r="G1456" s="97">
        <v>46132</v>
      </c>
      <c r="H1456" s="98">
        <v>0.5498611111111111</v>
      </c>
      <c r="I1456" s="50">
        <v>166004726</v>
      </c>
      <c r="J1456" s="96" t="s">
        <v>157</v>
      </c>
      <c r="K1456" s="49" t="s">
        <v>553</v>
      </c>
      <c r="L1456" s="39" t="s">
        <v>104</v>
      </c>
      <c r="M1456" s="49" t="s">
        <v>554</v>
      </c>
      <c r="N1456" s="39" t="s">
        <v>296</v>
      </c>
      <c r="O1456" s="96" t="s">
        <v>555</v>
      </c>
      <c r="P1456" s="49" t="s">
        <v>157</v>
      </c>
      <c r="Q1456" s="96" t="s">
        <v>104</v>
      </c>
      <c r="R1456" s="52">
        <v>8.9</v>
      </c>
      <c r="S1456" s="52">
        <f>R1456-T1456</f>
        <v>7.946428571428572</v>
      </c>
      <c r="T1456" s="52">
        <f>R1456*U1456/(U1456+100)</f>
        <v>0.9535714285714286</v>
      </c>
      <c r="U1456" s="50">
        <v>12</v>
      </c>
      <c r="V1456" s="53">
        <v>0</v>
      </c>
      <c r="W1456" s="147">
        <v>2</v>
      </c>
      <c r="X1456" s="148" t="s">
        <v>163</v>
      </c>
      <c r="Y1456" s="54">
        <f>R1456*W1456</f>
        <v>17.8</v>
      </c>
      <c r="Z1456" s="52">
        <f>S1456*W1456</f>
        <v>15.892857142857144</v>
      </c>
      <c r="AA1456" s="52">
        <f>T1456*W1456</f>
        <v>1.9071428571428573</v>
      </c>
      <c r="AB1456" s="52">
        <f>V1456*W1456</f>
        <v>0</v>
      </c>
      <c r="AC1456" s="53">
        <f>(R1456+V1456)*W1456</f>
        <v>17.8</v>
      </c>
      <c r="AD1456" s="138">
        <v>8.9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106</v>
      </c>
      <c r="G1457" s="97">
        <v>46132</v>
      </c>
      <c r="H1457" s="98">
        <v>0.5498611111111111</v>
      </c>
      <c r="I1457" s="50">
        <v>166004726</v>
      </c>
      <c r="J1457" s="96" t="s">
        <v>157</v>
      </c>
      <c r="K1457" s="49" t="s">
        <v>406</v>
      </c>
      <c r="L1457" s="39" t="s">
        <v>407</v>
      </c>
      <c r="M1457" s="49" t="s">
        <v>277</v>
      </c>
      <c r="N1457" s="39" t="s">
        <v>408</v>
      </c>
      <c r="O1457" s="96" t="s">
        <v>409</v>
      </c>
      <c r="P1457" s="49" t="s">
        <v>157</v>
      </c>
      <c r="Q1457" s="96" t="s">
        <v>104</v>
      </c>
      <c r="R1457" s="52">
        <v>259.9</v>
      </c>
      <c r="S1457" s="52">
        <f>R1457-T1457</f>
        <v>232.05357142857142</v>
      </c>
      <c r="T1457" s="52">
        <f>R1457*U1457/(U1457+100)</f>
        <v>27.846428571428568</v>
      </c>
      <c r="U1457" s="50">
        <v>12</v>
      </c>
      <c r="V1457" s="53">
        <v>0</v>
      </c>
      <c r="W1457" s="147">
        <v>0.164</v>
      </c>
      <c r="X1457" s="148" t="s">
        <v>410</v>
      </c>
      <c r="Y1457" s="54">
        <f>R1457*W1457</f>
        <v>42.623599999999996</v>
      </c>
      <c r="Z1457" s="52">
        <f>S1457*W1457</f>
        <v>38.056785714285716</v>
      </c>
      <c r="AA1457" s="52">
        <f>T1457*W1457</f>
        <v>4.566814285714285</v>
      </c>
      <c r="AB1457" s="52">
        <f>V1457*W1457</f>
        <v>0</v>
      </c>
      <c r="AC1457" s="53">
        <f>(R1457+V1457)*W1457</f>
        <v>42.623599999999996</v>
      </c>
      <c r="AD1457" s="138">
        <v>259.9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106</v>
      </c>
      <c r="G1458" s="97">
        <v>46132</v>
      </c>
      <c r="H1458" s="98">
        <v>0.5508912037037037</v>
      </c>
      <c r="I1458" s="50">
        <v>166004727</v>
      </c>
      <c r="J1458" s="96" t="s">
        <v>157</v>
      </c>
      <c r="K1458" s="49" t="s">
        <v>2550</v>
      </c>
      <c r="L1458" s="39" t="s">
        <v>2551</v>
      </c>
      <c r="M1458" s="49" t="s">
        <v>1252</v>
      </c>
      <c r="N1458" s="39" t="s">
        <v>239</v>
      </c>
      <c r="O1458" s="96" t="s">
        <v>2552</v>
      </c>
      <c r="P1458" s="49" t="s">
        <v>157</v>
      </c>
      <c r="Q1458" s="96" t="s">
        <v>104</v>
      </c>
      <c r="R1458" s="52">
        <v>39.9</v>
      </c>
      <c r="S1458" s="52">
        <f>R1458-T1458</f>
        <v>35.625</v>
      </c>
      <c r="T1458" s="52">
        <f>R1458*U1458/(U1458+100)</f>
        <v>4.2749999999999995</v>
      </c>
      <c r="U1458" s="50">
        <v>12</v>
      </c>
      <c r="V1458" s="53">
        <v>0</v>
      </c>
      <c r="W1458" s="147">
        <v>1</v>
      </c>
      <c r="X1458" s="148" t="s">
        <v>163</v>
      </c>
      <c r="Y1458" s="54">
        <f>R1458*W1458</f>
        <v>39.9</v>
      </c>
      <c r="Z1458" s="52">
        <f>S1458*W1458</f>
        <v>35.625</v>
      </c>
      <c r="AA1458" s="52">
        <f>T1458*W1458</f>
        <v>4.2749999999999995</v>
      </c>
      <c r="AB1458" s="52">
        <f>V1458*W1458</f>
        <v>0</v>
      </c>
      <c r="AC1458" s="53">
        <f>(R1458+V1458)*W1458</f>
        <v>39.9</v>
      </c>
      <c r="AD1458" s="138">
        <v>39.9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106</v>
      </c>
      <c r="G1459" s="97">
        <v>46132</v>
      </c>
      <c r="H1459" s="98">
        <v>0.5508912037037037</v>
      </c>
      <c r="I1459" s="50">
        <v>166004727</v>
      </c>
      <c r="J1459" s="96" t="s">
        <v>157</v>
      </c>
      <c r="K1459" s="49" t="s">
        <v>2161</v>
      </c>
      <c r="L1459" s="39" t="s">
        <v>2162</v>
      </c>
      <c r="M1459" s="49" t="s">
        <v>1445</v>
      </c>
      <c r="N1459" s="39" t="s">
        <v>319</v>
      </c>
      <c r="O1459" s="96" t="s">
        <v>2163</v>
      </c>
      <c r="P1459" s="49" t="s">
        <v>157</v>
      </c>
      <c r="Q1459" s="96" t="s">
        <v>104</v>
      </c>
      <c r="R1459" s="52">
        <v>29.9</v>
      </c>
      <c r="S1459" s="52">
        <f>R1459-T1459</f>
        <v>26.69642857142857</v>
      </c>
      <c r="T1459" s="52">
        <f>R1459*U1459/(U1459+100)</f>
        <v>3.2035714285714283</v>
      </c>
      <c r="U1459" s="50">
        <v>12</v>
      </c>
      <c r="V1459" s="53">
        <v>0</v>
      </c>
      <c r="W1459" s="147">
        <v>1</v>
      </c>
      <c r="X1459" s="148" t="s">
        <v>163</v>
      </c>
      <c r="Y1459" s="54">
        <f>R1459*W1459</f>
        <v>29.9</v>
      </c>
      <c r="Z1459" s="52">
        <f>S1459*W1459</f>
        <v>26.69642857142857</v>
      </c>
      <c r="AA1459" s="52">
        <f>T1459*W1459</f>
        <v>3.2035714285714283</v>
      </c>
      <c r="AB1459" s="52">
        <f>V1459*W1459</f>
        <v>0</v>
      </c>
      <c r="AC1459" s="53">
        <f>(R1459+V1459)*W1459</f>
        <v>29.9</v>
      </c>
      <c r="AD1459" s="138">
        <v>29.9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106</v>
      </c>
      <c r="G1460" s="97">
        <v>46132</v>
      </c>
      <c r="H1460" s="98">
        <v>0.5508912037037037</v>
      </c>
      <c r="I1460" s="50">
        <v>166004727</v>
      </c>
      <c r="J1460" s="96" t="s">
        <v>157</v>
      </c>
      <c r="K1460" s="49" t="s">
        <v>2553</v>
      </c>
      <c r="L1460" s="39" t="s">
        <v>2554</v>
      </c>
      <c r="M1460" s="49" t="s">
        <v>608</v>
      </c>
      <c r="N1460" s="39" t="s">
        <v>167</v>
      </c>
      <c r="O1460" s="96" t="s">
        <v>2555</v>
      </c>
      <c r="P1460" s="49" t="s">
        <v>157</v>
      </c>
      <c r="Q1460" s="96" t="s">
        <v>104</v>
      </c>
      <c r="R1460" s="52">
        <v>69.9</v>
      </c>
      <c r="S1460" s="52">
        <f>R1460-T1460</f>
        <v>62.41071428571429</v>
      </c>
      <c r="T1460" s="52">
        <f>R1460*U1460/(U1460+100)</f>
        <v>7.489285714285715</v>
      </c>
      <c r="U1460" s="50">
        <v>12</v>
      </c>
      <c r="V1460" s="53">
        <v>0</v>
      </c>
      <c r="W1460" s="147">
        <v>1</v>
      </c>
      <c r="X1460" s="148" t="s">
        <v>163</v>
      </c>
      <c r="Y1460" s="54">
        <f>R1460*W1460</f>
        <v>69.9</v>
      </c>
      <c r="Z1460" s="52">
        <f>S1460*W1460</f>
        <v>62.41071428571429</v>
      </c>
      <c r="AA1460" s="52">
        <f>T1460*W1460</f>
        <v>7.489285714285715</v>
      </c>
      <c r="AB1460" s="52">
        <f>V1460*W1460</f>
        <v>0</v>
      </c>
      <c r="AC1460" s="53">
        <f>(R1460+V1460)*W1460</f>
        <v>69.9</v>
      </c>
      <c r="AD1460" s="138">
        <v>69.9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106</v>
      </c>
      <c r="G1461" s="97">
        <v>46132</v>
      </c>
      <c r="H1461" s="98">
        <v>0.5508912037037037</v>
      </c>
      <c r="I1461" s="50">
        <v>166004727</v>
      </c>
      <c r="J1461" s="96" t="s">
        <v>157</v>
      </c>
      <c r="K1461" s="49" t="s">
        <v>183</v>
      </c>
      <c r="L1461" s="39" t="s">
        <v>184</v>
      </c>
      <c r="M1461" s="49" t="s">
        <v>185</v>
      </c>
      <c r="N1461" s="39" t="s">
        <v>186</v>
      </c>
      <c r="O1461" s="96" t="s">
        <v>988</v>
      </c>
      <c r="P1461" s="49" t="s">
        <v>157</v>
      </c>
      <c r="Q1461" s="96" t="s">
        <v>104</v>
      </c>
      <c r="R1461" s="52">
        <v>1.9</v>
      </c>
      <c r="S1461" s="52">
        <f>R1461-T1461</f>
        <v>1.5702479338842974</v>
      </c>
      <c r="T1461" s="52">
        <f>R1461*U1461/(U1461+100)</f>
        <v>0.32975206611570246</v>
      </c>
      <c r="U1461" s="50">
        <v>21</v>
      </c>
      <c r="V1461" s="53">
        <v>0</v>
      </c>
      <c r="W1461" s="147">
        <v>1</v>
      </c>
      <c r="X1461" s="148" t="s">
        <v>163</v>
      </c>
      <c r="Y1461" s="54">
        <f>R1461*W1461</f>
        <v>1.9</v>
      </c>
      <c r="Z1461" s="52">
        <f>S1461*W1461</f>
        <v>1.5702479338842974</v>
      </c>
      <c r="AA1461" s="52">
        <f>T1461*W1461</f>
        <v>0.32975206611570246</v>
      </c>
      <c r="AB1461" s="52">
        <f>V1461*W1461</f>
        <v>0</v>
      </c>
      <c r="AC1461" s="53">
        <f>(R1461+V1461)*W1461</f>
        <v>1.9</v>
      </c>
      <c r="AD1461" s="138">
        <v>1.9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106</v>
      </c>
      <c r="G1462" s="97">
        <v>46132</v>
      </c>
      <c r="H1462" s="98">
        <v>0.5508912037037037</v>
      </c>
      <c r="I1462" s="50">
        <v>166004727</v>
      </c>
      <c r="J1462" s="96" t="s">
        <v>157</v>
      </c>
      <c r="K1462" s="49" t="s">
        <v>1413</v>
      </c>
      <c r="L1462" s="39" t="s">
        <v>104</v>
      </c>
      <c r="M1462" s="49" t="s">
        <v>190</v>
      </c>
      <c r="N1462" s="39" t="s">
        <v>1414</v>
      </c>
      <c r="O1462" s="96" t="s">
        <v>1415</v>
      </c>
      <c r="P1462" s="49" t="s">
        <v>157</v>
      </c>
      <c r="Q1462" s="96" t="s">
        <v>104</v>
      </c>
      <c r="R1462" s="52">
        <v>23.9</v>
      </c>
      <c r="S1462" s="52">
        <f>R1462-T1462</f>
        <v>21.33928571428571</v>
      </c>
      <c r="T1462" s="52">
        <f>R1462*U1462/(U1462+100)</f>
        <v>2.5607142857142855</v>
      </c>
      <c r="U1462" s="50">
        <v>12</v>
      </c>
      <c r="V1462" s="53">
        <v>0</v>
      </c>
      <c r="W1462" s="147">
        <v>1</v>
      </c>
      <c r="X1462" s="148" t="s">
        <v>163</v>
      </c>
      <c r="Y1462" s="54">
        <f>R1462*W1462</f>
        <v>23.9</v>
      </c>
      <c r="Z1462" s="52">
        <f>S1462*W1462</f>
        <v>21.33928571428571</v>
      </c>
      <c r="AA1462" s="52">
        <f>T1462*W1462</f>
        <v>2.5607142857142855</v>
      </c>
      <c r="AB1462" s="52">
        <f>V1462*W1462</f>
        <v>0</v>
      </c>
      <c r="AC1462" s="53">
        <f>(R1462+V1462)*W1462</f>
        <v>23.9</v>
      </c>
      <c r="AD1462" s="138">
        <v>23.9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106</v>
      </c>
      <c r="G1463" s="97">
        <v>46132</v>
      </c>
      <c r="H1463" s="98">
        <v>0.5508912037037037</v>
      </c>
      <c r="I1463" s="50">
        <v>166004727</v>
      </c>
      <c r="J1463" s="96" t="s">
        <v>157</v>
      </c>
      <c r="K1463" s="49" t="s">
        <v>1413</v>
      </c>
      <c r="L1463" s="39" t="s">
        <v>104</v>
      </c>
      <c r="M1463" s="49" t="s">
        <v>190</v>
      </c>
      <c r="N1463" s="39" t="s">
        <v>1414</v>
      </c>
      <c r="O1463" s="96" t="s">
        <v>1415</v>
      </c>
      <c r="P1463" s="49" t="s">
        <v>157</v>
      </c>
      <c r="Q1463" s="96" t="s">
        <v>104</v>
      </c>
      <c r="R1463" s="52">
        <v>23.9</v>
      </c>
      <c r="S1463" s="52">
        <f>R1463-T1463</f>
        <v>21.33928571428571</v>
      </c>
      <c r="T1463" s="52">
        <f>R1463*U1463/(U1463+100)</f>
        <v>2.5607142857142855</v>
      </c>
      <c r="U1463" s="50">
        <v>12</v>
      </c>
      <c r="V1463" s="53">
        <v>0</v>
      </c>
      <c r="W1463" s="147">
        <v>1</v>
      </c>
      <c r="X1463" s="148" t="s">
        <v>163</v>
      </c>
      <c r="Y1463" s="54">
        <f>R1463*W1463</f>
        <v>23.9</v>
      </c>
      <c r="Z1463" s="52">
        <f>S1463*W1463</f>
        <v>21.33928571428571</v>
      </c>
      <c r="AA1463" s="52">
        <f>T1463*W1463</f>
        <v>2.5607142857142855</v>
      </c>
      <c r="AB1463" s="52">
        <f>V1463*W1463</f>
        <v>0</v>
      </c>
      <c r="AC1463" s="53">
        <f>(R1463+V1463)*W1463</f>
        <v>23.9</v>
      </c>
      <c r="AD1463" s="138">
        <v>23.9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106</v>
      </c>
      <c r="G1464" s="97">
        <v>46132</v>
      </c>
      <c r="H1464" s="98">
        <v>0.5508912037037037</v>
      </c>
      <c r="I1464" s="50">
        <v>166004727</v>
      </c>
      <c r="J1464" s="96" t="s">
        <v>157</v>
      </c>
      <c r="K1464" s="49" t="s">
        <v>1531</v>
      </c>
      <c r="L1464" s="39"/>
      <c r="M1464" s="49" t="s">
        <v>295</v>
      </c>
      <c r="N1464" s="39" t="s">
        <v>433</v>
      </c>
      <c r="O1464" s="96" t="s">
        <v>1532</v>
      </c>
      <c r="P1464" s="49" t="s">
        <v>235</v>
      </c>
      <c r="Q1464" s="96" t="s">
        <v>1533</v>
      </c>
      <c r="R1464" s="52">
        <v>19.9</v>
      </c>
      <c r="S1464" s="52">
        <f>R1464-T1464</f>
        <v>17.767857142857142</v>
      </c>
      <c r="T1464" s="52">
        <f>R1464*U1464/(U1464+100)</f>
        <v>2.132142857142857</v>
      </c>
      <c r="U1464" s="50">
        <v>12</v>
      </c>
      <c r="V1464" s="53">
        <v>0</v>
      </c>
      <c r="W1464" s="147">
        <v>1</v>
      </c>
      <c r="X1464" s="148" t="s">
        <v>945</v>
      </c>
      <c r="Y1464" s="54">
        <f>R1464*W1464</f>
        <v>19.9</v>
      </c>
      <c r="Z1464" s="52">
        <f>S1464*W1464</f>
        <v>17.767857142857142</v>
      </c>
      <c r="AA1464" s="52">
        <f>T1464*W1464</f>
        <v>2.132142857142857</v>
      </c>
      <c r="AB1464" s="52">
        <f>V1464*W1464</f>
        <v>0</v>
      </c>
      <c r="AC1464" s="53">
        <f>(R1464+V1464)*W1464</f>
        <v>19.9</v>
      </c>
      <c r="AD1464" s="138">
        <v>19.9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106</v>
      </c>
      <c r="G1465" s="97">
        <v>46132</v>
      </c>
      <c r="H1465" s="98">
        <v>0.5511458333333333</v>
      </c>
      <c r="I1465" s="50">
        <v>166004728</v>
      </c>
      <c r="J1465" s="96" t="s">
        <v>157</v>
      </c>
      <c r="K1465" s="49" t="s">
        <v>293</v>
      </c>
      <c r="L1465" s="39" t="s">
        <v>294</v>
      </c>
      <c r="M1465" s="49" t="s">
        <v>295</v>
      </c>
      <c r="N1465" s="39" t="s">
        <v>296</v>
      </c>
      <c r="O1465" s="96" t="s">
        <v>297</v>
      </c>
      <c r="P1465" s="49" t="s">
        <v>157</v>
      </c>
      <c r="Q1465" s="96" t="s">
        <v>104</v>
      </c>
      <c r="R1465" s="52">
        <v>2.9</v>
      </c>
      <c r="S1465" s="52">
        <f>R1465-T1465</f>
        <v>2.5892857142857144</v>
      </c>
      <c r="T1465" s="52">
        <f>R1465*U1465/(U1465+100)</f>
        <v>0.31071428571428567</v>
      </c>
      <c r="U1465" s="50">
        <v>12</v>
      </c>
      <c r="V1465" s="53">
        <v>0</v>
      </c>
      <c r="W1465" s="147">
        <v>5</v>
      </c>
      <c r="X1465" s="148" t="s">
        <v>163</v>
      </c>
      <c r="Y1465" s="54">
        <f>R1465*W1465</f>
        <v>14.5</v>
      </c>
      <c r="Z1465" s="52">
        <f>S1465*W1465</f>
        <v>12.946428571428573</v>
      </c>
      <c r="AA1465" s="52">
        <f>T1465*W1465</f>
        <v>1.5535714285714284</v>
      </c>
      <c r="AB1465" s="52">
        <f>V1465*W1465</f>
        <v>0</v>
      </c>
      <c r="AC1465" s="53">
        <f>(R1465+V1465)*W1465</f>
        <v>14.5</v>
      </c>
      <c r="AD1465" s="138">
        <v>2.9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106</v>
      </c>
      <c r="G1466" s="97">
        <v>46132</v>
      </c>
      <c r="H1466" s="98">
        <v>0.5514814814814815</v>
      </c>
      <c r="I1466" s="50">
        <v>166004729</v>
      </c>
      <c r="J1466" s="96" t="s">
        <v>157</v>
      </c>
      <c r="K1466" s="49" t="s">
        <v>2556</v>
      </c>
      <c r="L1466" s="39" t="s">
        <v>2557</v>
      </c>
      <c r="M1466" s="49" t="s">
        <v>232</v>
      </c>
      <c r="N1466" s="39" t="s">
        <v>233</v>
      </c>
      <c r="O1466" s="96" t="s">
        <v>2558</v>
      </c>
      <c r="P1466" s="49" t="s">
        <v>157</v>
      </c>
      <c r="Q1466" s="96" t="s">
        <v>104</v>
      </c>
      <c r="R1466" s="52">
        <v>17.9</v>
      </c>
      <c r="S1466" s="52">
        <f>R1466-T1466</f>
        <v>14.793388429752065</v>
      </c>
      <c r="T1466" s="52">
        <f>R1466*U1466/(U1466+100)</f>
        <v>3.1066115702479338</v>
      </c>
      <c r="U1466" s="50">
        <v>21</v>
      </c>
      <c r="V1466" s="53">
        <v>0</v>
      </c>
      <c r="W1466" s="147">
        <v>1</v>
      </c>
      <c r="X1466" s="148" t="s">
        <v>163</v>
      </c>
      <c r="Y1466" s="54">
        <f>R1466*W1466</f>
        <v>17.9</v>
      </c>
      <c r="Z1466" s="52">
        <f>S1466*W1466</f>
        <v>14.793388429752065</v>
      </c>
      <c r="AA1466" s="52">
        <f>T1466*W1466</f>
        <v>3.1066115702479338</v>
      </c>
      <c r="AB1466" s="52">
        <f>V1466*W1466</f>
        <v>0</v>
      </c>
      <c r="AC1466" s="53">
        <f>(R1466+V1466)*W1466</f>
        <v>17.9</v>
      </c>
      <c r="AD1466" s="138">
        <v>17.9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106</v>
      </c>
      <c r="G1467" s="97">
        <v>46132</v>
      </c>
      <c r="H1467" s="98">
        <v>0.5514814814814815</v>
      </c>
      <c r="I1467" s="50">
        <v>166004729</v>
      </c>
      <c r="J1467" s="96" t="s">
        <v>157</v>
      </c>
      <c r="K1467" s="49" t="s">
        <v>2556</v>
      </c>
      <c r="L1467" s="39" t="s">
        <v>2557</v>
      </c>
      <c r="M1467" s="49" t="s">
        <v>232</v>
      </c>
      <c r="N1467" s="39" t="s">
        <v>233</v>
      </c>
      <c r="O1467" s="96" t="s">
        <v>2558</v>
      </c>
      <c r="P1467" s="49" t="s">
        <v>157</v>
      </c>
      <c r="Q1467" s="96" t="s">
        <v>104</v>
      </c>
      <c r="R1467" s="52">
        <v>17.9</v>
      </c>
      <c r="S1467" s="52">
        <f>R1467-T1467</f>
        <v>14.793388429752065</v>
      </c>
      <c r="T1467" s="52">
        <f>R1467*U1467/(U1467+100)</f>
        <v>3.1066115702479338</v>
      </c>
      <c r="U1467" s="50">
        <v>21</v>
      </c>
      <c r="V1467" s="53">
        <v>0</v>
      </c>
      <c r="W1467" s="147">
        <v>1</v>
      </c>
      <c r="X1467" s="148" t="s">
        <v>163</v>
      </c>
      <c r="Y1467" s="54">
        <f>R1467*W1467</f>
        <v>17.9</v>
      </c>
      <c r="Z1467" s="52">
        <f>S1467*W1467</f>
        <v>14.793388429752065</v>
      </c>
      <c r="AA1467" s="52">
        <f>T1467*W1467</f>
        <v>3.1066115702479338</v>
      </c>
      <c r="AB1467" s="52">
        <f>V1467*W1467</f>
        <v>0</v>
      </c>
      <c r="AC1467" s="53">
        <f>(R1467+V1467)*W1467</f>
        <v>17.9</v>
      </c>
      <c r="AD1467" s="138">
        <v>17.9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106</v>
      </c>
      <c r="G1468" s="97">
        <v>46132</v>
      </c>
      <c r="H1468" s="98">
        <v>0.5514814814814815</v>
      </c>
      <c r="I1468" s="50">
        <v>166004729</v>
      </c>
      <c r="J1468" s="96" t="s">
        <v>157</v>
      </c>
      <c r="K1468" s="49" t="s">
        <v>2556</v>
      </c>
      <c r="L1468" s="39" t="s">
        <v>2557</v>
      </c>
      <c r="M1468" s="49" t="s">
        <v>232</v>
      </c>
      <c r="N1468" s="39" t="s">
        <v>233</v>
      </c>
      <c r="O1468" s="96" t="s">
        <v>2558</v>
      </c>
      <c r="P1468" s="49" t="s">
        <v>157</v>
      </c>
      <c r="Q1468" s="96" t="s">
        <v>104</v>
      </c>
      <c r="R1468" s="52">
        <v>17.9</v>
      </c>
      <c r="S1468" s="52">
        <f>R1468-T1468</f>
        <v>14.793388429752065</v>
      </c>
      <c r="T1468" s="52">
        <f>R1468*U1468/(U1468+100)</f>
        <v>3.1066115702479338</v>
      </c>
      <c r="U1468" s="50">
        <v>21</v>
      </c>
      <c r="V1468" s="53">
        <v>0</v>
      </c>
      <c r="W1468" s="147">
        <v>1</v>
      </c>
      <c r="X1468" s="148" t="s">
        <v>163</v>
      </c>
      <c r="Y1468" s="54">
        <f>R1468*W1468</f>
        <v>17.9</v>
      </c>
      <c r="Z1468" s="52">
        <f>S1468*W1468</f>
        <v>14.793388429752065</v>
      </c>
      <c r="AA1468" s="52">
        <f>T1468*W1468</f>
        <v>3.1066115702479338</v>
      </c>
      <c r="AB1468" s="52">
        <f>V1468*W1468</f>
        <v>0</v>
      </c>
      <c r="AC1468" s="53">
        <f>(R1468+V1468)*W1468</f>
        <v>17.9</v>
      </c>
      <c r="AD1468" s="138">
        <v>17.9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106</v>
      </c>
      <c r="G1469" s="97">
        <v>46132</v>
      </c>
      <c r="H1469" s="98">
        <v>0.5522685185185185</v>
      </c>
      <c r="I1469" s="50">
        <v>166004730</v>
      </c>
      <c r="J1469" s="96" t="s">
        <v>157</v>
      </c>
      <c r="K1469" s="49" t="s">
        <v>2559</v>
      </c>
      <c r="L1469" s="39" t="s">
        <v>2560</v>
      </c>
      <c r="M1469" s="49" t="s">
        <v>480</v>
      </c>
      <c r="N1469" s="39" t="s">
        <v>2561</v>
      </c>
      <c r="O1469" s="96" t="s">
        <v>2562</v>
      </c>
      <c r="P1469" s="49" t="s">
        <v>157</v>
      </c>
      <c r="Q1469" s="96" t="s">
        <v>104</v>
      </c>
      <c r="R1469" s="52">
        <v>35.9</v>
      </c>
      <c r="S1469" s="52">
        <f>R1469-T1469</f>
        <v>32.05357142857143</v>
      </c>
      <c r="T1469" s="52">
        <f>R1469*U1469/(U1469+100)</f>
        <v>3.846428571428571</v>
      </c>
      <c r="U1469" s="50">
        <v>12</v>
      </c>
      <c r="V1469" s="53">
        <v>0</v>
      </c>
      <c r="W1469" s="147">
        <v>1</v>
      </c>
      <c r="X1469" s="148" t="s">
        <v>163</v>
      </c>
      <c r="Y1469" s="54">
        <f>R1469*W1469</f>
        <v>35.9</v>
      </c>
      <c r="Z1469" s="52">
        <f>S1469*W1469</f>
        <v>32.05357142857143</v>
      </c>
      <c r="AA1469" s="52">
        <f>T1469*W1469</f>
        <v>3.846428571428571</v>
      </c>
      <c r="AB1469" s="52">
        <f>V1469*W1469</f>
        <v>0</v>
      </c>
      <c r="AC1469" s="53">
        <f>(R1469+V1469)*W1469</f>
        <v>35.9</v>
      </c>
      <c r="AD1469" s="138">
        <v>35.9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106</v>
      </c>
      <c r="G1470" s="97">
        <v>46132</v>
      </c>
      <c r="H1470" s="98">
        <v>0.5522685185185185</v>
      </c>
      <c r="I1470" s="50">
        <v>166004730</v>
      </c>
      <c r="J1470" s="96" t="s">
        <v>157</v>
      </c>
      <c r="K1470" s="49" t="s">
        <v>2563</v>
      </c>
      <c r="L1470" s="39" t="s">
        <v>2564</v>
      </c>
      <c r="M1470" s="49" t="s">
        <v>2565</v>
      </c>
      <c r="N1470" s="39" t="s">
        <v>1785</v>
      </c>
      <c r="O1470" s="96" t="s">
        <v>2566</v>
      </c>
      <c r="P1470" s="49" t="s">
        <v>157</v>
      </c>
      <c r="Q1470" s="96" t="s">
        <v>104</v>
      </c>
      <c r="R1470" s="52">
        <v>10.4</v>
      </c>
      <c r="S1470" s="52">
        <f>R1470-T1470</f>
        <v>9.285714285714286</v>
      </c>
      <c r="T1470" s="52">
        <f>R1470*U1470/(U1470+100)</f>
        <v>1.1142857142857143</v>
      </c>
      <c r="U1470" s="50">
        <v>12</v>
      </c>
      <c r="V1470" s="53">
        <v>0</v>
      </c>
      <c r="W1470" s="147">
        <v>1</v>
      </c>
      <c r="X1470" s="148" t="s">
        <v>163</v>
      </c>
      <c r="Y1470" s="54">
        <f>R1470*W1470</f>
        <v>10.4</v>
      </c>
      <c r="Z1470" s="52">
        <f>S1470*W1470</f>
        <v>9.285714285714286</v>
      </c>
      <c r="AA1470" s="52">
        <f>T1470*W1470</f>
        <v>1.1142857142857143</v>
      </c>
      <c r="AB1470" s="52">
        <f>V1470*W1470</f>
        <v>0</v>
      </c>
      <c r="AC1470" s="53">
        <f>(R1470+V1470)*W1470</f>
        <v>10.4</v>
      </c>
      <c r="AD1470" s="138">
        <v>10.4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106</v>
      </c>
      <c r="G1471" s="97">
        <v>46132</v>
      </c>
      <c r="H1471" s="98">
        <v>0.5522685185185185</v>
      </c>
      <c r="I1471" s="50">
        <v>166004730</v>
      </c>
      <c r="J1471" s="96" t="s">
        <v>157</v>
      </c>
      <c r="K1471" s="49" t="s">
        <v>2567</v>
      </c>
      <c r="L1471" s="39" t="s">
        <v>2568</v>
      </c>
      <c r="M1471" s="49" t="s">
        <v>485</v>
      </c>
      <c r="N1471" s="39" t="s">
        <v>476</v>
      </c>
      <c r="O1471" s="96" t="s">
        <v>2569</v>
      </c>
      <c r="P1471" s="49" t="s">
        <v>157</v>
      </c>
      <c r="Q1471" s="96" t="s">
        <v>104</v>
      </c>
      <c r="R1471" s="52">
        <v>19.9</v>
      </c>
      <c r="S1471" s="52">
        <f>R1471-T1471</f>
        <v>17.767857142857142</v>
      </c>
      <c r="T1471" s="52">
        <f>R1471*U1471/(U1471+100)</f>
        <v>2.132142857142857</v>
      </c>
      <c r="U1471" s="50">
        <v>12</v>
      </c>
      <c r="V1471" s="53">
        <v>0</v>
      </c>
      <c r="W1471" s="147">
        <v>1</v>
      </c>
      <c r="X1471" s="148" t="s">
        <v>163</v>
      </c>
      <c r="Y1471" s="54">
        <f>R1471*W1471</f>
        <v>19.9</v>
      </c>
      <c r="Z1471" s="52">
        <f>S1471*W1471</f>
        <v>17.767857142857142</v>
      </c>
      <c r="AA1471" s="52">
        <f>T1471*W1471</f>
        <v>2.132142857142857</v>
      </c>
      <c r="AB1471" s="52">
        <f>V1471*W1471</f>
        <v>0</v>
      </c>
      <c r="AC1471" s="53">
        <f>(R1471+V1471)*W1471</f>
        <v>19.9</v>
      </c>
      <c r="AD1471" s="138">
        <v>19.9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106</v>
      </c>
      <c r="G1472" s="97">
        <v>46132</v>
      </c>
      <c r="H1472" s="98">
        <v>0.5522685185185185</v>
      </c>
      <c r="I1472" s="50">
        <v>166004730</v>
      </c>
      <c r="J1472" s="96" t="s">
        <v>157</v>
      </c>
      <c r="K1472" s="49" t="s">
        <v>2570</v>
      </c>
      <c r="L1472" s="39" t="s">
        <v>2571</v>
      </c>
      <c r="M1472" s="49" t="s">
        <v>1205</v>
      </c>
      <c r="N1472" s="39" t="s">
        <v>490</v>
      </c>
      <c r="O1472" s="96" t="s">
        <v>2572</v>
      </c>
      <c r="P1472" s="49" t="s">
        <v>157</v>
      </c>
      <c r="Q1472" s="96" t="s">
        <v>104</v>
      </c>
      <c r="R1472" s="52">
        <v>29.9</v>
      </c>
      <c r="S1472" s="52">
        <f>R1472-T1472</f>
        <v>26.69642857142857</v>
      </c>
      <c r="T1472" s="52">
        <f>R1472*U1472/(U1472+100)</f>
        <v>3.2035714285714283</v>
      </c>
      <c r="U1472" s="50">
        <v>12</v>
      </c>
      <c r="V1472" s="53">
        <v>0</v>
      </c>
      <c r="W1472" s="147">
        <v>1</v>
      </c>
      <c r="X1472" s="148" t="s">
        <v>163</v>
      </c>
      <c r="Y1472" s="54">
        <f>R1472*W1472</f>
        <v>29.9</v>
      </c>
      <c r="Z1472" s="52">
        <f>S1472*W1472</f>
        <v>26.69642857142857</v>
      </c>
      <c r="AA1472" s="52">
        <f>T1472*W1472</f>
        <v>3.2035714285714283</v>
      </c>
      <c r="AB1472" s="52">
        <f>V1472*W1472</f>
        <v>0</v>
      </c>
      <c r="AC1472" s="53">
        <f>(R1472+V1472)*W1472</f>
        <v>29.9</v>
      </c>
      <c r="AD1472" s="138">
        <v>29.9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106</v>
      </c>
      <c r="G1473" s="97">
        <v>46132</v>
      </c>
      <c r="H1473" s="98">
        <v>0.5522685185185185</v>
      </c>
      <c r="I1473" s="50">
        <v>166004730</v>
      </c>
      <c r="J1473" s="96" t="s">
        <v>157</v>
      </c>
      <c r="K1473" s="49" t="s">
        <v>336</v>
      </c>
      <c r="L1473" s="39" t="s">
        <v>337</v>
      </c>
      <c r="M1473" s="49" t="s">
        <v>190</v>
      </c>
      <c r="N1473" s="39" t="s">
        <v>191</v>
      </c>
      <c r="O1473" s="96" t="s">
        <v>338</v>
      </c>
      <c r="P1473" s="49" t="s">
        <v>157</v>
      </c>
      <c r="Q1473" s="96" t="s">
        <v>104</v>
      </c>
      <c r="R1473" s="52">
        <v>11.9</v>
      </c>
      <c r="S1473" s="52">
        <f>R1473-T1473</f>
        <v>10.625</v>
      </c>
      <c r="T1473" s="52">
        <f>R1473*U1473/(U1473+100)</f>
        <v>1.2750000000000001</v>
      </c>
      <c r="U1473" s="50">
        <v>12</v>
      </c>
      <c r="V1473" s="53">
        <v>0</v>
      </c>
      <c r="W1473" s="147">
        <v>0.502</v>
      </c>
      <c r="X1473" s="148" t="s">
        <v>193</v>
      </c>
      <c r="Y1473" s="54">
        <f>R1473*W1473</f>
        <v>5.9738</v>
      </c>
      <c r="Z1473" s="52">
        <f>S1473*W1473</f>
        <v>5.33375</v>
      </c>
      <c r="AA1473" s="52">
        <f>T1473*W1473</f>
        <v>0.6400500000000001</v>
      </c>
      <c r="AB1473" s="52">
        <f>V1473*W1473</f>
        <v>0</v>
      </c>
      <c r="AC1473" s="53">
        <f>(R1473+V1473)*W1473</f>
        <v>5.9738</v>
      </c>
      <c r="AD1473" s="138">
        <v>11.9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106</v>
      </c>
      <c r="G1474" s="97">
        <v>46132</v>
      </c>
      <c r="H1474" s="98">
        <v>0.5522685185185185</v>
      </c>
      <c r="I1474" s="50">
        <v>166004730</v>
      </c>
      <c r="J1474" s="96" t="s">
        <v>157</v>
      </c>
      <c r="K1474" s="49" t="s">
        <v>625</v>
      </c>
      <c r="L1474" s="39" t="s">
        <v>626</v>
      </c>
      <c r="M1474" s="49" t="s">
        <v>190</v>
      </c>
      <c r="N1474" s="39" t="s">
        <v>191</v>
      </c>
      <c r="O1474" s="96" t="s">
        <v>627</v>
      </c>
      <c r="P1474" s="49" t="s">
        <v>157</v>
      </c>
      <c r="Q1474" s="96" t="s">
        <v>104</v>
      </c>
      <c r="R1474" s="52">
        <v>134.9</v>
      </c>
      <c r="S1474" s="52">
        <f>R1474-T1474</f>
        <v>120.44642857142857</v>
      </c>
      <c r="T1474" s="52">
        <f>R1474*U1474/(U1474+100)</f>
        <v>14.453571428571431</v>
      </c>
      <c r="U1474" s="50">
        <v>12</v>
      </c>
      <c r="V1474" s="53">
        <v>0</v>
      </c>
      <c r="W1474" s="147">
        <v>0.08</v>
      </c>
      <c r="X1474" s="148" t="s">
        <v>193</v>
      </c>
      <c r="Y1474" s="54">
        <f>R1474*W1474</f>
        <v>10.792</v>
      </c>
      <c r="Z1474" s="52">
        <f>S1474*W1474</f>
        <v>9.635714285714286</v>
      </c>
      <c r="AA1474" s="52">
        <f>T1474*W1474</f>
        <v>1.1562857142857146</v>
      </c>
      <c r="AB1474" s="52">
        <f>V1474*W1474</f>
        <v>0</v>
      </c>
      <c r="AC1474" s="53">
        <f>(R1474+V1474)*W1474</f>
        <v>10.792</v>
      </c>
      <c r="AD1474" s="138">
        <v>134.9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106</v>
      </c>
      <c r="G1475" s="97">
        <v>46132</v>
      </c>
      <c r="H1475" s="98">
        <v>0.5522685185185185</v>
      </c>
      <c r="I1475" s="50">
        <v>166004730</v>
      </c>
      <c r="J1475" s="96" t="s">
        <v>157</v>
      </c>
      <c r="K1475" s="49" t="s">
        <v>1958</v>
      </c>
      <c r="L1475" s="39" t="s">
        <v>1959</v>
      </c>
      <c r="M1475" s="49" t="s">
        <v>277</v>
      </c>
      <c r="N1475" s="39" t="s">
        <v>1732</v>
      </c>
      <c r="O1475" s="96" t="s">
        <v>1960</v>
      </c>
      <c r="P1475" s="49" t="s">
        <v>157</v>
      </c>
      <c r="Q1475" s="96" t="s">
        <v>104</v>
      </c>
      <c r="R1475" s="52">
        <v>193.9</v>
      </c>
      <c r="S1475" s="52">
        <f>R1475-T1475</f>
        <v>173.125</v>
      </c>
      <c r="T1475" s="52">
        <f>R1475*U1475/(U1475+100)</f>
        <v>20.775000000000002</v>
      </c>
      <c r="U1475" s="50">
        <v>12</v>
      </c>
      <c r="V1475" s="53">
        <v>0</v>
      </c>
      <c r="W1475" s="147">
        <v>0.148</v>
      </c>
      <c r="X1475" s="148" t="s">
        <v>193</v>
      </c>
      <c r="Y1475" s="54">
        <f>R1475*W1475</f>
        <v>28.6972</v>
      </c>
      <c r="Z1475" s="52">
        <f>S1475*W1475</f>
        <v>25.6225</v>
      </c>
      <c r="AA1475" s="52">
        <f>T1475*W1475</f>
        <v>3.0747</v>
      </c>
      <c r="AB1475" s="52">
        <f>V1475*W1475</f>
        <v>0</v>
      </c>
      <c r="AC1475" s="53">
        <f>(R1475+V1475)*W1475</f>
        <v>28.6972</v>
      </c>
      <c r="AD1475" s="138">
        <v>193.9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106</v>
      </c>
      <c r="G1476" s="97">
        <v>46132</v>
      </c>
      <c r="H1476" s="98">
        <v>0.5522685185185185</v>
      </c>
      <c r="I1476" s="50">
        <v>166004730</v>
      </c>
      <c r="J1476" s="96" t="s">
        <v>157</v>
      </c>
      <c r="K1476" s="49" t="s">
        <v>1164</v>
      </c>
      <c r="L1476" s="39" t="s">
        <v>1165</v>
      </c>
      <c r="M1476" s="49" t="s">
        <v>277</v>
      </c>
      <c r="N1476" s="39" t="s">
        <v>408</v>
      </c>
      <c r="O1476" s="96" t="s">
        <v>1166</v>
      </c>
      <c r="P1476" s="49" t="s">
        <v>157</v>
      </c>
      <c r="Q1476" s="96" t="s">
        <v>104</v>
      </c>
      <c r="R1476" s="52">
        <v>159.9</v>
      </c>
      <c r="S1476" s="52">
        <f>R1476-T1476</f>
        <v>142.76785714285714</v>
      </c>
      <c r="T1476" s="52">
        <f>R1476*U1476/(U1476+100)</f>
        <v>17.13214285714286</v>
      </c>
      <c r="U1476" s="50">
        <v>12</v>
      </c>
      <c r="V1476" s="53">
        <v>0</v>
      </c>
      <c r="W1476" s="147">
        <v>0.16</v>
      </c>
      <c r="X1476" s="148" t="s">
        <v>410</v>
      </c>
      <c r="Y1476" s="54">
        <f>R1476*W1476</f>
        <v>25.584000000000003</v>
      </c>
      <c r="Z1476" s="52">
        <f>S1476*W1476</f>
        <v>22.84285714285714</v>
      </c>
      <c r="AA1476" s="52">
        <f>T1476*W1476</f>
        <v>2.7411428571428575</v>
      </c>
      <c r="AB1476" s="52">
        <f>V1476*W1476</f>
        <v>0</v>
      </c>
      <c r="AC1476" s="53">
        <f>(R1476+V1476)*W1476</f>
        <v>25.584000000000003</v>
      </c>
      <c r="AD1476" s="138">
        <v>159.9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107</v>
      </c>
      <c r="F1477" s="96" t="s">
        <v>106</v>
      </c>
      <c r="G1477" s="97">
        <v>46132</v>
      </c>
      <c r="H1477" s="98">
        <v>0.5522685185185185</v>
      </c>
      <c r="I1477" s="50">
        <v>166004730</v>
      </c>
      <c r="J1477" s="96" t="s">
        <v>157</v>
      </c>
      <c r="K1477" s="49" t="s">
        <v>2573</v>
      </c>
      <c r="L1477" s="39" t="s">
        <v>2574</v>
      </c>
      <c r="M1477" s="49" t="s">
        <v>214</v>
      </c>
      <c r="N1477" s="39" t="s">
        <v>2575</v>
      </c>
      <c r="O1477" s="96" t="s">
        <v>2576</v>
      </c>
      <c r="P1477" s="49" t="s">
        <v>157</v>
      </c>
      <c r="Q1477" s="96" t="s">
        <v>104</v>
      </c>
      <c r="R1477" s="52">
        <v>249.9</v>
      </c>
      <c r="S1477" s="52">
        <f>R1477-T1477</f>
        <v>223.125</v>
      </c>
      <c r="T1477" s="52">
        <f>R1477*U1477/(U1477+100)</f>
        <v>26.775000000000002</v>
      </c>
      <c r="U1477" s="50">
        <v>12</v>
      </c>
      <c r="V1477" s="53">
        <v>0</v>
      </c>
      <c r="W1477" s="147">
        <v>0.252</v>
      </c>
      <c r="X1477" s="148" t="s">
        <v>410</v>
      </c>
      <c r="Y1477" s="54">
        <f>R1477*W1477</f>
        <v>62.9748</v>
      </c>
      <c r="Z1477" s="52">
        <f>S1477*W1477</f>
        <v>56.2275</v>
      </c>
      <c r="AA1477" s="52">
        <f>T1477*W1477</f>
        <v>6.747300000000001</v>
      </c>
      <c r="AB1477" s="52">
        <f>V1477*W1477</f>
        <v>0</v>
      </c>
      <c r="AC1477" s="53">
        <f>(R1477+V1477)*W1477</f>
        <v>62.9748</v>
      </c>
      <c r="AD1477" s="138">
        <v>249.9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107</v>
      </c>
      <c r="F1478" s="96" t="s">
        <v>106</v>
      </c>
      <c r="G1478" s="97">
        <v>46132</v>
      </c>
      <c r="H1478" s="98">
        <v>0.5523842592592593</v>
      </c>
      <c r="I1478" s="50">
        <v>166004731</v>
      </c>
      <c r="J1478" s="96" t="s">
        <v>157</v>
      </c>
      <c r="K1478" s="49" t="s">
        <v>2577</v>
      </c>
      <c r="L1478" s="39" t="s">
        <v>2578</v>
      </c>
      <c r="M1478" s="49" t="s">
        <v>318</v>
      </c>
      <c r="N1478" s="39" t="s">
        <v>202</v>
      </c>
      <c r="O1478" s="96" t="s">
        <v>2579</v>
      </c>
      <c r="P1478" s="49" t="s">
        <v>157</v>
      </c>
      <c r="Q1478" s="96" t="s">
        <v>104</v>
      </c>
      <c r="R1478" s="52">
        <v>29.9</v>
      </c>
      <c r="S1478" s="52">
        <f>R1478-T1478</f>
        <v>26.69642857142857</v>
      </c>
      <c r="T1478" s="52">
        <f>R1478*U1478/(U1478+100)</f>
        <v>3.2035714285714283</v>
      </c>
      <c r="U1478" s="50">
        <v>12</v>
      </c>
      <c r="V1478" s="53">
        <v>0</v>
      </c>
      <c r="W1478" s="147">
        <v>1</v>
      </c>
      <c r="X1478" s="148" t="s">
        <v>163</v>
      </c>
      <c r="Y1478" s="54">
        <f>R1478*W1478</f>
        <v>29.9</v>
      </c>
      <c r="Z1478" s="52">
        <f>S1478*W1478</f>
        <v>26.69642857142857</v>
      </c>
      <c r="AA1478" s="52">
        <f>T1478*W1478</f>
        <v>3.2035714285714283</v>
      </c>
      <c r="AB1478" s="52">
        <f>V1478*W1478</f>
        <v>0</v>
      </c>
      <c r="AC1478" s="53">
        <f>(R1478+V1478)*W1478</f>
        <v>29.9</v>
      </c>
      <c r="AD1478" s="138">
        <v>29.9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107</v>
      </c>
      <c r="F1479" s="96" t="s">
        <v>106</v>
      </c>
      <c r="G1479" s="97">
        <v>46132</v>
      </c>
      <c r="H1479" s="98">
        <v>0.5523842592592593</v>
      </c>
      <c r="I1479" s="50">
        <v>166004731</v>
      </c>
      <c r="J1479" s="96" t="s">
        <v>157</v>
      </c>
      <c r="K1479" s="49" t="s">
        <v>2580</v>
      </c>
      <c r="L1479" s="39" t="s">
        <v>2581</v>
      </c>
      <c r="M1479" s="49" t="s">
        <v>318</v>
      </c>
      <c r="N1479" s="39" t="s">
        <v>202</v>
      </c>
      <c r="O1479" s="96" t="s">
        <v>2582</v>
      </c>
      <c r="P1479" s="49" t="s">
        <v>157</v>
      </c>
      <c r="Q1479" s="96" t="s">
        <v>104</v>
      </c>
      <c r="R1479" s="52">
        <v>29.9</v>
      </c>
      <c r="S1479" s="52">
        <f>R1479-T1479</f>
        <v>26.69642857142857</v>
      </c>
      <c r="T1479" s="52">
        <f>R1479*U1479/(U1479+100)</f>
        <v>3.2035714285714283</v>
      </c>
      <c r="U1479" s="50">
        <v>12</v>
      </c>
      <c r="V1479" s="53">
        <v>0</v>
      </c>
      <c r="W1479" s="147">
        <v>1</v>
      </c>
      <c r="X1479" s="148" t="s">
        <v>163</v>
      </c>
      <c r="Y1479" s="54">
        <f>R1479*W1479</f>
        <v>29.9</v>
      </c>
      <c r="Z1479" s="52">
        <f>S1479*W1479</f>
        <v>26.69642857142857</v>
      </c>
      <c r="AA1479" s="52">
        <f>T1479*W1479</f>
        <v>3.2035714285714283</v>
      </c>
      <c r="AB1479" s="52">
        <f>V1479*W1479</f>
        <v>0</v>
      </c>
      <c r="AC1479" s="53">
        <f>(R1479+V1479)*W1479</f>
        <v>29.9</v>
      </c>
      <c r="AD1479" s="138">
        <v>29.9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107</v>
      </c>
      <c r="F1480" s="96" t="s">
        <v>106</v>
      </c>
      <c r="G1480" s="97">
        <v>46132</v>
      </c>
      <c r="H1480" s="98">
        <v>0.5533333333333333</v>
      </c>
      <c r="I1480" s="50">
        <v>166004732</v>
      </c>
      <c r="J1480" s="96" t="s">
        <v>157</v>
      </c>
      <c r="K1480" s="49" t="s">
        <v>2583</v>
      </c>
      <c r="L1480" s="39" t="s">
        <v>2584</v>
      </c>
      <c r="M1480" s="49" t="s">
        <v>1428</v>
      </c>
      <c r="N1480" s="39" t="s">
        <v>609</v>
      </c>
      <c r="O1480" s="96" t="s">
        <v>2585</v>
      </c>
      <c r="P1480" s="49" t="s">
        <v>157</v>
      </c>
      <c r="Q1480" s="96" t="s">
        <v>104</v>
      </c>
      <c r="R1480" s="52">
        <v>13.9</v>
      </c>
      <c r="S1480" s="52">
        <f>R1480-T1480</f>
        <v>12.410714285714286</v>
      </c>
      <c r="T1480" s="52">
        <f>R1480*U1480/(U1480+100)</f>
        <v>1.4892857142857143</v>
      </c>
      <c r="U1480" s="50">
        <v>12</v>
      </c>
      <c r="V1480" s="53">
        <v>0</v>
      </c>
      <c r="W1480" s="147">
        <v>1</v>
      </c>
      <c r="X1480" s="148" t="s">
        <v>163</v>
      </c>
      <c r="Y1480" s="54">
        <f>R1480*W1480</f>
        <v>13.9</v>
      </c>
      <c r="Z1480" s="52">
        <f>S1480*W1480</f>
        <v>12.410714285714286</v>
      </c>
      <c r="AA1480" s="52">
        <f>T1480*W1480</f>
        <v>1.4892857142857143</v>
      </c>
      <c r="AB1480" s="52">
        <f>V1480*W1480</f>
        <v>0</v>
      </c>
      <c r="AC1480" s="53">
        <f>(R1480+V1480)*W1480</f>
        <v>13.9</v>
      </c>
      <c r="AD1480" s="138">
        <v>13.9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107</v>
      </c>
      <c r="F1481" s="96" t="s">
        <v>106</v>
      </c>
      <c r="G1481" s="97">
        <v>46132</v>
      </c>
      <c r="H1481" s="98">
        <v>0.5533333333333333</v>
      </c>
      <c r="I1481" s="50">
        <v>166004732</v>
      </c>
      <c r="J1481" s="96" t="s">
        <v>157</v>
      </c>
      <c r="K1481" s="49" t="s">
        <v>2583</v>
      </c>
      <c r="L1481" s="39" t="s">
        <v>2584</v>
      </c>
      <c r="M1481" s="49" t="s">
        <v>1428</v>
      </c>
      <c r="N1481" s="39" t="s">
        <v>609</v>
      </c>
      <c r="O1481" s="96" t="s">
        <v>2585</v>
      </c>
      <c r="P1481" s="49" t="s">
        <v>157</v>
      </c>
      <c r="Q1481" s="96" t="s">
        <v>104</v>
      </c>
      <c r="R1481" s="52">
        <v>13.9</v>
      </c>
      <c r="S1481" s="52">
        <f>R1481-T1481</f>
        <v>12.410714285714286</v>
      </c>
      <c r="T1481" s="52">
        <f>R1481*U1481/(U1481+100)</f>
        <v>1.4892857142857143</v>
      </c>
      <c r="U1481" s="50">
        <v>12</v>
      </c>
      <c r="V1481" s="53">
        <v>0</v>
      </c>
      <c r="W1481" s="147">
        <v>1</v>
      </c>
      <c r="X1481" s="148" t="s">
        <v>163</v>
      </c>
      <c r="Y1481" s="54">
        <f>R1481*W1481</f>
        <v>13.9</v>
      </c>
      <c r="Z1481" s="52">
        <f>S1481*W1481</f>
        <v>12.410714285714286</v>
      </c>
      <c r="AA1481" s="52">
        <f>T1481*W1481</f>
        <v>1.4892857142857143</v>
      </c>
      <c r="AB1481" s="52">
        <f>V1481*W1481</f>
        <v>0</v>
      </c>
      <c r="AC1481" s="53">
        <f>(R1481+V1481)*W1481</f>
        <v>13.9</v>
      </c>
      <c r="AD1481" s="138">
        <v>13.9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107</v>
      </c>
      <c r="F1482" s="96" t="s">
        <v>106</v>
      </c>
      <c r="G1482" s="97">
        <v>46132</v>
      </c>
      <c r="H1482" s="98">
        <v>0.5533333333333333</v>
      </c>
      <c r="I1482" s="50">
        <v>166004732</v>
      </c>
      <c r="J1482" s="96" t="s">
        <v>157</v>
      </c>
      <c r="K1482" s="49" t="s">
        <v>2586</v>
      </c>
      <c r="L1482" s="39" t="s">
        <v>2587</v>
      </c>
      <c r="M1482" s="49" t="s">
        <v>1428</v>
      </c>
      <c r="N1482" s="39" t="s">
        <v>609</v>
      </c>
      <c r="O1482" s="96" t="s">
        <v>2588</v>
      </c>
      <c r="P1482" s="49" t="s">
        <v>157</v>
      </c>
      <c r="Q1482" s="96" t="s">
        <v>104</v>
      </c>
      <c r="R1482" s="52">
        <v>13.9</v>
      </c>
      <c r="S1482" s="52">
        <f>R1482-T1482</f>
        <v>12.410714285714286</v>
      </c>
      <c r="T1482" s="52">
        <f>R1482*U1482/(U1482+100)</f>
        <v>1.4892857142857143</v>
      </c>
      <c r="U1482" s="50">
        <v>12</v>
      </c>
      <c r="V1482" s="53">
        <v>0</v>
      </c>
      <c r="W1482" s="147">
        <v>1</v>
      </c>
      <c r="X1482" s="148" t="s">
        <v>163</v>
      </c>
      <c r="Y1482" s="54">
        <f>R1482*W1482</f>
        <v>13.9</v>
      </c>
      <c r="Z1482" s="52">
        <f>S1482*W1482</f>
        <v>12.410714285714286</v>
      </c>
      <c r="AA1482" s="52">
        <f>T1482*W1482</f>
        <v>1.4892857142857143</v>
      </c>
      <c r="AB1482" s="52">
        <f>V1482*W1482</f>
        <v>0</v>
      </c>
      <c r="AC1482" s="53">
        <f>(R1482+V1482)*W1482</f>
        <v>13.9</v>
      </c>
      <c r="AD1482" s="138">
        <v>13.9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107</v>
      </c>
      <c r="F1483" s="96" t="s">
        <v>106</v>
      </c>
      <c r="G1483" s="97">
        <v>46132</v>
      </c>
      <c r="H1483" s="98">
        <v>0.5533333333333333</v>
      </c>
      <c r="I1483" s="50">
        <v>166004732</v>
      </c>
      <c r="J1483" s="96" t="s">
        <v>157</v>
      </c>
      <c r="K1483" s="49" t="s">
        <v>2589</v>
      </c>
      <c r="L1483" s="39" t="s">
        <v>2590</v>
      </c>
      <c r="M1483" s="49" t="s">
        <v>1428</v>
      </c>
      <c r="N1483" s="39" t="s">
        <v>609</v>
      </c>
      <c r="O1483" s="96" t="s">
        <v>2591</v>
      </c>
      <c r="P1483" s="49" t="s">
        <v>157</v>
      </c>
      <c r="Q1483" s="96" t="s">
        <v>104</v>
      </c>
      <c r="R1483" s="52">
        <v>13.9</v>
      </c>
      <c r="S1483" s="52">
        <f>R1483-T1483</f>
        <v>12.410714285714286</v>
      </c>
      <c r="T1483" s="52">
        <f>R1483*U1483/(U1483+100)</f>
        <v>1.4892857142857143</v>
      </c>
      <c r="U1483" s="50">
        <v>12</v>
      </c>
      <c r="V1483" s="53">
        <v>0</v>
      </c>
      <c r="W1483" s="147">
        <v>1</v>
      </c>
      <c r="X1483" s="148" t="s">
        <v>163</v>
      </c>
      <c r="Y1483" s="54">
        <f>R1483*W1483</f>
        <v>13.9</v>
      </c>
      <c r="Z1483" s="52">
        <f>S1483*W1483</f>
        <v>12.410714285714286</v>
      </c>
      <c r="AA1483" s="52">
        <f>T1483*W1483</f>
        <v>1.4892857142857143</v>
      </c>
      <c r="AB1483" s="52">
        <f>V1483*W1483</f>
        <v>0</v>
      </c>
      <c r="AC1483" s="53">
        <f>(R1483+V1483)*W1483</f>
        <v>13.9</v>
      </c>
      <c r="AD1483" s="138">
        <v>13.9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107</v>
      </c>
      <c r="F1484" s="96" t="s">
        <v>106</v>
      </c>
      <c r="G1484" s="97">
        <v>46132</v>
      </c>
      <c r="H1484" s="98">
        <v>0.5533333333333333</v>
      </c>
      <c r="I1484" s="50">
        <v>166004732</v>
      </c>
      <c r="J1484" s="96" t="s">
        <v>157</v>
      </c>
      <c r="K1484" s="49" t="s">
        <v>2592</v>
      </c>
      <c r="L1484" s="39" t="s">
        <v>2593</v>
      </c>
      <c r="M1484" s="49" t="s">
        <v>214</v>
      </c>
      <c r="N1484" s="39" t="s">
        <v>2049</v>
      </c>
      <c r="O1484" s="96" t="s">
        <v>2594</v>
      </c>
      <c r="P1484" s="49" t="s">
        <v>157</v>
      </c>
      <c r="Q1484" s="96" t="s">
        <v>104</v>
      </c>
      <c r="R1484" s="52">
        <v>239.9</v>
      </c>
      <c r="S1484" s="52">
        <f>R1484-T1484</f>
        <v>214.19642857142858</v>
      </c>
      <c r="T1484" s="52">
        <f>R1484*U1484/(U1484+100)</f>
        <v>25.70357142857143</v>
      </c>
      <c r="U1484" s="50">
        <v>12</v>
      </c>
      <c r="V1484" s="53">
        <v>0</v>
      </c>
      <c r="W1484" s="147">
        <v>1</v>
      </c>
      <c r="X1484" s="148" t="s">
        <v>163</v>
      </c>
      <c r="Y1484" s="54">
        <f>R1484*W1484</f>
        <v>239.9</v>
      </c>
      <c r="Z1484" s="52">
        <f>S1484*W1484</f>
        <v>214.19642857142858</v>
      </c>
      <c r="AA1484" s="52">
        <f>T1484*W1484</f>
        <v>25.70357142857143</v>
      </c>
      <c r="AB1484" s="52">
        <f>V1484*W1484</f>
        <v>0</v>
      </c>
      <c r="AC1484" s="53">
        <f>(R1484+V1484)*W1484</f>
        <v>239.9</v>
      </c>
      <c r="AD1484" s="138">
        <v>239.9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107</v>
      </c>
      <c r="F1485" s="96" t="s">
        <v>106</v>
      </c>
      <c r="G1485" s="97">
        <v>46132</v>
      </c>
      <c r="H1485" s="98">
        <v>0.5533333333333333</v>
      </c>
      <c r="I1485" s="50">
        <v>166004732</v>
      </c>
      <c r="J1485" s="96" t="s">
        <v>157</v>
      </c>
      <c r="K1485" s="49" t="s">
        <v>2595</v>
      </c>
      <c r="L1485" s="39" t="s">
        <v>2596</v>
      </c>
      <c r="M1485" s="49" t="s">
        <v>2597</v>
      </c>
      <c r="N1485" s="39" t="s">
        <v>1312</v>
      </c>
      <c r="O1485" s="96" t="s">
        <v>2598</v>
      </c>
      <c r="P1485" s="49" t="s">
        <v>157</v>
      </c>
      <c r="Q1485" s="96" t="s">
        <v>104</v>
      </c>
      <c r="R1485" s="52">
        <v>181.9</v>
      </c>
      <c r="S1485" s="52">
        <f>R1485-T1485</f>
        <v>150.3305785123967</v>
      </c>
      <c r="T1485" s="52">
        <f>R1485*U1485/(U1485+100)</f>
        <v>31.569421487603307</v>
      </c>
      <c r="U1485" s="50">
        <v>21</v>
      </c>
      <c r="V1485" s="53">
        <v>0</v>
      </c>
      <c r="W1485" s="147">
        <v>1</v>
      </c>
      <c r="X1485" s="148" t="s">
        <v>163</v>
      </c>
      <c r="Y1485" s="54">
        <f>R1485*W1485</f>
        <v>181.9</v>
      </c>
      <c r="Z1485" s="52">
        <f>S1485*W1485</f>
        <v>150.3305785123967</v>
      </c>
      <c r="AA1485" s="52">
        <f>T1485*W1485</f>
        <v>31.569421487603307</v>
      </c>
      <c r="AB1485" s="52">
        <f>V1485*W1485</f>
        <v>0</v>
      </c>
      <c r="AC1485" s="53">
        <f>(R1485+V1485)*W1485</f>
        <v>181.9</v>
      </c>
      <c r="AD1485" s="138">
        <v>181.9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107</v>
      </c>
      <c r="F1486" s="96" t="s">
        <v>106</v>
      </c>
      <c r="G1486" s="97">
        <v>46132</v>
      </c>
      <c r="H1486" s="98">
        <v>0.5542361111111112</v>
      </c>
      <c r="I1486" s="50">
        <v>166004733</v>
      </c>
      <c r="J1486" s="96" t="s">
        <v>157</v>
      </c>
      <c r="K1486" s="49" t="s">
        <v>1823</v>
      </c>
      <c r="L1486" s="39" t="s">
        <v>1824</v>
      </c>
      <c r="M1486" s="49" t="s">
        <v>429</v>
      </c>
      <c r="N1486" s="39" t="s">
        <v>239</v>
      </c>
      <c r="O1486" s="96" t="s">
        <v>1825</v>
      </c>
      <c r="P1486" s="49" t="s">
        <v>157</v>
      </c>
      <c r="Q1486" s="96" t="s">
        <v>104</v>
      </c>
      <c r="R1486" s="52">
        <v>11.4</v>
      </c>
      <c r="S1486" s="52">
        <f>R1486-T1486</f>
        <v>10.178571428571429</v>
      </c>
      <c r="T1486" s="52">
        <f>R1486*U1486/(U1486+100)</f>
        <v>1.2214285714285715</v>
      </c>
      <c r="U1486" s="50">
        <v>12</v>
      </c>
      <c r="V1486" s="53">
        <v>0</v>
      </c>
      <c r="W1486" s="147">
        <v>1</v>
      </c>
      <c r="X1486" s="148" t="s">
        <v>163</v>
      </c>
      <c r="Y1486" s="54">
        <f>R1486*W1486</f>
        <v>11.4</v>
      </c>
      <c r="Z1486" s="52">
        <f>S1486*W1486</f>
        <v>10.178571428571429</v>
      </c>
      <c r="AA1486" s="52">
        <f>T1486*W1486</f>
        <v>1.2214285714285715</v>
      </c>
      <c r="AB1486" s="52">
        <f>V1486*W1486</f>
        <v>0</v>
      </c>
      <c r="AC1486" s="53">
        <f>(R1486+V1486)*W1486</f>
        <v>11.4</v>
      </c>
      <c r="AD1486" s="138">
        <v>11.4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107</v>
      </c>
      <c r="F1487" s="96" t="s">
        <v>106</v>
      </c>
      <c r="G1487" s="97">
        <v>46132</v>
      </c>
      <c r="H1487" s="98">
        <v>0.5542361111111112</v>
      </c>
      <c r="I1487" s="50">
        <v>166004733</v>
      </c>
      <c r="J1487" s="96" t="s">
        <v>157</v>
      </c>
      <c r="K1487" s="49" t="s">
        <v>1823</v>
      </c>
      <c r="L1487" s="39" t="s">
        <v>1824</v>
      </c>
      <c r="M1487" s="49" t="s">
        <v>429</v>
      </c>
      <c r="N1487" s="39" t="s">
        <v>239</v>
      </c>
      <c r="O1487" s="96" t="s">
        <v>1825</v>
      </c>
      <c r="P1487" s="49" t="s">
        <v>157</v>
      </c>
      <c r="Q1487" s="96" t="s">
        <v>104</v>
      </c>
      <c r="R1487" s="52">
        <v>11.4</v>
      </c>
      <c r="S1487" s="52">
        <f>R1487-T1487</f>
        <v>10.178571428571429</v>
      </c>
      <c r="T1487" s="52">
        <f>R1487*U1487/(U1487+100)</f>
        <v>1.2214285714285715</v>
      </c>
      <c r="U1487" s="50">
        <v>12</v>
      </c>
      <c r="V1487" s="53">
        <v>0</v>
      </c>
      <c r="W1487" s="147">
        <v>1</v>
      </c>
      <c r="X1487" s="148" t="s">
        <v>163</v>
      </c>
      <c r="Y1487" s="54">
        <f>R1487*W1487</f>
        <v>11.4</v>
      </c>
      <c r="Z1487" s="52">
        <f>S1487*W1487</f>
        <v>10.178571428571429</v>
      </c>
      <c r="AA1487" s="52">
        <f>T1487*W1487</f>
        <v>1.2214285714285715</v>
      </c>
      <c r="AB1487" s="52">
        <f>V1487*W1487</f>
        <v>0</v>
      </c>
      <c r="AC1487" s="53">
        <f>(R1487+V1487)*W1487</f>
        <v>11.4</v>
      </c>
      <c r="AD1487" s="138">
        <v>11.4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107</v>
      </c>
      <c r="F1488" s="96" t="s">
        <v>106</v>
      </c>
      <c r="G1488" s="97">
        <v>46132</v>
      </c>
      <c r="H1488" s="98">
        <v>0.5542361111111112</v>
      </c>
      <c r="I1488" s="50">
        <v>166004733</v>
      </c>
      <c r="J1488" s="96" t="s">
        <v>157</v>
      </c>
      <c r="K1488" s="49" t="s">
        <v>1823</v>
      </c>
      <c r="L1488" s="39" t="s">
        <v>1824</v>
      </c>
      <c r="M1488" s="49" t="s">
        <v>429</v>
      </c>
      <c r="N1488" s="39" t="s">
        <v>239</v>
      </c>
      <c r="O1488" s="96" t="s">
        <v>1825</v>
      </c>
      <c r="P1488" s="49" t="s">
        <v>157</v>
      </c>
      <c r="Q1488" s="96" t="s">
        <v>104</v>
      </c>
      <c r="R1488" s="52">
        <v>11.4</v>
      </c>
      <c r="S1488" s="52">
        <f>R1488-T1488</f>
        <v>10.178571428571429</v>
      </c>
      <c r="T1488" s="52">
        <f>R1488*U1488/(U1488+100)</f>
        <v>1.2214285714285715</v>
      </c>
      <c r="U1488" s="50">
        <v>12</v>
      </c>
      <c r="V1488" s="53">
        <v>0</v>
      </c>
      <c r="W1488" s="147">
        <v>1</v>
      </c>
      <c r="X1488" s="148" t="s">
        <v>163</v>
      </c>
      <c r="Y1488" s="54">
        <f>R1488*W1488</f>
        <v>11.4</v>
      </c>
      <c r="Z1488" s="52">
        <f>S1488*W1488</f>
        <v>10.178571428571429</v>
      </c>
      <c r="AA1488" s="52">
        <f>T1488*W1488</f>
        <v>1.2214285714285715</v>
      </c>
      <c r="AB1488" s="52">
        <f>V1488*W1488</f>
        <v>0</v>
      </c>
      <c r="AC1488" s="53">
        <f>(R1488+V1488)*W1488</f>
        <v>11.4</v>
      </c>
      <c r="AD1488" s="138">
        <v>11.4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107</v>
      </c>
      <c r="F1489" s="96" t="s">
        <v>106</v>
      </c>
      <c r="G1489" s="97">
        <v>46132</v>
      </c>
      <c r="H1489" s="98">
        <v>0.5542361111111112</v>
      </c>
      <c r="I1489" s="50">
        <v>166004733</v>
      </c>
      <c r="J1489" s="96" t="s">
        <v>157</v>
      </c>
      <c r="K1489" s="49" t="s">
        <v>828</v>
      </c>
      <c r="L1489" s="39" t="s">
        <v>829</v>
      </c>
      <c r="M1489" s="49" t="s">
        <v>830</v>
      </c>
      <c r="N1489" s="39" t="s">
        <v>505</v>
      </c>
      <c r="O1489" s="96" t="s">
        <v>2599</v>
      </c>
      <c r="P1489" s="49" t="s">
        <v>157</v>
      </c>
      <c r="Q1489" s="96" t="s">
        <v>104</v>
      </c>
      <c r="R1489" s="52">
        <v>9.9</v>
      </c>
      <c r="S1489" s="52">
        <f>R1489-T1489</f>
        <v>8.839285714285715</v>
      </c>
      <c r="T1489" s="52">
        <f>R1489*U1489/(U1489+100)</f>
        <v>1.0607142857142857</v>
      </c>
      <c r="U1489" s="50">
        <v>12</v>
      </c>
      <c r="V1489" s="53">
        <v>0</v>
      </c>
      <c r="W1489" s="147">
        <v>1</v>
      </c>
      <c r="X1489" s="148" t="s">
        <v>163</v>
      </c>
      <c r="Y1489" s="54">
        <f>R1489*W1489</f>
        <v>9.9</v>
      </c>
      <c r="Z1489" s="52">
        <f>S1489*W1489</f>
        <v>8.839285714285715</v>
      </c>
      <c r="AA1489" s="52">
        <f>T1489*W1489</f>
        <v>1.0607142857142857</v>
      </c>
      <c r="AB1489" s="52">
        <f>V1489*W1489</f>
        <v>0</v>
      </c>
      <c r="AC1489" s="53">
        <f>(R1489+V1489)*W1489</f>
        <v>9.9</v>
      </c>
      <c r="AD1489" s="138">
        <v>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107</v>
      </c>
      <c r="F1490" s="96" t="s">
        <v>106</v>
      </c>
      <c r="G1490" s="97">
        <v>46132</v>
      </c>
      <c r="H1490" s="98">
        <v>0.5542361111111112</v>
      </c>
      <c r="I1490" s="50">
        <v>166004733</v>
      </c>
      <c r="J1490" s="96" t="s">
        <v>157</v>
      </c>
      <c r="K1490" s="49" t="s">
        <v>828</v>
      </c>
      <c r="L1490" s="39" t="s">
        <v>829</v>
      </c>
      <c r="M1490" s="49" t="s">
        <v>830</v>
      </c>
      <c r="N1490" s="39" t="s">
        <v>505</v>
      </c>
      <c r="O1490" s="96" t="s">
        <v>2599</v>
      </c>
      <c r="P1490" s="49" t="s">
        <v>157</v>
      </c>
      <c r="Q1490" s="96" t="s">
        <v>104</v>
      </c>
      <c r="R1490" s="52">
        <v>9.9</v>
      </c>
      <c r="S1490" s="52">
        <f>R1490-T1490</f>
        <v>8.839285714285715</v>
      </c>
      <c r="T1490" s="52">
        <f>R1490*U1490/(U1490+100)</f>
        <v>1.0607142857142857</v>
      </c>
      <c r="U1490" s="50">
        <v>12</v>
      </c>
      <c r="V1490" s="53">
        <v>0</v>
      </c>
      <c r="W1490" s="147">
        <v>1</v>
      </c>
      <c r="X1490" s="148" t="s">
        <v>163</v>
      </c>
      <c r="Y1490" s="54">
        <f>R1490*W1490</f>
        <v>9.9</v>
      </c>
      <c r="Z1490" s="52">
        <f>S1490*W1490</f>
        <v>8.839285714285715</v>
      </c>
      <c r="AA1490" s="52">
        <f>T1490*W1490</f>
        <v>1.0607142857142857</v>
      </c>
      <c r="AB1490" s="52">
        <f>V1490*W1490</f>
        <v>0</v>
      </c>
      <c r="AC1490" s="53">
        <f>(R1490+V1490)*W1490</f>
        <v>9.9</v>
      </c>
      <c r="AD1490" s="138">
        <v>9.9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107</v>
      </c>
      <c r="F1491" s="96" t="s">
        <v>106</v>
      </c>
      <c r="G1491" s="97">
        <v>46132</v>
      </c>
      <c r="H1491" s="98">
        <v>0.5542361111111112</v>
      </c>
      <c r="I1491" s="50">
        <v>166004733</v>
      </c>
      <c r="J1491" s="96" t="s">
        <v>157</v>
      </c>
      <c r="K1491" s="49" t="s">
        <v>828</v>
      </c>
      <c r="L1491" s="39" t="s">
        <v>829</v>
      </c>
      <c r="M1491" s="49" t="s">
        <v>830</v>
      </c>
      <c r="N1491" s="39" t="s">
        <v>505</v>
      </c>
      <c r="O1491" s="96" t="s">
        <v>2599</v>
      </c>
      <c r="P1491" s="49" t="s">
        <v>157</v>
      </c>
      <c r="Q1491" s="96" t="s">
        <v>104</v>
      </c>
      <c r="R1491" s="52">
        <v>9.9</v>
      </c>
      <c r="S1491" s="52">
        <f>R1491-T1491</f>
        <v>8.839285714285715</v>
      </c>
      <c r="T1491" s="52">
        <f>R1491*U1491/(U1491+100)</f>
        <v>1.0607142857142857</v>
      </c>
      <c r="U1491" s="50">
        <v>12</v>
      </c>
      <c r="V1491" s="53">
        <v>0</v>
      </c>
      <c r="W1491" s="147">
        <v>1</v>
      </c>
      <c r="X1491" s="148" t="s">
        <v>163</v>
      </c>
      <c r="Y1491" s="54">
        <f>R1491*W1491</f>
        <v>9.9</v>
      </c>
      <c r="Z1491" s="52">
        <f>S1491*W1491</f>
        <v>8.839285714285715</v>
      </c>
      <c r="AA1491" s="52">
        <f>T1491*W1491</f>
        <v>1.0607142857142857</v>
      </c>
      <c r="AB1491" s="52">
        <f>V1491*W1491</f>
        <v>0</v>
      </c>
      <c r="AC1491" s="53">
        <f>(R1491+V1491)*W1491</f>
        <v>9.9</v>
      </c>
      <c r="AD1491" s="138">
        <v>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107</v>
      </c>
      <c r="F1492" s="96" t="s">
        <v>106</v>
      </c>
      <c r="G1492" s="97">
        <v>46132</v>
      </c>
      <c r="H1492" s="98">
        <v>0.5542361111111112</v>
      </c>
      <c r="I1492" s="50">
        <v>166004733</v>
      </c>
      <c r="J1492" s="96" t="s">
        <v>157</v>
      </c>
      <c r="K1492" s="49" t="s">
        <v>585</v>
      </c>
      <c r="L1492" s="39" t="s">
        <v>586</v>
      </c>
      <c r="M1492" s="49" t="s">
        <v>341</v>
      </c>
      <c r="N1492" s="39" t="s">
        <v>587</v>
      </c>
      <c r="O1492" s="96" t="s">
        <v>588</v>
      </c>
      <c r="P1492" s="49" t="s">
        <v>157</v>
      </c>
      <c r="Q1492" s="96" t="s">
        <v>104</v>
      </c>
      <c r="R1492" s="52">
        <v>34.9</v>
      </c>
      <c r="S1492" s="52">
        <f>R1492-T1492</f>
        <v>28.84297520661157</v>
      </c>
      <c r="T1492" s="52">
        <f>R1492*U1492/(U1492+100)</f>
        <v>6.05702479338843</v>
      </c>
      <c r="U1492" s="50">
        <v>21</v>
      </c>
      <c r="V1492" s="53">
        <v>0</v>
      </c>
      <c r="W1492" s="147">
        <v>1</v>
      </c>
      <c r="X1492" s="148" t="s">
        <v>163</v>
      </c>
      <c r="Y1492" s="54">
        <f>R1492*W1492</f>
        <v>34.9</v>
      </c>
      <c r="Z1492" s="52">
        <f>S1492*W1492</f>
        <v>28.84297520661157</v>
      </c>
      <c r="AA1492" s="52">
        <f>T1492*W1492</f>
        <v>6.05702479338843</v>
      </c>
      <c r="AB1492" s="52">
        <f>V1492*W1492</f>
        <v>0</v>
      </c>
      <c r="AC1492" s="53">
        <f>(R1492+V1492)*W1492</f>
        <v>34.9</v>
      </c>
      <c r="AD1492" s="138">
        <v>34.9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107</v>
      </c>
      <c r="F1493" s="96" t="s">
        <v>106</v>
      </c>
      <c r="G1493" s="97">
        <v>46132</v>
      </c>
      <c r="H1493" s="98">
        <v>0.5542361111111112</v>
      </c>
      <c r="I1493" s="50">
        <v>166004733</v>
      </c>
      <c r="J1493" s="96" t="s">
        <v>157</v>
      </c>
      <c r="K1493" s="49" t="s">
        <v>625</v>
      </c>
      <c r="L1493" s="39" t="s">
        <v>626</v>
      </c>
      <c r="M1493" s="49" t="s">
        <v>190</v>
      </c>
      <c r="N1493" s="39" t="s">
        <v>191</v>
      </c>
      <c r="O1493" s="96" t="s">
        <v>627</v>
      </c>
      <c r="P1493" s="49" t="s">
        <v>157</v>
      </c>
      <c r="Q1493" s="96" t="s">
        <v>104</v>
      </c>
      <c r="R1493" s="52">
        <v>134.9</v>
      </c>
      <c r="S1493" s="52">
        <f>R1493-T1493</f>
        <v>120.44642857142857</v>
      </c>
      <c r="T1493" s="52">
        <f>R1493*U1493/(U1493+100)</f>
        <v>14.453571428571431</v>
      </c>
      <c r="U1493" s="50">
        <v>12</v>
      </c>
      <c r="V1493" s="53">
        <v>0</v>
      </c>
      <c r="W1493" s="147">
        <v>0.058</v>
      </c>
      <c r="X1493" s="148" t="s">
        <v>193</v>
      </c>
      <c r="Y1493" s="54">
        <f>R1493*W1493</f>
        <v>7.824200000000001</v>
      </c>
      <c r="Z1493" s="52">
        <f>S1493*W1493</f>
        <v>6.985892857142858</v>
      </c>
      <c r="AA1493" s="52">
        <f>T1493*W1493</f>
        <v>0.838307142857143</v>
      </c>
      <c r="AB1493" s="52">
        <f>V1493*W1493</f>
        <v>0</v>
      </c>
      <c r="AC1493" s="53">
        <f>(R1493+V1493)*W1493</f>
        <v>7.824200000000001</v>
      </c>
      <c r="AD1493" s="138">
        <v>134.9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107</v>
      </c>
      <c r="F1494" s="96" t="s">
        <v>106</v>
      </c>
      <c r="G1494" s="97">
        <v>46132</v>
      </c>
      <c r="H1494" s="98">
        <v>0.5542361111111112</v>
      </c>
      <c r="I1494" s="50">
        <v>166004733</v>
      </c>
      <c r="J1494" s="96" t="s">
        <v>157</v>
      </c>
      <c r="K1494" s="49" t="s">
        <v>530</v>
      </c>
      <c r="L1494" s="39" t="s">
        <v>531</v>
      </c>
      <c r="M1494" s="49" t="s">
        <v>190</v>
      </c>
      <c r="N1494" s="39" t="s">
        <v>532</v>
      </c>
      <c r="O1494" s="96" t="s">
        <v>533</v>
      </c>
      <c r="P1494" s="49" t="s">
        <v>157</v>
      </c>
      <c r="Q1494" s="96" t="s">
        <v>104</v>
      </c>
      <c r="R1494" s="52">
        <v>25.9</v>
      </c>
      <c r="S1494" s="52">
        <f>R1494-T1494</f>
        <v>23.125</v>
      </c>
      <c r="T1494" s="52">
        <f>R1494*U1494/(U1494+100)</f>
        <v>2.7749999999999995</v>
      </c>
      <c r="U1494" s="50">
        <v>12</v>
      </c>
      <c r="V1494" s="53">
        <v>0</v>
      </c>
      <c r="W1494" s="147">
        <v>0.608</v>
      </c>
      <c r="X1494" s="148" t="s">
        <v>193</v>
      </c>
      <c r="Y1494" s="54">
        <f>R1494*W1494</f>
        <v>15.7472</v>
      </c>
      <c r="Z1494" s="52">
        <f>S1494*W1494</f>
        <v>14.06</v>
      </c>
      <c r="AA1494" s="52">
        <f>T1494*W1494</f>
        <v>1.6871999999999996</v>
      </c>
      <c r="AB1494" s="52">
        <f>V1494*W1494</f>
        <v>0</v>
      </c>
      <c r="AC1494" s="53">
        <f>(R1494+V1494)*W1494</f>
        <v>15.7472</v>
      </c>
      <c r="AD1494" s="138">
        <v>25.9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107</v>
      </c>
      <c r="F1495" s="96" t="s">
        <v>106</v>
      </c>
      <c r="G1495" s="97">
        <v>46132</v>
      </c>
      <c r="H1495" s="98">
        <v>0.5542361111111112</v>
      </c>
      <c r="I1495" s="50">
        <v>166004733</v>
      </c>
      <c r="J1495" s="96" t="s">
        <v>157</v>
      </c>
      <c r="K1495" s="49" t="s">
        <v>293</v>
      </c>
      <c r="L1495" s="39" t="s">
        <v>294</v>
      </c>
      <c r="M1495" s="49" t="s">
        <v>295</v>
      </c>
      <c r="N1495" s="39" t="s">
        <v>296</v>
      </c>
      <c r="O1495" s="96" t="s">
        <v>297</v>
      </c>
      <c r="P1495" s="49" t="s">
        <v>157</v>
      </c>
      <c r="Q1495" s="96" t="s">
        <v>104</v>
      </c>
      <c r="R1495" s="52">
        <v>2.9</v>
      </c>
      <c r="S1495" s="52">
        <f>R1495-T1495</f>
        <v>2.5892857142857144</v>
      </c>
      <c r="T1495" s="52">
        <f>R1495*U1495/(U1495+100)</f>
        <v>0.31071428571428567</v>
      </c>
      <c r="U1495" s="50">
        <v>12</v>
      </c>
      <c r="V1495" s="53">
        <v>0</v>
      </c>
      <c r="W1495" s="147">
        <v>6</v>
      </c>
      <c r="X1495" s="148" t="s">
        <v>163</v>
      </c>
      <c r="Y1495" s="54">
        <f>R1495*W1495</f>
        <v>17.4</v>
      </c>
      <c r="Z1495" s="52">
        <f>S1495*W1495</f>
        <v>15.535714285714286</v>
      </c>
      <c r="AA1495" s="52">
        <f>T1495*W1495</f>
        <v>1.8642857142857139</v>
      </c>
      <c r="AB1495" s="52">
        <f>V1495*W1495</f>
        <v>0</v>
      </c>
      <c r="AC1495" s="53">
        <f>(R1495+V1495)*W1495</f>
        <v>17.4</v>
      </c>
      <c r="AD1495" s="138">
        <v>2.9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107</v>
      </c>
      <c r="F1496" s="96" t="s">
        <v>106</v>
      </c>
      <c r="G1496" s="97">
        <v>46132</v>
      </c>
      <c r="H1496" s="98">
        <v>0.554537037037037</v>
      </c>
      <c r="I1496" s="50">
        <v>166004734</v>
      </c>
      <c r="J1496" s="96" t="s">
        <v>157</v>
      </c>
      <c r="K1496" s="49" t="s">
        <v>2600</v>
      </c>
      <c r="L1496" s="39" t="s">
        <v>2601</v>
      </c>
      <c r="M1496" s="49" t="s">
        <v>2602</v>
      </c>
      <c r="N1496" s="39" t="s">
        <v>2073</v>
      </c>
      <c r="O1496" s="96" t="s">
        <v>2603</v>
      </c>
      <c r="P1496" s="49" t="s">
        <v>157</v>
      </c>
      <c r="Q1496" s="96" t="s">
        <v>104</v>
      </c>
      <c r="R1496" s="52">
        <v>34.9</v>
      </c>
      <c r="S1496" s="52">
        <f>R1496-T1496</f>
        <v>28.84297520661157</v>
      </c>
      <c r="T1496" s="52">
        <f>R1496*U1496/(U1496+100)</f>
        <v>6.05702479338843</v>
      </c>
      <c r="U1496" s="50">
        <v>21</v>
      </c>
      <c r="V1496" s="53">
        <v>0</v>
      </c>
      <c r="W1496" s="147">
        <v>1</v>
      </c>
      <c r="X1496" s="148" t="s">
        <v>163</v>
      </c>
      <c r="Y1496" s="54">
        <f>R1496*W1496</f>
        <v>34.9</v>
      </c>
      <c r="Z1496" s="52">
        <f>S1496*W1496</f>
        <v>28.84297520661157</v>
      </c>
      <c r="AA1496" s="52">
        <f>T1496*W1496</f>
        <v>6.05702479338843</v>
      </c>
      <c r="AB1496" s="52">
        <f>V1496*W1496</f>
        <v>0</v>
      </c>
      <c r="AC1496" s="53">
        <f>(R1496+V1496)*W1496</f>
        <v>34.9</v>
      </c>
      <c r="AD1496" s="138">
        <v>34.9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107</v>
      </c>
      <c r="F1497" s="96" t="s">
        <v>106</v>
      </c>
      <c r="G1497" s="97">
        <v>46132</v>
      </c>
      <c r="H1497" s="98">
        <v>0.5552430555555555</v>
      </c>
      <c r="I1497" s="50">
        <v>166004735</v>
      </c>
      <c r="J1497" s="96" t="s">
        <v>157</v>
      </c>
      <c r="K1497" s="49" t="s">
        <v>2604</v>
      </c>
      <c r="L1497" s="39" t="s">
        <v>2605</v>
      </c>
      <c r="M1497" s="49" t="s">
        <v>185</v>
      </c>
      <c r="N1497" s="39" t="s">
        <v>569</v>
      </c>
      <c r="O1497" s="96" t="s">
        <v>2606</v>
      </c>
      <c r="P1497" s="49" t="s">
        <v>157</v>
      </c>
      <c r="Q1497" s="96" t="s">
        <v>104</v>
      </c>
      <c r="R1497" s="52">
        <v>14.9</v>
      </c>
      <c r="S1497" s="52">
        <f>R1497-T1497</f>
        <v>13.303571428571429</v>
      </c>
      <c r="T1497" s="52">
        <f>R1497*U1497/(U1497+100)</f>
        <v>1.5964285714285715</v>
      </c>
      <c r="U1497" s="50">
        <v>12</v>
      </c>
      <c r="V1497" s="53">
        <v>0</v>
      </c>
      <c r="W1497" s="147">
        <v>1</v>
      </c>
      <c r="X1497" s="148" t="s">
        <v>163</v>
      </c>
      <c r="Y1497" s="54">
        <f>R1497*W1497</f>
        <v>14.9</v>
      </c>
      <c r="Z1497" s="52">
        <f>S1497*W1497</f>
        <v>13.303571428571429</v>
      </c>
      <c r="AA1497" s="52">
        <f>T1497*W1497</f>
        <v>1.5964285714285715</v>
      </c>
      <c r="AB1497" s="52">
        <f>V1497*W1497</f>
        <v>0</v>
      </c>
      <c r="AC1497" s="53">
        <f>(R1497+V1497)*W1497</f>
        <v>14.9</v>
      </c>
      <c r="AD1497" s="138">
        <v>14.9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107</v>
      </c>
      <c r="F1498" s="96" t="s">
        <v>106</v>
      </c>
      <c r="G1498" s="97">
        <v>46132</v>
      </c>
      <c r="H1498" s="98">
        <v>0.5552430555555555</v>
      </c>
      <c r="I1498" s="50">
        <v>166004735</v>
      </c>
      <c r="J1498" s="96" t="s">
        <v>157</v>
      </c>
      <c r="K1498" s="49" t="s">
        <v>2607</v>
      </c>
      <c r="L1498" s="39" t="s">
        <v>2608</v>
      </c>
      <c r="M1498" s="49" t="s">
        <v>190</v>
      </c>
      <c r="N1498" s="39" t="s">
        <v>476</v>
      </c>
      <c r="O1498" s="96" t="s">
        <v>2609</v>
      </c>
      <c r="P1498" s="49" t="s">
        <v>157</v>
      </c>
      <c r="Q1498" s="96" t="s">
        <v>104</v>
      </c>
      <c r="R1498" s="52">
        <v>24.9</v>
      </c>
      <c r="S1498" s="52">
        <f>R1498-T1498</f>
        <v>22.232142857142858</v>
      </c>
      <c r="T1498" s="52">
        <f>R1498*U1498/(U1498+100)</f>
        <v>2.6678571428571423</v>
      </c>
      <c r="U1498" s="50">
        <v>12</v>
      </c>
      <c r="V1498" s="53">
        <v>0</v>
      </c>
      <c r="W1498" s="147">
        <v>1</v>
      </c>
      <c r="X1498" s="148" t="s">
        <v>163</v>
      </c>
      <c r="Y1498" s="54">
        <f>R1498*W1498</f>
        <v>24.9</v>
      </c>
      <c r="Z1498" s="52">
        <f>S1498*W1498</f>
        <v>22.232142857142858</v>
      </c>
      <c r="AA1498" s="52">
        <f>T1498*W1498</f>
        <v>2.6678571428571423</v>
      </c>
      <c r="AB1498" s="52">
        <f>V1498*W1498</f>
        <v>0</v>
      </c>
      <c r="AC1498" s="53">
        <f>(R1498+V1498)*W1498</f>
        <v>24.9</v>
      </c>
      <c r="AD1498" s="138">
        <v>24.9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107</v>
      </c>
      <c r="F1499" s="96" t="s">
        <v>106</v>
      </c>
      <c r="G1499" s="97">
        <v>46132</v>
      </c>
      <c r="H1499" s="98">
        <v>0.5552430555555555</v>
      </c>
      <c r="I1499" s="50">
        <v>166004735</v>
      </c>
      <c r="J1499" s="96" t="s">
        <v>157</v>
      </c>
      <c r="K1499" s="49" t="s">
        <v>1924</v>
      </c>
      <c r="L1499" s="39" t="s">
        <v>1925</v>
      </c>
      <c r="M1499" s="49" t="s">
        <v>1647</v>
      </c>
      <c r="N1499" s="39" t="s">
        <v>726</v>
      </c>
      <c r="O1499" s="96" t="s">
        <v>1926</v>
      </c>
      <c r="P1499" s="49" t="s">
        <v>157</v>
      </c>
      <c r="Q1499" s="96" t="s">
        <v>104</v>
      </c>
      <c r="R1499" s="52">
        <v>37.9</v>
      </c>
      <c r="S1499" s="52">
        <f>R1499-T1499</f>
        <v>33.839285714285715</v>
      </c>
      <c r="T1499" s="52">
        <f>R1499*U1499/(U1499+100)</f>
        <v>4.060714285714285</v>
      </c>
      <c r="U1499" s="50">
        <v>12</v>
      </c>
      <c r="V1499" s="53">
        <v>0</v>
      </c>
      <c r="W1499" s="147">
        <v>1</v>
      </c>
      <c r="X1499" s="148" t="s">
        <v>163</v>
      </c>
      <c r="Y1499" s="54">
        <f>R1499*W1499</f>
        <v>37.9</v>
      </c>
      <c r="Z1499" s="52">
        <f>S1499*W1499</f>
        <v>33.839285714285715</v>
      </c>
      <c r="AA1499" s="52">
        <f>T1499*W1499</f>
        <v>4.060714285714285</v>
      </c>
      <c r="AB1499" s="52">
        <f>V1499*W1499</f>
        <v>0</v>
      </c>
      <c r="AC1499" s="53">
        <f>(R1499+V1499)*W1499</f>
        <v>37.9</v>
      </c>
      <c r="AD1499" s="138">
        <v>37.9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107</v>
      </c>
      <c r="F1500" s="96" t="s">
        <v>106</v>
      </c>
      <c r="G1500" s="97">
        <v>46132</v>
      </c>
      <c r="H1500" s="98">
        <v>0.5552430555555555</v>
      </c>
      <c r="I1500" s="50">
        <v>166004735</v>
      </c>
      <c r="J1500" s="96" t="s">
        <v>157</v>
      </c>
      <c r="K1500" s="49" t="s">
        <v>2610</v>
      </c>
      <c r="L1500" s="39" t="s">
        <v>2611</v>
      </c>
      <c r="M1500" s="49" t="s">
        <v>2612</v>
      </c>
      <c r="N1500" s="39" t="s">
        <v>1542</v>
      </c>
      <c r="O1500" s="96" t="s">
        <v>2613</v>
      </c>
      <c r="P1500" s="49" t="s">
        <v>157</v>
      </c>
      <c r="Q1500" s="96" t="s">
        <v>104</v>
      </c>
      <c r="R1500" s="52">
        <v>23.9</v>
      </c>
      <c r="S1500" s="52">
        <f>R1500-T1500</f>
        <v>21.33928571428571</v>
      </c>
      <c r="T1500" s="52">
        <f>R1500*U1500/(U1500+100)</f>
        <v>2.5607142857142855</v>
      </c>
      <c r="U1500" s="50">
        <v>12</v>
      </c>
      <c r="V1500" s="53">
        <v>0</v>
      </c>
      <c r="W1500" s="147">
        <v>1</v>
      </c>
      <c r="X1500" s="148" t="s">
        <v>945</v>
      </c>
      <c r="Y1500" s="54">
        <f>R1500*W1500</f>
        <v>23.9</v>
      </c>
      <c r="Z1500" s="52">
        <f>S1500*W1500</f>
        <v>21.33928571428571</v>
      </c>
      <c r="AA1500" s="52">
        <f>T1500*W1500</f>
        <v>2.5607142857142855</v>
      </c>
      <c r="AB1500" s="52">
        <f>V1500*W1500</f>
        <v>0</v>
      </c>
      <c r="AC1500" s="53">
        <f>(R1500+V1500)*W1500</f>
        <v>23.9</v>
      </c>
      <c r="AD1500" s="138">
        <v>23.9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107</v>
      </c>
      <c r="F1501" s="96" t="s">
        <v>106</v>
      </c>
      <c r="G1501" s="97">
        <v>46132</v>
      </c>
      <c r="H1501" s="98">
        <v>0.5554398148148149</v>
      </c>
      <c r="I1501" s="50">
        <v>166004736</v>
      </c>
      <c r="J1501" s="96" t="s">
        <v>157</v>
      </c>
      <c r="K1501" s="49" t="s">
        <v>2068</v>
      </c>
      <c r="L1501" s="39" t="s">
        <v>2069</v>
      </c>
      <c r="M1501" s="49" t="s">
        <v>429</v>
      </c>
      <c r="N1501" s="39" t="s">
        <v>348</v>
      </c>
      <c r="O1501" s="96" t="s">
        <v>2070</v>
      </c>
      <c r="P1501" s="49" t="s">
        <v>235</v>
      </c>
      <c r="Q1501" s="96" t="s">
        <v>236</v>
      </c>
      <c r="R1501" s="52">
        <v>16.9</v>
      </c>
      <c r="S1501" s="52">
        <f>R1501-T1501</f>
        <v>15.089285714285714</v>
      </c>
      <c r="T1501" s="52">
        <f>R1501*U1501/(U1501+100)</f>
        <v>1.8107142857142855</v>
      </c>
      <c r="U1501" s="50">
        <v>12</v>
      </c>
      <c r="V1501" s="53">
        <v>0</v>
      </c>
      <c r="W1501" s="147">
        <v>1</v>
      </c>
      <c r="X1501" s="148" t="s">
        <v>163</v>
      </c>
      <c r="Y1501" s="54">
        <f>R1501*W1501</f>
        <v>16.9</v>
      </c>
      <c r="Z1501" s="52">
        <f>S1501*W1501</f>
        <v>15.089285714285714</v>
      </c>
      <c r="AA1501" s="52">
        <f>T1501*W1501</f>
        <v>1.8107142857142855</v>
      </c>
      <c r="AB1501" s="52">
        <f>V1501*W1501</f>
        <v>0</v>
      </c>
      <c r="AC1501" s="53">
        <f>(R1501+V1501)*W1501</f>
        <v>16.9</v>
      </c>
      <c r="AD1501" s="138">
        <v>16.9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107</v>
      </c>
      <c r="F1502" s="96" t="s">
        <v>106</v>
      </c>
      <c r="G1502" s="97">
        <v>46132</v>
      </c>
      <c r="H1502" s="98">
        <v>0.5562731481481481</v>
      </c>
      <c r="I1502" s="50">
        <v>166004737</v>
      </c>
      <c r="J1502" s="96" t="s">
        <v>157</v>
      </c>
      <c r="K1502" s="49" t="s">
        <v>2614</v>
      </c>
      <c r="L1502" s="39" t="s">
        <v>2615</v>
      </c>
      <c r="M1502" s="49" t="s">
        <v>232</v>
      </c>
      <c r="N1502" s="39" t="s">
        <v>233</v>
      </c>
      <c r="O1502" s="96" t="s">
        <v>2616</v>
      </c>
      <c r="P1502" s="49" t="s">
        <v>157</v>
      </c>
      <c r="Q1502" s="96" t="s">
        <v>104</v>
      </c>
      <c r="R1502" s="52">
        <v>29.9</v>
      </c>
      <c r="S1502" s="52">
        <f>R1502-T1502</f>
        <v>24.710743801652892</v>
      </c>
      <c r="T1502" s="52">
        <f>R1502*U1502/(U1502+100)</f>
        <v>5.189256198347107</v>
      </c>
      <c r="U1502" s="50">
        <v>21</v>
      </c>
      <c r="V1502" s="53">
        <v>0</v>
      </c>
      <c r="W1502" s="147">
        <v>1</v>
      </c>
      <c r="X1502" s="148" t="s">
        <v>163</v>
      </c>
      <c r="Y1502" s="54">
        <f>R1502*W1502</f>
        <v>29.9</v>
      </c>
      <c r="Z1502" s="52">
        <f>S1502*W1502</f>
        <v>24.710743801652892</v>
      </c>
      <c r="AA1502" s="52">
        <f>T1502*W1502</f>
        <v>5.189256198347107</v>
      </c>
      <c r="AB1502" s="52">
        <f>V1502*W1502</f>
        <v>0</v>
      </c>
      <c r="AC1502" s="53">
        <f>(R1502+V1502)*W1502</f>
        <v>29.9</v>
      </c>
      <c r="AD1502" s="138">
        <v>29.9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107</v>
      </c>
      <c r="F1503" s="96" t="s">
        <v>106</v>
      </c>
      <c r="G1503" s="97">
        <v>46132</v>
      </c>
      <c r="H1503" s="98">
        <v>0.5577662037037037</v>
      </c>
      <c r="I1503" s="50">
        <v>166004738</v>
      </c>
      <c r="J1503" s="96" t="s">
        <v>157</v>
      </c>
      <c r="K1503" s="49" t="s">
        <v>2617</v>
      </c>
      <c r="L1503" s="39" t="s">
        <v>2618</v>
      </c>
      <c r="M1503" s="49" t="s">
        <v>2619</v>
      </c>
      <c r="N1503" s="39" t="s">
        <v>747</v>
      </c>
      <c r="O1503" s="96" t="s">
        <v>2620</v>
      </c>
      <c r="P1503" s="49" t="s">
        <v>157</v>
      </c>
      <c r="Q1503" s="96" t="s">
        <v>104</v>
      </c>
      <c r="R1503" s="52">
        <v>19.9</v>
      </c>
      <c r="S1503" s="52">
        <f>R1503-T1503</f>
        <v>17.767857142857142</v>
      </c>
      <c r="T1503" s="52">
        <f>R1503*U1503/(U1503+100)</f>
        <v>2.132142857142857</v>
      </c>
      <c r="U1503" s="50">
        <v>12</v>
      </c>
      <c r="V1503" s="53">
        <v>0</v>
      </c>
      <c r="W1503" s="147">
        <v>1</v>
      </c>
      <c r="X1503" s="148" t="s">
        <v>163</v>
      </c>
      <c r="Y1503" s="54">
        <f>R1503*W1503</f>
        <v>19.9</v>
      </c>
      <c r="Z1503" s="52">
        <f>S1503*W1503</f>
        <v>17.767857142857142</v>
      </c>
      <c r="AA1503" s="52">
        <f>T1503*W1503</f>
        <v>2.132142857142857</v>
      </c>
      <c r="AB1503" s="52">
        <f>V1503*W1503</f>
        <v>0</v>
      </c>
      <c r="AC1503" s="53">
        <f>(R1503+V1503)*W1503</f>
        <v>19.9</v>
      </c>
      <c r="AD1503" s="138">
        <v>19.9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107</v>
      </c>
      <c r="F1504" s="96" t="s">
        <v>106</v>
      </c>
      <c r="G1504" s="97">
        <v>46132</v>
      </c>
      <c r="H1504" s="98">
        <v>0.5577662037037037</v>
      </c>
      <c r="I1504" s="50">
        <v>166004738</v>
      </c>
      <c r="J1504" s="96" t="s">
        <v>157</v>
      </c>
      <c r="K1504" s="49" t="s">
        <v>2617</v>
      </c>
      <c r="L1504" s="39" t="s">
        <v>2618</v>
      </c>
      <c r="M1504" s="49" t="s">
        <v>2619</v>
      </c>
      <c r="N1504" s="39" t="s">
        <v>747</v>
      </c>
      <c r="O1504" s="96" t="s">
        <v>2620</v>
      </c>
      <c r="P1504" s="49" t="s">
        <v>157</v>
      </c>
      <c r="Q1504" s="96" t="s">
        <v>104</v>
      </c>
      <c r="R1504" s="52">
        <v>19.9</v>
      </c>
      <c r="S1504" s="52">
        <f>R1504-T1504</f>
        <v>17.767857142857142</v>
      </c>
      <c r="T1504" s="52">
        <f>R1504*U1504/(U1504+100)</f>
        <v>2.132142857142857</v>
      </c>
      <c r="U1504" s="50">
        <v>12</v>
      </c>
      <c r="V1504" s="53">
        <v>0</v>
      </c>
      <c r="W1504" s="147">
        <v>1</v>
      </c>
      <c r="X1504" s="148" t="s">
        <v>163</v>
      </c>
      <c r="Y1504" s="54">
        <f>R1504*W1504</f>
        <v>19.9</v>
      </c>
      <c r="Z1504" s="52">
        <f>S1504*W1504</f>
        <v>17.767857142857142</v>
      </c>
      <c r="AA1504" s="52">
        <f>T1504*W1504</f>
        <v>2.132142857142857</v>
      </c>
      <c r="AB1504" s="52">
        <f>V1504*W1504</f>
        <v>0</v>
      </c>
      <c r="AC1504" s="53">
        <f>(R1504+V1504)*W1504</f>
        <v>19.9</v>
      </c>
      <c r="AD1504" s="138">
        <v>19.9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107</v>
      </c>
      <c r="F1505" s="96" t="s">
        <v>106</v>
      </c>
      <c r="G1505" s="97">
        <v>46132</v>
      </c>
      <c r="H1505" s="98">
        <v>0.5577662037037037</v>
      </c>
      <c r="I1505" s="50">
        <v>166004738</v>
      </c>
      <c r="J1505" s="96" t="s">
        <v>157</v>
      </c>
      <c r="K1505" s="49" t="s">
        <v>666</v>
      </c>
      <c r="L1505" s="39" t="s">
        <v>667</v>
      </c>
      <c r="M1505" s="49" t="s">
        <v>243</v>
      </c>
      <c r="N1505" s="39" t="s">
        <v>244</v>
      </c>
      <c r="O1505" s="96" t="s">
        <v>2621</v>
      </c>
      <c r="P1505" s="49" t="s">
        <v>235</v>
      </c>
      <c r="Q1505" s="96" t="s">
        <v>236</v>
      </c>
      <c r="R1505" s="52">
        <v>29.9</v>
      </c>
      <c r="S1505" s="52">
        <f>R1505-T1505</f>
        <v>26.69642857142857</v>
      </c>
      <c r="T1505" s="52">
        <f>R1505*U1505/(U1505+100)</f>
        <v>3.2035714285714283</v>
      </c>
      <c r="U1505" s="50">
        <v>12</v>
      </c>
      <c r="V1505" s="53">
        <v>0</v>
      </c>
      <c r="W1505" s="147">
        <v>1</v>
      </c>
      <c r="X1505" s="148" t="s">
        <v>163</v>
      </c>
      <c r="Y1505" s="54">
        <f>R1505*W1505</f>
        <v>29.9</v>
      </c>
      <c r="Z1505" s="52">
        <f>S1505*W1505</f>
        <v>26.69642857142857</v>
      </c>
      <c r="AA1505" s="52">
        <f>T1505*W1505</f>
        <v>3.2035714285714283</v>
      </c>
      <c r="AB1505" s="52">
        <f>V1505*W1505</f>
        <v>0</v>
      </c>
      <c r="AC1505" s="53">
        <f>(R1505+V1505)*W1505</f>
        <v>29.9</v>
      </c>
      <c r="AD1505" s="138">
        <v>29.9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107</v>
      </c>
      <c r="F1506" s="96" t="s">
        <v>106</v>
      </c>
      <c r="G1506" s="97">
        <v>46132</v>
      </c>
      <c r="H1506" s="98">
        <v>0.5577662037037037</v>
      </c>
      <c r="I1506" s="50">
        <v>166004738</v>
      </c>
      <c r="J1506" s="96" t="s">
        <v>157</v>
      </c>
      <c r="K1506" s="49" t="s">
        <v>786</v>
      </c>
      <c r="L1506" s="39" t="s">
        <v>787</v>
      </c>
      <c r="M1506" s="49" t="s">
        <v>788</v>
      </c>
      <c r="N1506" s="39" t="s">
        <v>244</v>
      </c>
      <c r="O1506" s="96" t="s">
        <v>1545</v>
      </c>
      <c r="P1506" s="49" t="s">
        <v>157</v>
      </c>
      <c r="Q1506" s="96" t="s">
        <v>104</v>
      </c>
      <c r="R1506" s="52">
        <v>14.9</v>
      </c>
      <c r="S1506" s="52">
        <f>R1506-T1506</f>
        <v>13.303571428571429</v>
      </c>
      <c r="T1506" s="52">
        <f>R1506*U1506/(U1506+100)</f>
        <v>1.5964285714285715</v>
      </c>
      <c r="U1506" s="50">
        <v>12</v>
      </c>
      <c r="V1506" s="53">
        <v>0</v>
      </c>
      <c r="W1506" s="147">
        <v>1</v>
      </c>
      <c r="X1506" s="148" t="s">
        <v>163</v>
      </c>
      <c r="Y1506" s="54">
        <f>R1506*W1506</f>
        <v>14.9</v>
      </c>
      <c r="Z1506" s="52">
        <f>S1506*W1506</f>
        <v>13.303571428571429</v>
      </c>
      <c r="AA1506" s="52">
        <f>T1506*W1506</f>
        <v>1.5964285714285715</v>
      </c>
      <c r="AB1506" s="52">
        <f>V1506*W1506</f>
        <v>0</v>
      </c>
      <c r="AC1506" s="53">
        <f>(R1506+V1506)*W1506</f>
        <v>14.9</v>
      </c>
      <c r="AD1506" s="138">
        <v>14.9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107</v>
      </c>
      <c r="F1507" s="96" t="s">
        <v>106</v>
      </c>
      <c r="G1507" s="97">
        <v>46132</v>
      </c>
      <c r="H1507" s="98">
        <v>0.5577662037037037</v>
      </c>
      <c r="I1507" s="50">
        <v>166004738</v>
      </c>
      <c r="J1507" s="96" t="s">
        <v>157</v>
      </c>
      <c r="K1507" s="49" t="s">
        <v>2622</v>
      </c>
      <c r="L1507" s="39" t="s">
        <v>2623</v>
      </c>
      <c r="M1507" s="49" t="s">
        <v>429</v>
      </c>
      <c r="N1507" s="39" t="s">
        <v>348</v>
      </c>
      <c r="O1507" s="96" t="s">
        <v>2624</v>
      </c>
      <c r="P1507" s="49" t="s">
        <v>235</v>
      </c>
      <c r="Q1507" s="96" t="s">
        <v>236</v>
      </c>
      <c r="R1507" s="52">
        <v>16.9</v>
      </c>
      <c r="S1507" s="52">
        <f>R1507-T1507</f>
        <v>15.089285714285714</v>
      </c>
      <c r="T1507" s="52">
        <f>R1507*U1507/(U1507+100)</f>
        <v>1.8107142857142855</v>
      </c>
      <c r="U1507" s="50">
        <v>12</v>
      </c>
      <c r="V1507" s="53">
        <v>0</v>
      </c>
      <c r="W1507" s="147">
        <v>1</v>
      </c>
      <c r="X1507" s="148" t="s">
        <v>163</v>
      </c>
      <c r="Y1507" s="54">
        <f>R1507*W1507</f>
        <v>16.9</v>
      </c>
      <c r="Z1507" s="52">
        <f>S1507*W1507</f>
        <v>15.089285714285714</v>
      </c>
      <c r="AA1507" s="52">
        <f>T1507*W1507</f>
        <v>1.8107142857142855</v>
      </c>
      <c r="AB1507" s="52">
        <f>V1507*W1507</f>
        <v>0</v>
      </c>
      <c r="AC1507" s="53">
        <f>(R1507+V1507)*W1507</f>
        <v>16.9</v>
      </c>
      <c r="AD1507" s="138">
        <v>16.9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107</v>
      </c>
      <c r="F1508" s="96" t="s">
        <v>106</v>
      </c>
      <c r="G1508" s="97">
        <v>46132</v>
      </c>
      <c r="H1508" s="98">
        <v>0.5577662037037037</v>
      </c>
      <c r="I1508" s="50">
        <v>166004738</v>
      </c>
      <c r="J1508" s="96" t="s">
        <v>157</v>
      </c>
      <c r="K1508" s="49" t="s">
        <v>2622</v>
      </c>
      <c r="L1508" s="39" t="s">
        <v>2623</v>
      </c>
      <c r="M1508" s="49" t="s">
        <v>429</v>
      </c>
      <c r="N1508" s="39" t="s">
        <v>348</v>
      </c>
      <c r="O1508" s="96" t="s">
        <v>2624</v>
      </c>
      <c r="P1508" s="49" t="s">
        <v>235</v>
      </c>
      <c r="Q1508" s="96" t="s">
        <v>236</v>
      </c>
      <c r="R1508" s="52">
        <v>16.9</v>
      </c>
      <c r="S1508" s="52">
        <f>R1508-T1508</f>
        <v>15.089285714285714</v>
      </c>
      <c r="T1508" s="52">
        <f>R1508*U1508/(U1508+100)</f>
        <v>1.8107142857142855</v>
      </c>
      <c r="U1508" s="50">
        <v>12</v>
      </c>
      <c r="V1508" s="53">
        <v>0</v>
      </c>
      <c r="W1508" s="147">
        <v>1</v>
      </c>
      <c r="X1508" s="148" t="s">
        <v>163</v>
      </c>
      <c r="Y1508" s="54">
        <f>R1508*W1508</f>
        <v>16.9</v>
      </c>
      <c r="Z1508" s="52">
        <f>S1508*W1508</f>
        <v>15.089285714285714</v>
      </c>
      <c r="AA1508" s="52">
        <f>T1508*W1508</f>
        <v>1.8107142857142855</v>
      </c>
      <c r="AB1508" s="52">
        <f>V1508*W1508</f>
        <v>0</v>
      </c>
      <c r="AC1508" s="53">
        <f>(R1508+V1508)*W1508</f>
        <v>16.9</v>
      </c>
      <c r="AD1508" s="138">
        <v>16.9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107</v>
      </c>
      <c r="F1509" s="96" t="s">
        <v>106</v>
      </c>
      <c r="G1509" s="97">
        <v>46132</v>
      </c>
      <c r="H1509" s="98">
        <v>0.5577662037037037</v>
      </c>
      <c r="I1509" s="50">
        <v>166004738</v>
      </c>
      <c r="J1509" s="96" t="s">
        <v>157</v>
      </c>
      <c r="K1509" s="49" t="s">
        <v>288</v>
      </c>
      <c r="L1509" s="39" t="s">
        <v>289</v>
      </c>
      <c r="M1509" s="49" t="s">
        <v>290</v>
      </c>
      <c r="N1509" s="39" t="s">
        <v>291</v>
      </c>
      <c r="O1509" s="96" t="s">
        <v>292</v>
      </c>
      <c r="P1509" s="49" t="s">
        <v>157</v>
      </c>
      <c r="Q1509" s="96" t="s">
        <v>104</v>
      </c>
      <c r="R1509" s="52">
        <v>16.9</v>
      </c>
      <c r="S1509" s="52">
        <f>R1509-T1509</f>
        <v>15.089285714285714</v>
      </c>
      <c r="T1509" s="52">
        <f>R1509*U1509/(U1509+100)</f>
        <v>1.8107142857142855</v>
      </c>
      <c r="U1509" s="50">
        <v>12</v>
      </c>
      <c r="V1509" s="53">
        <v>0</v>
      </c>
      <c r="W1509" s="147">
        <v>1</v>
      </c>
      <c r="X1509" s="148" t="s">
        <v>163</v>
      </c>
      <c r="Y1509" s="54">
        <f>R1509*W1509</f>
        <v>16.9</v>
      </c>
      <c r="Z1509" s="52">
        <f>S1509*W1509</f>
        <v>15.089285714285714</v>
      </c>
      <c r="AA1509" s="52">
        <f>T1509*W1509</f>
        <v>1.8107142857142855</v>
      </c>
      <c r="AB1509" s="52">
        <f>V1509*W1509</f>
        <v>0</v>
      </c>
      <c r="AC1509" s="53">
        <f>(R1509+V1509)*W1509</f>
        <v>16.9</v>
      </c>
      <c r="AD1509" s="138">
        <v>16.9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107</v>
      </c>
      <c r="F1510" s="96" t="s">
        <v>106</v>
      </c>
      <c r="G1510" s="97">
        <v>46132</v>
      </c>
      <c r="H1510" s="98">
        <v>0.5577662037037037</v>
      </c>
      <c r="I1510" s="50">
        <v>166004738</v>
      </c>
      <c r="J1510" s="96" t="s">
        <v>157</v>
      </c>
      <c r="K1510" s="49" t="s">
        <v>288</v>
      </c>
      <c r="L1510" s="39" t="s">
        <v>289</v>
      </c>
      <c r="M1510" s="49" t="s">
        <v>290</v>
      </c>
      <c r="N1510" s="39" t="s">
        <v>291</v>
      </c>
      <c r="O1510" s="96" t="s">
        <v>292</v>
      </c>
      <c r="P1510" s="49" t="s">
        <v>157</v>
      </c>
      <c r="Q1510" s="96" t="s">
        <v>104</v>
      </c>
      <c r="R1510" s="52">
        <v>16.9</v>
      </c>
      <c r="S1510" s="52">
        <f>R1510-T1510</f>
        <v>15.089285714285714</v>
      </c>
      <c r="T1510" s="52">
        <f>R1510*U1510/(U1510+100)</f>
        <v>1.8107142857142855</v>
      </c>
      <c r="U1510" s="50">
        <v>12</v>
      </c>
      <c r="V1510" s="53">
        <v>0</v>
      </c>
      <c r="W1510" s="147">
        <v>1</v>
      </c>
      <c r="X1510" s="148" t="s">
        <v>163</v>
      </c>
      <c r="Y1510" s="54">
        <f>R1510*W1510</f>
        <v>16.9</v>
      </c>
      <c r="Z1510" s="52">
        <f>S1510*W1510</f>
        <v>15.089285714285714</v>
      </c>
      <c r="AA1510" s="52">
        <f>T1510*W1510</f>
        <v>1.8107142857142855</v>
      </c>
      <c r="AB1510" s="52">
        <f>V1510*W1510</f>
        <v>0</v>
      </c>
      <c r="AC1510" s="53">
        <f>(R1510+V1510)*W1510</f>
        <v>16.9</v>
      </c>
      <c r="AD1510" s="138">
        <v>16.9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107</v>
      </c>
      <c r="F1511" s="96" t="s">
        <v>106</v>
      </c>
      <c r="G1511" s="97">
        <v>46132</v>
      </c>
      <c r="H1511" s="98">
        <v>0.5577662037037037</v>
      </c>
      <c r="I1511" s="50">
        <v>166004738</v>
      </c>
      <c r="J1511" s="96" t="s">
        <v>157</v>
      </c>
      <c r="K1511" s="49" t="s">
        <v>288</v>
      </c>
      <c r="L1511" s="39" t="s">
        <v>289</v>
      </c>
      <c r="M1511" s="49" t="s">
        <v>290</v>
      </c>
      <c r="N1511" s="39" t="s">
        <v>291</v>
      </c>
      <c r="O1511" s="96" t="s">
        <v>292</v>
      </c>
      <c r="P1511" s="49" t="s">
        <v>157</v>
      </c>
      <c r="Q1511" s="96" t="s">
        <v>104</v>
      </c>
      <c r="R1511" s="52">
        <v>16.9</v>
      </c>
      <c r="S1511" s="52">
        <f>R1511-T1511</f>
        <v>15.089285714285714</v>
      </c>
      <c r="T1511" s="52">
        <f>R1511*U1511/(U1511+100)</f>
        <v>1.8107142857142855</v>
      </c>
      <c r="U1511" s="50">
        <v>12</v>
      </c>
      <c r="V1511" s="53">
        <v>0</v>
      </c>
      <c r="W1511" s="147">
        <v>1</v>
      </c>
      <c r="X1511" s="148" t="s">
        <v>163</v>
      </c>
      <c r="Y1511" s="54">
        <f>R1511*W1511</f>
        <v>16.9</v>
      </c>
      <c r="Z1511" s="52">
        <f>S1511*W1511</f>
        <v>15.089285714285714</v>
      </c>
      <c r="AA1511" s="52">
        <f>T1511*W1511</f>
        <v>1.8107142857142855</v>
      </c>
      <c r="AB1511" s="52">
        <f>V1511*W1511</f>
        <v>0</v>
      </c>
      <c r="AC1511" s="53">
        <f>(R1511+V1511)*W1511</f>
        <v>16.9</v>
      </c>
      <c r="AD1511" s="138">
        <v>16.9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107</v>
      </c>
      <c r="F1512" s="96" t="s">
        <v>106</v>
      </c>
      <c r="G1512" s="97">
        <v>46132</v>
      </c>
      <c r="H1512" s="98">
        <v>0.5577662037037037</v>
      </c>
      <c r="I1512" s="50">
        <v>166004738</v>
      </c>
      <c r="J1512" s="96" t="s">
        <v>157</v>
      </c>
      <c r="K1512" s="49" t="s">
        <v>288</v>
      </c>
      <c r="L1512" s="39" t="s">
        <v>289</v>
      </c>
      <c r="M1512" s="49" t="s">
        <v>290</v>
      </c>
      <c r="N1512" s="39" t="s">
        <v>291</v>
      </c>
      <c r="O1512" s="96" t="s">
        <v>292</v>
      </c>
      <c r="P1512" s="49" t="s">
        <v>157</v>
      </c>
      <c r="Q1512" s="96" t="s">
        <v>104</v>
      </c>
      <c r="R1512" s="52">
        <v>16.9</v>
      </c>
      <c r="S1512" s="52">
        <f>R1512-T1512</f>
        <v>15.089285714285714</v>
      </c>
      <c r="T1512" s="52">
        <f>R1512*U1512/(U1512+100)</f>
        <v>1.8107142857142855</v>
      </c>
      <c r="U1512" s="50">
        <v>12</v>
      </c>
      <c r="V1512" s="53">
        <v>0</v>
      </c>
      <c r="W1512" s="147">
        <v>1</v>
      </c>
      <c r="X1512" s="148" t="s">
        <v>163</v>
      </c>
      <c r="Y1512" s="54">
        <f>R1512*W1512</f>
        <v>16.9</v>
      </c>
      <c r="Z1512" s="52">
        <f>S1512*W1512</f>
        <v>15.089285714285714</v>
      </c>
      <c r="AA1512" s="52">
        <f>T1512*W1512</f>
        <v>1.8107142857142855</v>
      </c>
      <c r="AB1512" s="52">
        <f>V1512*W1512</f>
        <v>0</v>
      </c>
      <c r="AC1512" s="53">
        <f>(R1512+V1512)*W1512</f>
        <v>16.9</v>
      </c>
      <c r="AD1512" s="138">
        <v>16.9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107</v>
      </c>
      <c r="F1513" s="96" t="s">
        <v>106</v>
      </c>
      <c r="G1513" s="97">
        <v>46132</v>
      </c>
      <c r="H1513" s="98">
        <v>0.5577662037037037</v>
      </c>
      <c r="I1513" s="50">
        <v>166004738</v>
      </c>
      <c r="J1513" s="96" t="s">
        <v>157</v>
      </c>
      <c r="K1513" s="49" t="s">
        <v>183</v>
      </c>
      <c r="L1513" s="39" t="s">
        <v>184</v>
      </c>
      <c r="M1513" s="49" t="s">
        <v>185</v>
      </c>
      <c r="N1513" s="39" t="s">
        <v>186</v>
      </c>
      <c r="O1513" s="96" t="s">
        <v>988</v>
      </c>
      <c r="P1513" s="49" t="s">
        <v>157</v>
      </c>
      <c r="Q1513" s="96" t="s">
        <v>104</v>
      </c>
      <c r="R1513" s="52">
        <v>1.9</v>
      </c>
      <c r="S1513" s="52">
        <f>R1513-T1513</f>
        <v>1.5702479338842974</v>
      </c>
      <c r="T1513" s="52">
        <f>R1513*U1513/(U1513+100)</f>
        <v>0.32975206611570246</v>
      </c>
      <c r="U1513" s="50">
        <v>21</v>
      </c>
      <c r="V1513" s="53">
        <v>0</v>
      </c>
      <c r="W1513" s="147">
        <v>1</v>
      </c>
      <c r="X1513" s="148" t="s">
        <v>163</v>
      </c>
      <c r="Y1513" s="54">
        <f>R1513*W1513</f>
        <v>1.9</v>
      </c>
      <c r="Z1513" s="52">
        <f>S1513*W1513</f>
        <v>1.5702479338842974</v>
      </c>
      <c r="AA1513" s="52">
        <f>T1513*W1513</f>
        <v>0.32975206611570246</v>
      </c>
      <c r="AB1513" s="52">
        <f>V1513*W1513</f>
        <v>0</v>
      </c>
      <c r="AC1513" s="53">
        <f>(R1513+V1513)*W1513</f>
        <v>1.9</v>
      </c>
      <c r="AD1513" s="138">
        <v>1.9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107</v>
      </c>
      <c r="F1514" s="96" t="s">
        <v>106</v>
      </c>
      <c r="G1514" s="97">
        <v>46132</v>
      </c>
      <c r="H1514" s="98">
        <v>0.5577662037037037</v>
      </c>
      <c r="I1514" s="50">
        <v>166004738</v>
      </c>
      <c r="J1514" s="96" t="s">
        <v>157</v>
      </c>
      <c r="K1514" s="49" t="s">
        <v>183</v>
      </c>
      <c r="L1514" s="39" t="s">
        <v>184</v>
      </c>
      <c r="M1514" s="49" t="s">
        <v>185</v>
      </c>
      <c r="N1514" s="39" t="s">
        <v>186</v>
      </c>
      <c r="O1514" s="96" t="s">
        <v>988</v>
      </c>
      <c r="P1514" s="49" t="s">
        <v>157</v>
      </c>
      <c r="Q1514" s="96" t="s">
        <v>104</v>
      </c>
      <c r="R1514" s="52">
        <v>1.9</v>
      </c>
      <c r="S1514" s="52">
        <f>R1514-T1514</f>
        <v>1.5702479338842974</v>
      </c>
      <c r="T1514" s="52">
        <f>R1514*U1514/(U1514+100)</f>
        <v>0.32975206611570246</v>
      </c>
      <c r="U1514" s="50">
        <v>21</v>
      </c>
      <c r="V1514" s="53">
        <v>0</v>
      </c>
      <c r="W1514" s="147">
        <v>1</v>
      </c>
      <c r="X1514" s="148" t="s">
        <v>163</v>
      </c>
      <c r="Y1514" s="54">
        <f>R1514*W1514</f>
        <v>1.9</v>
      </c>
      <c r="Z1514" s="52">
        <f>S1514*W1514</f>
        <v>1.5702479338842974</v>
      </c>
      <c r="AA1514" s="52">
        <f>T1514*W1514</f>
        <v>0.32975206611570246</v>
      </c>
      <c r="AB1514" s="52">
        <f>V1514*W1514</f>
        <v>0</v>
      </c>
      <c r="AC1514" s="53">
        <f>(R1514+V1514)*W1514</f>
        <v>1.9</v>
      </c>
      <c r="AD1514" s="138">
        <v>1.9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107</v>
      </c>
      <c r="F1515" s="96" t="s">
        <v>106</v>
      </c>
      <c r="G1515" s="97">
        <v>46132</v>
      </c>
      <c r="H1515" s="98">
        <v>0.5577662037037037</v>
      </c>
      <c r="I1515" s="50">
        <v>166004738</v>
      </c>
      <c r="J1515" s="96" t="s">
        <v>157</v>
      </c>
      <c r="K1515" s="49" t="s">
        <v>560</v>
      </c>
      <c r="L1515" s="39" t="s">
        <v>104</v>
      </c>
      <c r="M1515" s="49" t="s">
        <v>554</v>
      </c>
      <c r="N1515" s="39" t="s">
        <v>296</v>
      </c>
      <c r="O1515" s="96" t="s">
        <v>561</v>
      </c>
      <c r="P1515" s="49" t="s">
        <v>157</v>
      </c>
      <c r="Q1515" s="96" t="s">
        <v>104</v>
      </c>
      <c r="R1515" s="52">
        <v>8.9</v>
      </c>
      <c r="S1515" s="52">
        <f>R1515-T1515</f>
        <v>7.946428571428572</v>
      </c>
      <c r="T1515" s="52">
        <f>R1515*U1515/(U1515+100)</f>
        <v>0.9535714285714286</v>
      </c>
      <c r="U1515" s="50">
        <v>12</v>
      </c>
      <c r="V1515" s="53">
        <v>0</v>
      </c>
      <c r="W1515" s="147">
        <v>1</v>
      </c>
      <c r="X1515" s="148" t="s">
        <v>163</v>
      </c>
      <c r="Y1515" s="54">
        <f>R1515*W1515</f>
        <v>8.9</v>
      </c>
      <c r="Z1515" s="52">
        <f>S1515*W1515</f>
        <v>7.946428571428572</v>
      </c>
      <c r="AA1515" s="52">
        <f>T1515*W1515</f>
        <v>0.9535714285714286</v>
      </c>
      <c r="AB1515" s="52">
        <f>V1515*W1515</f>
        <v>0</v>
      </c>
      <c r="AC1515" s="53">
        <f>(R1515+V1515)*W1515</f>
        <v>8.9</v>
      </c>
      <c r="AD1515" s="138">
        <v>8.9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107</v>
      </c>
      <c r="F1516" s="96" t="s">
        <v>106</v>
      </c>
      <c r="G1516" s="97">
        <v>46132</v>
      </c>
      <c r="H1516" s="98">
        <v>0.5577662037037037</v>
      </c>
      <c r="I1516" s="50">
        <v>166004738</v>
      </c>
      <c r="J1516" s="96" t="s">
        <v>157</v>
      </c>
      <c r="K1516" s="49" t="s">
        <v>560</v>
      </c>
      <c r="L1516" s="39" t="s">
        <v>104</v>
      </c>
      <c r="M1516" s="49" t="s">
        <v>554</v>
      </c>
      <c r="N1516" s="39" t="s">
        <v>296</v>
      </c>
      <c r="O1516" s="96" t="s">
        <v>561</v>
      </c>
      <c r="P1516" s="49" t="s">
        <v>157</v>
      </c>
      <c r="Q1516" s="96" t="s">
        <v>104</v>
      </c>
      <c r="R1516" s="52">
        <v>8.9</v>
      </c>
      <c r="S1516" s="52">
        <f>R1516-T1516</f>
        <v>7.946428571428572</v>
      </c>
      <c r="T1516" s="52">
        <f>R1516*U1516/(U1516+100)</f>
        <v>0.9535714285714286</v>
      </c>
      <c r="U1516" s="50">
        <v>12</v>
      </c>
      <c r="V1516" s="53">
        <v>0</v>
      </c>
      <c r="W1516" s="147">
        <v>1</v>
      </c>
      <c r="X1516" s="148" t="s">
        <v>163</v>
      </c>
      <c r="Y1516" s="54">
        <f>R1516*W1516</f>
        <v>8.9</v>
      </c>
      <c r="Z1516" s="52">
        <f>S1516*W1516</f>
        <v>7.946428571428572</v>
      </c>
      <c r="AA1516" s="52">
        <f>T1516*W1516</f>
        <v>0.9535714285714286</v>
      </c>
      <c r="AB1516" s="52">
        <f>V1516*W1516</f>
        <v>0</v>
      </c>
      <c r="AC1516" s="53">
        <f>(R1516+V1516)*W1516</f>
        <v>8.9</v>
      </c>
      <c r="AD1516" s="138">
        <v>8.9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107</v>
      </c>
      <c r="F1517" s="96" t="s">
        <v>106</v>
      </c>
      <c r="G1517" s="97">
        <v>46132</v>
      </c>
      <c r="H1517" s="98">
        <v>0.5580439814814815</v>
      </c>
      <c r="I1517" s="50">
        <v>166004739</v>
      </c>
      <c r="J1517" s="96" t="s">
        <v>157</v>
      </c>
      <c r="K1517" s="49" t="s">
        <v>2625</v>
      </c>
      <c r="L1517" s="39" t="s">
        <v>2626</v>
      </c>
      <c r="M1517" s="49" t="s">
        <v>255</v>
      </c>
      <c r="N1517" s="39" t="s">
        <v>256</v>
      </c>
      <c r="O1517" s="96" t="s">
        <v>2627</v>
      </c>
      <c r="P1517" s="49" t="s">
        <v>157</v>
      </c>
      <c r="Q1517" s="96" t="s">
        <v>104</v>
      </c>
      <c r="R1517" s="52">
        <v>23.9</v>
      </c>
      <c r="S1517" s="52">
        <f>R1517-T1517</f>
        <v>19.752066115702476</v>
      </c>
      <c r="T1517" s="52">
        <f>R1517*U1517/(U1517+100)</f>
        <v>4.147933884297521</v>
      </c>
      <c r="U1517" s="50">
        <v>21</v>
      </c>
      <c r="V1517" s="53">
        <v>0</v>
      </c>
      <c r="W1517" s="147">
        <v>4</v>
      </c>
      <c r="X1517" s="148" t="s">
        <v>163</v>
      </c>
      <c r="Y1517" s="54">
        <f>R1517*W1517</f>
        <v>95.6</v>
      </c>
      <c r="Z1517" s="52">
        <f>S1517*W1517</f>
        <v>79.0082644628099</v>
      </c>
      <c r="AA1517" s="52">
        <f>T1517*W1517</f>
        <v>16.591735537190083</v>
      </c>
      <c r="AB1517" s="52">
        <f>V1517*W1517</f>
        <v>0</v>
      </c>
      <c r="AC1517" s="53">
        <f>(R1517+V1517)*W1517</f>
        <v>95.6</v>
      </c>
      <c r="AD1517" s="138">
        <v>23.9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107</v>
      </c>
      <c r="F1518" s="96" t="s">
        <v>106</v>
      </c>
      <c r="G1518" s="97">
        <v>46132</v>
      </c>
      <c r="H1518" s="98">
        <v>0.5580439814814815</v>
      </c>
      <c r="I1518" s="50">
        <v>166004739</v>
      </c>
      <c r="J1518" s="96" t="s">
        <v>157</v>
      </c>
      <c r="K1518" s="49" t="s">
        <v>2628</v>
      </c>
      <c r="L1518" s="39" t="s">
        <v>2629</v>
      </c>
      <c r="M1518" s="49" t="s">
        <v>862</v>
      </c>
      <c r="N1518" s="39" t="s">
        <v>863</v>
      </c>
      <c r="O1518" s="96" t="s">
        <v>2630</v>
      </c>
      <c r="P1518" s="49" t="s">
        <v>157</v>
      </c>
      <c r="Q1518" s="96" t="s">
        <v>104</v>
      </c>
      <c r="R1518" s="52">
        <v>160</v>
      </c>
      <c r="S1518" s="52">
        <f>R1518-T1518</f>
        <v>132.23140495867767</v>
      </c>
      <c r="T1518" s="52">
        <f>R1518*U1518/(U1518+100)</f>
        <v>27.768595041322314</v>
      </c>
      <c r="U1518" s="50">
        <v>21</v>
      </c>
      <c r="V1518" s="53">
        <v>0</v>
      </c>
      <c r="W1518" s="147">
        <v>1</v>
      </c>
      <c r="X1518" s="148" t="s">
        <v>163</v>
      </c>
      <c r="Y1518" s="54">
        <f>R1518*W1518</f>
        <v>160</v>
      </c>
      <c r="Z1518" s="52">
        <f>S1518*W1518</f>
        <v>132.23140495867767</v>
      </c>
      <c r="AA1518" s="52">
        <f>T1518*W1518</f>
        <v>27.768595041322314</v>
      </c>
      <c r="AB1518" s="52">
        <f>V1518*W1518</f>
        <v>0</v>
      </c>
      <c r="AC1518" s="53">
        <f>(R1518+V1518)*W1518</f>
        <v>160</v>
      </c>
      <c r="AD1518" s="138">
        <v>160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107</v>
      </c>
      <c r="F1519" s="96" t="s">
        <v>106</v>
      </c>
      <c r="G1519" s="97">
        <v>46132</v>
      </c>
      <c r="H1519" s="98">
        <v>0.5588541666666667</v>
      </c>
      <c r="I1519" s="50">
        <v>166004740</v>
      </c>
      <c r="J1519" s="96" t="s">
        <v>157</v>
      </c>
      <c r="K1519" s="49" t="s">
        <v>2522</v>
      </c>
      <c r="L1519" s="39" t="s">
        <v>2523</v>
      </c>
      <c r="M1519" s="49" t="s">
        <v>219</v>
      </c>
      <c r="N1519" s="39" t="s">
        <v>641</v>
      </c>
      <c r="O1519" s="96" t="s">
        <v>2524</v>
      </c>
      <c r="P1519" s="49" t="s">
        <v>157</v>
      </c>
      <c r="Q1519" s="96" t="s">
        <v>104</v>
      </c>
      <c r="R1519" s="52">
        <v>35.9</v>
      </c>
      <c r="S1519" s="52">
        <f>R1519-T1519</f>
        <v>32.05357142857143</v>
      </c>
      <c r="T1519" s="52">
        <f>R1519*U1519/(U1519+100)</f>
        <v>3.846428571428571</v>
      </c>
      <c r="U1519" s="50">
        <v>12</v>
      </c>
      <c r="V1519" s="53">
        <v>0</v>
      </c>
      <c r="W1519" s="147">
        <v>1</v>
      </c>
      <c r="X1519" s="148" t="s">
        <v>163</v>
      </c>
      <c r="Y1519" s="54">
        <f>R1519*W1519</f>
        <v>35.9</v>
      </c>
      <c r="Z1519" s="52">
        <f>S1519*W1519</f>
        <v>32.05357142857143</v>
      </c>
      <c r="AA1519" s="52">
        <f>T1519*W1519</f>
        <v>3.846428571428571</v>
      </c>
      <c r="AB1519" s="52">
        <f>V1519*W1519</f>
        <v>0</v>
      </c>
      <c r="AC1519" s="53">
        <f>(R1519+V1519)*W1519</f>
        <v>35.9</v>
      </c>
      <c r="AD1519" s="138">
        <v>35.9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107</v>
      </c>
      <c r="F1520" s="96" t="s">
        <v>106</v>
      </c>
      <c r="G1520" s="97">
        <v>46132</v>
      </c>
      <c r="H1520" s="98">
        <v>0.5602777777777778</v>
      </c>
      <c r="I1520" s="50">
        <v>166004741</v>
      </c>
      <c r="J1520" s="96" t="s">
        <v>157</v>
      </c>
      <c r="K1520" s="49" t="s">
        <v>2631</v>
      </c>
      <c r="L1520" s="39" t="s">
        <v>2632</v>
      </c>
      <c r="M1520" s="49" t="s">
        <v>429</v>
      </c>
      <c r="N1520" s="39" t="s">
        <v>747</v>
      </c>
      <c r="O1520" s="96" t="s">
        <v>2633</v>
      </c>
      <c r="P1520" s="49" t="s">
        <v>157</v>
      </c>
      <c r="Q1520" s="96" t="s">
        <v>104</v>
      </c>
      <c r="R1520" s="52">
        <v>11.9</v>
      </c>
      <c r="S1520" s="52">
        <f>R1520-T1520</f>
        <v>10.625</v>
      </c>
      <c r="T1520" s="52">
        <f>R1520*U1520/(U1520+100)</f>
        <v>1.2750000000000001</v>
      </c>
      <c r="U1520" s="50">
        <v>12</v>
      </c>
      <c r="V1520" s="53">
        <v>0</v>
      </c>
      <c r="W1520" s="147">
        <v>1</v>
      </c>
      <c r="X1520" s="148" t="s">
        <v>163</v>
      </c>
      <c r="Y1520" s="54">
        <f>R1520*W1520</f>
        <v>11.9</v>
      </c>
      <c r="Z1520" s="52">
        <f>S1520*W1520</f>
        <v>10.625</v>
      </c>
      <c r="AA1520" s="52">
        <f>T1520*W1520</f>
        <v>1.2750000000000001</v>
      </c>
      <c r="AB1520" s="52">
        <f>V1520*W1520</f>
        <v>0</v>
      </c>
      <c r="AC1520" s="53">
        <f>(R1520+V1520)*W1520</f>
        <v>11.9</v>
      </c>
      <c r="AD1520" s="138">
        <v>11.9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107</v>
      </c>
      <c r="F1521" s="96" t="s">
        <v>106</v>
      </c>
      <c r="G1521" s="97">
        <v>46132</v>
      </c>
      <c r="H1521" s="98">
        <v>0.5602777777777778</v>
      </c>
      <c r="I1521" s="50">
        <v>166004741</v>
      </c>
      <c r="J1521" s="96" t="s">
        <v>157</v>
      </c>
      <c r="K1521" s="49" t="s">
        <v>2068</v>
      </c>
      <c r="L1521" s="39" t="s">
        <v>2069</v>
      </c>
      <c r="M1521" s="49" t="s">
        <v>429</v>
      </c>
      <c r="N1521" s="39" t="s">
        <v>348</v>
      </c>
      <c r="O1521" s="96" t="s">
        <v>2070</v>
      </c>
      <c r="P1521" s="49" t="s">
        <v>235</v>
      </c>
      <c r="Q1521" s="96" t="s">
        <v>236</v>
      </c>
      <c r="R1521" s="52">
        <v>16.9</v>
      </c>
      <c r="S1521" s="52">
        <f>R1521-T1521</f>
        <v>15.089285714285714</v>
      </c>
      <c r="T1521" s="52">
        <f>R1521*U1521/(U1521+100)</f>
        <v>1.8107142857142855</v>
      </c>
      <c r="U1521" s="50">
        <v>12</v>
      </c>
      <c r="V1521" s="53">
        <v>0</v>
      </c>
      <c r="W1521" s="147">
        <v>1</v>
      </c>
      <c r="X1521" s="148" t="s">
        <v>163</v>
      </c>
      <c r="Y1521" s="54">
        <f>R1521*W1521</f>
        <v>16.9</v>
      </c>
      <c r="Z1521" s="52">
        <f>S1521*W1521</f>
        <v>15.089285714285714</v>
      </c>
      <c r="AA1521" s="52">
        <f>T1521*W1521</f>
        <v>1.8107142857142855</v>
      </c>
      <c r="AB1521" s="52">
        <f>V1521*W1521</f>
        <v>0</v>
      </c>
      <c r="AC1521" s="53">
        <f>(R1521+V1521)*W1521</f>
        <v>16.9</v>
      </c>
      <c r="AD1521" s="138">
        <v>16.9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107</v>
      </c>
      <c r="F1522" s="96" t="s">
        <v>106</v>
      </c>
      <c r="G1522" s="97">
        <v>46132</v>
      </c>
      <c r="H1522" s="98">
        <v>0.5604745370370371</v>
      </c>
      <c r="I1522" s="50">
        <v>166004742</v>
      </c>
      <c r="J1522" s="96" t="s">
        <v>157</v>
      </c>
      <c r="K1522" s="49" t="s">
        <v>1387</v>
      </c>
      <c r="L1522" s="39" t="s">
        <v>1388</v>
      </c>
      <c r="M1522" s="49" t="s">
        <v>214</v>
      </c>
      <c r="N1522" s="39" t="s">
        <v>548</v>
      </c>
      <c r="O1522" s="96" t="s">
        <v>1389</v>
      </c>
      <c r="P1522" s="49" t="s">
        <v>157</v>
      </c>
      <c r="Q1522" s="96" t="s">
        <v>104</v>
      </c>
      <c r="R1522" s="52">
        <v>19.9</v>
      </c>
      <c r="S1522" s="52">
        <f>R1522-T1522</f>
        <v>17.767857142857142</v>
      </c>
      <c r="T1522" s="52">
        <f>R1522*U1522/(U1522+100)</f>
        <v>2.132142857142857</v>
      </c>
      <c r="U1522" s="50">
        <v>12</v>
      </c>
      <c r="V1522" s="53">
        <v>0</v>
      </c>
      <c r="W1522" s="147">
        <v>1</v>
      </c>
      <c r="X1522" s="148" t="s">
        <v>163</v>
      </c>
      <c r="Y1522" s="54">
        <f>R1522*W1522</f>
        <v>19.9</v>
      </c>
      <c r="Z1522" s="52">
        <f>S1522*W1522</f>
        <v>17.767857142857142</v>
      </c>
      <c r="AA1522" s="52">
        <f>T1522*W1522</f>
        <v>2.132142857142857</v>
      </c>
      <c r="AB1522" s="52">
        <f>V1522*W1522</f>
        <v>0</v>
      </c>
      <c r="AC1522" s="53">
        <f>(R1522+V1522)*W1522</f>
        <v>19.9</v>
      </c>
      <c r="AD1522" s="138">
        <v>19.9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107</v>
      </c>
      <c r="F1523" s="96" t="s">
        <v>106</v>
      </c>
      <c r="G1523" s="97">
        <v>46132</v>
      </c>
      <c r="H1523" s="98">
        <v>0.5605555555555556</v>
      </c>
      <c r="I1523" s="50">
        <v>166004743</v>
      </c>
      <c r="J1523" s="96" t="s">
        <v>157</v>
      </c>
      <c r="K1523" s="49" t="s">
        <v>1387</v>
      </c>
      <c r="L1523" s="39" t="s">
        <v>1388</v>
      </c>
      <c r="M1523" s="49" t="s">
        <v>214</v>
      </c>
      <c r="N1523" s="39" t="s">
        <v>548</v>
      </c>
      <c r="O1523" s="96" t="s">
        <v>1389</v>
      </c>
      <c r="P1523" s="49" t="s">
        <v>157</v>
      </c>
      <c r="Q1523" s="96" t="s">
        <v>104</v>
      </c>
      <c r="R1523" s="52">
        <v>19.9</v>
      </c>
      <c r="S1523" s="52">
        <f>R1523-T1523</f>
        <v>17.767857142857142</v>
      </c>
      <c r="T1523" s="52">
        <f>R1523*U1523/(U1523+100)</f>
        <v>2.132142857142857</v>
      </c>
      <c r="U1523" s="50">
        <v>12</v>
      </c>
      <c r="V1523" s="53">
        <v>0</v>
      </c>
      <c r="W1523" s="147">
        <v>1</v>
      </c>
      <c r="X1523" s="148" t="s">
        <v>163</v>
      </c>
      <c r="Y1523" s="54">
        <f>R1523*W1523</f>
        <v>19.9</v>
      </c>
      <c r="Z1523" s="52">
        <f>S1523*W1523</f>
        <v>17.767857142857142</v>
      </c>
      <c r="AA1523" s="52">
        <f>T1523*W1523</f>
        <v>2.132142857142857</v>
      </c>
      <c r="AB1523" s="52">
        <f>V1523*W1523</f>
        <v>0</v>
      </c>
      <c r="AC1523" s="53">
        <f>(R1523+V1523)*W1523</f>
        <v>19.9</v>
      </c>
      <c r="AD1523" s="138">
        <v>19.9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107</v>
      </c>
      <c r="F1524" s="96" t="s">
        <v>106</v>
      </c>
      <c r="G1524" s="97">
        <v>46132</v>
      </c>
      <c r="H1524" s="98">
        <v>0.5611342592592593</v>
      </c>
      <c r="I1524" s="50">
        <v>166004744</v>
      </c>
      <c r="J1524" s="96" t="s">
        <v>157</v>
      </c>
      <c r="K1524" s="49" t="s">
        <v>2634</v>
      </c>
      <c r="L1524" s="39" t="s">
        <v>2635</v>
      </c>
      <c r="M1524" s="49" t="s">
        <v>243</v>
      </c>
      <c r="N1524" s="39" t="s">
        <v>1467</v>
      </c>
      <c r="O1524" s="96" t="s">
        <v>2636</v>
      </c>
      <c r="P1524" s="49" t="s">
        <v>157</v>
      </c>
      <c r="Q1524" s="96" t="s">
        <v>104</v>
      </c>
      <c r="R1524" s="52">
        <v>27.9</v>
      </c>
      <c r="S1524" s="52">
        <f>R1524-T1524</f>
        <v>24.910714285714285</v>
      </c>
      <c r="T1524" s="52">
        <f>R1524*U1524/(U1524+100)</f>
        <v>2.989285714285714</v>
      </c>
      <c r="U1524" s="50">
        <v>12</v>
      </c>
      <c r="V1524" s="53">
        <v>0</v>
      </c>
      <c r="W1524" s="147">
        <v>1</v>
      </c>
      <c r="X1524" s="148" t="s">
        <v>163</v>
      </c>
      <c r="Y1524" s="54">
        <f>R1524*W1524</f>
        <v>27.9</v>
      </c>
      <c r="Z1524" s="52">
        <f>S1524*W1524</f>
        <v>24.910714285714285</v>
      </c>
      <c r="AA1524" s="52">
        <f>T1524*W1524</f>
        <v>2.989285714285714</v>
      </c>
      <c r="AB1524" s="52">
        <f>V1524*W1524</f>
        <v>0</v>
      </c>
      <c r="AC1524" s="53">
        <f>(R1524+V1524)*W1524</f>
        <v>27.9</v>
      </c>
      <c r="AD1524" s="138">
        <v>27.9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107</v>
      </c>
      <c r="F1525" s="96" t="s">
        <v>106</v>
      </c>
      <c r="G1525" s="97">
        <v>46132</v>
      </c>
      <c r="H1525" s="98">
        <v>0.5632754629629629</v>
      </c>
      <c r="I1525" s="50">
        <v>166004745</v>
      </c>
      <c r="J1525" s="96" t="s">
        <v>157</v>
      </c>
      <c r="K1525" s="49" t="s">
        <v>2637</v>
      </c>
      <c r="L1525" s="39" t="s">
        <v>2638</v>
      </c>
      <c r="M1525" s="49" t="s">
        <v>2018</v>
      </c>
      <c r="N1525" s="39" t="s">
        <v>1949</v>
      </c>
      <c r="O1525" s="96" t="s">
        <v>2639</v>
      </c>
      <c r="P1525" s="49" t="s">
        <v>157</v>
      </c>
      <c r="Q1525" s="96" t="s">
        <v>104</v>
      </c>
      <c r="R1525" s="52">
        <v>16.9</v>
      </c>
      <c r="S1525" s="52">
        <f>R1525-T1525</f>
        <v>15.089285714285714</v>
      </c>
      <c r="T1525" s="52">
        <f>R1525*U1525/(U1525+100)</f>
        <v>1.8107142857142855</v>
      </c>
      <c r="U1525" s="50">
        <v>12</v>
      </c>
      <c r="V1525" s="53">
        <v>0</v>
      </c>
      <c r="W1525" s="147">
        <v>1</v>
      </c>
      <c r="X1525" s="148" t="s">
        <v>163</v>
      </c>
      <c r="Y1525" s="54">
        <f>R1525*W1525</f>
        <v>16.9</v>
      </c>
      <c r="Z1525" s="52">
        <f>S1525*W1525</f>
        <v>15.089285714285714</v>
      </c>
      <c r="AA1525" s="52">
        <f>T1525*W1525</f>
        <v>1.8107142857142855</v>
      </c>
      <c r="AB1525" s="52">
        <f>V1525*W1525</f>
        <v>0</v>
      </c>
      <c r="AC1525" s="53">
        <f>(R1525+V1525)*W1525</f>
        <v>16.9</v>
      </c>
      <c r="AD1525" s="138">
        <v>16.9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107</v>
      </c>
      <c r="F1526" s="96" t="s">
        <v>106</v>
      </c>
      <c r="G1526" s="97">
        <v>46132</v>
      </c>
      <c r="H1526" s="98">
        <v>0.5632754629629629</v>
      </c>
      <c r="I1526" s="50">
        <v>166004745</v>
      </c>
      <c r="J1526" s="96" t="s">
        <v>157</v>
      </c>
      <c r="K1526" s="49" t="s">
        <v>2640</v>
      </c>
      <c r="L1526" s="39" t="s">
        <v>2641</v>
      </c>
      <c r="M1526" s="49" t="s">
        <v>341</v>
      </c>
      <c r="N1526" s="39" t="s">
        <v>2169</v>
      </c>
      <c r="O1526" s="96" t="s">
        <v>2642</v>
      </c>
      <c r="P1526" s="49" t="s">
        <v>157</v>
      </c>
      <c r="Q1526" s="96" t="s">
        <v>104</v>
      </c>
      <c r="R1526" s="52">
        <v>42.9</v>
      </c>
      <c r="S1526" s="52">
        <f>R1526-T1526</f>
        <v>38.30357142857143</v>
      </c>
      <c r="T1526" s="52">
        <f>R1526*U1526/(U1526+100)</f>
        <v>4.596428571428571</v>
      </c>
      <c r="U1526" s="50">
        <v>12</v>
      </c>
      <c r="V1526" s="53">
        <v>0</v>
      </c>
      <c r="W1526" s="147">
        <v>1</v>
      </c>
      <c r="X1526" s="148" t="s">
        <v>163</v>
      </c>
      <c r="Y1526" s="54">
        <f>R1526*W1526</f>
        <v>42.9</v>
      </c>
      <c r="Z1526" s="52">
        <f>S1526*W1526</f>
        <v>38.30357142857143</v>
      </c>
      <c r="AA1526" s="52">
        <f>T1526*W1526</f>
        <v>4.596428571428571</v>
      </c>
      <c r="AB1526" s="52">
        <f>V1526*W1526</f>
        <v>0</v>
      </c>
      <c r="AC1526" s="53">
        <f>(R1526+V1526)*W1526</f>
        <v>42.9</v>
      </c>
      <c r="AD1526" s="138">
        <v>42.9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107</v>
      </c>
      <c r="F1527" s="96" t="s">
        <v>106</v>
      </c>
      <c r="G1527" s="97">
        <v>46132</v>
      </c>
      <c r="H1527" s="98">
        <v>0.5645949074074074</v>
      </c>
      <c r="I1527" s="50">
        <v>166004746</v>
      </c>
      <c r="J1527" s="96" t="s">
        <v>157</v>
      </c>
      <c r="K1527" s="49" t="s">
        <v>2643</v>
      </c>
      <c r="L1527" s="39" t="s">
        <v>2644</v>
      </c>
      <c r="M1527" s="49" t="s">
        <v>1381</v>
      </c>
      <c r="N1527" s="39" t="s">
        <v>1382</v>
      </c>
      <c r="O1527" s="96" t="s">
        <v>2645</v>
      </c>
      <c r="P1527" s="49" t="s">
        <v>157</v>
      </c>
      <c r="Q1527" s="96" t="s">
        <v>104</v>
      </c>
      <c r="R1527" s="52">
        <v>62.9</v>
      </c>
      <c r="S1527" s="52">
        <f>R1527-T1527</f>
        <v>56.160714285714285</v>
      </c>
      <c r="T1527" s="52">
        <f>R1527*U1527/(U1527+100)</f>
        <v>6.739285714285714</v>
      </c>
      <c r="U1527" s="50">
        <v>12</v>
      </c>
      <c r="V1527" s="53">
        <v>0</v>
      </c>
      <c r="W1527" s="147">
        <v>1</v>
      </c>
      <c r="X1527" s="148" t="s">
        <v>163</v>
      </c>
      <c r="Y1527" s="54">
        <f>R1527*W1527</f>
        <v>62.9</v>
      </c>
      <c r="Z1527" s="52">
        <f>S1527*W1527</f>
        <v>56.160714285714285</v>
      </c>
      <c r="AA1527" s="52">
        <f>T1527*W1527</f>
        <v>6.739285714285714</v>
      </c>
      <c r="AB1527" s="52">
        <f>V1527*W1527</f>
        <v>0</v>
      </c>
      <c r="AC1527" s="53">
        <f>(R1527+V1527)*W1527</f>
        <v>62.9</v>
      </c>
      <c r="AD1527" s="138">
        <v>62.9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107</v>
      </c>
      <c r="F1528" s="96" t="s">
        <v>106</v>
      </c>
      <c r="G1528" s="97">
        <v>46132</v>
      </c>
      <c r="H1528" s="98">
        <v>0.5645949074074074</v>
      </c>
      <c r="I1528" s="50">
        <v>166004746</v>
      </c>
      <c r="J1528" s="96" t="s">
        <v>157</v>
      </c>
      <c r="K1528" s="49" t="s">
        <v>507</v>
      </c>
      <c r="L1528" s="39" t="s">
        <v>508</v>
      </c>
      <c r="M1528" s="49" t="s">
        <v>509</v>
      </c>
      <c r="N1528" s="39" t="s">
        <v>256</v>
      </c>
      <c r="O1528" s="96" t="s">
        <v>1024</v>
      </c>
      <c r="P1528" s="49" t="s">
        <v>235</v>
      </c>
      <c r="Q1528" s="96" t="s">
        <v>236</v>
      </c>
      <c r="R1528" s="52">
        <v>15.9</v>
      </c>
      <c r="S1528" s="52">
        <f>R1528-T1528</f>
        <v>13.140495867768596</v>
      </c>
      <c r="T1528" s="52">
        <f>R1528*U1528/(U1528+100)</f>
        <v>2.759504132231405</v>
      </c>
      <c r="U1528" s="50">
        <v>21</v>
      </c>
      <c r="V1528" s="53">
        <v>0</v>
      </c>
      <c r="W1528" s="147">
        <v>6</v>
      </c>
      <c r="X1528" s="148" t="s">
        <v>163</v>
      </c>
      <c r="Y1528" s="54">
        <f>R1528*W1528</f>
        <v>95.4</v>
      </c>
      <c r="Z1528" s="52">
        <f>S1528*W1528</f>
        <v>78.84297520661158</v>
      </c>
      <c r="AA1528" s="52">
        <f>T1528*W1528</f>
        <v>16.55702479338843</v>
      </c>
      <c r="AB1528" s="52">
        <f>V1528*W1528</f>
        <v>0</v>
      </c>
      <c r="AC1528" s="53">
        <f>(R1528+V1528)*W1528</f>
        <v>95.4</v>
      </c>
      <c r="AD1528" s="138">
        <v>15.9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107</v>
      </c>
      <c r="F1529" s="96" t="s">
        <v>106</v>
      </c>
      <c r="G1529" s="97">
        <v>46132</v>
      </c>
      <c r="H1529" s="98">
        <v>0.5645949074074074</v>
      </c>
      <c r="I1529" s="50">
        <v>166004746</v>
      </c>
      <c r="J1529" s="96" t="s">
        <v>157</v>
      </c>
      <c r="K1529" s="49" t="s">
        <v>655</v>
      </c>
      <c r="L1529" s="39" t="s">
        <v>656</v>
      </c>
      <c r="M1529" s="49" t="s">
        <v>190</v>
      </c>
      <c r="N1529" s="39" t="s">
        <v>532</v>
      </c>
      <c r="O1529" s="96" t="s">
        <v>657</v>
      </c>
      <c r="P1529" s="49" t="s">
        <v>157</v>
      </c>
      <c r="Q1529" s="96" t="s">
        <v>104</v>
      </c>
      <c r="R1529" s="52">
        <v>25.13</v>
      </c>
      <c r="S1529" s="52">
        <f>R1529-T1529</f>
        <v>22.4375</v>
      </c>
      <c r="T1529" s="52">
        <f>R1529*U1529/(U1529+100)</f>
        <v>2.6925</v>
      </c>
      <c r="U1529" s="50">
        <v>12</v>
      </c>
      <c r="V1529" s="53">
        <v>0</v>
      </c>
      <c r="W1529" s="147">
        <v>1.138</v>
      </c>
      <c r="X1529" s="148" t="s">
        <v>193</v>
      </c>
      <c r="Y1529" s="54">
        <f>R1529*W1529</f>
        <v>28.597939999999998</v>
      </c>
      <c r="Z1529" s="52">
        <f>S1529*W1529</f>
        <v>25.533875</v>
      </c>
      <c r="AA1529" s="52">
        <f>T1529*W1529</f>
        <v>3.064065</v>
      </c>
      <c r="AB1529" s="52">
        <f>V1529*W1529</f>
        <v>0</v>
      </c>
      <c r="AC1529" s="53">
        <f>(R1529+V1529)*W1529</f>
        <v>28.597939999999998</v>
      </c>
      <c r="AD1529" s="138">
        <v>25.13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107</v>
      </c>
      <c r="F1530" s="96" t="s">
        <v>106</v>
      </c>
      <c r="G1530" s="97">
        <v>46132</v>
      </c>
      <c r="H1530" s="98">
        <v>0.5645949074074074</v>
      </c>
      <c r="I1530" s="50">
        <v>166004746</v>
      </c>
      <c r="J1530" s="96" t="s">
        <v>157</v>
      </c>
      <c r="K1530" s="49" t="s">
        <v>1531</v>
      </c>
      <c r="L1530" s="39"/>
      <c r="M1530" s="49" t="s">
        <v>295</v>
      </c>
      <c r="N1530" s="39" t="s">
        <v>433</v>
      </c>
      <c r="O1530" s="96" t="s">
        <v>1532</v>
      </c>
      <c r="P1530" s="49" t="s">
        <v>235</v>
      </c>
      <c r="Q1530" s="96" t="s">
        <v>1533</v>
      </c>
      <c r="R1530" s="52">
        <v>19.9</v>
      </c>
      <c r="S1530" s="52">
        <f>R1530-T1530</f>
        <v>17.767857142857142</v>
      </c>
      <c r="T1530" s="52">
        <f>R1530*U1530/(U1530+100)</f>
        <v>2.132142857142857</v>
      </c>
      <c r="U1530" s="50">
        <v>12</v>
      </c>
      <c r="V1530" s="53">
        <v>0</v>
      </c>
      <c r="W1530" s="147">
        <v>1</v>
      </c>
      <c r="X1530" s="148" t="s">
        <v>945</v>
      </c>
      <c r="Y1530" s="54">
        <f>R1530*W1530</f>
        <v>19.9</v>
      </c>
      <c r="Z1530" s="52">
        <f>S1530*W1530</f>
        <v>17.767857142857142</v>
      </c>
      <c r="AA1530" s="52">
        <f>T1530*W1530</f>
        <v>2.132142857142857</v>
      </c>
      <c r="AB1530" s="52">
        <f>V1530*W1530</f>
        <v>0</v>
      </c>
      <c r="AC1530" s="53">
        <f>(R1530+V1530)*W1530</f>
        <v>19.9</v>
      </c>
      <c r="AD1530" s="138">
        <v>19.9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107</v>
      </c>
      <c r="F1531" s="96" t="s">
        <v>106</v>
      </c>
      <c r="G1531" s="97">
        <v>46132</v>
      </c>
      <c r="H1531" s="98">
        <v>0.5648032407407407</v>
      </c>
      <c r="I1531" s="50">
        <v>166004747</v>
      </c>
      <c r="J1531" s="96" t="s">
        <v>157</v>
      </c>
      <c r="K1531" s="49" t="s">
        <v>1343</v>
      </c>
      <c r="L1531" s="39" t="s">
        <v>1344</v>
      </c>
      <c r="M1531" s="49" t="s">
        <v>522</v>
      </c>
      <c r="N1531" s="39" t="s">
        <v>440</v>
      </c>
      <c r="O1531" s="96" t="s">
        <v>1345</v>
      </c>
      <c r="P1531" s="49" t="s">
        <v>157</v>
      </c>
      <c r="Q1531" s="96" t="s">
        <v>104</v>
      </c>
      <c r="R1531" s="52">
        <v>199.9</v>
      </c>
      <c r="S1531" s="52">
        <f>R1531-T1531</f>
        <v>178.48214285714286</v>
      </c>
      <c r="T1531" s="52">
        <f>R1531*U1531/(U1531+100)</f>
        <v>21.417857142857144</v>
      </c>
      <c r="U1531" s="50">
        <v>12</v>
      </c>
      <c r="V1531" s="53">
        <v>0</v>
      </c>
      <c r="W1531" s="147">
        <v>0.112</v>
      </c>
      <c r="X1531" s="148" t="s">
        <v>193</v>
      </c>
      <c r="Y1531" s="54">
        <f>R1531*W1531</f>
        <v>22.3888</v>
      </c>
      <c r="Z1531" s="52">
        <f>S1531*W1531</f>
        <v>19.990000000000002</v>
      </c>
      <c r="AA1531" s="52">
        <f>T1531*W1531</f>
        <v>2.3988</v>
      </c>
      <c r="AB1531" s="52">
        <f>V1531*W1531</f>
        <v>0</v>
      </c>
      <c r="AC1531" s="53">
        <f>(R1531+V1531)*W1531</f>
        <v>22.3888</v>
      </c>
      <c r="AD1531" s="138">
        <v>199.9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107</v>
      </c>
      <c r="F1532" s="96" t="s">
        <v>106</v>
      </c>
      <c r="G1532" s="97">
        <v>46132</v>
      </c>
      <c r="H1532" s="98">
        <v>0.5648032407407407</v>
      </c>
      <c r="I1532" s="50">
        <v>166004747</v>
      </c>
      <c r="J1532" s="96" t="s">
        <v>157</v>
      </c>
      <c r="K1532" s="49" t="s">
        <v>942</v>
      </c>
      <c r="L1532" s="39"/>
      <c r="M1532" s="49" t="s">
        <v>295</v>
      </c>
      <c r="N1532" s="39" t="s">
        <v>433</v>
      </c>
      <c r="O1532" s="96" t="s">
        <v>1332</v>
      </c>
      <c r="P1532" s="49" t="s">
        <v>235</v>
      </c>
      <c r="Q1532" s="96" t="s">
        <v>944</v>
      </c>
      <c r="R1532" s="52">
        <v>9.9</v>
      </c>
      <c r="S1532" s="52">
        <f>R1532-T1532</f>
        <v>8.839285714285715</v>
      </c>
      <c r="T1532" s="52">
        <f>R1532*U1532/(U1532+100)</f>
        <v>1.0607142857142857</v>
      </c>
      <c r="U1532" s="50">
        <v>12</v>
      </c>
      <c r="V1532" s="53">
        <v>0</v>
      </c>
      <c r="W1532" s="147">
        <v>1</v>
      </c>
      <c r="X1532" s="148" t="s">
        <v>945</v>
      </c>
      <c r="Y1532" s="54">
        <f>R1532*W1532</f>
        <v>9.9</v>
      </c>
      <c r="Z1532" s="52">
        <f>S1532*W1532</f>
        <v>8.839285714285715</v>
      </c>
      <c r="AA1532" s="52">
        <f>T1532*W1532</f>
        <v>1.0607142857142857</v>
      </c>
      <c r="AB1532" s="52">
        <f>V1532*W1532</f>
        <v>0</v>
      </c>
      <c r="AC1532" s="53">
        <f>(R1532+V1532)*W1532</f>
        <v>9.9</v>
      </c>
      <c r="AD1532" s="138">
        <v>9.9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107</v>
      </c>
      <c r="F1533" s="96" t="s">
        <v>106</v>
      </c>
      <c r="G1533" s="97">
        <v>46132</v>
      </c>
      <c r="H1533" s="98">
        <v>0.5669328703703703</v>
      </c>
      <c r="I1533" s="50">
        <v>166004748</v>
      </c>
      <c r="J1533" s="96" t="s">
        <v>157</v>
      </c>
      <c r="K1533" s="49" t="s">
        <v>1275</v>
      </c>
      <c r="L1533" s="39" t="s">
        <v>1276</v>
      </c>
      <c r="M1533" s="49" t="s">
        <v>214</v>
      </c>
      <c r="N1533" s="39" t="s">
        <v>501</v>
      </c>
      <c r="O1533" s="96" t="s">
        <v>1277</v>
      </c>
      <c r="P1533" s="49" t="s">
        <v>157</v>
      </c>
      <c r="Q1533" s="96" t="s">
        <v>104</v>
      </c>
      <c r="R1533" s="52">
        <v>13.9</v>
      </c>
      <c r="S1533" s="52">
        <f>R1533-T1533</f>
        <v>12.410714285714286</v>
      </c>
      <c r="T1533" s="52">
        <f>R1533*U1533/(U1533+100)</f>
        <v>1.4892857142857143</v>
      </c>
      <c r="U1533" s="50">
        <v>12</v>
      </c>
      <c r="V1533" s="53">
        <v>0</v>
      </c>
      <c r="W1533" s="147">
        <v>1</v>
      </c>
      <c r="X1533" s="148" t="s">
        <v>163</v>
      </c>
      <c r="Y1533" s="54">
        <f>R1533*W1533</f>
        <v>13.9</v>
      </c>
      <c r="Z1533" s="52">
        <f>S1533*W1533</f>
        <v>12.410714285714286</v>
      </c>
      <c r="AA1533" s="52">
        <f>T1533*W1533</f>
        <v>1.4892857142857143</v>
      </c>
      <c r="AB1533" s="52">
        <f>V1533*W1533</f>
        <v>0</v>
      </c>
      <c r="AC1533" s="53">
        <f>(R1533+V1533)*W1533</f>
        <v>13.9</v>
      </c>
      <c r="AD1533" s="138">
        <v>13.9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107</v>
      </c>
      <c r="F1534" s="96" t="s">
        <v>106</v>
      </c>
      <c r="G1534" s="97">
        <v>46132</v>
      </c>
      <c r="H1534" s="98">
        <v>0.5669328703703703</v>
      </c>
      <c r="I1534" s="50">
        <v>166004748</v>
      </c>
      <c r="J1534" s="96" t="s">
        <v>157</v>
      </c>
      <c r="K1534" s="49" t="s">
        <v>188</v>
      </c>
      <c r="L1534" s="39" t="s">
        <v>189</v>
      </c>
      <c r="M1534" s="49" t="s">
        <v>190</v>
      </c>
      <c r="N1534" s="39" t="s">
        <v>191</v>
      </c>
      <c r="O1534" s="96" t="s">
        <v>192</v>
      </c>
      <c r="P1534" s="49" t="s">
        <v>157</v>
      </c>
      <c r="Q1534" s="96" t="s">
        <v>104</v>
      </c>
      <c r="R1534" s="52">
        <v>49.9</v>
      </c>
      <c r="S1534" s="52">
        <f>R1534-T1534</f>
        <v>44.55357142857143</v>
      </c>
      <c r="T1534" s="52">
        <f>R1534*U1534/(U1534+100)</f>
        <v>5.346428571428571</v>
      </c>
      <c r="U1534" s="50">
        <v>12</v>
      </c>
      <c r="V1534" s="53">
        <v>0</v>
      </c>
      <c r="W1534" s="147">
        <v>0.25</v>
      </c>
      <c r="X1534" s="148" t="s">
        <v>193</v>
      </c>
      <c r="Y1534" s="54">
        <f>R1534*W1534</f>
        <v>12.475</v>
      </c>
      <c r="Z1534" s="52">
        <f>S1534*W1534</f>
        <v>11.138392857142858</v>
      </c>
      <c r="AA1534" s="52">
        <f>T1534*W1534</f>
        <v>1.3366071428571427</v>
      </c>
      <c r="AB1534" s="52">
        <f>V1534*W1534</f>
        <v>0</v>
      </c>
      <c r="AC1534" s="53">
        <f>(R1534+V1534)*W1534</f>
        <v>12.475</v>
      </c>
      <c r="AD1534" s="138">
        <v>49.9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107</v>
      </c>
      <c r="F1535" s="96" t="s">
        <v>106</v>
      </c>
      <c r="G1535" s="97">
        <v>46132</v>
      </c>
      <c r="H1535" s="98">
        <v>0.5669328703703703</v>
      </c>
      <c r="I1535" s="50">
        <v>166004748</v>
      </c>
      <c r="J1535" s="96" t="s">
        <v>157</v>
      </c>
      <c r="K1535" s="49" t="s">
        <v>188</v>
      </c>
      <c r="L1535" s="39" t="s">
        <v>189</v>
      </c>
      <c r="M1535" s="49" t="s">
        <v>190</v>
      </c>
      <c r="N1535" s="39" t="s">
        <v>191</v>
      </c>
      <c r="O1535" s="96" t="s">
        <v>192</v>
      </c>
      <c r="P1535" s="49" t="s">
        <v>157</v>
      </c>
      <c r="Q1535" s="96" t="s">
        <v>104</v>
      </c>
      <c r="R1535" s="52">
        <v>49.9</v>
      </c>
      <c r="S1535" s="52">
        <f>R1535-T1535</f>
        <v>44.55357142857143</v>
      </c>
      <c r="T1535" s="52">
        <f>R1535*U1535/(U1535+100)</f>
        <v>5.346428571428571</v>
      </c>
      <c r="U1535" s="50">
        <v>12</v>
      </c>
      <c r="V1535" s="53">
        <v>0</v>
      </c>
      <c r="W1535" s="147">
        <v>0.27</v>
      </c>
      <c r="X1535" s="148" t="s">
        <v>193</v>
      </c>
      <c r="Y1535" s="54">
        <f>R1535*W1535</f>
        <v>13.473</v>
      </c>
      <c r="Z1535" s="52">
        <f>S1535*W1535</f>
        <v>12.029464285714287</v>
      </c>
      <c r="AA1535" s="52">
        <f>T1535*W1535</f>
        <v>1.4435357142857141</v>
      </c>
      <c r="AB1535" s="52">
        <f>V1535*W1535</f>
        <v>0</v>
      </c>
      <c r="AC1535" s="53">
        <f>(R1535+V1535)*W1535</f>
        <v>13.473</v>
      </c>
      <c r="AD1535" s="138">
        <v>49.9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107</v>
      </c>
      <c r="F1536" s="96" t="s">
        <v>106</v>
      </c>
      <c r="G1536" s="97">
        <v>46132</v>
      </c>
      <c r="H1536" s="98">
        <v>0.5669328703703703</v>
      </c>
      <c r="I1536" s="50">
        <v>166004748</v>
      </c>
      <c r="J1536" s="96" t="s">
        <v>157</v>
      </c>
      <c r="K1536" s="49" t="s">
        <v>303</v>
      </c>
      <c r="L1536" s="39" t="s">
        <v>304</v>
      </c>
      <c r="M1536" s="49" t="s">
        <v>214</v>
      </c>
      <c r="N1536" s="39" t="s">
        <v>296</v>
      </c>
      <c r="O1536" s="96" t="s">
        <v>305</v>
      </c>
      <c r="P1536" s="49" t="s">
        <v>157</v>
      </c>
      <c r="Q1536" s="96" t="s">
        <v>104</v>
      </c>
      <c r="R1536" s="52">
        <v>11.9</v>
      </c>
      <c r="S1536" s="52">
        <f>R1536-T1536</f>
        <v>10.625</v>
      </c>
      <c r="T1536" s="52">
        <f>R1536*U1536/(U1536+100)</f>
        <v>1.2750000000000001</v>
      </c>
      <c r="U1536" s="50">
        <v>12</v>
      </c>
      <c r="V1536" s="53">
        <v>0</v>
      </c>
      <c r="W1536" s="147">
        <v>1</v>
      </c>
      <c r="X1536" s="148" t="s">
        <v>163</v>
      </c>
      <c r="Y1536" s="54">
        <f>R1536*W1536</f>
        <v>11.9</v>
      </c>
      <c r="Z1536" s="52">
        <f>S1536*W1536</f>
        <v>10.625</v>
      </c>
      <c r="AA1536" s="52">
        <f>T1536*W1536</f>
        <v>1.2750000000000001</v>
      </c>
      <c r="AB1536" s="52">
        <f>V1536*W1536</f>
        <v>0</v>
      </c>
      <c r="AC1536" s="53">
        <f>(R1536+V1536)*W1536</f>
        <v>11.9</v>
      </c>
      <c r="AD1536" s="138">
        <v>11.9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107</v>
      </c>
      <c r="F1537" s="96" t="s">
        <v>106</v>
      </c>
      <c r="G1537" s="97">
        <v>46132</v>
      </c>
      <c r="H1537" s="98">
        <v>0.5676388888888889</v>
      </c>
      <c r="I1537" s="50">
        <v>166004749</v>
      </c>
      <c r="J1537" s="96" t="s">
        <v>157</v>
      </c>
      <c r="K1537" s="49" t="s">
        <v>946</v>
      </c>
      <c r="L1537" s="39" t="s">
        <v>947</v>
      </c>
      <c r="M1537" s="49" t="s">
        <v>318</v>
      </c>
      <c r="N1537" s="39" t="s">
        <v>319</v>
      </c>
      <c r="O1537" s="96" t="s">
        <v>1512</v>
      </c>
      <c r="P1537" s="49" t="s">
        <v>235</v>
      </c>
      <c r="Q1537" s="96" t="s">
        <v>236</v>
      </c>
      <c r="R1537" s="52">
        <v>16.9</v>
      </c>
      <c r="S1537" s="52">
        <f>R1537-T1537</f>
        <v>15.089285714285714</v>
      </c>
      <c r="T1537" s="52">
        <f>R1537*U1537/(U1537+100)</f>
        <v>1.8107142857142855</v>
      </c>
      <c r="U1537" s="50">
        <v>12</v>
      </c>
      <c r="V1537" s="53">
        <v>0</v>
      </c>
      <c r="W1537" s="147">
        <v>1</v>
      </c>
      <c r="X1537" s="148" t="s">
        <v>163</v>
      </c>
      <c r="Y1537" s="54">
        <f>R1537*W1537</f>
        <v>16.9</v>
      </c>
      <c r="Z1537" s="52">
        <f>S1537*W1537</f>
        <v>15.089285714285714</v>
      </c>
      <c r="AA1537" s="52">
        <f>T1537*W1537</f>
        <v>1.8107142857142855</v>
      </c>
      <c r="AB1537" s="52">
        <f>V1537*W1537</f>
        <v>0</v>
      </c>
      <c r="AC1537" s="53">
        <f>(R1537+V1537)*W1537</f>
        <v>16.9</v>
      </c>
      <c r="AD1537" s="138">
        <v>16.9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107</v>
      </c>
      <c r="F1538" s="96" t="s">
        <v>106</v>
      </c>
      <c r="G1538" s="97">
        <v>46132</v>
      </c>
      <c r="H1538" s="98">
        <v>0.5676388888888889</v>
      </c>
      <c r="I1538" s="50">
        <v>166004749</v>
      </c>
      <c r="J1538" s="96" t="s">
        <v>157</v>
      </c>
      <c r="K1538" s="49" t="s">
        <v>2583</v>
      </c>
      <c r="L1538" s="39" t="s">
        <v>2584</v>
      </c>
      <c r="M1538" s="49" t="s">
        <v>1428</v>
      </c>
      <c r="N1538" s="39" t="s">
        <v>609</v>
      </c>
      <c r="O1538" s="96" t="s">
        <v>2585</v>
      </c>
      <c r="P1538" s="49" t="s">
        <v>157</v>
      </c>
      <c r="Q1538" s="96" t="s">
        <v>104</v>
      </c>
      <c r="R1538" s="52">
        <v>13.9</v>
      </c>
      <c r="S1538" s="52">
        <f>R1538-T1538</f>
        <v>12.410714285714286</v>
      </c>
      <c r="T1538" s="52">
        <f>R1538*U1538/(U1538+100)</f>
        <v>1.4892857142857143</v>
      </c>
      <c r="U1538" s="50">
        <v>12</v>
      </c>
      <c r="V1538" s="53">
        <v>0</v>
      </c>
      <c r="W1538" s="147">
        <v>1</v>
      </c>
      <c r="X1538" s="148" t="s">
        <v>163</v>
      </c>
      <c r="Y1538" s="54">
        <f>R1538*W1538</f>
        <v>13.9</v>
      </c>
      <c r="Z1538" s="52">
        <f>S1538*W1538</f>
        <v>12.410714285714286</v>
      </c>
      <c r="AA1538" s="52">
        <f>T1538*W1538</f>
        <v>1.4892857142857143</v>
      </c>
      <c r="AB1538" s="52">
        <f>V1538*W1538</f>
        <v>0</v>
      </c>
      <c r="AC1538" s="53">
        <f>(R1538+V1538)*W1538</f>
        <v>13.9</v>
      </c>
      <c r="AD1538" s="138">
        <v>13.9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107</v>
      </c>
      <c r="F1539" s="96" t="s">
        <v>106</v>
      </c>
      <c r="G1539" s="97">
        <v>46132</v>
      </c>
      <c r="H1539" s="98">
        <v>0.5676388888888889</v>
      </c>
      <c r="I1539" s="50">
        <v>166004749</v>
      </c>
      <c r="J1539" s="96" t="s">
        <v>157</v>
      </c>
      <c r="K1539" s="49" t="s">
        <v>2589</v>
      </c>
      <c r="L1539" s="39" t="s">
        <v>2590</v>
      </c>
      <c r="M1539" s="49" t="s">
        <v>1428</v>
      </c>
      <c r="N1539" s="39" t="s">
        <v>609</v>
      </c>
      <c r="O1539" s="96" t="s">
        <v>2591</v>
      </c>
      <c r="P1539" s="49" t="s">
        <v>157</v>
      </c>
      <c r="Q1539" s="96" t="s">
        <v>104</v>
      </c>
      <c r="R1539" s="52">
        <v>13.9</v>
      </c>
      <c r="S1539" s="52">
        <f>R1539-T1539</f>
        <v>12.410714285714286</v>
      </c>
      <c r="T1539" s="52">
        <f>R1539*U1539/(U1539+100)</f>
        <v>1.4892857142857143</v>
      </c>
      <c r="U1539" s="50">
        <v>12</v>
      </c>
      <c r="V1539" s="53">
        <v>0</v>
      </c>
      <c r="W1539" s="147">
        <v>1</v>
      </c>
      <c r="X1539" s="148" t="s">
        <v>163</v>
      </c>
      <c r="Y1539" s="54">
        <f>R1539*W1539</f>
        <v>13.9</v>
      </c>
      <c r="Z1539" s="52">
        <f>S1539*W1539</f>
        <v>12.410714285714286</v>
      </c>
      <c r="AA1539" s="52">
        <f>T1539*W1539</f>
        <v>1.4892857142857143</v>
      </c>
      <c r="AB1539" s="52">
        <f>V1539*W1539</f>
        <v>0</v>
      </c>
      <c r="AC1539" s="53">
        <f>(R1539+V1539)*W1539</f>
        <v>13.9</v>
      </c>
      <c r="AD1539" s="138">
        <v>13.9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107</v>
      </c>
      <c r="F1540" s="96" t="s">
        <v>106</v>
      </c>
      <c r="G1540" s="97">
        <v>46132</v>
      </c>
      <c r="H1540" s="98">
        <v>0.5676388888888889</v>
      </c>
      <c r="I1540" s="50">
        <v>166004749</v>
      </c>
      <c r="J1540" s="96" t="s">
        <v>157</v>
      </c>
      <c r="K1540" s="49" t="s">
        <v>2646</v>
      </c>
      <c r="L1540" s="39" t="s">
        <v>2647</v>
      </c>
      <c r="M1540" s="49" t="s">
        <v>823</v>
      </c>
      <c r="N1540" s="39" t="s">
        <v>1890</v>
      </c>
      <c r="O1540" s="96" t="s">
        <v>2648</v>
      </c>
      <c r="P1540" s="49" t="s">
        <v>157</v>
      </c>
      <c r="Q1540" s="96" t="s">
        <v>104</v>
      </c>
      <c r="R1540" s="52">
        <v>19.9</v>
      </c>
      <c r="S1540" s="52">
        <f>R1540-T1540</f>
        <v>17.767857142857142</v>
      </c>
      <c r="T1540" s="52">
        <f>R1540*U1540/(U1540+100)</f>
        <v>2.132142857142857</v>
      </c>
      <c r="U1540" s="50">
        <v>12</v>
      </c>
      <c r="V1540" s="53">
        <v>0</v>
      </c>
      <c r="W1540" s="147">
        <v>1</v>
      </c>
      <c r="X1540" s="148" t="s">
        <v>163</v>
      </c>
      <c r="Y1540" s="54">
        <f>R1540*W1540</f>
        <v>19.9</v>
      </c>
      <c r="Z1540" s="52">
        <f>S1540*W1540</f>
        <v>17.767857142857142</v>
      </c>
      <c r="AA1540" s="52">
        <f>T1540*W1540</f>
        <v>2.132142857142857</v>
      </c>
      <c r="AB1540" s="52">
        <f>V1540*W1540</f>
        <v>0</v>
      </c>
      <c r="AC1540" s="53">
        <f>(R1540+V1540)*W1540</f>
        <v>19.9</v>
      </c>
      <c r="AD1540" s="138">
        <v>19.9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107</v>
      </c>
      <c r="F1541" s="96" t="s">
        <v>106</v>
      </c>
      <c r="G1541" s="97">
        <v>46132</v>
      </c>
      <c r="H1541" s="98">
        <v>0.5676388888888889</v>
      </c>
      <c r="I1541" s="50">
        <v>166004749</v>
      </c>
      <c r="J1541" s="96" t="s">
        <v>157</v>
      </c>
      <c r="K1541" s="49" t="s">
        <v>329</v>
      </c>
      <c r="L1541" s="39" t="s">
        <v>330</v>
      </c>
      <c r="M1541" s="49" t="s">
        <v>185</v>
      </c>
      <c r="N1541" s="39" t="s">
        <v>331</v>
      </c>
      <c r="O1541" s="96" t="s">
        <v>1640</v>
      </c>
      <c r="P1541" s="49" t="s">
        <v>157</v>
      </c>
      <c r="Q1541" s="96" t="s">
        <v>104</v>
      </c>
      <c r="R1541" s="52">
        <v>49.9</v>
      </c>
      <c r="S1541" s="52">
        <f>R1541-T1541</f>
        <v>44.55357142857143</v>
      </c>
      <c r="T1541" s="52">
        <f>R1541*U1541/(U1541+100)</f>
        <v>5.346428571428571</v>
      </c>
      <c r="U1541" s="50">
        <v>12</v>
      </c>
      <c r="V1541" s="53">
        <v>0</v>
      </c>
      <c r="W1541" s="147">
        <v>1</v>
      </c>
      <c r="X1541" s="148" t="s">
        <v>163</v>
      </c>
      <c r="Y1541" s="54">
        <f>R1541*W1541</f>
        <v>49.9</v>
      </c>
      <c r="Z1541" s="52">
        <f>S1541*W1541</f>
        <v>44.55357142857143</v>
      </c>
      <c r="AA1541" s="52">
        <f>T1541*W1541</f>
        <v>5.346428571428571</v>
      </c>
      <c r="AB1541" s="52">
        <f>V1541*W1541</f>
        <v>0</v>
      </c>
      <c r="AC1541" s="53">
        <f>(R1541+V1541)*W1541</f>
        <v>49.9</v>
      </c>
      <c r="AD1541" s="138">
        <v>49.9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107</v>
      </c>
      <c r="F1542" s="96" t="s">
        <v>106</v>
      </c>
      <c r="G1542" s="97">
        <v>46132</v>
      </c>
      <c r="H1542" s="98">
        <v>0.5676388888888889</v>
      </c>
      <c r="I1542" s="50">
        <v>166004749</v>
      </c>
      <c r="J1542" s="96" t="s">
        <v>157</v>
      </c>
      <c r="K1542" s="49" t="s">
        <v>1430</v>
      </c>
      <c r="L1542" s="39" t="s">
        <v>1431</v>
      </c>
      <c r="M1542" s="49" t="s">
        <v>232</v>
      </c>
      <c r="N1542" s="39" t="s">
        <v>233</v>
      </c>
      <c r="O1542" s="96" t="s">
        <v>1432</v>
      </c>
      <c r="P1542" s="49" t="s">
        <v>235</v>
      </c>
      <c r="Q1542" s="96" t="s">
        <v>236</v>
      </c>
      <c r="R1542" s="52">
        <v>24.9</v>
      </c>
      <c r="S1542" s="52">
        <f>R1542-T1542</f>
        <v>20.578512396694215</v>
      </c>
      <c r="T1542" s="52">
        <f>R1542*U1542/(U1542+100)</f>
        <v>4.321487603305785</v>
      </c>
      <c r="U1542" s="50">
        <v>21</v>
      </c>
      <c r="V1542" s="53">
        <v>0</v>
      </c>
      <c r="W1542" s="147">
        <v>1</v>
      </c>
      <c r="X1542" s="148" t="s">
        <v>163</v>
      </c>
      <c r="Y1542" s="54">
        <f>R1542*W1542</f>
        <v>24.9</v>
      </c>
      <c r="Z1542" s="52">
        <f>S1542*W1542</f>
        <v>20.578512396694215</v>
      </c>
      <c r="AA1542" s="52">
        <f>T1542*W1542</f>
        <v>4.321487603305785</v>
      </c>
      <c r="AB1542" s="52">
        <f>V1542*W1542</f>
        <v>0</v>
      </c>
      <c r="AC1542" s="53">
        <f>(R1542+V1542)*W1542</f>
        <v>24.9</v>
      </c>
      <c r="AD1542" s="138">
        <v>24.9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107</v>
      </c>
      <c r="F1543" s="96" t="s">
        <v>106</v>
      </c>
      <c r="G1543" s="97">
        <v>46132</v>
      </c>
      <c r="H1543" s="98">
        <v>0.5676388888888889</v>
      </c>
      <c r="I1543" s="50">
        <v>166004749</v>
      </c>
      <c r="J1543" s="96" t="s">
        <v>157</v>
      </c>
      <c r="K1543" s="49" t="s">
        <v>2649</v>
      </c>
      <c r="L1543" s="39" t="s">
        <v>2650</v>
      </c>
      <c r="M1543" s="49" t="s">
        <v>2651</v>
      </c>
      <c r="N1543" s="39" t="s">
        <v>731</v>
      </c>
      <c r="O1543" s="96" t="s">
        <v>2652</v>
      </c>
      <c r="P1543" s="49" t="s">
        <v>157</v>
      </c>
      <c r="Q1543" s="96" t="s">
        <v>104</v>
      </c>
      <c r="R1543" s="52">
        <v>167.9</v>
      </c>
      <c r="S1543" s="52">
        <f>R1543-T1543</f>
        <v>138.7603305785124</v>
      </c>
      <c r="T1543" s="52">
        <f>R1543*U1543/(U1543+100)</f>
        <v>29.139669421487604</v>
      </c>
      <c r="U1543" s="50">
        <v>21</v>
      </c>
      <c r="V1543" s="53">
        <v>0</v>
      </c>
      <c r="W1543" s="147">
        <v>1</v>
      </c>
      <c r="X1543" s="148" t="s">
        <v>163</v>
      </c>
      <c r="Y1543" s="54">
        <f>R1543*W1543</f>
        <v>167.9</v>
      </c>
      <c r="Z1543" s="52">
        <f>S1543*W1543</f>
        <v>138.7603305785124</v>
      </c>
      <c r="AA1543" s="52">
        <f>T1543*W1543</f>
        <v>29.139669421487604</v>
      </c>
      <c r="AB1543" s="52">
        <f>V1543*W1543</f>
        <v>0</v>
      </c>
      <c r="AC1543" s="53">
        <f>(R1543+V1543)*W1543</f>
        <v>167.9</v>
      </c>
      <c r="AD1543" s="138">
        <v>167.9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107</v>
      </c>
      <c r="F1544" s="96" t="s">
        <v>106</v>
      </c>
      <c r="G1544" s="97">
        <v>46132</v>
      </c>
      <c r="H1544" s="98">
        <v>0.5676388888888889</v>
      </c>
      <c r="I1544" s="50">
        <v>166004749</v>
      </c>
      <c r="J1544" s="96" t="s">
        <v>157</v>
      </c>
      <c r="K1544" s="49" t="s">
        <v>625</v>
      </c>
      <c r="L1544" s="39" t="s">
        <v>626</v>
      </c>
      <c r="M1544" s="49" t="s">
        <v>190</v>
      </c>
      <c r="N1544" s="39" t="s">
        <v>191</v>
      </c>
      <c r="O1544" s="96" t="s">
        <v>627</v>
      </c>
      <c r="P1544" s="49" t="s">
        <v>157</v>
      </c>
      <c r="Q1544" s="96" t="s">
        <v>104</v>
      </c>
      <c r="R1544" s="52">
        <v>134.9</v>
      </c>
      <c r="S1544" s="52">
        <f>R1544-T1544</f>
        <v>120.44642857142857</v>
      </c>
      <c r="T1544" s="52">
        <f>R1544*U1544/(U1544+100)</f>
        <v>14.453571428571431</v>
      </c>
      <c r="U1544" s="50">
        <v>12</v>
      </c>
      <c r="V1544" s="53">
        <v>0</v>
      </c>
      <c r="W1544" s="147">
        <v>0.374</v>
      </c>
      <c r="X1544" s="148" t="s">
        <v>193</v>
      </c>
      <c r="Y1544" s="54">
        <f>R1544*W1544</f>
        <v>50.452600000000004</v>
      </c>
      <c r="Z1544" s="52">
        <f>S1544*W1544</f>
        <v>45.04696428571428</v>
      </c>
      <c r="AA1544" s="52">
        <f>T1544*W1544</f>
        <v>5.405635714285715</v>
      </c>
      <c r="AB1544" s="52">
        <f>V1544*W1544</f>
        <v>0</v>
      </c>
      <c r="AC1544" s="53">
        <f>(R1544+V1544)*W1544</f>
        <v>50.452600000000004</v>
      </c>
      <c r="AD1544" s="138">
        <v>134.9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107</v>
      </c>
      <c r="F1545" s="96" t="s">
        <v>106</v>
      </c>
      <c r="G1545" s="97">
        <v>46132</v>
      </c>
      <c r="H1545" s="98">
        <v>0.5676388888888889</v>
      </c>
      <c r="I1545" s="50">
        <v>166004749</v>
      </c>
      <c r="J1545" s="96" t="s">
        <v>157</v>
      </c>
      <c r="K1545" s="49" t="s">
        <v>188</v>
      </c>
      <c r="L1545" s="39" t="s">
        <v>189</v>
      </c>
      <c r="M1545" s="49" t="s">
        <v>190</v>
      </c>
      <c r="N1545" s="39" t="s">
        <v>191</v>
      </c>
      <c r="O1545" s="96" t="s">
        <v>192</v>
      </c>
      <c r="P1545" s="49" t="s">
        <v>157</v>
      </c>
      <c r="Q1545" s="96" t="s">
        <v>104</v>
      </c>
      <c r="R1545" s="52">
        <v>49.9</v>
      </c>
      <c r="S1545" s="52">
        <f>R1545-T1545</f>
        <v>44.55357142857143</v>
      </c>
      <c r="T1545" s="52">
        <f>R1545*U1545/(U1545+100)</f>
        <v>5.346428571428571</v>
      </c>
      <c r="U1545" s="50">
        <v>12</v>
      </c>
      <c r="V1545" s="53">
        <v>0</v>
      </c>
      <c r="W1545" s="147">
        <v>0.292</v>
      </c>
      <c r="X1545" s="148" t="s">
        <v>193</v>
      </c>
      <c r="Y1545" s="54">
        <f>R1545*W1545</f>
        <v>14.570799999999998</v>
      </c>
      <c r="Z1545" s="52">
        <f>S1545*W1545</f>
        <v>13.009642857142858</v>
      </c>
      <c r="AA1545" s="52">
        <f>T1545*W1545</f>
        <v>1.5611571428571425</v>
      </c>
      <c r="AB1545" s="52">
        <f>V1545*W1545</f>
        <v>0</v>
      </c>
      <c r="AC1545" s="53">
        <f>(R1545+V1545)*W1545</f>
        <v>14.570799999999998</v>
      </c>
      <c r="AD1545" s="138">
        <v>49.9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107</v>
      </c>
      <c r="F1546" s="96" t="s">
        <v>106</v>
      </c>
      <c r="G1546" s="97">
        <v>46132</v>
      </c>
      <c r="H1546" s="98">
        <v>0.5676388888888889</v>
      </c>
      <c r="I1546" s="50">
        <v>166004749</v>
      </c>
      <c r="J1546" s="96" t="s">
        <v>157</v>
      </c>
      <c r="K1546" s="49" t="s">
        <v>1133</v>
      </c>
      <c r="L1546" s="39" t="s">
        <v>1134</v>
      </c>
      <c r="M1546" s="49" t="s">
        <v>649</v>
      </c>
      <c r="N1546" s="39" t="s">
        <v>440</v>
      </c>
      <c r="O1546" s="96" t="s">
        <v>1135</v>
      </c>
      <c r="P1546" s="49" t="s">
        <v>157</v>
      </c>
      <c r="Q1546" s="96" t="s">
        <v>104</v>
      </c>
      <c r="R1546" s="52">
        <v>179.9</v>
      </c>
      <c r="S1546" s="52">
        <f>R1546-T1546</f>
        <v>160.625</v>
      </c>
      <c r="T1546" s="52">
        <f>R1546*U1546/(U1546+100)</f>
        <v>19.275000000000002</v>
      </c>
      <c r="U1546" s="50">
        <v>12</v>
      </c>
      <c r="V1546" s="53">
        <v>0</v>
      </c>
      <c r="W1546" s="147">
        <v>0.104</v>
      </c>
      <c r="X1546" s="148" t="s">
        <v>193</v>
      </c>
      <c r="Y1546" s="54">
        <f>R1546*W1546</f>
        <v>18.7096</v>
      </c>
      <c r="Z1546" s="52">
        <f>S1546*W1546</f>
        <v>16.705</v>
      </c>
      <c r="AA1546" s="52">
        <f>T1546*W1546</f>
        <v>2.0046</v>
      </c>
      <c r="AB1546" s="52">
        <f>V1546*W1546</f>
        <v>0</v>
      </c>
      <c r="AC1546" s="53">
        <f>(R1546+V1546)*W1546</f>
        <v>18.7096</v>
      </c>
      <c r="AD1546" s="138">
        <v>179.9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107</v>
      </c>
      <c r="F1547" s="96" t="s">
        <v>106</v>
      </c>
      <c r="G1547" s="97">
        <v>46132</v>
      </c>
      <c r="H1547" s="98">
        <v>0.5676388888888889</v>
      </c>
      <c r="I1547" s="50">
        <v>166004749</v>
      </c>
      <c r="J1547" s="96" t="s">
        <v>157</v>
      </c>
      <c r="K1547" s="49" t="s">
        <v>2175</v>
      </c>
      <c r="L1547" s="39" t="s">
        <v>2176</v>
      </c>
      <c r="M1547" s="49" t="s">
        <v>369</v>
      </c>
      <c r="N1547" s="39" t="s">
        <v>688</v>
      </c>
      <c r="O1547" s="96" t="s">
        <v>2177</v>
      </c>
      <c r="P1547" s="49" t="s">
        <v>157</v>
      </c>
      <c r="Q1547" s="96" t="s">
        <v>104</v>
      </c>
      <c r="R1547" s="52">
        <v>227.9</v>
      </c>
      <c r="S1547" s="52">
        <f>R1547-T1547</f>
        <v>203.48214285714286</v>
      </c>
      <c r="T1547" s="52">
        <f>R1547*U1547/(U1547+100)</f>
        <v>24.417857142857144</v>
      </c>
      <c r="U1547" s="50">
        <v>12</v>
      </c>
      <c r="V1547" s="53">
        <v>0</v>
      </c>
      <c r="W1547" s="147">
        <v>0.154</v>
      </c>
      <c r="X1547" s="148" t="s">
        <v>193</v>
      </c>
      <c r="Y1547" s="54">
        <f>R1547*W1547</f>
        <v>35.0966</v>
      </c>
      <c r="Z1547" s="52">
        <f>S1547*W1547</f>
        <v>31.33625</v>
      </c>
      <c r="AA1547" s="52">
        <f>T1547*W1547</f>
        <v>3.7603500000000003</v>
      </c>
      <c r="AB1547" s="52">
        <f>V1547*W1547</f>
        <v>0</v>
      </c>
      <c r="AC1547" s="53">
        <f>(R1547+V1547)*W1547</f>
        <v>35.0966</v>
      </c>
      <c r="AD1547" s="138">
        <v>227.9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107</v>
      </c>
      <c r="F1548" s="96" t="s">
        <v>106</v>
      </c>
      <c r="G1548" s="97">
        <v>46132</v>
      </c>
      <c r="H1548" s="98">
        <v>0.5676388888888889</v>
      </c>
      <c r="I1548" s="50">
        <v>166004749</v>
      </c>
      <c r="J1548" s="96" t="s">
        <v>157</v>
      </c>
      <c r="K1548" s="49" t="s">
        <v>1759</v>
      </c>
      <c r="L1548" s="39" t="s">
        <v>1760</v>
      </c>
      <c r="M1548" s="49" t="s">
        <v>403</v>
      </c>
      <c r="N1548" s="39" t="s">
        <v>523</v>
      </c>
      <c r="O1548" s="96" t="s">
        <v>1761</v>
      </c>
      <c r="P1548" s="49" t="s">
        <v>235</v>
      </c>
      <c r="Q1548" s="96" t="s">
        <v>236</v>
      </c>
      <c r="R1548" s="52">
        <v>199</v>
      </c>
      <c r="S1548" s="52">
        <f>R1548-T1548</f>
        <v>177.67857142857142</v>
      </c>
      <c r="T1548" s="52">
        <f>R1548*U1548/(U1548+100)</f>
        <v>21.321428571428573</v>
      </c>
      <c r="U1548" s="50">
        <v>12</v>
      </c>
      <c r="V1548" s="53">
        <v>0</v>
      </c>
      <c r="W1548" s="147">
        <v>0.196</v>
      </c>
      <c r="X1548" s="148" t="s">
        <v>193</v>
      </c>
      <c r="Y1548" s="54">
        <f>R1548*W1548</f>
        <v>39.004000000000005</v>
      </c>
      <c r="Z1548" s="52">
        <f>S1548*W1548</f>
        <v>34.824999999999996</v>
      </c>
      <c r="AA1548" s="52">
        <f>T1548*W1548</f>
        <v>4.179</v>
      </c>
      <c r="AB1548" s="52">
        <f>V1548*W1548</f>
        <v>0</v>
      </c>
      <c r="AC1548" s="53">
        <f>(R1548+V1548)*W1548</f>
        <v>39.004000000000005</v>
      </c>
      <c r="AD1548" s="138">
        <v>199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107</v>
      </c>
      <c r="F1549" s="96" t="s">
        <v>106</v>
      </c>
      <c r="G1549" s="97">
        <v>46132</v>
      </c>
      <c r="H1549" s="98">
        <v>0.5676388888888889</v>
      </c>
      <c r="I1549" s="50">
        <v>166004749</v>
      </c>
      <c r="J1549" s="96" t="s">
        <v>157</v>
      </c>
      <c r="K1549" s="49" t="s">
        <v>560</v>
      </c>
      <c r="L1549" s="39" t="s">
        <v>104</v>
      </c>
      <c r="M1549" s="49" t="s">
        <v>554</v>
      </c>
      <c r="N1549" s="39" t="s">
        <v>296</v>
      </c>
      <c r="O1549" s="96" t="s">
        <v>561</v>
      </c>
      <c r="P1549" s="49" t="s">
        <v>157</v>
      </c>
      <c r="Q1549" s="96" t="s">
        <v>104</v>
      </c>
      <c r="R1549" s="52">
        <v>8.9</v>
      </c>
      <c r="S1549" s="52">
        <f>R1549-T1549</f>
        <v>7.946428571428572</v>
      </c>
      <c r="T1549" s="52">
        <f>R1549*U1549/(U1549+100)</f>
        <v>0.9535714285714286</v>
      </c>
      <c r="U1549" s="50">
        <v>12</v>
      </c>
      <c r="V1549" s="53">
        <v>0</v>
      </c>
      <c r="W1549" s="147">
        <v>5</v>
      </c>
      <c r="X1549" s="148" t="s">
        <v>163</v>
      </c>
      <c r="Y1549" s="54">
        <f>R1549*W1549</f>
        <v>44.5</v>
      </c>
      <c r="Z1549" s="52">
        <f>S1549*W1549</f>
        <v>39.73214285714286</v>
      </c>
      <c r="AA1549" s="52">
        <f>T1549*W1549</f>
        <v>4.767857142857143</v>
      </c>
      <c r="AB1549" s="52">
        <f>V1549*W1549</f>
        <v>0</v>
      </c>
      <c r="AC1549" s="53">
        <f>(R1549+V1549)*W1549</f>
        <v>44.5</v>
      </c>
      <c r="AD1549" s="138">
        <v>8.9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107</v>
      </c>
      <c r="F1550" s="96" t="s">
        <v>106</v>
      </c>
      <c r="G1550" s="97">
        <v>46132</v>
      </c>
      <c r="H1550" s="98">
        <v>0.5680787037037037</v>
      </c>
      <c r="I1550" s="50">
        <v>166004750</v>
      </c>
      <c r="J1550" s="96" t="s">
        <v>157</v>
      </c>
      <c r="K1550" s="49" t="s">
        <v>2653</v>
      </c>
      <c r="L1550" s="39" t="s">
        <v>2654</v>
      </c>
      <c r="M1550" s="49" t="s">
        <v>255</v>
      </c>
      <c r="N1550" s="39" t="s">
        <v>256</v>
      </c>
      <c r="O1550" s="96" t="s">
        <v>2655</v>
      </c>
      <c r="P1550" s="49" t="s">
        <v>157</v>
      </c>
      <c r="Q1550" s="96" t="s">
        <v>104</v>
      </c>
      <c r="R1550" s="52">
        <v>23.9</v>
      </c>
      <c r="S1550" s="52">
        <f>R1550-T1550</f>
        <v>19.752066115702476</v>
      </c>
      <c r="T1550" s="52">
        <f>R1550*U1550/(U1550+100)</f>
        <v>4.147933884297521</v>
      </c>
      <c r="U1550" s="50">
        <v>21</v>
      </c>
      <c r="V1550" s="53">
        <v>0</v>
      </c>
      <c r="W1550" s="147">
        <v>1</v>
      </c>
      <c r="X1550" s="148" t="s">
        <v>163</v>
      </c>
      <c r="Y1550" s="54">
        <f>R1550*W1550</f>
        <v>23.9</v>
      </c>
      <c r="Z1550" s="52">
        <f>S1550*W1550</f>
        <v>19.752066115702476</v>
      </c>
      <c r="AA1550" s="52">
        <f>T1550*W1550</f>
        <v>4.147933884297521</v>
      </c>
      <c r="AB1550" s="52">
        <f>V1550*W1550</f>
        <v>0</v>
      </c>
      <c r="AC1550" s="53">
        <f>(R1550+V1550)*W1550</f>
        <v>23.9</v>
      </c>
      <c r="AD1550" s="138">
        <v>23.9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107</v>
      </c>
      <c r="F1551" s="96" t="s">
        <v>106</v>
      </c>
      <c r="G1551" s="97">
        <v>46132</v>
      </c>
      <c r="H1551" s="98">
        <v>0.5680787037037037</v>
      </c>
      <c r="I1551" s="50">
        <v>166004750</v>
      </c>
      <c r="J1551" s="96" t="s">
        <v>157</v>
      </c>
      <c r="K1551" s="49" t="s">
        <v>2653</v>
      </c>
      <c r="L1551" s="39" t="s">
        <v>2654</v>
      </c>
      <c r="M1551" s="49" t="s">
        <v>255</v>
      </c>
      <c r="N1551" s="39" t="s">
        <v>256</v>
      </c>
      <c r="O1551" s="96" t="s">
        <v>2655</v>
      </c>
      <c r="P1551" s="49" t="s">
        <v>157</v>
      </c>
      <c r="Q1551" s="96" t="s">
        <v>104</v>
      </c>
      <c r="R1551" s="52">
        <v>23.9</v>
      </c>
      <c r="S1551" s="52">
        <f>R1551-T1551</f>
        <v>19.752066115702476</v>
      </c>
      <c r="T1551" s="52">
        <f>R1551*U1551/(U1551+100)</f>
        <v>4.147933884297521</v>
      </c>
      <c r="U1551" s="50">
        <v>21</v>
      </c>
      <c r="V1551" s="53">
        <v>0</v>
      </c>
      <c r="W1551" s="147">
        <v>1</v>
      </c>
      <c r="X1551" s="148" t="s">
        <v>163</v>
      </c>
      <c r="Y1551" s="54">
        <f>R1551*W1551</f>
        <v>23.9</v>
      </c>
      <c r="Z1551" s="52">
        <f>S1551*W1551</f>
        <v>19.752066115702476</v>
      </c>
      <c r="AA1551" s="52">
        <f>T1551*W1551</f>
        <v>4.147933884297521</v>
      </c>
      <c r="AB1551" s="52">
        <f>V1551*W1551</f>
        <v>0</v>
      </c>
      <c r="AC1551" s="53">
        <f>(R1551+V1551)*W1551</f>
        <v>23.9</v>
      </c>
      <c r="AD1551" s="138">
        <v>23.9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107</v>
      </c>
      <c r="F1552" s="96" t="s">
        <v>106</v>
      </c>
      <c r="G1552" s="97">
        <v>46132</v>
      </c>
      <c r="H1552" s="98">
        <v>0.569699074074074</v>
      </c>
      <c r="I1552" s="50">
        <v>166004751</v>
      </c>
      <c r="J1552" s="96" t="s">
        <v>157</v>
      </c>
      <c r="K1552" s="49" t="s">
        <v>967</v>
      </c>
      <c r="L1552" s="39" t="s">
        <v>968</v>
      </c>
      <c r="M1552" s="49" t="s">
        <v>444</v>
      </c>
      <c r="N1552" s="39" t="s">
        <v>445</v>
      </c>
      <c r="O1552" s="96" t="s">
        <v>981</v>
      </c>
      <c r="P1552" s="49" t="s">
        <v>157</v>
      </c>
      <c r="Q1552" s="96" t="s">
        <v>104</v>
      </c>
      <c r="R1552" s="52">
        <v>16.9</v>
      </c>
      <c r="S1552" s="52">
        <f>R1552-T1552</f>
        <v>15.089285714285714</v>
      </c>
      <c r="T1552" s="52">
        <f>R1552*U1552/(U1552+100)</f>
        <v>1.8107142857142855</v>
      </c>
      <c r="U1552" s="50">
        <v>12</v>
      </c>
      <c r="V1552" s="53">
        <v>0</v>
      </c>
      <c r="W1552" s="147">
        <v>1</v>
      </c>
      <c r="X1552" s="148" t="s">
        <v>163</v>
      </c>
      <c r="Y1552" s="54">
        <f>R1552*W1552</f>
        <v>16.9</v>
      </c>
      <c r="Z1552" s="52">
        <f>S1552*W1552</f>
        <v>15.089285714285714</v>
      </c>
      <c r="AA1552" s="52">
        <f>T1552*W1552</f>
        <v>1.8107142857142855</v>
      </c>
      <c r="AB1552" s="52">
        <f>V1552*W1552</f>
        <v>0</v>
      </c>
      <c r="AC1552" s="53">
        <f>(R1552+V1552)*W1552</f>
        <v>16.9</v>
      </c>
      <c r="AD1552" s="138">
        <v>16.9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107</v>
      </c>
      <c r="F1553" s="96" t="s">
        <v>106</v>
      </c>
      <c r="G1553" s="97">
        <v>46132</v>
      </c>
      <c r="H1553" s="98">
        <v>0.569699074074074</v>
      </c>
      <c r="I1553" s="50">
        <v>166004751</v>
      </c>
      <c r="J1553" s="96" t="s">
        <v>157</v>
      </c>
      <c r="K1553" s="49" t="s">
        <v>967</v>
      </c>
      <c r="L1553" s="39" t="s">
        <v>968</v>
      </c>
      <c r="M1553" s="49" t="s">
        <v>444</v>
      </c>
      <c r="N1553" s="39" t="s">
        <v>445</v>
      </c>
      <c r="O1553" s="96" t="s">
        <v>981</v>
      </c>
      <c r="P1553" s="49" t="s">
        <v>157</v>
      </c>
      <c r="Q1553" s="96" t="s">
        <v>104</v>
      </c>
      <c r="R1553" s="52">
        <v>16.9</v>
      </c>
      <c r="S1553" s="52">
        <f>R1553-T1553</f>
        <v>15.089285714285714</v>
      </c>
      <c r="T1553" s="52">
        <f>R1553*U1553/(U1553+100)</f>
        <v>1.8107142857142855</v>
      </c>
      <c r="U1553" s="50">
        <v>12</v>
      </c>
      <c r="V1553" s="53">
        <v>0</v>
      </c>
      <c r="W1553" s="147">
        <v>1</v>
      </c>
      <c r="X1553" s="148" t="s">
        <v>163</v>
      </c>
      <c r="Y1553" s="54">
        <f>R1553*W1553</f>
        <v>16.9</v>
      </c>
      <c r="Z1553" s="52">
        <f>S1553*W1553</f>
        <v>15.089285714285714</v>
      </c>
      <c r="AA1553" s="52">
        <f>T1553*W1553</f>
        <v>1.8107142857142855</v>
      </c>
      <c r="AB1553" s="52">
        <f>V1553*W1553</f>
        <v>0</v>
      </c>
      <c r="AC1553" s="53">
        <f>(R1553+V1553)*W1553</f>
        <v>16.9</v>
      </c>
      <c r="AD1553" s="138">
        <v>16.9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107</v>
      </c>
      <c r="F1554" s="96" t="s">
        <v>106</v>
      </c>
      <c r="G1554" s="97">
        <v>46132</v>
      </c>
      <c r="H1554" s="98">
        <v>0.569699074074074</v>
      </c>
      <c r="I1554" s="50">
        <v>166004751</v>
      </c>
      <c r="J1554" s="96" t="s">
        <v>157</v>
      </c>
      <c r="K1554" s="49" t="s">
        <v>2656</v>
      </c>
      <c r="L1554" s="39" t="s">
        <v>2657</v>
      </c>
      <c r="M1554" s="49" t="s">
        <v>2565</v>
      </c>
      <c r="N1554" s="39" t="s">
        <v>1785</v>
      </c>
      <c r="O1554" s="96" t="s">
        <v>2658</v>
      </c>
      <c r="P1554" s="49" t="s">
        <v>157</v>
      </c>
      <c r="Q1554" s="96" t="s">
        <v>104</v>
      </c>
      <c r="R1554" s="52">
        <v>10.4</v>
      </c>
      <c r="S1554" s="52">
        <f>R1554-T1554</f>
        <v>9.285714285714286</v>
      </c>
      <c r="T1554" s="52">
        <f>R1554*U1554/(U1554+100)</f>
        <v>1.1142857142857143</v>
      </c>
      <c r="U1554" s="50">
        <v>12</v>
      </c>
      <c r="V1554" s="53">
        <v>0</v>
      </c>
      <c r="W1554" s="147">
        <v>1</v>
      </c>
      <c r="X1554" s="148" t="s">
        <v>163</v>
      </c>
      <c r="Y1554" s="54">
        <f>R1554*W1554</f>
        <v>10.4</v>
      </c>
      <c r="Z1554" s="52">
        <f>S1554*W1554</f>
        <v>9.285714285714286</v>
      </c>
      <c r="AA1554" s="52">
        <f>T1554*W1554</f>
        <v>1.1142857142857143</v>
      </c>
      <c r="AB1554" s="52">
        <f>V1554*W1554</f>
        <v>0</v>
      </c>
      <c r="AC1554" s="53">
        <f>(R1554+V1554)*W1554</f>
        <v>10.4</v>
      </c>
      <c r="AD1554" s="138">
        <v>10.4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107</v>
      </c>
      <c r="F1555" s="96" t="s">
        <v>106</v>
      </c>
      <c r="G1555" s="97">
        <v>46132</v>
      </c>
      <c r="H1555" s="98">
        <v>0.569699074074074</v>
      </c>
      <c r="I1555" s="50">
        <v>166004751</v>
      </c>
      <c r="J1555" s="96" t="s">
        <v>157</v>
      </c>
      <c r="K1555" s="49" t="s">
        <v>2148</v>
      </c>
      <c r="L1555" s="39" t="s">
        <v>2149</v>
      </c>
      <c r="M1555" s="49" t="s">
        <v>360</v>
      </c>
      <c r="N1555" s="39" t="s">
        <v>167</v>
      </c>
      <c r="O1555" s="96" t="s">
        <v>2150</v>
      </c>
      <c r="P1555" s="49" t="s">
        <v>157</v>
      </c>
      <c r="Q1555" s="96" t="s">
        <v>104</v>
      </c>
      <c r="R1555" s="52">
        <v>11.4</v>
      </c>
      <c r="S1555" s="52">
        <f>R1555-T1555</f>
        <v>9.421487603305785</v>
      </c>
      <c r="T1555" s="52">
        <f>R1555*U1555/(U1555+100)</f>
        <v>1.9785123966942149</v>
      </c>
      <c r="U1555" s="50">
        <v>21</v>
      </c>
      <c r="V1555" s="53">
        <v>0</v>
      </c>
      <c r="W1555" s="147">
        <v>1</v>
      </c>
      <c r="X1555" s="148" t="s">
        <v>163</v>
      </c>
      <c r="Y1555" s="54">
        <f>R1555*W1555</f>
        <v>11.4</v>
      </c>
      <c r="Z1555" s="52">
        <f>S1555*W1555</f>
        <v>9.421487603305785</v>
      </c>
      <c r="AA1555" s="52">
        <f>T1555*W1555</f>
        <v>1.9785123966942149</v>
      </c>
      <c r="AB1555" s="52">
        <f>V1555*W1555</f>
        <v>0</v>
      </c>
      <c r="AC1555" s="53">
        <f>(R1555+V1555)*W1555</f>
        <v>11.4</v>
      </c>
      <c r="AD1555" s="138">
        <v>11.4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107</v>
      </c>
      <c r="F1556" s="96" t="s">
        <v>106</v>
      </c>
      <c r="G1556" s="97">
        <v>46132</v>
      </c>
      <c r="H1556" s="98">
        <v>0.569699074074074</v>
      </c>
      <c r="I1556" s="50">
        <v>166004751</v>
      </c>
      <c r="J1556" s="96" t="s">
        <v>157</v>
      </c>
      <c r="K1556" s="49" t="s">
        <v>2148</v>
      </c>
      <c r="L1556" s="39" t="s">
        <v>2149</v>
      </c>
      <c r="M1556" s="49" t="s">
        <v>360</v>
      </c>
      <c r="N1556" s="39" t="s">
        <v>167</v>
      </c>
      <c r="O1556" s="96" t="s">
        <v>2150</v>
      </c>
      <c r="P1556" s="49" t="s">
        <v>157</v>
      </c>
      <c r="Q1556" s="96" t="s">
        <v>104</v>
      </c>
      <c r="R1556" s="52">
        <v>11.4</v>
      </c>
      <c r="S1556" s="52">
        <f>R1556-T1556</f>
        <v>9.421487603305785</v>
      </c>
      <c r="T1556" s="52">
        <f>R1556*U1556/(U1556+100)</f>
        <v>1.9785123966942149</v>
      </c>
      <c r="U1556" s="50">
        <v>21</v>
      </c>
      <c r="V1556" s="53">
        <v>0</v>
      </c>
      <c r="W1556" s="147">
        <v>1</v>
      </c>
      <c r="X1556" s="148" t="s">
        <v>163</v>
      </c>
      <c r="Y1556" s="54">
        <f>R1556*W1556</f>
        <v>11.4</v>
      </c>
      <c r="Z1556" s="52">
        <f>S1556*W1556</f>
        <v>9.421487603305785</v>
      </c>
      <c r="AA1556" s="52">
        <f>T1556*W1556</f>
        <v>1.9785123966942149</v>
      </c>
      <c r="AB1556" s="52">
        <f>V1556*W1556</f>
        <v>0</v>
      </c>
      <c r="AC1556" s="53">
        <f>(R1556+V1556)*W1556</f>
        <v>11.4</v>
      </c>
      <c r="AD1556" s="138">
        <v>11.4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107</v>
      </c>
      <c r="F1557" s="96" t="s">
        <v>106</v>
      </c>
      <c r="G1557" s="97">
        <v>46132</v>
      </c>
      <c r="H1557" s="98">
        <v>0.569699074074074</v>
      </c>
      <c r="I1557" s="50">
        <v>166004751</v>
      </c>
      <c r="J1557" s="96" t="s">
        <v>157</v>
      </c>
      <c r="K1557" s="49" t="s">
        <v>2659</v>
      </c>
      <c r="L1557" s="39" t="s">
        <v>2660</v>
      </c>
      <c r="M1557" s="49" t="s">
        <v>862</v>
      </c>
      <c r="N1557" s="39" t="s">
        <v>863</v>
      </c>
      <c r="O1557" s="96" t="s">
        <v>2661</v>
      </c>
      <c r="P1557" s="49" t="s">
        <v>157</v>
      </c>
      <c r="Q1557" s="96" t="s">
        <v>104</v>
      </c>
      <c r="R1557" s="52">
        <v>161</v>
      </c>
      <c r="S1557" s="52">
        <f>R1557-T1557</f>
        <v>133.05785123966942</v>
      </c>
      <c r="T1557" s="52">
        <f>R1557*U1557/(U1557+100)</f>
        <v>27.94214876033058</v>
      </c>
      <c r="U1557" s="50">
        <v>21</v>
      </c>
      <c r="V1557" s="53">
        <v>0</v>
      </c>
      <c r="W1557" s="147">
        <v>1</v>
      </c>
      <c r="X1557" s="148" t="s">
        <v>163</v>
      </c>
      <c r="Y1557" s="54">
        <f>R1557*W1557</f>
        <v>161</v>
      </c>
      <c r="Z1557" s="52">
        <f>S1557*W1557</f>
        <v>133.05785123966942</v>
      </c>
      <c r="AA1557" s="52">
        <f>T1557*W1557</f>
        <v>27.94214876033058</v>
      </c>
      <c r="AB1557" s="52">
        <f>V1557*W1557</f>
        <v>0</v>
      </c>
      <c r="AC1557" s="53">
        <f>(R1557+V1557)*W1557</f>
        <v>161</v>
      </c>
      <c r="AD1557" s="138">
        <v>161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107</v>
      </c>
      <c r="F1558" s="96" t="s">
        <v>106</v>
      </c>
      <c r="G1558" s="97">
        <v>46132</v>
      </c>
      <c r="H1558" s="98">
        <v>0.569699074074074</v>
      </c>
      <c r="I1558" s="50">
        <v>166004751</v>
      </c>
      <c r="J1558" s="96" t="s">
        <v>157</v>
      </c>
      <c r="K1558" s="49" t="s">
        <v>530</v>
      </c>
      <c r="L1558" s="39" t="s">
        <v>531</v>
      </c>
      <c r="M1558" s="49" t="s">
        <v>190</v>
      </c>
      <c r="N1558" s="39" t="s">
        <v>532</v>
      </c>
      <c r="O1558" s="96" t="s">
        <v>533</v>
      </c>
      <c r="P1558" s="49" t="s">
        <v>157</v>
      </c>
      <c r="Q1558" s="96" t="s">
        <v>104</v>
      </c>
      <c r="R1558" s="52">
        <v>25.9</v>
      </c>
      <c r="S1558" s="52">
        <f>R1558-T1558</f>
        <v>23.125</v>
      </c>
      <c r="T1558" s="52">
        <f>R1558*U1558/(U1558+100)</f>
        <v>2.7749999999999995</v>
      </c>
      <c r="U1558" s="50">
        <v>12</v>
      </c>
      <c r="V1558" s="53">
        <v>0</v>
      </c>
      <c r="W1558" s="147">
        <v>0.582</v>
      </c>
      <c r="X1558" s="148" t="s">
        <v>193</v>
      </c>
      <c r="Y1558" s="54">
        <f>R1558*W1558</f>
        <v>15.073799999999999</v>
      </c>
      <c r="Z1558" s="52">
        <f>S1558*W1558</f>
        <v>13.458749999999998</v>
      </c>
      <c r="AA1558" s="52">
        <f>T1558*W1558</f>
        <v>1.6150499999999997</v>
      </c>
      <c r="AB1558" s="52">
        <f>V1558*W1558</f>
        <v>0</v>
      </c>
      <c r="AC1558" s="53">
        <f>(R1558+V1558)*W1558</f>
        <v>15.073799999999999</v>
      </c>
      <c r="AD1558" s="138">
        <v>25.9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107</v>
      </c>
      <c r="F1559" s="96" t="s">
        <v>106</v>
      </c>
      <c r="G1559" s="97">
        <v>46132</v>
      </c>
      <c r="H1559" s="98">
        <v>0.569699074074074</v>
      </c>
      <c r="I1559" s="50">
        <v>166004751</v>
      </c>
      <c r="J1559" s="96" t="s">
        <v>157</v>
      </c>
      <c r="K1559" s="49" t="s">
        <v>1021</v>
      </c>
      <c r="L1559" s="39" t="s">
        <v>1022</v>
      </c>
      <c r="M1559" s="49" t="s">
        <v>190</v>
      </c>
      <c r="N1559" s="39" t="s">
        <v>532</v>
      </c>
      <c r="O1559" s="96" t="s">
        <v>1023</v>
      </c>
      <c r="P1559" s="49" t="s">
        <v>157</v>
      </c>
      <c r="Q1559" s="96" t="s">
        <v>104</v>
      </c>
      <c r="R1559" s="52">
        <v>48.9</v>
      </c>
      <c r="S1559" s="52">
        <f>R1559-T1559</f>
        <v>43.660714285714285</v>
      </c>
      <c r="T1559" s="52">
        <f>R1559*U1559/(U1559+100)</f>
        <v>5.239285714285714</v>
      </c>
      <c r="U1559" s="50">
        <v>12</v>
      </c>
      <c r="V1559" s="53">
        <v>0</v>
      </c>
      <c r="W1559" s="147">
        <v>0.556</v>
      </c>
      <c r="X1559" s="148" t="s">
        <v>193</v>
      </c>
      <c r="Y1559" s="54">
        <f>R1559*W1559</f>
        <v>27.1884</v>
      </c>
      <c r="Z1559" s="52">
        <f>S1559*W1559</f>
        <v>24.275357142857146</v>
      </c>
      <c r="AA1559" s="52">
        <f>T1559*W1559</f>
        <v>2.913042857142857</v>
      </c>
      <c r="AB1559" s="52">
        <f>V1559*W1559</f>
        <v>0</v>
      </c>
      <c r="AC1559" s="53">
        <f>(R1559+V1559)*W1559</f>
        <v>27.1884</v>
      </c>
      <c r="AD1559" s="138">
        <v>48.9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107</v>
      </c>
      <c r="F1560" s="96" t="s">
        <v>106</v>
      </c>
      <c r="G1560" s="97">
        <v>46132</v>
      </c>
      <c r="H1560" s="98">
        <v>0.569699074074074</v>
      </c>
      <c r="I1560" s="50">
        <v>166004751</v>
      </c>
      <c r="J1560" s="96" t="s">
        <v>157</v>
      </c>
      <c r="K1560" s="49" t="s">
        <v>188</v>
      </c>
      <c r="L1560" s="39" t="s">
        <v>189</v>
      </c>
      <c r="M1560" s="49" t="s">
        <v>190</v>
      </c>
      <c r="N1560" s="39" t="s">
        <v>191</v>
      </c>
      <c r="O1560" s="96" t="s">
        <v>192</v>
      </c>
      <c r="P1560" s="49" t="s">
        <v>157</v>
      </c>
      <c r="Q1560" s="96" t="s">
        <v>104</v>
      </c>
      <c r="R1560" s="52">
        <v>49.9</v>
      </c>
      <c r="S1560" s="52">
        <f>R1560-T1560</f>
        <v>44.55357142857143</v>
      </c>
      <c r="T1560" s="52">
        <f>R1560*U1560/(U1560+100)</f>
        <v>5.346428571428571</v>
      </c>
      <c r="U1560" s="50">
        <v>12</v>
      </c>
      <c r="V1560" s="53">
        <v>0</v>
      </c>
      <c r="W1560" s="147">
        <v>0.262</v>
      </c>
      <c r="X1560" s="148" t="s">
        <v>193</v>
      </c>
      <c r="Y1560" s="54">
        <f>R1560*W1560</f>
        <v>13.0738</v>
      </c>
      <c r="Z1560" s="52">
        <f>S1560*W1560</f>
        <v>11.673035714285716</v>
      </c>
      <c r="AA1560" s="52">
        <f>T1560*W1560</f>
        <v>1.4007642857142855</v>
      </c>
      <c r="AB1560" s="52">
        <f>V1560*W1560</f>
        <v>0</v>
      </c>
      <c r="AC1560" s="53">
        <f>(R1560+V1560)*W1560</f>
        <v>13.0738</v>
      </c>
      <c r="AD1560" s="138">
        <v>49.9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107</v>
      </c>
      <c r="F1561" s="96" t="s">
        <v>106</v>
      </c>
      <c r="G1561" s="97">
        <v>46132</v>
      </c>
      <c r="H1561" s="98">
        <v>0.569699074074074</v>
      </c>
      <c r="I1561" s="50">
        <v>166004751</v>
      </c>
      <c r="J1561" s="96" t="s">
        <v>157</v>
      </c>
      <c r="K1561" s="49" t="s">
        <v>188</v>
      </c>
      <c r="L1561" s="39" t="s">
        <v>189</v>
      </c>
      <c r="M1561" s="49" t="s">
        <v>190</v>
      </c>
      <c r="N1561" s="39" t="s">
        <v>191</v>
      </c>
      <c r="O1561" s="96" t="s">
        <v>192</v>
      </c>
      <c r="P1561" s="49" t="s">
        <v>157</v>
      </c>
      <c r="Q1561" s="96" t="s">
        <v>104</v>
      </c>
      <c r="R1561" s="52">
        <v>49.9</v>
      </c>
      <c r="S1561" s="52">
        <f>R1561-T1561</f>
        <v>44.55357142857143</v>
      </c>
      <c r="T1561" s="52">
        <f>R1561*U1561/(U1561+100)</f>
        <v>5.346428571428571</v>
      </c>
      <c r="U1561" s="50">
        <v>12</v>
      </c>
      <c r="V1561" s="53">
        <v>0</v>
      </c>
      <c r="W1561" s="147">
        <v>0.29</v>
      </c>
      <c r="X1561" s="148" t="s">
        <v>193</v>
      </c>
      <c r="Y1561" s="54">
        <f>R1561*W1561</f>
        <v>14.470999999999998</v>
      </c>
      <c r="Z1561" s="52">
        <f>S1561*W1561</f>
        <v>12.920535714285714</v>
      </c>
      <c r="AA1561" s="52">
        <f>T1561*W1561</f>
        <v>1.5504642857142854</v>
      </c>
      <c r="AB1561" s="52">
        <f>V1561*W1561</f>
        <v>0</v>
      </c>
      <c r="AC1561" s="53">
        <f>(R1561+V1561)*W1561</f>
        <v>14.470999999999998</v>
      </c>
      <c r="AD1561" s="138">
        <v>49.9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107</v>
      </c>
      <c r="F1562" s="96" t="s">
        <v>106</v>
      </c>
      <c r="G1562" s="97">
        <v>46132</v>
      </c>
      <c r="H1562" s="98">
        <v>0.569699074074074</v>
      </c>
      <c r="I1562" s="50">
        <v>166004751</v>
      </c>
      <c r="J1562" s="96" t="s">
        <v>157</v>
      </c>
      <c r="K1562" s="49" t="s">
        <v>1868</v>
      </c>
      <c r="L1562" s="39" t="s">
        <v>1869</v>
      </c>
      <c r="M1562" s="49" t="s">
        <v>190</v>
      </c>
      <c r="N1562" s="39" t="s">
        <v>191</v>
      </c>
      <c r="O1562" s="96" t="s">
        <v>1870</v>
      </c>
      <c r="P1562" s="49" t="s">
        <v>157</v>
      </c>
      <c r="Q1562" s="96" t="s">
        <v>104</v>
      </c>
      <c r="R1562" s="52">
        <v>93.9</v>
      </c>
      <c r="S1562" s="52">
        <f>R1562-T1562</f>
        <v>83.83928571428572</v>
      </c>
      <c r="T1562" s="52">
        <f>R1562*U1562/(U1562+100)</f>
        <v>10.060714285714287</v>
      </c>
      <c r="U1562" s="50">
        <v>12</v>
      </c>
      <c r="V1562" s="53">
        <v>0</v>
      </c>
      <c r="W1562" s="147">
        <v>0.158</v>
      </c>
      <c r="X1562" s="148" t="s">
        <v>193</v>
      </c>
      <c r="Y1562" s="54">
        <f>R1562*W1562</f>
        <v>14.836200000000002</v>
      </c>
      <c r="Z1562" s="52">
        <f>S1562*W1562</f>
        <v>13.246607142857144</v>
      </c>
      <c r="AA1562" s="52">
        <f>T1562*W1562</f>
        <v>1.5895928571428573</v>
      </c>
      <c r="AB1562" s="52">
        <f>V1562*W1562</f>
        <v>0</v>
      </c>
      <c r="AC1562" s="53">
        <f>(R1562+V1562)*W1562</f>
        <v>14.836200000000002</v>
      </c>
      <c r="AD1562" s="138">
        <v>93.9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107</v>
      </c>
      <c r="F1563" s="96" t="s">
        <v>106</v>
      </c>
      <c r="G1563" s="97">
        <v>46132</v>
      </c>
      <c r="H1563" s="98">
        <v>0.569699074074074</v>
      </c>
      <c r="I1563" s="50">
        <v>166004751</v>
      </c>
      <c r="J1563" s="96" t="s">
        <v>157</v>
      </c>
      <c r="K1563" s="49" t="s">
        <v>683</v>
      </c>
      <c r="L1563" s="39" t="s">
        <v>684</v>
      </c>
      <c r="M1563" s="49" t="s">
        <v>190</v>
      </c>
      <c r="N1563" s="39" t="s">
        <v>191</v>
      </c>
      <c r="O1563" s="96" t="s">
        <v>685</v>
      </c>
      <c r="P1563" s="49" t="s">
        <v>157</v>
      </c>
      <c r="Q1563" s="96" t="s">
        <v>104</v>
      </c>
      <c r="R1563" s="52">
        <v>105.9</v>
      </c>
      <c r="S1563" s="52">
        <f>R1563-T1563</f>
        <v>94.55357142857143</v>
      </c>
      <c r="T1563" s="52">
        <f>R1563*U1563/(U1563+100)</f>
        <v>11.346428571428573</v>
      </c>
      <c r="U1563" s="50">
        <v>12</v>
      </c>
      <c r="V1563" s="53">
        <v>0</v>
      </c>
      <c r="W1563" s="147">
        <v>0.306</v>
      </c>
      <c r="X1563" s="148" t="s">
        <v>193</v>
      </c>
      <c r="Y1563" s="54">
        <f>R1563*W1563</f>
        <v>32.4054</v>
      </c>
      <c r="Z1563" s="52">
        <f>S1563*W1563</f>
        <v>28.933392857142856</v>
      </c>
      <c r="AA1563" s="52">
        <f>T1563*W1563</f>
        <v>3.4720071428571435</v>
      </c>
      <c r="AB1563" s="52">
        <f>V1563*W1563</f>
        <v>0</v>
      </c>
      <c r="AC1563" s="53">
        <f>(R1563+V1563)*W1563</f>
        <v>32.4054</v>
      </c>
      <c r="AD1563" s="138">
        <v>105.9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107</v>
      </c>
      <c r="F1564" s="96" t="s">
        <v>106</v>
      </c>
      <c r="G1564" s="97">
        <v>46132</v>
      </c>
      <c r="H1564" s="98">
        <v>0.569699074074074</v>
      </c>
      <c r="I1564" s="50">
        <v>166004751</v>
      </c>
      <c r="J1564" s="96" t="s">
        <v>157</v>
      </c>
      <c r="K1564" s="49" t="s">
        <v>2662</v>
      </c>
      <c r="L1564" s="39" t="s">
        <v>104</v>
      </c>
      <c r="M1564" s="49" t="s">
        <v>190</v>
      </c>
      <c r="N1564" s="39" t="s">
        <v>462</v>
      </c>
      <c r="O1564" s="96" t="s">
        <v>2663</v>
      </c>
      <c r="P1564" s="49" t="s">
        <v>157</v>
      </c>
      <c r="Q1564" s="96" t="s">
        <v>104</v>
      </c>
      <c r="R1564" s="52">
        <v>23.9</v>
      </c>
      <c r="S1564" s="52">
        <f>R1564-T1564</f>
        <v>21.33928571428571</v>
      </c>
      <c r="T1564" s="52">
        <f>R1564*U1564/(U1564+100)</f>
        <v>2.5607142857142855</v>
      </c>
      <c r="U1564" s="50">
        <v>12</v>
      </c>
      <c r="V1564" s="53">
        <v>0</v>
      </c>
      <c r="W1564" s="147">
        <v>1</v>
      </c>
      <c r="X1564" s="148" t="s">
        <v>163</v>
      </c>
      <c r="Y1564" s="54">
        <f>R1564*W1564</f>
        <v>23.9</v>
      </c>
      <c r="Z1564" s="52">
        <f>S1564*W1564</f>
        <v>21.33928571428571</v>
      </c>
      <c r="AA1564" s="52">
        <f>T1564*W1564</f>
        <v>2.5607142857142855</v>
      </c>
      <c r="AB1564" s="52">
        <f>V1564*W1564</f>
        <v>0</v>
      </c>
      <c r="AC1564" s="53">
        <f>(R1564+V1564)*W1564</f>
        <v>23.9</v>
      </c>
      <c r="AD1564" s="138">
        <v>23.9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107</v>
      </c>
      <c r="F1565" s="96" t="s">
        <v>106</v>
      </c>
      <c r="G1565" s="97">
        <v>46132</v>
      </c>
      <c r="H1565" s="98">
        <v>0.569699074074074</v>
      </c>
      <c r="I1565" s="50">
        <v>166004751</v>
      </c>
      <c r="J1565" s="96" t="s">
        <v>157</v>
      </c>
      <c r="K1565" s="49" t="s">
        <v>1759</v>
      </c>
      <c r="L1565" s="39" t="s">
        <v>1760</v>
      </c>
      <c r="M1565" s="49" t="s">
        <v>403</v>
      </c>
      <c r="N1565" s="39" t="s">
        <v>523</v>
      </c>
      <c r="O1565" s="96" t="s">
        <v>1761</v>
      </c>
      <c r="P1565" s="49" t="s">
        <v>235</v>
      </c>
      <c r="Q1565" s="96" t="s">
        <v>236</v>
      </c>
      <c r="R1565" s="52">
        <v>199</v>
      </c>
      <c r="S1565" s="52">
        <f>R1565-T1565</f>
        <v>177.67857142857142</v>
      </c>
      <c r="T1565" s="52">
        <f>R1565*U1565/(U1565+100)</f>
        <v>21.321428571428573</v>
      </c>
      <c r="U1565" s="50">
        <v>12</v>
      </c>
      <c r="V1565" s="53">
        <v>0</v>
      </c>
      <c r="W1565" s="147">
        <v>0.142</v>
      </c>
      <c r="X1565" s="148" t="s">
        <v>193</v>
      </c>
      <c r="Y1565" s="54">
        <f>R1565*W1565</f>
        <v>28.258</v>
      </c>
      <c r="Z1565" s="52">
        <f>S1565*W1565</f>
        <v>25.230357142857137</v>
      </c>
      <c r="AA1565" s="52">
        <f>T1565*W1565</f>
        <v>3.0276428571428573</v>
      </c>
      <c r="AB1565" s="52">
        <f>V1565*W1565</f>
        <v>0</v>
      </c>
      <c r="AC1565" s="53">
        <f>(R1565+V1565)*W1565</f>
        <v>28.258</v>
      </c>
      <c r="AD1565" s="138">
        <v>199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107</v>
      </c>
      <c r="F1566" s="96" t="s">
        <v>106</v>
      </c>
      <c r="G1566" s="97">
        <v>46132</v>
      </c>
      <c r="H1566" s="98">
        <v>0.569699074074074</v>
      </c>
      <c r="I1566" s="50">
        <v>166004751</v>
      </c>
      <c r="J1566" s="96" t="s">
        <v>157</v>
      </c>
      <c r="K1566" s="49" t="s">
        <v>560</v>
      </c>
      <c r="L1566" s="39" t="s">
        <v>104</v>
      </c>
      <c r="M1566" s="49" t="s">
        <v>554</v>
      </c>
      <c r="N1566" s="39" t="s">
        <v>296</v>
      </c>
      <c r="O1566" s="96" t="s">
        <v>561</v>
      </c>
      <c r="P1566" s="49" t="s">
        <v>157</v>
      </c>
      <c r="Q1566" s="96" t="s">
        <v>104</v>
      </c>
      <c r="R1566" s="52">
        <v>8.9</v>
      </c>
      <c r="S1566" s="52">
        <f>R1566-T1566</f>
        <v>7.946428571428572</v>
      </c>
      <c r="T1566" s="52">
        <f>R1566*U1566/(U1566+100)</f>
        <v>0.9535714285714286</v>
      </c>
      <c r="U1566" s="50">
        <v>12</v>
      </c>
      <c r="V1566" s="53">
        <v>0</v>
      </c>
      <c r="W1566" s="147">
        <v>3</v>
      </c>
      <c r="X1566" s="148" t="s">
        <v>163</v>
      </c>
      <c r="Y1566" s="54">
        <f>R1566*W1566</f>
        <v>26.700000000000003</v>
      </c>
      <c r="Z1566" s="52">
        <f>S1566*W1566</f>
        <v>23.839285714285715</v>
      </c>
      <c r="AA1566" s="52">
        <f>T1566*W1566</f>
        <v>2.8607142857142858</v>
      </c>
      <c r="AB1566" s="52">
        <f>V1566*W1566</f>
        <v>0</v>
      </c>
      <c r="AC1566" s="53">
        <f>(R1566+V1566)*W1566</f>
        <v>26.700000000000003</v>
      </c>
      <c r="AD1566" s="138">
        <v>8.9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107</v>
      </c>
      <c r="F1567" s="96" t="s">
        <v>106</v>
      </c>
      <c r="G1567" s="97">
        <v>46132</v>
      </c>
      <c r="H1567" s="98">
        <v>0.5701273148148148</v>
      </c>
      <c r="I1567" s="50">
        <v>166004752</v>
      </c>
      <c r="J1567" s="96" t="s">
        <v>157</v>
      </c>
      <c r="K1567" s="49" t="s">
        <v>2664</v>
      </c>
      <c r="L1567" s="39" t="s">
        <v>2665</v>
      </c>
      <c r="M1567" s="49" t="s">
        <v>196</v>
      </c>
      <c r="N1567" s="39" t="s">
        <v>747</v>
      </c>
      <c r="O1567" s="96" t="s">
        <v>2666</v>
      </c>
      <c r="P1567" s="49" t="s">
        <v>157</v>
      </c>
      <c r="Q1567" s="96" t="s">
        <v>104</v>
      </c>
      <c r="R1567" s="52">
        <v>23.9</v>
      </c>
      <c r="S1567" s="52">
        <f>R1567-T1567</f>
        <v>21.33928571428571</v>
      </c>
      <c r="T1567" s="52">
        <f>R1567*U1567/(U1567+100)</f>
        <v>2.5607142857142855</v>
      </c>
      <c r="U1567" s="50">
        <v>12</v>
      </c>
      <c r="V1567" s="53">
        <v>0</v>
      </c>
      <c r="W1567" s="147">
        <v>1</v>
      </c>
      <c r="X1567" s="148" t="s">
        <v>163</v>
      </c>
      <c r="Y1567" s="54">
        <f>R1567*W1567</f>
        <v>23.9</v>
      </c>
      <c r="Z1567" s="52">
        <f>S1567*W1567</f>
        <v>21.33928571428571</v>
      </c>
      <c r="AA1567" s="52">
        <f>T1567*W1567</f>
        <v>2.5607142857142855</v>
      </c>
      <c r="AB1567" s="52">
        <f>V1567*W1567</f>
        <v>0</v>
      </c>
      <c r="AC1567" s="53">
        <f>(R1567+V1567)*W1567</f>
        <v>23.9</v>
      </c>
      <c r="AD1567" s="138">
        <v>23.9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107</v>
      </c>
      <c r="F1568" s="96" t="s">
        <v>106</v>
      </c>
      <c r="G1568" s="97">
        <v>46132</v>
      </c>
      <c r="H1568" s="98">
        <v>0.5701273148148148</v>
      </c>
      <c r="I1568" s="50">
        <v>166004752</v>
      </c>
      <c r="J1568" s="96" t="s">
        <v>157</v>
      </c>
      <c r="K1568" s="49" t="s">
        <v>2667</v>
      </c>
      <c r="L1568" s="39" t="s">
        <v>2668</v>
      </c>
      <c r="M1568" s="49" t="s">
        <v>232</v>
      </c>
      <c r="N1568" s="39" t="s">
        <v>233</v>
      </c>
      <c r="O1568" s="96" t="s">
        <v>2669</v>
      </c>
      <c r="P1568" s="49" t="s">
        <v>157</v>
      </c>
      <c r="Q1568" s="96" t="s">
        <v>104</v>
      </c>
      <c r="R1568" s="52">
        <v>18.9</v>
      </c>
      <c r="S1568" s="52">
        <f>R1568-T1568</f>
        <v>15.6198347107438</v>
      </c>
      <c r="T1568" s="52">
        <f>R1568*U1568/(U1568+100)</f>
        <v>3.2801652892561983</v>
      </c>
      <c r="U1568" s="50">
        <v>21</v>
      </c>
      <c r="V1568" s="53">
        <v>0</v>
      </c>
      <c r="W1568" s="147">
        <v>1</v>
      </c>
      <c r="X1568" s="148" t="s">
        <v>163</v>
      </c>
      <c r="Y1568" s="54">
        <f>R1568*W1568</f>
        <v>18.9</v>
      </c>
      <c r="Z1568" s="52">
        <f>S1568*W1568</f>
        <v>15.6198347107438</v>
      </c>
      <c r="AA1568" s="52">
        <f>T1568*W1568</f>
        <v>3.2801652892561983</v>
      </c>
      <c r="AB1568" s="52">
        <f>V1568*W1568</f>
        <v>0</v>
      </c>
      <c r="AC1568" s="53">
        <f>(R1568+V1568)*W1568</f>
        <v>18.9</v>
      </c>
      <c r="AD1568" s="138">
        <v>18.9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107</v>
      </c>
      <c r="F1569" s="96" t="s">
        <v>106</v>
      </c>
      <c r="G1569" s="97">
        <v>46132</v>
      </c>
      <c r="H1569" s="98">
        <v>0.5701273148148148</v>
      </c>
      <c r="I1569" s="50">
        <v>166004752</v>
      </c>
      <c r="J1569" s="96" t="s">
        <v>157</v>
      </c>
      <c r="K1569" s="49" t="s">
        <v>1053</v>
      </c>
      <c r="L1569" s="39" t="s">
        <v>1054</v>
      </c>
      <c r="M1569" s="49" t="s">
        <v>166</v>
      </c>
      <c r="N1569" s="39" t="s">
        <v>167</v>
      </c>
      <c r="O1569" s="96" t="s">
        <v>1055</v>
      </c>
      <c r="P1569" s="49" t="s">
        <v>157</v>
      </c>
      <c r="Q1569" s="96" t="s">
        <v>104</v>
      </c>
      <c r="R1569" s="52">
        <v>19.9</v>
      </c>
      <c r="S1569" s="52">
        <f>R1569-T1569</f>
        <v>16.446280991735534</v>
      </c>
      <c r="T1569" s="52">
        <f>R1569*U1569/(U1569+100)</f>
        <v>3.4537190082644624</v>
      </c>
      <c r="U1569" s="50">
        <v>21</v>
      </c>
      <c r="V1569" s="53">
        <v>0</v>
      </c>
      <c r="W1569" s="147">
        <v>1</v>
      </c>
      <c r="X1569" s="148" t="s">
        <v>163</v>
      </c>
      <c r="Y1569" s="54">
        <f>R1569*W1569</f>
        <v>19.9</v>
      </c>
      <c r="Z1569" s="52">
        <f>S1569*W1569</f>
        <v>16.446280991735534</v>
      </c>
      <c r="AA1569" s="52">
        <f>T1569*W1569</f>
        <v>3.4537190082644624</v>
      </c>
      <c r="AB1569" s="52">
        <f>V1569*W1569</f>
        <v>0</v>
      </c>
      <c r="AC1569" s="53">
        <f>(R1569+V1569)*W1569</f>
        <v>19.9</v>
      </c>
      <c r="AD1569" s="138">
        <v>19.9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107</v>
      </c>
      <c r="F1570" s="96" t="s">
        <v>106</v>
      </c>
      <c r="G1570" s="97">
        <v>46132</v>
      </c>
      <c r="H1570" s="98">
        <v>0.5701273148148148</v>
      </c>
      <c r="I1570" s="50">
        <v>166004752</v>
      </c>
      <c r="J1570" s="96" t="s">
        <v>157</v>
      </c>
      <c r="K1570" s="49" t="s">
        <v>2670</v>
      </c>
      <c r="L1570" s="39" t="s">
        <v>2671</v>
      </c>
      <c r="M1570" s="49" t="s">
        <v>2672</v>
      </c>
      <c r="N1570" s="39" t="s">
        <v>548</v>
      </c>
      <c r="O1570" s="96" t="s">
        <v>2673</v>
      </c>
      <c r="P1570" s="49" t="s">
        <v>157</v>
      </c>
      <c r="Q1570" s="96" t="s">
        <v>104</v>
      </c>
      <c r="R1570" s="52">
        <v>19.9</v>
      </c>
      <c r="S1570" s="52">
        <f>R1570-T1570</f>
        <v>17.767857142857142</v>
      </c>
      <c r="T1570" s="52">
        <f>R1570*U1570/(U1570+100)</f>
        <v>2.132142857142857</v>
      </c>
      <c r="U1570" s="50">
        <v>12</v>
      </c>
      <c r="V1570" s="53">
        <v>0</v>
      </c>
      <c r="W1570" s="147">
        <v>1</v>
      </c>
      <c r="X1570" s="148" t="s">
        <v>163</v>
      </c>
      <c r="Y1570" s="54">
        <f>R1570*W1570</f>
        <v>19.9</v>
      </c>
      <c r="Z1570" s="52">
        <f>S1570*W1570</f>
        <v>17.767857142857142</v>
      </c>
      <c r="AA1570" s="52">
        <f>T1570*W1570</f>
        <v>2.132142857142857</v>
      </c>
      <c r="AB1570" s="52">
        <f>V1570*W1570</f>
        <v>0</v>
      </c>
      <c r="AC1570" s="53">
        <f>(R1570+V1570)*W1570</f>
        <v>19.9</v>
      </c>
      <c r="AD1570" s="138">
        <v>19.9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107</v>
      </c>
      <c r="F1571" s="96" t="s">
        <v>106</v>
      </c>
      <c r="G1571" s="97">
        <v>46132</v>
      </c>
      <c r="H1571" s="98">
        <v>0.5703472222222222</v>
      </c>
      <c r="I1571" s="50">
        <v>166004753</v>
      </c>
      <c r="J1571" s="96" t="s">
        <v>157</v>
      </c>
      <c r="K1571" s="49" t="s">
        <v>728</v>
      </c>
      <c r="L1571" s="39" t="s">
        <v>729</v>
      </c>
      <c r="M1571" s="49" t="s">
        <v>730</v>
      </c>
      <c r="N1571" s="39" t="s">
        <v>731</v>
      </c>
      <c r="O1571" s="96" t="s">
        <v>2674</v>
      </c>
      <c r="P1571" s="49" t="s">
        <v>235</v>
      </c>
      <c r="Q1571" s="96" t="s">
        <v>236</v>
      </c>
      <c r="R1571" s="52">
        <v>49.9</v>
      </c>
      <c r="S1571" s="52">
        <f>R1571-T1571</f>
        <v>41.239669421487605</v>
      </c>
      <c r="T1571" s="52">
        <f>R1571*U1571/(U1571+100)</f>
        <v>8.660330578512395</v>
      </c>
      <c r="U1571" s="50">
        <v>21</v>
      </c>
      <c r="V1571" s="53">
        <v>0</v>
      </c>
      <c r="W1571" s="147">
        <v>1</v>
      </c>
      <c r="X1571" s="148" t="s">
        <v>163</v>
      </c>
      <c r="Y1571" s="54">
        <f>R1571*W1571</f>
        <v>49.9</v>
      </c>
      <c r="Z1571" s="52">
        <f>S1571*W1571</f>
        <v>41.239669421487605</v>
      </c>
      <c r="AA1571" s="52">
        <f>T1571*W1571</f>
        <v>8.660330578512395</v>
      </c>
      <c r="AB1571" s="52">
        <f>V1571*W1571</f>
        <v>0</v>
      </c>
      <c r="AC1571" s="53">
        <f>(R1571+V1571)*W1571</f>
        <v>49.9</v>
      </c>
      <c r="AD1571" s="138">
        <v>49.9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107</v>
      </c>
      <c r="F1572" s="96" t="s">
        <v>106</v>
      </c>
      <c r="G1572" s="97">
        <v>46132</v>
      </c>
      <c r="H1572" s="98">
        <v>0.5703472222222222</v>
      </c>
      <c r="I1572" s="50">
        <v>166004753</v>
      </c>
      <c r="J1572" s="96" t="s">
        <v>157</v>
      </c>
      <c r="K1572" s="49" t="s">
        <v>507</v>
      </c>
      <c r="L1572" s="39" t="s">
        <v>508</v>
      </c>
      <c r="M1572" s="49" t="s">
        <v>509</v>
      </c>
      <c r="N1572" s="39" t="s">
        <v>256</v>
      </c>
      <c r="O1572" s="96" t="s">
        <v>1024</v>
      </c>
      <c r="P1572" s="49" t="s">
        <v>235</v>
      </c>
      <c r="Q1572" s="96" t="s">
        <v>236</v>
      </c>
      <c r="R1572" s="52">
        <v>15.9</v>
      </c>
      <c r="S1572" s="52">
        <f>R1572-T1572</f>
        <v>13.140495867768596</v>
      </c>
      <c r="T1572" s="52">
        <f>R1572*U1572/(U1572+100)</f>
        <v>2.759504132231405</v>
      </c>
      <c r="U1572" s="50">
        <v>21</v>
      </c>
      <c r="V1572" s="53">
        <v>0</v>
      </c>
      <c r="W1572" s="147">
        <v>1</v>
      </c>
      <c r="X1572" s="148" t="s">
        <v>163</v>
      </c>
      <c r="Y1572" s="54">
        <f>R1572*W1572</f>
        <v>15.9</v>
      </c>
      <c r="Z1572" s="52">
        <f>S1572*W1572</f>
        <v>13.140495867768596</v>
      </c>
      <c r="AA1572" s="52">
        <f>T1572*W1572</f>
        <v>2.759504132231405</v>
      </c>
      <c r="AB1572" s="52">
        <f>V1572*W1572</f>
        <v>0</v>
      </c>
      <c r="AC1572" s="53">
        <f>(R1572+V1572)*W1572</f>
        <v>15.9</v>
      </c>
      <c r="AD1572" s="138">
        <v>15.9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107</v>
      </c>
      <c r="F1573" s="96" t="s">
        <v>106</v>
      </c>
      <c r="G1573" s="97">
        <v>46132</v>
      </c>
      <c r="H1573" s="98">
        <v>0.5703472222222222</v>
      </c>
      <c r="I1573" s="50">
        <v>166004753</v>
      </c>
      <c r="J1573" s="96" t="s">
        <v>157</v>
      </c>
      <c r="K1573" s="49" t="s">
        <v>507</v>
      </c>
      <c r="L1573" s="39" t="s">
        <v>508</v>
      </c>
      <c r="M1573" s="49" t="s">
        <v>509</v>
      </c>
      <c r="N1573" s="39" t="s">
        <v>256</v>
      </c>
      <c r="O1573" s="96" t="s">
        <v>1024</v>
      </c>
      <c r="P1573" s="49" t="s">
        <v>235</v>
      </c>
      <c r="Q1573" s="96" t="s">
        <v>236</v>
      </c>
      <c r="R1573" s="52">
        <v>15.9</v>
      </c>
      <c r="S1573" s="52">
        <f>R1573-T1573</f>
        <v>13.140495867768596</v>
      </c>
      <c r="T1573" s="52">
        <f>R1573*U1573/(U1573+100)</f>
        <v>2.759504132231405</v>
      </c>
      <c r="U1573" s="50">
        <v>21</v>
      </c>
      <c r="V1573" s="53">
        <v>0</v>
      </c>
      <c r="W1573" s="147">
        <v>1</v>
      </c>
      <c r="X1573" s="148" t="s">
        <v>163</v>
      </c>
      <c r="Y1573" s="54">
        <f>R1573*W1573</f>
        <v>15.9</v>
      </c>
      <c r="Z1573" s="52">
        <f>S1573*W1573</f>
        <v>13.140495867768596</v>
      </c>
      <c r="AA1573" s="52">
        <f>T1573*W1573</f>
        <v>2.759504132231405</v>
      </c>
      <c r="AB1573" s="52">
        <f>V1573*W1573</f>
        <v>0</v>
      </c>
      <c r="AC1573" s="53">
        <f>(R1573+V1573)*W1573</f>
        <v>15.9</v>
      </c>
      <c r="AD1573" s="138">
        <v>15.9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107</v>
      </c>
      <c r="F1574" s="96" t="s">
        <v>106</v>
      </c>
      <c r="G1574" s="97">
        <v>46132</v>
      </c>
      <c r="H1574" s="98">
        <v>0.5703472222222222</v>
      </c>
      <c r="I1574" s="50">
        <v>166004753</v>
      </c>
      <c r="J1574" s="96" t="s">
        <v>157</v>
      </c>
      <c r="K1574" s="49" t="s">
        <v>183</v>
      </c>
      <c r="L1574" s="39" t="s">
        <v>184</v>
      </c>
      <c r="M1574" s="49" t="s">
        <v>185</v>
      </c>
      <c r="N1574" s="39" t="s">
        <v>186</v>
      </c>
      <c r="O1574" s="96" t="s">
        <v>988</v>
      </c>
      <c r="P1574" s="49" t="s">
        <v>157</v>
      </c>
      <c r="Q1574" s="96" t="s">
        <v>104</v>
      </c>
      <c r="R1574" s="52">
        <v>1.9</v>
      </c>
      <c r="S1574" s="52">
        <f>R1574-T1574</f>
        <v>1.5702479338842974</v>
      </c>
      <c r="T1574" s="52">
        <f>R1574*U1574/(U1574+100)</f>
        <v>0.32975206611570246</v>
      </c>
      <c r="U1574" s="50">
        <v>21</v>
      </c>
      <c r="V1574" s="53">
        <v>0</v>
      </c>
      <c r="W1574" s="147">
        <v>1</v>
      </c>
      <c r="X1574" s="148" t="s">
        <v>163</v>
      </c>
      <c r="Y1574" s="54">
        <f>R1574*W1574</f>
        <v>1.9</v>
      </c>
      <c r="Z1574" s="52">
        <f>S1574*W1574</f>
        <v>1.5702479338842974</v>
      </c>
      <c r="AA1574" s="52">
        <f>T1574*W1574</f>
        <v>0.32975206611570246</v>
      </c>
      <c r="AB1574" s="52">
        <f>V1574*W1574</f>
        <v>0</v>
      </c>
      <c r="AC1574" s="53">
        <f>(R1574+V1574)*W1574</f>
        <v>1.9</v>
      </c>
      <c r="AD1574" s="138">
        <v>1.9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107</v>
      </c>
      <c r="F1575" s="96" t="s">
        <v>106</v>
      </c>
      <c r="G1575" s="97">
        <v>46132</v>
      </c>
      <c r="H1575" s="98">
        <v>0.5703472222222222</v>
      </c>
      <c r="I1575" s="50">
        <v>166004753</v>
      </c>
      <c r="J1575" s="96" t="s">
        <v>157</v>
      </c>
      <c r="K1575" s="49" t="s">
        <v>1875</v>
      </c>
      <c r="L1575" s="39" t="s">
        <v>1876</v>
      </c>
      <c r="M1575" s="49" t="s">
        <v>277</v>
      </c>
      <c r="N1575" s="39" t="s">
        <v>490</v>
      </c>
      <c r="O1575" s="96" t="s">
        <v>1877</v>
      </c>
      <c r="P1575" s="49" t="s">
        <v>157</v>
      </c>
      <c r="Q1575" s="96" t="s">
        <v>104</v>
      </c>
      <c r="R1575" s="52">
        <v>33.9</v>
      </c>
      <c r="S1575" s="52">
        <f>R1575-T1575</f>
        <v>30.267857142857142</v>
      </c>
      <c r="T1575" s="52">
        <f>R1575*U1575/(U1575+100)</f>
        <v>3.6321428571428567</v>
      </c>
      <c r="U1575" s="50">
        <v>12</v>
      </c>
      <c r="V1575" s="53">
        <v>0</v>
      </c>
      <c r="W1575" s="147">
        <v>1</v>
      </c>
      <c r="X1575" s="148" t="s">
        <v>163</v>
      </c>
      <c r="Y1575" s="54">
        <f>R1575*W1575</f>
        <v>33.9</v>
      </c>
      <c r="Z1575" s="52">
        <f>S1575*W1575</f>
        <v>30.267857142857142</v>
      </c>
      <c r="AA1575" s="52">
        <f>T1575*W1575</f>
        <v>3.6321428571428567</v>
      </c>
      <c r="AB1575" s="52">
        <f>V1575*W1575</f>
        <v>0</v>
      </c>
      <c r="AC1575" s="53">
        <f>(R1575+V1575)*W1575</f>
        <v>33.9</v>
      </c>
      <c r="AD1575" s="138">
        <v>33.9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107</v>
      </c>
      <c r="F1576" s="96" t="s">
        <v>106</v>
      </c>
      <c r="G1576" s="97">
        <v>46132</v>
      </c>
      <c r="H1576" s="98">
        <v>0.5720486111111112</v>
      </c>
      <c r="I1576" s="50">
        <v>166004754</v>
      </c>
      <c r="J1576" s="96" t="s">
        <v>157</v>
      </c>
      <c r="K1576" s="49" t="s">
        <v>815</v>
      </c>
      <c r="L1576" s="39" t="s">
        <v>816</v>
      </c>
      <c r="M1576" s="49" t="s">
        <v>243</v>
      </c>
      <c r="N1576" s="39" t="s">
        <v>244</v>
      </c>
      <c r="O1576" s="96" t="s">
        <v>2675</v>
      </c>
      <c r="P1576" s="49" t="s">
        <v>235</v>
      </c>
      <c r="Q1576" s="96" t="s">
        <v>236</v>
      </c>
      <c r="R1576" s="52">
        <v>29.9</v>
      </c>
      <c r="S1576" s="52">
        <f>R1576-T1576</f>
        <v>26.69642857142857</v>
      </c>
      <c r="T1576" s="52">
        <f>R1576*U1576/(U1576+100)</f>
        <v>3.2035714285714283</v>
      </c>
      <c r="U1576" s="50">
        <v>12</v>
      </c>
      <c r="V1576" s="53">
        <v>0</v>
      </c>
      <c r="W1576" s="147">
        <v>1</v>
      </c>
      <c r="X1576" s="148" t="s">
        <v>163</v>
      </c>
      <c r="Y1576" s="54">
        <f>R1576*W1576</f>
        <v>29.9</v>
      </c>
      <c r="Z1576" s="52">
        <f>S1576*W1576</f>
        <v>26.69642857142857</v>
      </c>
      <c r="AA1576" s="52">
        <f>T1576*W1576</f>
        <v>3.2035714285714283</v>
      </c>
      <c r="AB1576" s="52">
        <f>V1576*W1576</f>
        <v>0</v>
      </c>
      <c r="AC1576" s="53">
        <f>(R1576+V1576)*W1576</f>
        <v>29.9</v>
      </c>
      <c r="AD1576" s="138">
        <v>29.9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107</v>
      </c>
      <c r="F1577" s="96" t="s">
        <v>106</v>
      </c>
      <c r="G1577" s="97">
        <v>46132</v>
      </c>
      <c r="H1577" s="98">
        <v>0.5726388888888889</v>
      </c>
      <c r="I1577" s="50">
        <v>166004755</v>
      </c>
      <c r="J1577" s="96" t="s">
        <v>157</v>
      </c>
      <c r="K1577" s="49" t="s">
        <v>378</v>
      </c>
      <c r="L1577" s="39" t="s">
        <v>379</v>
      </c>
      <c r="M1577" s="49" t="s">
        <v>171</v>
      </c>
      <c r="N1577" s="39" t="s">
        <v>264</v>
      </c>
      <c r="O1577" s="96" t="s">
        <v>2462</v>
      </c>
      <c r="P1577" s="49" t="s">
        <v>157</v>
      </c>
      <c r="Q1577" s="96" t="s">
        <v>104</v>
      </c>
      <c r="R1577" s="52">
        <v>4.5</v>
      </c>
      <c r="S1577" s="52">
        <f>R1577-T1577</f>
        <v>4.017857142857143</v>
      </c>
      <c r="T1577" s="52">
        <f>R1577*U1577/(U1577+100)</f>
        <v>0.48214285714285715</v>
      </c>
      <c r="U1577" s="50">
        <v>12</v>
      </c>
      <c r="V1577" s="53">
        <v>0</v>
      </c>
      <c r="W1577" s="147">
        <v>1</v>
      </c>
      <c r="X1577" s="148" t="s">
        <v>163</v>
      </c>
      <c r="Y1577" s="54">
        <f>R1577*W1577</f>
        <v>4.5</v>
      </c>
      <c r="Z1577" s="52">
        <f>S1577*W1577</f>
        <v>4.017857142857143</v>
      </c>
      <c r="AA1577" s="52">
        <f>T1577*W1577</f>
        <v>0.48214285714285715</v>
      </c>
      <c r="AB1577" s="52">
        <f>V1577*W1577</f>
        <v>0</v>
      </c>
      <c r="AC1577" s="53">
        <f>(R1577+V1577)*W1577</f>
        <v>4.5</v>
      </c>
      <c r="AD1577" s="138">
        <v>4.5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107</v>
      </c>
      <c r="F1578" s="96" t="s">
        <v>106</v>
      </c>
      <c r="G1578" s="97">
        <v>46132</v>
      </c>
      <c r="H1578" s="98">
        <v>0.5726388888888889</v>
      </c>
      <c r="I1578" s="50">
        <v>166004755</v>
      </c>
      <c r="J1578" s="96" t="s">
        <v>157</v>
      </c>
      <c r="K1578" s="49" t="s">
        <v>355</v>
      </c>
      <c r="L1578" s="39" t="s">
        <v>356</v>
      </c>
      <c r="M1578" s="49" t="s">
        <v>171</v>
      </c>
      <c r="N1578" s="39" t="s">
        <v>264</v>
      </c>
      <c r="O1578" s="96" t="s">
        <v>2676</v>
      </c>
      <c r="P1578" s="49" t="s">
        <v>157</v>
      </c>
      <c r="Q1578" s="96" t="s">
        <v>104</v>
      </c>
      <c r="R1578" s="52">
        <v>4.5</v>
      </c>
      <c r="S1578" s="52">
        <f>R1578-T1578</f>
        <v>4.017857142857143</v>
      </c>
      <c r="T1578" s="52">
        <f>R1578*U1578/(U1578+100)</f>
        <v>0.48214285714285715</v>
      </c>
      <c r="U1578" s="50">
        <v>12</v>
      </c>
      <c r="V1578" s="53">
        <v>0</v>
      </c>
      <c r="W1578" s="147">
        <v>1</v>
      </c>
      <c r="X1578" s="148" t="s">
        <v>163</v>
      </c>
      <c r="Y1578" s="54">
        <f>R1578*W1578</f>
        <v>4.5</v>
      </c>
      <c r="Z1578" s="52">
        <f>S1578*W1578</f>
        <v>4.017857142857143</v>
      </c>
      <c r="AA1578" s="52">
        <f>T1578*W1578</f>
        <v>0.48214285714285715</v>
      </c>
      <c r="AB1578" s="52">
        <f>V1578*W1578</f>
        <v>0</v>
      </c>
      <c r="AC1578" s="53">
        <f>(R1578+V1578)*W1578</f>
        <v>4.5</v>
      </c>
      <c r="AD1578" s="138">
        <v>4.5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107</v>
      </c>
      <c r="F1579" s="96" t="s">
        <v>106</v>
      </c>
      <c r="G1579" s="97">
        <v>46132</v>
      </c>
      <c r="H1579" s="98">
        <v>0.5726388888888889</v>
      </c>
      <c r="I1579" s="50">
        <v>166004755</v>
      </c>
      <c r="J1579" s="96" t="s">
        <v>157</v>
      </c>
      <c r="K1579" s="49" t="s">
        <v>380</v>
      </c>
      <c r="L1579" s="39" t="s">
        <v>381</v>
      </c>
      <c r="M1579" s="49" t="s">
        <v>171</v>
      </c>
      <c r="N1579" s="39" t="s">
        <v>264</v>
      </c>
      <c r="O1579" s="96" t="s">
        <v>2677</v>
      </c>
      <c r="P1579" s="49" t="s">
        <v>157</v>
      </c>
      <c r="Q1579" s="96" t="s">
        <v>104</v>
      </c>
      <c r="R1579" s="52">
        <v>4.5</v>
      </c>
      <c r="S1579" s="52">
        <f>R1579-T1579</f>
        <v>4.017857142857143</v>
      </c>
      <c r="T1579" s="52">
        <f>R1579*U1579/(U1579+100)</f>
        <v>0.48214285714285715</v>
      </c>
      <c r="U1579" s="50">
        <v>12</v>
      </c>
      <c r="V1579" s="53">
        <v>0</v>
      </c>
      <c r="W1579" s="147">
        <v>1</v>
      </c>
      <c r="X1579" s="148" t="s">
        <v>163</v>
      </c>
      <c r="Y1579" s="54">
        <f>R1579*W1579</f>
        <v>4.5</v>
      </c>
      <c r="Z1579" s="52">
        <f>S1579*W1579</f>
        <v>4.017857142857143</v>
      </c>
      <c r="AA1579" s="52">
        <f>T1579*W1579</f>
        <v>0.48214285714285715</v>
      </c>
      <c r="AB1579" s="52">
        <f>V1579*W1579</f>
        <v>0</v>
      </c>
      <c r="AC1579" s="53">
        <f>(R1579+V1579)*W1579</f>
        <v>4.5</v>
      </c>
      <c r="AD1579" s="138">
        <v>4.5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107</v>
      </c>
      <c r="F1580" s="96" t="s">
        <v>106</v>
      </c>
      <c r="G1580" s="97">
        <v>46132</v>
      </c>
      <c r="H1580" s="98">
        <v>0.5753125</v>
      </c>
      <c r="I1580" s="50">
        <v>166004756</v>
      </c>
      <c r="J1580" s="96" t="s">
        <v>157</v>
      </c>
      <c r="K1580" s="49" t="s">
        <v>2678</v>
      </c>
      <c r="L1580" s="39" t="s">
        <v>2679</v>
      </c>
      <c r="M1580" s="49" t="s">
        <v>196</v>
      </c>
      <c r="N1580" s="39" t="s">
        <v>747</v>
      </c>
      <c r="O1580" s="96" t="s">
        <v>2680</v>
      </c>
      <c r="P1580" s="49" t="s">
        <v>157</v>
      </c>
      <c r="Q1580" s="96" t="s">
        <v>104</v>
      </c>
      <c r="R1580" s="52">
        <v>12.4</v>
      </c>
      <c r="S1580" s="52">
        <f>R1580-T1580</f>
        <v>11.071428571428571</v>
      </c>
      <c r="T1580" s="52">
        <f>R1580*U1580/(U1580+100)</f>
        <v>1.3285714285714287</v>
      </c>
      <c r="U1580" s="50">
        <v>12</v>
      </c>
      <c r="V1580" s="53">
        <v>0</v>
      </c>
      <c r="W1580" s="147">
        <v>1</v>
      </c>
      <c r="X1580" s="148" t="s">
        <v>163</v>
      </c>
      <c r="Y1580" s="54">
        <f>R1580*W1580</f>
        <v>12.4</v>
      </c>
      <c r="Z1580" s="52">
        <f>S1580*W1580</f>
        <v>11.071428571428571</v>
      </c>
      <c r="AA1580" s="52">
        <f>T1580*W1580</f>
        <v>1.3285714285714287</v>
      </c>
      <c r="AB1580" s="52">
        <f>V1580*W1580</f>
        <v>0</v>
      </c>
      <c r="AC1580" s="53">
        <f>(R1580+V1580)*W1580</f>
        <v>12.4</v>
      </c>
      <c r="AD1580" s="138">
        <v>12.4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107</v>
      </c>
      <c r="F1581" s="96" t="s">
        <v>106</v>
      </c>
      <c r="G1581" s="97">
        <v>46132</v>
      </c>
      <c r="H1581" s="98">
        <v>0.5753125</v>
      </c>
      <c r="I1581" s="50">
        <v>166004756</v>
      </c>
      <c r="J1581" s="96" t="s">
        <v>157</v>
      </c>
      <c r="K1581" s="49" t="s">
        <v>2678</v>
      </c>
      <c r="L1581" s="39" t="s">
        <v>2679</v>
      </c>
      <c r="M1581" s="49" t="s">
        <v>196</v>
      </c>
      <c r="N1581" s="39" t="s">
        <v>747</v>
      </c>
      <c r="O1581" s="96" t="s">
        <v>2680</v>
      </c>
      <c r="P1581" s="49" t="s">
        <v>157</v>
      </c>
      <c r="Q1581" s="96" t="s">
        <v>104</v>
      </c>
      <c r="R1581" s="52">
        <v>12.4</v>
      </c>
      <c r="S1581" s="52">
        <f>R1581-T1581</f>
        <v>11.071428571428571</v>
      </c>
      <c r="T1581" s="52">
        <f>R1581*U1581/(U1581+100)</f>
        <v>1.3285714285714287</v>
      </c>
      <c r="U1581" s="50">
        <v>12</v>
      </c>
      <c r="V1581" s="53">
        <v>0</v>
      </c>
      <c r="W1581" s="147">
        <v>1</v>
      </c>
      <c r="X1581" s="148" t="s">
        <v>163</v>
      </c>
      <c r="Y1581" s="54">
        <f>R1581*W1581</f>
        <v>12.4</v>
      </c>
      <c r="Z1581" s="52">
        <f>S1581*W1581</f>
        <v>11.071428571428571</v>
      </c>
      <c r="AA1581" s="52">
        <f>T1581*W1581</f>
        <v>1.3285714285714287</v>
      </c>
      <c r="AB1581" s="52">
        <f>V1581*W1581</f>
        <v>0</v>
      </c>
      <c r="AC1581" s="53">
        <f>(R1581+V1581)*W1581</f>
        <v>12.4</v>
      </c>
      <c r="AD1581" s="138">
        <v>12.4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107</v>
      </c>
      <c r="F1582" s="96" t="s">
        <v>106</v>
      </c>
      <c r="G1582" s="97">
        <v>46132</v>
      </c>
      <c r="H1582" s="98">
        <v>0.5753125</v>
      </c>
      <c r="I1582" s="50">
        <v>166004756</v>
      </c>
      <c r="J1582" s="96" t="s">
        <v>157</v>
      </c>
      <c r="K1582" s="49" t="s">
        <v>1813</v>
      </c>
      <c r="L1582" s="39" t="s">
        <v>1814</v>
      </c>
      <c r="M1582" s="49" t="s">
        <v>201</v>
      </c>
      <c r="N1582" s="39" t="s">
        <v>609</v>
      </c>
      <c r="O1582" s="96" t="s">
        <v>1815</v>
      </c>
      <c r="P1582" s="49" t="s">
        <v>157</v>
      </c>
      <c r="Q1582" s="96" t="s">
        <v>104</v>
      </c>
      <c r="R1582" s="52">
        <v>13.9</v>
      </c>
      <c r="S1582" s="52">
        <f>R1582-T1582</f>
        <v>12.410714285714286</v>
      </c>
      <c r="T1582" s="52">
        <f>R1582*U1582/(U1582+100)</f>
        <v>1.4892857142857143</v>
      </c>
      <c r="U1582" s="50">
        <v>12</v>
      </c>
      <c r="V1582" s="53">
        <v>0</v>
      </c>
      <c r="W1582" s="147">
        <v>1</v>
      </c>
      <c r="X1582" s="148" t="s">
        <v>163</v>
      </c>
      <c r="Y1582" s="54">
        <f>R1582*W1582</f>
        <v>13.9</v>
      </c>
      <c r="Z1582" s="52">
        <f>S1582*W1582</f>
        <v>12.410714285714286</v>
      </c>
      <c r="AA1582" s="52">
        <f>T1582*W1582</f>
        <v>1.4892857142857143</v>
      </c>
      <c r="AB1582" s="52">
        <f>V1582*W1582</f>
        <v>0</v>
      </c>
      <c r="AC1582" s="53">
        <f>(R1582+V1582)*W1582</f>
        <v>13.9</v>
      </c>
      <c r="AD1582" s="138">
        <v>13.9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107</v>
      </c>
      <c r="F1583" s="96" t="s">
        <v>106</v>
      </c>
      <c r="G1583" s="97">
        <v>46132</v>
      </c>
      <c r="H1583" s="98">
        <v>0.5753125</v>
      </c>
      <c r="I1583" s="50">
        <v>166004756</v>
      </c>
      <c r="J1583" s="96" t="s">
        <v>157</v>
      </c>
      <c r="K1583" s="49" t="s">
        <v>1813</v>
      </c>
      <c r="L1583" s="39" t="s">
        <v>1814</v>
      </c>
      <c r="M1583" s="49" t="s">
        <v>201</v>
      </c>
      <c r="N1583" s="39" t="s">
        <v>609</v>
      </c>
      <c r="O1583" s="96" t="s">
        <v>1815</v>
      </c>
      <c r="P1583" s="49" t="s">
        <v>157</v>
      </c>
      <c r="Q1583" s="96" t="s">
        <v>104</v>
      </c>
      <c r="R1583" s="52">
        <v>13.9</v>
      </c>
      <c r="S1583" s="52">
        <f>R1583-T1583</f>
        <v>12.410714285714286</v>
      </c>
      <c r="T1583" s="52">
        <f>R1583*U1583/(U1583+100)</f>
        <v>1.4892857142857143</v>
      </c>
      <c r="U1583" s="50">
        <v>12</v>
      </c>
      <c r="V1583" s="53">
        <v>0</v>
      </c>
      <c r="W1583" s="147">
        <v>1</v>
      </c>
      <c r="X1583" s="148" t="s">
        <v>163</v>
      </c>
      <c r="Y1583" s="54">
        <f>R1583*W1583</f>
        <v>13.9</v>
      </c>
      <c r="Z1583" s="52">
        <f>S1583*W1583</f>
        <v>12.410714285714286</v>
      </c>
      <c r="AA1583" s="52">
        <f>T1583*W1583</f>
        <v>1.4892857142857143</v>
      </c>
      <c r="AB1583" s="52">
        <f>V1583*W1583</f>
        <v>0</v>
      </c>
      <c r="AC1583" s="53">
        <f>(R1583+V1583)*W1583</f>
        <v>13.9</v>
      </c>
      <c r="AD1583" s="138">
        <v>13.9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107</v>
      </c>
      <c r="F1584" s="96" t="s">
        <v>106</v>
      </c>
      <c r="G1584" s="97">
        <v>46132</v>
      </c>
      <c r="H1584" s="98">
        <v>0.5753125</v>
      </c>
      <c r="I1584" s="50">
        <v>166004756</v>
      </c>
      <c r="J1584" s="96" t="s">
        <v>157</v>
      </c>
      <c r="K1584" s="49" t="s">
        <v>2681</v>
      </c>
      <c r="L1584" s="39" t="s">
        <v>2682</v>
      </c>
      <c r="M1584" s="49" t="s">
        <v>649</v>
      </c>
      <c r="N1584" s="39" t="s">
        <v>838</v>
      </c>
      <c r="O1584" s="96" t="s">
        <v>2683</v>
      </c>
      <c r="P1584" s="49" t="s">
        <v>157</v>
      </c>
      <c r="Q1584" s="96" t="s">
        <v>104</v>
      </c>
      <c r="R1584" s="52">
        <v>27.9</v>
      </c>
      <c r="S1584" s="52">
        <f>R1584-T1584</f>
        <v>24.910714285714285</v>
      </c>
      <c r="T1584" s="52">
        <f>R1584*U1584/(U1584+100)</f>
        <v>2.989285714285714</v>
      </c>
      <c r="U1584" s="50">
        <v>12</v>
      </c>
      <c r="V1584" s="53">
        <v>0</v>
      </c>
      <c r="W1584" s="147">
        <v>1</v>
      </c>
      <c r="X1584" s="148" t="s">
        <v>163</v>
      </c>
      <c r="Y1584" s="54">
        <f>R1584*W1584</f>
        <v>27.9</v>
      </c>
      <c r="Z1584" s="52">
        <f>S1584*W1584</f>
        <v>24.910714285714285</v>
      </c>
      <c r="AA1584" s="52">
        <f>T1584*W1584</f>
        <v>2.989285714285714</v>
      </c>
      <c r="AB1584" s="52">
        <f>V1584*W1584</f>
        <v>0</v>
      </c>
      <c r="AC1584" s="53">
        <f>(R1584+V1584)*W1584</f>
        <v>27.9</v>
      </c>
      <c r="AD1584" s="138">
        <v>27.9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107</v>
      </c>
      <c r="F1585" s="96" t="s">
        <v>106</v>
      </c>
      <c r="G1585" s="97">
        <v>46132</v>
      </c>
      <c r="H1585" s="98">
        <v>0.5753125</v>
      </c>
      <c r="I1585" s="50">
        <v>166004756</v>
      </c>
      <c r="J1585" s="96" t="s">
        <v>157</v>
      </c>
      <c r="K1585" s="49" t="s">
        <v>2504</v>
      </c>
      <c r="L1585" s="39" t="s">
        <v>2505</v>
      </c>
      <c r="M1585" s="49" t="s">
        <v>300</v>
      </c>
      <c r="N1585" s="39" t="s">
        <v>1377</v>
      </c>
      <c r="O1585" s="96" t="s">
        <v>2506</v>
      </c>
      <c r="P1585" s="49" t="s">
        <v>157</v>
      </c>
      <c r="Q1585" s="96" t="s">
        <v>104</v>
      </c>
      <c r="R1585" s="52">
        <v>6.9</v>
      </c>
      <c r="S1585" s="52">
        <f>R1585-T1585</f>
        <v>6.160714285714286</v>
      </c>
      <c r="T1585" s="52">
        <f>R1585*U1585/(U1585+100)</f>
        <v>0.7392857142857144</v>
      </c>
      <c r="U1585" s="50">
        <v>12</v>
      </c>
      <c r="V1585" s="53">
        <v>0</v>
      </c>
      <c r="W1585" s="147">
        <v>1</v>
      </c>
      <c r="X1585" s="148" t="s">
        <v>163</v>
      </c>
      <c r="Y1585" s="54">
        <f>R1585*W1585</f>
        <v>6.9</v>
      </c>
      <c r="Z1585" s="52">
        <f>S1585*W1585</f>
        <v>6.160714285714286</v>
      </c>
      <c r="AA1585" s="52">
        <f>T1585*W1585</f>
        <v>0.7392857142857144</v>
      </c>
      <c r="AB1585" s="52">
        <f>V1585*W1585</f>
        <v>0</v>
      </c>
      <c r="AC1585" s="53">
        <f>(R1585+V1585)*W1585</f>
        <v>6.9</v>
      </c>
      <c r="AD1585" s="138">
        <v>6.9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107</v>
      </c>
      <c r="F1586" s="96" t="s">
        <v>106</v>
      </c>
      <c r="G1586" s="97">
        <v>46132</v>
      </c>
      <c r="H1586" s="98">
        <v>0.5753125</v>
      </c>
      <c r="I1586" s="50">
        <v>166004756</v>
      </c>
      <c r="J1586" s="96" t="s">
        <v>157</v>
      </c>
      <c r="K1586" s="49" t="s">
        <v>2504</v>
      </c>
      <c r="L1586" s="39" t="s">
        <v>2505</v>
      </c>
      <c r="M1586" s="49" t="s">
        <v>300</v>
      </c>
      <c r="N1586" s="39" t="s">
        <v>1377</v>
      </c>
      <c r="O1586" s="96" t="s">
        <v>2506</v>
      </c>
      <c r="P1586" s="49" t="s">
        <v>157</v>
      </c>
      <c r="Q1586" s="96" t="s">
        <v>104</v>
      </c>
      <c r="R1586" s="52">
        <v>6.9</v>
      </c>
      <c r="S1586" s="52">
        <f>R1586-T1586</f>
        <v>6.160714285714286</v>
      </c>
      <c r="T1586" s="52">
        <f>R1586*U1586/(U1586+100)</f>
        <v>0.7392857142857144</v>
      </c>
      <c r="U1586" s="50">
        <v>12</v>
      </c>
      <c r="V1586" s="53">
        <v>0</v>
      </c>
      <c r="W1586" s="147">
        <v>1</v>
      </c>
      <c r="X1586" s="148" t="s">
        <v>163</v>
      </c>
      <c r="Y1586" s="54">
        <f>R1586*W1586</f>
        <v>6.9</v>
      </c>
      <c r="Z1586" s="52">
        <f>S1586*W1586</f>
        <v>6.160714285714286</v>
      </c>
      <c r="AA1586" s="52">
        <f>T1586*W1586</f>
        <v>0.7392857142857144</v>
      </c>
      <c r="AB1586" s="52">
        <f>V1586*W1586</f>
        <v>0</v>
      </c>
      <c r="AC1586" s="53">
        <f>(R1586+V1586)*W1586</f>
        <v>6.9</v>
      </c>
      <c r="AD1586" s="138">
        <v>6.9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107</v>
      </c>
      <c r="F1587" s="96" t="s">
        <v>106</v>
      </c>
      <c r="G1587" s="97">
        <v>46132</v>
      </c>
      <c r="H1587" s="98">
        <v>0.5753125</v>
      </c>
      <c r="I1587" s="50">
        <v>166004756</v>
      </c>
      <c r="J1587" s="96" t="s">
        <v>157</v>
      </c>
      <c r="K1587" s="49" t="s">
        <v>2507</v>
      </c>
      <c r="L1587" s="39" t="s">
        <v>2508</v>
      </c>
      <c r="M1587" s="49" t="s">
        <v>300</v>
      </c>
      <c r="N1587" s="39" t="s">
        <v>1377</v>
      </c>
      <c r="O1587" s="96" t="s">
        <v>2509</v>
      </c>
      <c r="P1587" s="49" t="s">
        <v>157</v>
      </c>
      <c r="Q1587" s="96" t="s">
        <v>104</v>
      </c>
      <c r="R1587" s="52">
        <v>6.9</v>
      </c>
      <c r="S1587" s="52">
        <f>R1587-T1587</f>
        <v>6.160714285714286</v>
      </c>
      <c r="T1587" s="52">
        <f>R1587*U1587/(U1587+100)</f>
        <v>0.7392857142857144</v>
      </c>
      <c r="U1587" s="50">
        <v>12</v>
      </c>
      <c r="V1587" s="53">
        <v>0</v>
      </c>
      <c r="W1587" s="147">
        <v>1</v>
      </c>
      <c r="X1587" s="148" t="s">
        <v>163</v>
      </c>
      <c r="Y1587" s="54">
        <f>R1587*W1587</f>
        <v>6.9</v>
      </c>
      <c r="Z1587" s="52">
        <f>S1587*W1587</f>
        <v>6.160714285714286</v>
      </c>
      <c r="AA1587" s="52">
        <f>T1587*W1587</f>
        <v>0.7392857142857144</v>
      </c>
      <c r="AB1587" s="52">
        <f>V1587*W1587</f>
        <v>0</v>
      </c>
      <c r="AC1587" s="53">
        <f>(R1587+V1587)*W1587</f>
        <v>6.9</v>
      </c>
      <c r="AD1587" s="138">
        <v>6.9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107</v>
      </c>
      <c r="F1588" s="96" t="s">
        <v>106</v>
      </c>
      <c r="G1588" s="97">
        <v>46132</v>
      </c>
      <c r="H1588" s="98">
        <v>0.5753125</v>
      </c>
      <c r="I1588" s="50">
        <v>166004756</v>
      </c>
      <c r="J1588" s="96" t="s">
        <v>157</v>
      </c>
      <c r="K1588" s="49" t="s">
        <v>2507</v>
      </c>
      <c r="L1588" s="39" t="s">
        <v>2508</v>
      </c>
      <c r="M1588" s="49" t="s">
        <v>300</v>
      </c>
      <c r="N1588" s="39" t="s">
        <v>1377</v>
      </c>
      <c r="O1588" s="96" t="s">
        <v>2509</v>
      </c>
      <c r="P1588" s="49" t="s">
        <v>157</v>
      </c>
      <c r="Q1588" s="96" t="s">
        <v>104</v>
      </c>
      <c r="R1588" s="52">
        <v>6.9</v>
      </c>
      <c r="S1588" s="52">
        <f>R1588-T1588</f>
        <v>6.160714285714286</v>
      </c>
      <c r="T1588" s="52">
        <f>R1588*U1588/(U1588+100)</f>
        <v>0.7392857142857144</v>
      </c>
      <c r="U1588" s="50">
        <v>12</v>
      </c>
      <c r="V1588" s="53">
        <v>0</v>
      </c>
      <c r="W1588" s="147">
        <v>1</v>
      </c>
      <c r="X1588" s="148" t="s">
        <v>163</v>
      </c>
      <c r="Y1588" s="54">
        <f>R1588*W1588</f>
        <v>6.9</v>
      </c>
      <c r="Z1588" s="52">
        <f>S1588*W1588</f>
        <v>6.160714285714286</v>
      </c>
      <c r="AA1588" s="52">
        <f>T1588*W1588</f>
        <v>0.7392857142857144</v>
      </c>
      <c r="AB1588" s="52">
        <f>V1588*W1588</f>
        <v>0</v>
      </c>
      <c r="AC1588" s="53">
        <f>(R1588+V1588)*W1588</f>
        <v>6.9</v>
      </c>
      <c r="AD1588" s="138">
        <v>6.9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107</v>
      </c>
      <c r="F1589" s="96" t="s">
        <v>106</v>
      </c>
      <c r="G1589" s="97">
        <v>46132</v>
      </c>
      <c r="H1589" s="98">
        <v>0.5753125</v>
      </c>
      <c r="I1589" s="50">
        <v>166004756</v>
      </c>
      <c r="J1589" s="96" t="s">
        <v>157</v>
      </c>
      <c r="K1589" s="49" t="s">
        <v>507</v>
      </c>
      <c r="L1589" s="39" t="s">
        <v>508</v>
      </c>
      <c r="M1589" s="49" t="s">
        <v>509</v>
      </c>
      <c r="N1589" s="39" t="s">
        <v>256</v>
      </c>
      <c r="O1589" s="96" t="s">
        <v>1024</v>
      </c>
      <c r="P1589" s="49" t="s">
        <v>235</v>
      </c>
      <c r="Q1589" s="96" t="s">
        <v>236</v>
      </c>
      <c r="R1589" s="52">
        <v>15.9</v>
      </c>
      <c r="S1589" s="52">
        <f>R1589-T1589</f>
        <v>13.140495867768596</v>
      </c>
      <c r="T1589" s="52">
        <f>R1589*U1589/(U1589+100)</f>
        <v>2.759504132231405</v>
      </c>
      <c r="U1589" s="50">
        <v>21</v>
      </c>
      <c r="V1589" s="53">
        <v>0</v>
      </c>
      <c r="W1589" s="147">
        <v>6</v>
      </c>
      <c r="X1589" s="148" t="s">
        <v>163</v>
      </c>
      <c r="Y1589" s="54">
        <f>R1589*W1589</f>
        <v>95.4</v>
      </c>
      <c r="Z1589" s="52">
        <f>S1589*W1589</f>
        <v>78.84297520661158</v>
      </c>
      <c r="AA1589" s="52">
        <f>T1589*W1589</f>
        <v>16.55702479338843</v>
      </c>
      <c r="AB1589" s="52">
        <f>V1589*W1589</f>
        <v>0</v>
      </c>
      <c r="AC1589" s="53">
        <f>(R1589+V1589)*W1589</f>
        <v>95.4</v>
      </c>
      <c r="AD1589" s="138">
        <v>15.9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107</v>
      </c>
      <c r="F1590" s="96" t="s">
        <v>106</v>
      </c>
      <c r="G1590" s="97">
        <v>46132</v>
      </c>
      <c r="H1590" s="98">
        <v>0.5753125</v>
      </c>
      <c r="I1590" s="50">
        <v>166004756</v>
      </c>
      <c r="J1590" s="96" t="s">
        <v>157</v>
      </c>
      <c r="K1590" s="49" t="s">
        <v>2684</v>
      </c>
      <c r="L1590" s="39" t="s">
        <v>2685</v>
      </c>
      <c r="M1590" s="49" t="s">
        <v>1452</v>
      </c>
      <c r="N1590" s="39" t="s">
        <v>1131</v>
      </c>
      <c r="O1590" s="96" t="s">
        <v>2686</v>
      </c>
      <c r="P1590" s="49" t="s">
        <v>157</v>
      </c>
      <c r="Q1590" s="96" t="s">
        <v>104</v>
      </c>
      <c r="R1590" s="52">
        <v>64.9</v>
      </c>
      <c r="S1590" s="52">
        <f>R1590-T1590</f>
        <v>53.63636363636364</v>
      </c>
      <c r="T1590" s="52">
        <f>R1590*U1590/(U1590+100)</f>
        <v>11.263636363636364</v>
      </c>
      <c r="U1590" s="50">
        <v>21</v>
      </c>
      <c r="V1590" s="53">
        <v>0</v>
      </c>
      <c r="W1590" s="147">
        <v>1</v>
      </c>
      <c r="X1590" s="148" t="s">
        <v>163</v>
      </c>
      <c r="Y1590" s="54">
        <f>R1590*W1590</f>
        <v>64.9</v>
      </c>
      <c r="Z1590" s="52">
        <f>S1590*W1590</f>
        <v>53.63636363636364</v>
      </c>
      <c r="AA1590" s="52">
        <f>T1590*W1590</f>
        <v>11.263636363636364</v>
      </c>
      <c r="AB1590" s="52">
        <f>V1590*W1590</f>
        <v>0</v>
      </c>
      <c r="AC1590" s="53">
        <f>(R1590+V1590)*W1590</f>
        <v>64.9</v>
      </c>
      <c r="AD1590" s="138">
        <v>64.9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107</v>
      </c>
      <c r="F1591" s="96" t="s">
        <v>106</v>
      </c>
      <c r="G1591" s="97">
        <v>46132</v>
      </c>
      <c r="H1591" s="98">
        <v>0.5753125</v>
      </c>
      <c r="I1591" s="50">
        <v>166004756</v>
      </c>
      <c r="J1591" s="96" t="s">
        <v>157</v>
      </c>
      <c r="K1591" s="49" t="s">
        <v>655</v>
      </c>
      <c r="L1591" s="39" t="s">
        <v>656</v>
      </c>
      <c r="M1591" s="49" t="s">
        <v>190</v>
      </c>
      <c r="N1591" s="39" t="s">
        <v>532</v>
      </c>
      <c r="O1591" s="96" t="s">
        <v>657</v>
      </c>
      <c r="P1591" s="49" t="s">
        <v>157</v>
      </c>
      <c r="Q1591" s="96" t="s">
        <v>104</v>
      </c>
      <c r="R1591" s="52">
        <v>25.13</v>
      </c>
      <c r="S1591" s="52">
        <f>R1591-T1591</f>
        <v>22.4375</v>
      </c>
      <c r="T1591" s="52">
        <f>R1591*U1591/(U1591+100)</f>
        <v>2.6925</v>
      </c>
      <c r="U1591" s="50">
        <v>12</v>
      </c>
      <c r="V1591" s="53">
        <v>0</v>
      </c>
      <c r="W1591" s="147">
        <v>0.702</v>
      </c>
      <c r="X1591" s="148" t="s">
        <v>193</v>
      </c>
      <c r="Y1591" s="54">
        <f>R1591*W1591</f>
        <v>17.64126</v>
      </c>
      <c r="Z1591" s="52">
        <f>S1591*W1591</f>
        <v>15.751124999999998</v>
      </c>
      <c r="AA1591" s="52">
        <f>T1591*W1591</f>
        <v>1.890135</v>
      </c>
      <c r="AB1591" s="52">
        <f>V1591*W1591</f>
        <v>0</v>
      </c>
      <c r="AC1591" s="53">
        <f>(R1591+V1591)*W1591</f>
        <v>17.64126</v>
      </c>
      <c r="AD1591" s="138">
        <v>25.13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107</v>
      </c>
      <c r="F1592" s="96" t="s">
        <v>106</v>
      </c>
      <c r="G1592" s="97">
        <v>46132</v>
      </c>
      <c r="H1592" s="98">
        <v>0.5753125</v>
      </c>
      <c r="I1592" s="50">
        <v>166004756</v>
      </c>
      <c r="J1592" s="96" t="s">
        <v>157</v>
      </c>
      <c r="K1592" s="49" t="s">
        <v>303</v>
      </c>
      <c r="L1592" s="39" t="s">
        <v>304</v>
      </c>
      <c r="M1592" s="49" t="s">
        <v>214</v>
      </c>
      <c r="N1592" s="39" t="s">
        <v>296</v>
      </c>
      <c r="O1592" s="96" t="s">
        <v>305</v>
      </c>
      <c r="P1592" s="49" t="s">
        <v>157</v>
      </c>
      <c r="Q1592" s="96" t="s">
        <v>104</v>
      </c>
      <c r="R1592" s="52">
        <v>11.9</v>
      </c>
      <c r="S1592" s="52">
        <f>R1592-T1592</f>
        <v>10.625</v>
      </c>
      <c r="T1592" s="52">
        <f>R1592*U1592/(U1592+100)</f>
        <v>1.2750000000000001</v>
      </c>
      <c r="U1592" s="50">
        <v>12</v>
      </c>
      <c r="V1592" s="53">
        <v>0</v>
      </c>
      <c r="W1592" s="147">
        <v>2</v>
      </c>
      <c r="X1592" s="148" t="s">
        <v>163</v>
      </c>
      <c r="Y1592" s="54">
        <f>R1592*W1592</f>
        <v>23.8</v>
      </c>
      <c r="Z1592" s="52">
        <f>S1592*W1592</f>
        <v>21.25</v>
      </c>
      <c r="AA1592" s="52">
        <f>T1592*W1592</f>
        <v>2.5500000000000003</v>
      </c>
      <c r="AB1592" s="52">
        <f>V1592*W1592</f>
        <v>0</v>
      </c>
      <c r="AC1592" s="53">
        <f>(R1592+V1592)*W1592</f>
        <v>23.8</v>
      </c>
      <c r="AD1592" s="138">
        <v>11.9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107</v>
      </c>
      <c r="F1593" s="96" t="s">
        <v>106</v>
      </c>
      <c r="G1593" s="97">
        <v>46132</v>
      </c>
      <c r="H1593" s="98">
        <v>0.5753125</v>
      </c>
      <c r="I1593" s="50">
        <v>166004756</v>
      </c>
      <c r="J1593" s="96" t="s">
        <v>157</v>
      </c>
      <c r="K1593" s="49" t="s">
        <v>293</v>
      </c>
      <c r="L1593" s="39" t="s">
        <v>294</v>
      </c>
      <c r="M1593" s="49" t="s">
        <v>295</v>
      </c>
      <c r="N1593" s="39" t="s">
        <v>296</v>
      </c>
      <c r="O1593" s="96" t="s">
        <v>297</v>
      </c>
      <c r="P1593" s="49" t="s">
        <v>157</v>
      </c>
      <c r="Q1593" s="96" t="s">
        <v>104</v>
      </c>
      <c r="R1593" s="52">
        <v>2.9</v>
      </c>
      <c r="S1593" s="52">
        <f>R1593-T1593</f>
        <v>2.5892857142857144</v>
      </c>
      <c r="T1593" s="52">
        <f>R1593*U1593/(U1593+100)</f>
        <v>0.31071428571428567</v>
      </c>
      <c r="U1593" s="50">
        <v>12</v>
      </c>
      <c r="V1593" s="53">
        <v>0</v>
      </c>
      <c r="W1593" s="147">
        <v>6</v>
      </c>
      <c r="X1593" s="148" t="s">
        <v>163</v>
      </c>
      <c r="Y1593" s="54">
        <f>R1593*W1593</f>
        <v>17.4</v>
      </c>
      <c r="Z1593" s="52">
        <f>S1593*W1593</f>
        <v>15.535714285714286</v>
      </c>
      <c r="AA1593" s="52">
        <f>T1593*W1593</f>
        <v>1.8642857142857139</v>
      </c>
      <c r="AB1593" s="52">
        <f>V1593*W1593</f>
        <v>0</v>
      </c>
      <c r="AC1593" s="53">
        <f>(R1593+V1593)*W1593</f>
        <v>17.4</v>
      </c>
      <c r="AD1593" s="138">
        <v>2.9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107</v>
      </c>
      <c r="F1594" s="96" t="s">
        <v>106</v>
      </c>
      <c r="G1594" s="97">
        <v>46132</v>
      </c>
      <c r="H1594" s="98">
        <v>0.575787037037037</v>
      </c>
      <c r="I1594" s="50">
        <v>166004757</v>
      </c>
      <c r="J1594" s="96" t="s">
        <v>157</v>
      </c>
      <c r="K1594" s="49" t="s">
        <v>1269</v>
      </c>
      <c r="L1594" s="39" t="s">
        <v>1270</v>
      </c>
      <c r="M1594" s="49" t="s">
        <v>429</v>
      </c>
      <c r="N1594" s="39" t="s">
        <v>404</v>
      </c>
      <c r="O1594" s="96" t="s">
        <v>1271</v>
      </c>
      <c r="P1594" s="49" t="s">
        <v>235</v>
      </c>
      <c r="Q1594" s="96" t="s">
        <v>236</v>
      </c>
      <c r="R1594" s="52">
        <v>16.9</v>
      </c>
      <c r="S1594" s="52">
        <f>R1594-T1594</f>
        <v>15.089285714285714</v>
      </c>
      <c r="T1594" s="52">
        <f>R1594*U1594/(U1594+100)</f>
        <v>1.8107142857142855</v>
      </c>
      <c r="U1594" s="50">
        <v>12</v>
      </c>
      <c r="V1594" s="53">
        <v>0</v>
      </c>
      <c r="W1594" s="147">
        <v>1</v>
      </c>
      <c r="X1594" s="148" t="s">
        <v>163</v>
      </c>
      <c r="Y1594" s="54">
        <f>R1594*W1594</f>
        <v>16.9</v>
      </c>
      <c r="Z1594" s="52">
        <f>S1594*W1594</f>
        <v>15.089285714285714</v>
      </c>
      <c r="AA1594" s="52">
        <f>T1594*W1594</f>
        <v>1.8107142857142855</v>
      </c>
      <c r="AB1594" s="52">
        <f>V1594*W1594</f>
        <v>0</v>
      </c>
      <c r="AC1594" s="53">
        <f>(R1594+V1594)*W1594</f>
        <v>16.9</v>
      </c>
      <c r="AD1594" s="138">
        <v>16.9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107</v>
      </c>
      <c r="F1595" s="96" t="s">
        <v>106</v>
      </c>
      <c r="G1595" s="97">
        <v>46132</v>
      </c>
      <c r="H1595" s="98">
        <v>0.575787037037037</v>
      </c>
      <c r="I1595" s="50">
        <v>166004757</v>
      </c>
      <c r="J1595" s="96" t="s">
        <v>157</v>
      </c>
      <c r="K1595" s="49" t="s">
        <v>2687</v>
      </c>
      <c r="L1595" s="39" t="s">
        <v>2688</v>
      </c>
      <c r="M1595" s="49" t="s">
        <v>300</v>
      </c>
      <c r="N1595" s="39" t="s">
        <v>1518</v>
      </c>
      <c r="O1595" s="96" t="s">
        <v>2689</v>
      </c>
      <c r="P1595" s="49" t="s">
        <v>157</v>
      </c>
      <c r="Q1595" s="96" t="s">
        <v>104</v>
      </c>
      <c r="R1595" s="52">
        <v>7.9</v>
      </c>
      <c r="S1595" s="52">
        <f>R1595-T1595</f>
        <v>7.053571428571429</v>
      </c>
      <c r="T1595" s="52">
        <f>R1595*U1595/(U1595+100)</f>
        <v>0.8464285714285715</v>
      </c>
      <c r="U1595" s="50">
        <v>12</v>
      </c>
      <c r="V1595" s="53">
        <v>0</v>
      </c>
      <c r="W1595" s="147">
        <v>1</v>
      </c>
      <c r="X1595" s="148" t="s">
        <v>163</v>
      </c>
      <c r="Y1595" s="54">
        <f>R1595*W1595</f>
        <v>7.9</v>
      </c>
      <c r="Z1595" s="52">
        <f>S1595*W1595</f>
        <v>7.053571428571429</v>
      </c>
      <c r="AA1595" s="52">
        <f>T1595*W1595</f>
        <v>0.8464285714285715</v>
      </c>
      <c r="AB1595" s="52">
        <f>V1595*W1595</f>
        <v>0</v>
      </c>
      <c r="AC1595" s="53">
        <f>(R1595+V1595)*W1595</f>
        <v>7.9</v>
      </c>
      <c r="AD1595" s="138">
        <v>7.9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107</v>
      </c>
      <c r="F1596" s="96" t="s">
        <v>106</v>
      </c>
      <c r="G1596" s="97">
        <v>46132</v>
      </c>
      <c r="H1596" s="98">
        <v>0.575787037037037</v>
      </c>
      <c r="I1596" s="50">
        <v>166004757</v>
      </c>
      <c r="J1596" s="96" t="s">
        <v>157</v>
      </c>
      <c r="K1596" s="49" t="s">
        <v>2687</v>
      </c>
      <c r="L1596" s="39" t="s">
        <v>2688</v>
      </c>
      <c r="M1596" s="49" t="s">
        <v>300</v>
      </c>
      <c r="N1596" s="39" t="s">
        <v>1518</v>
      </c>
      <c r="O1596" s="96" t="s">
        <v>2689</v>
      </c>
      <c r="P1596" s="49" t="s">
        <v>157</v>
      </c>
      <c r="Q1596" s="96" t="s">
        <v>104</v>
      </c>
      <c r="R1596" s="52">
        <v>7.9</v>
      </c>
      <c r="S1596" s="52">
        <f>R1596-T1596</f>
        <v>7.053571428571429</v>
      </c>
      <c r="T1596" s="52">
        <f>R1596*U1596/(U1596+100)</f>
        <v>0.8464285714285715</v>
      </c>
      <c r="U1596" s="50">
        <v>12</v>
      </c>
      <c r="V1596" s="53">
        <v>0</v>
      </c>
      <c r="W1596" s="147">
        <v>1</v>
      </c>
      <c r="X1596" s="148" t="s">
        <v>163</v>
      </c>
      <c r="Y1596" s="54">
        <f>R1596*W1596</f>
        <v>7.9</v>
      </c>
      <c r="Z1596" s="52">
        <f>S1596*W1596</f>
        <v>7.053571428571429</v>
      </c>
      <c r="AA1596" s="52">
        <f>T1596*W1596</f>
        <v>0.8464285714285715</v>
      </c>
      <c r="AB1596" s="52">
        <f>V1596*W1596</f>
        <v>0</v>
      </c>
      <c r="AC1596" s="53">
        <f>(R1596+V1596)*W1596</f>
        <v>7.9</v>
      </c>
      <c r="AD1596" s="138">
        <v>7.9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107</v>
      </c>
      <c r="F1597" s="96" t="s">
        <v>106</v>
      </c>
      <c r="G1597" s="97">
        <v>46132</v>
      </c>
      <c r="H1597" s="98">
        <v>0.575787037037037</v>
      </c>
      <c r="I1597" s="50">
        <v>166004757</v>
      </c>
      <c r="J1597" s="96" t="s">
        <v>157</v>
      </c>
      <c r="K1597" s="49" t="s">
        <v>2690</v>
      </c>
      <c r="L1597" s="39" t="s">
        <v>2691</v>
      </c>
      <c r="M1597" s="49" t="s">
        <v>2137</v>
      </c>
      <c r="N1597" s="39" t="s">
        <v>2692</v>
      </c>
      <c r="O1597" s="96" t="s">
        <v>2693</v>
      </c>
      <c r="P1597" s="49" t="s">
        <v>157</v>
      </c>
      <c r="Q1597" s="96" t="s">
        <v>104</v>
      </c>
      <c r="R1597" s="52">
        <v>13.9</v>
      </c>
      <c r="S1597" s="52">
        <f>R1597-T1597</f>
        <v>12.410714285714286</v>
      </c>
      <c r="T1597" s="52">
        <f>R1597*U1597/(U1597+100)</f>
        <v>1.4892857142857143</v>
      </c>
      <c r="U1597" s="50">
        <v>12</v>
      </c>
      <c r="V1597" s="53">
        <v>0</v>
      </c>
      <c r="W1597" s="147">
        <v>1</v>
      </c>
      <c r="X1597" s="148" t="s">
        <v>163</v>
      </c>
      <c r="Y1597" s="54">
        <f>R1597*W1597</f>
        <v>13.9</v>
      </c>
      <c r="Z1597" s="52">
        <f>S1597*W1597</f>
        <v>12.410714285714286</v>
      </c>
      <c r="AA1597" s="52">
        <f>T1597*W1597</f>
        <v>1.4892857142857143</v>
      </c>
      <c r="AB1597" s="52">
        <f>V1597*W1597</f>
        <v>0</v>
      </c>
      <c r="AC1597" s="53">
        <f>(R1597+V1597)*W1597</f>
        <v>13.9</v>
      </c>
      <c r="AD1597" s="138">
        <v>13.9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107</v>
      </c>
      <c r="F1598" s="96" t="s">
        <v>106</v>
      </c>
      <c r="G1598" s="97">
        <v>46132</v>
      </c>
      <c r="H1598" s="98">
        <v>0.575787037037037</v>
      </c>
      <c r="I1598" s="50">
        <v>166004757</v>
      </c>
      <c r="J1598" s="96" t="s">
        <v>157</v>
      </c>
      <c r="K1598" s="49" t="s">
        <v>2690</v>
      </c>
      <c r="L1598" s="39" t="s">
        <v>2691</v>
      </c>
      <c r="M1598" s="49" t="s">
        <v>2137</v>
      </c>
      <c r="N1598" s="39" t="s">
        <v>2692</v>
      </c>
      <c r="O1598" s="96" t="s">
        <v>2693</v>
      </c>
      <c r="P1598" s="49" t="s">
        <v>157</v>
      </c>
      <c r="Q1598" s="96" t="s">
        <v>104</v>
      </c>
      <c r="R1598" s="52">
        <v>13.9</v>
      </c>
      <c r="S1598" s="52">
        <f>R1598-T1598</f>
        <v>12.410714285714286</v>
      </c>
      <c r="T1598" s="52">
        <f>R1598*U1598/(U1598+100)</f>
        <v>1.4892857142857143</v>
      </c>
      <c r="U1598" s="50">
        <v>12</v>
      </c>
      <c r="V1598" s="53">
        <v>0</v>
      </c>
      <c r="W1598" s="147">
        <v>1</v>
      </c>
      <c r="X1598" s="148" t="s">
        <v>163</v>
      </c>
      <c r="Y1598" s="54">
        <f>R1598*W1598</f>
        <v>13.9</v>
      </c>
      <c r="Z1598" s="52">
        <f>S1598*W1598</f>
        <v>12.410714285714286</v>
      </c>
      <c r="AA1598" s="52">
        <f>T1598*W1598</f>
        <v>1.4892857142857143</v>
      </c>
      <c r="AB1598" s="52">
        <f>V1598*W1598</f>
        <v>0</v>
      </c>
      <c r="AC1598" s="53">
        <f>(R1598+V1598)*W1598</f>
        <v>13.9</v>
      </c>
      <c r="AD1598" s="138">
        <v>13.9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107</v>
      </c>
      <c r="F1599" s="96" t="s">
        <v>106</v>
      </c>
      <c r="G1599" s="97">
        <v>46132</v>
      </c>
      <c r="H1599" s="98">
        <v>0.575787037037037</v>
      </c>
      <c r="I1599" s="50">
        <v>166004757</v>
      </c>
      <c r="J1599" s="96" t="s">
        <v>157</v>
      </c>
      <c r="K1599" s="49" t="s">
        <v>1170</v>
      </c>
      <c r="L1599" s="39" t="s">
        <v>1171</v>
      </c>
      <c r="M1599" s="49" t="s">
        <v>429</v>
      </c>
      <c r="N1599" s="39" t="s">
        <v>414</v>
      </c>
      <c r="O1599" s="96" t="s">
        <v>1172</v>
      </c>
      <c r="P1599" s="49" t="s">
        <v>157</v>
      </c>
      <c r="Q1599" s="96" t="s">
        <v>104</v>
      </c>
      <c r="R1599" s="52">
        <v>14.9</v>
      </c>
      <c r="S1599" s="52">
        <f>R1599-T1599</f>
        <v>13.303571428571429</v>
      </c>
      <c r="T1599" s="52">
        <f>R1599*U1599/(U1599+100)</f>
        <v>1.5964285714285715</v>
      </c>
      <c r="U1599" s="50">
        <v>12</v>
      </c>
      <c r="V1599" s="53">
        <v>0</v>
      </c>
      <c r="W1599" s="147">
        <v>1</v>
      </c>
      <c r="X1599" s="148" t="s">
        <v>163</v>
      </c>
      <c r="Y1599" s="54">
        <f>R1599*W1599</f>
        <v>14.9</v>
      </c>
      <c r="Z1599" s="52">
        <f>S1599*W1599</f>
        <v>13.303571428571429</v>
      </c>
      <c r="AA1599" s="52">
        <f>T1599*W1599</f>
        <v>1.5964285714285715</v>
      </c>
      <c r="AB1599" s="52">
        <f>V1599*W1599</f>
        <v>0</v>
      </c>
      <c r="AC1599" s="53">
        <f>(R1599+V1599)*W1599</f>
        <v>14.9</v>
      </c>
      <c r="AD1599" s="138">
        <v>14.9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107</v>
      </c>
      <c r="F1600" s="96" t="s">
        <v>106</v>
      </c>
      <c r="G1600" s="97">
        <v>46132</v>
      </c>
      <c r="H1600" s="98">
        <v>0.575787037037037</v>
      </c>
      <c r="I1600" s="50">
        <v>166004757</v>
      </c>
      <c r="J1600" s="96" t="s">
        <v>157</v>
      </c>
      <c r="K1600" s="49" t="s">
        <v>2694</v>
      </c>
      <c r="L1600" s="39" t="s">
        <v>2695</v>
      </c>
      <c r="M1600" s="49" t="s">
        <v>429</v>
      </c>
      <c r="N1600" s="39" t="s">
        <v>414</v>
      </c>
      <c r="O1600" s="96" t="s">
        <v>2696</v>
      </c>
      <c r="P1600" s="49" t="s">
        <v>157</v>
      </c>
      <c r="Q1600" s="96" t="s">
        <v>104</v>
      </c>
      <c r="R1600" s="52">
        <v>14.9</v>
      </c>
      <c r="S1600" s="52">
        <f>R1600-T1600</f>
        <v>13.303571428571429</v>
      </c>
      <c r="T1600" s="52">
        <f>R1600*U1600/(U1600+100)</f>
        <v>1.5964285714285715</v>
      </c>
      <c r="U1600" s="50">
        <v>12</v>
      </c>
      <c r="V1600" s="53">
        <v>0</v>
      </c>
      <c r="W1600" s="147">
        <v>1</v>
      </c>
      <c r="X1600" s="148" t="s">
        <v>163</v>
      </c>
      <c r="Y1600" s="54">
        <f>R1600*W1600</f>
        <v>14.9</v>
      </c>
      <c r="Z1600" s="52">
        <f>S1600*W1600</f>
        <v>13.303571428571429</v>
      </c>
      <c r="AA1600" s="52">
        <f>T1600*W1600</f>
        <v>1.5964285714285715</v>
      </c>
      <c r="AB1600" s="52">
        <f>V1600*W1600</f>
        <v>0</v>
      </c>
      <c r="AC1600" s="53">
        <f>(R1600+V1600)*W1600</f>
        <v>14.9</v>
      </c>
      <c r="AD1600" s="138">
        <v>14.9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107</v>
      </c>
      <c r="F1601" s="96" t="s">
        <v>106</v>
      </c>
      <c r="G1601" s="97">
        <v>46132</v>
      </c>
      <c r="H1601" s="98">
        <v>0.5762847222222223</v>
      </c>
      <c r="I1601" s="50">
        <v>166004758</v>
      </c>
      <c r="J1601" s="96" t="s">
        <v>157</v>
      </c>
      <c r="K1601" s="49" t="s">
        <v>2697</v>
      </c>
      <c r="L1601" s="39" t="s">
        <v>2698</v>
      </c>
      <c r="M1601" s="49" t="s">
        <v>1095</v>
      </c>
      <c r="N1601" s="39" t="s">
        <v>1124</v>
      </c>
      <c r="O1601" s="96" t="s">
        <v>2699</v>
      </c>
      <c r="P1601" s="49" t="s">
        <v>157</v>
      </c>
      <c r="Q1601" s="96" t="s">
        <v>104</v>
      </c>
      <c r="R1601" s="52">
        <v>10.9</v>
      </c>
      <c r="S1601" s="52">
        <f>R1601-T1601</f>
        <v>9.732142857142858</v>
      </c>
      <c r="T1601" s="52">
        <f>R1601*U1601/(U1601+100)</f>
        <v>1.167857142857143</v>
      </c>
      <c r="U1601" s="50">
        <v>12</v>
      </c>
      <c r="V1601" s="53">
        <v>0</v>
      </c>
      <c r="W1601" s="147">
        <v>1</v>
      </c>
      <c r="X1601" s="148" t="s">
        <v>163</v>
      </c>
      <c r="Y1601" s="54">
        <f>R1601*W1601</f>
        <v>10.9</v>
      </c>
      <c r="Z1601" s="52">
        <f>S1601*W1601</f>
        <v>9.732142857142858</v>
      </c>
      <c r="AA1601" s="52">
        <f>T1601*W1601</f>
        <v>1.167857142857143</v>
      </c>
      <c r="AB1601" s="52">
        <f>V1601*W1601</f>
        <v>0</v>
      </c>
      <c r="AC1601" s="53">
        <f>(R1601+V1601)*W1601</f>
        <v>10.9</v>
      </c>
      <c r="AD1601" s="138">
        <v>10.9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107</v>
      </c>
      <c r="F1602" s="96" t="s">
        <v>106</v>
      </c>
      <c r="G1602" s="97">
        <v>46132</v>
      </c>
      <c r="H1602" s="98">
        <v>0.5765972222222222</v>
      </c>
      <c r="I1602" s="50">
        <v>166004759</v>
      </c>
      <c r="J1602" s="96" t="s">
        <v>157</v>
      </c>
      <c r="K1602" s="49" t="s">
        <v>2700</v>
      </c>
      <c r="L1602" s="39" t="s">
        <v>2701</v>
      </c>
      <c r="M1602" s="49" t="s">
        <v>808</v>
      </c>
      <c r="N1602" s="39" t="s">
        <v>404</v>
      </c>
      <c r="O1602" s="96" t="s">
        <v>2702</v>
      </c>
      <c r="P1602" s="49" t="s">
        <v>157</v>
      </c>
      <c r="Q1602" s="96" t="s">
        <v>104</v>
      </c>
      <c r="R1602" s="52">
        <v>19.9</v>
      </c>
      <c r="S1602" s="52">
        <f>R1602-T1602</f>
        <v>17.767857142857142</v>
      </c>
      <c r="T1602" s="52">
        <f>R1602*U1602/(U1602+100)</f>
        <v>2.132142857142857</v>
      </c>
      <c r="U1602" s="50">
        <v>12</v>
      </c>
      <c r="V1602" s="53">
        <v>0</v>
      </c>
      <c r="W1602" s="147">
        <v>1</v>
      </c>
      <c r="X1602" s="148" t="s">
        <v>163</v>
      </c>
      <c r="Y1602" s="54">
        <f>R1602*W1602</f>
        <v>19.9</v>
      </c>
      <c r="Z1602" s="52">
        <f>S1602*W1602</f>
        <v>17.767857142857142</v>
      </c>
      <c r="AA1602" s="52">
        <f>T1602*W1602</f>
        <v>2.132142857142857</v>
      </c>
      <c r="AB1602" s="52">
        <f>V1602*W1602</f>
        <v>0</v>
      </c>
      <c r="AC1602" s="53">
        <f>(R1602+V1602)*W1602</f>
        <v>19.9</v>
      </c>
      <c r="AD1602" s="138">
        <v>19.9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107</v>
      </c>
      <c r="F1603" s="96" t="s">
        <v>106</v>
      </c>
      <c r="G1603" s="97">
        <v>46132</v>
      </c>
      <c r="H1603" s="98">
        <v>0.5765972222222222</v>
      </c>
      <c r="I1603" s="50">
        <v>166004759</v>
      </c>
      <c r="J1603" s="96" t="s">
        <v>157</v>
      </c>
      <c r="K1603" s="49" t="s">
        <v>1612</v>
      </c>
      <c r="L1603" s="39" t="s">
        <v>1613</v>
      </c>
      <c r="M1603" s="49" t="s">
        <v>190</v>
      </c>
      <c r="N1603" s="39" t="s">
        <v>462</v>
      </c>
      <c r="O1603" s="96" t="s">
        <v>1614</v>
      </c>
      <c r="P1603" s="49" t="s">
        <v>157</v>
      </c>
      <c r="Q1603" s="96" t="s">
        <v>104</v>
      </c>
      <c r="R1603" s="52">
        <v>33.9</v>
      </c>
      <c r="S1603" s="52">
        <f>R1603-T1603</f>
        <v>30.267857142857142</v>
      </c>
      <c r="T1603" s="52">
        <f>R1603*U1603/(U1603+100)</f>
        <v>3.6321428571428567</v>
      </c>
      <c r="U1603" s="50">
        <v>12</v>
      </c>
      <c r="V1603" s="53">
        <v>0</v>
      </c>
      <c r="W1603" s="147">
        <v>1</v>
      </c>
      <c r="X1603" s="148" t="s">
        <v>163</v>
      </c>
      <c r="Y1603" s="54">
        <f>R1603*W1603</f>
        <v>33.9</v>
      </c>
      <c r="Z1603" s="52">
        <f>S1603*W1603</f>
        <v>30.267857142857142</v>
      </c>
      <c r="AA1603" s="52">
        <f>T1603*W1603</f>
        <v>3.6321428571428567</v>
      </c>
      <c r="AB1603" s="52">
        <f>V1603*W1603</f>
        <v>0</v>
      </c>
      <c r="AC1603" s="53">
        <f>(R1603+V1603)*W1603</f>
        <v>33.9</v>
      </c>
      <c r="AD1603" s="138">
        <v>33.9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107</v>
      </c>
      <c r="F1604" s="96" t="s">
        <v>106</v>
      </c>
      <c r="G1604" s="97">
        <v>46132</v>
      </c>
      <c r="H1604" s="98">
        <v>0.5765972222222222</v>
      </c>
      <c r="I1604" s="50">
        <v>166004759</v>
      </c>
      <c r="J1604" s="96" t="s">
        <v>157</v>
      </c>
      <c r="K1604" s="49" t="s">
        <v>293</v>
      </c>
      <c r="L1604" s="39" t="s">
        <v>294</v>
      </c>
      <c r="M1604" s="49" t="s">
        <v>295</v>
      </c>
      <c r="N1604" s="39" t="s">
        <v>296</v>
      </c>
      <c r="O1604" s="96" t="s">
        <v>297</v>
      </c>
      <c r="P1604" s="49" t="s">
        <v>157</v>
      </c>
      <c r="Q1604" s="96" t="s">
        <v>104</v>
      </c>
      <c r="R1604" s="52">
        <v>2.9</v>
      </c>
      <c r="S1604" s="52">
        <f>R1604-T1604</f>
        <v>2.5892857142857144</v>
      </c>
      <c r="T1604" s="52">
        <f>R1604*U1604/(U1604+100)</f>
        <v>0.31071428571428567</v>
      </c>
      <c r="U1604" s="50">
        <v>12</v>
      </c>
      <c r="V1604" s="53">
        <v>0</v>
      </c>
      <c r="W1604" s="147">
        <v>4</v>
      </c>
      <c r="X1604" s="148" t="s">
        <v>163</v>
      </c>
      <c r="Y1604" s="54">
        <f>R1604*W1604</f>
        <v>11.6</v>
      </c>
      <c r="Z1604" s="52">
        <f>S1604*W1604</f>
        <v>10.357142857142858</v>
      </c>
      <c r="AA1604" s="52">
        <f>T1604*W1604</f>
        <v>1.2428571428571427</v>
      </c>
      <c r="AB1604" s="52">
        <f>V1604*W1604</f>
        <v>0</v>
      </c>
      <c r="AC1604" s="53">
        <f>(R1604+V1604)*W1604</f>
        <v>11.6</v>
      </c>
      <c r="AD1604" s="138">
        <v>2.9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107</v>
      </c>
      <c r="F1605" s="96" t="s">
        <v>106</v>
      </c>
      <c r="G1605" s="97">
        <v>46132</v>
      </c>
      <c r="H1605" s="98">
        <v>0.5778009259259259</v>
      </c>
      <c r="I1605" s="50">
        <v>166004760</v>
      </c>
      <c r="J1605" s="96" t="s">
        <v>157</v>
      </c>
      <c r="K1605" s="49" t="s">
        <v>2703</v>
      </c>
      <c r="L1605" s="39" t="s">
        <v>2704</v>
      </c>
      <c r="M1605" s="49" t="s">
        <v>263</v>
      </c>
      <c r="N1605" s="39" t="s">
        <v>264</v>
      </c>
      <c r="O1605" s="96" t="s">
        <v>2705</v>
      </c>
      <c r="P1605" s="49" t="s">
        <v>157</v>
      </c>
      <c r="Q1605" s="96" t="s">
        <v>104</v>
      </c>
      <c r="R1605" s="52">
        <v>37.9</v>
      </c>
      <c r="S1605" s="52">
        <f>R1605-T1605</f>
        <v>33.839285714285715</v>
      </c>
      <c r="T1605" s="52">
        <f>R1605*U1605/(U1605+100)</f>
        <v>4.060714285714285</v>
      </c>
      <c r="U1605" s="50">
        <v>12</v>
      </c>
      <c r="V1605" s="53">
        <v>0</v>
      </c>
      <c r="W1605" s="147">
        <v>1</v>
      </c>
      <c r="X1605" s="148" t="s">
        <v>163</v>
      </c>
      <c r="Y1605" s="54">
        <f>R1605*W1605</f>
        <v>37.9</v>
      </c>
      <c r="Z1605" s="52">
        <f>S1605*W1605</f>
        <v>33.839285714285715</v>
      </c>
      <c r="AA1605" s="52">
        <f>T1605*W1605</f>
        <v>4.060714285714285</v>
      </c>
      <c r="AB1605" s="52">
        <f>V1605*W1605</f>
        <v>0</v>
      </c>
      <c r="AC1605" s="53">
        <f>(R1605+V1605)*W1605</f>
        <v>37.9</v>
      </c>
      <c r="AD1605" s="138">
        <v>37.9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107</v>
      </c>
      <c r="F1606" s="96" t="s">
        <v>106</v>
      </c>
      <c r="G1606" s="97">
        <v>46132</v>
      </c>
      <c r="H1606" s="98">
        <v>0.5778009259259259</v>
      </c>
      <c r="I1606" s="50">
        <v>166004760</v>
      </c>
      <c r="J1606" s="96" t="s">
        <v>157</v>
      </c>
      <c r="K1606" s="49" t="s">
        <v>316</v>
      </c>
      <c r="L1606" s="39" t="s">
        <v>317</v>
      </c>
      <c r="M1606" s="49" t="s">
        <v>318</v>
      </c>
      <c r="N1606" s="39" t="s">
        <v>319</v>
      </c>
      <c r="O1606" s="96" t="s">
        <v>1569</v>
      </c>
      <c r="P1606" s="49" t="s">
        <v>157</v>
      </c>
      <c r="Q1606" s="96" t="s">
        <v>104</v>
      </c>
      <c r="R1606" s="52">
        <v>39.9</v>
      </c>
      <c r="S1606" s="52">
        <f>R1606-T1606</f>
        <v>35.625</v>
      </c>
      <c r="T1606" s="52">
        <f>R1606*U1606/(U1606+100)</f>
        <v>4.2749999999999995</v>
      </c>
      <c r="U1606" s="50">
        <v>12</v>
      </c>
      <c r="V1606" s="53">
        <v>0</v>
      </c>
      <c r="W1606" s="147">
        <v>1</v>
      </c>
      <c r="X1606" s="148" t="s">
        <v>163</v>
      </c>
      <c r="Y1606" s="54">
        <f>R1606*W1606</f>
        <v>39.9</v>
      </c>
      <c r="Z1606" s="52">
        <f>S1606*W1606</f>
        <v>35.625</v>
      </c>
      <c r="AA1606" s="52">
        <f>T1606*W1606</f>
        <v>4.2749999999999995</v>
      </c>
      <c r="AB1606" s="52">
        <f>V1606*W1606</f>
        <v>0</v>
      </c>
      <c r="AC1606" s="53">
        <f>(R1606+V1606)*W1606</f>
        <v>39.9</v>
      </c>
      <c r="AD1606" s="138">
        <v>39.9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107</v>
      </c>
      <c r="F1607" s="96" t="s">
        <v>106</v>
      </c>
      <c r="G1607" s="97">
        <v>46132</v>
      </c>
      <c r="H1607" s="98">
        <v>0.5778009259259259</v>
      </c>
      <c r="I1607" s="50">
        <v>166004760</v>
      </c>
      <c r="J1607" s="96" t="s">
        <v>157</v>
      </c>
      <c r="K1607" s="49" t="s">
        <v>2583</v>
      </c>
      <c r="L1607" s="39" t="s">
        <v>2584</v>
      </c>
      <c r="M1607" s="49" t="s">
        <v>1428</v>
      </c>
      <c r="N1607" s="39" t="s">
        <v>609</v>
      </c>
      <c r="O1607" s="96" t="s">
        <v>2585</v>
      </c>
      <c r="P1607" s="49" t="s">
        <v>157</v>
      </c>
      <c r="Q1607" s="96" t="s">
        <v>104</v>
      </c>
      <c r="R1607" s="52">
        <v>13.9</v>
      </c>
      <c r="S1607" s="52">
        <f>R1607-T1607</f>
        <v>12.410714285714286</v>
      </c>
      <c r="T1607" s="52">
        <f>R1607*U1607/(U1607+100)</f>
        <v>1.4892857142857143</v>
      </c>
      <c r="U1607" s="50">
        <v>12</v>
      </c>
      <c r="V1607" s="53">
        <v>0</v>
      </c>
      <c r="W1607" s="147">
        <v>1</v>
      </c>
      <c r="X1607" s="148" t="s">
        <v>163</v>
      </c>
      <c r="Y1607" s="54">
        <f>R1607*W1607</f>
        <v>13.9</v>
      </c>
      <c r="Z1607" s="52">
        <f>S1607*W1607</f>
        <v>12.410714285714286</v>
      </c>
      <c r="AA1607" s="52">
        <f>T1607*W1607</f>
        <v>1.4892857142857143</v>
      </c>
      <c r="AB1607" s="52">
        <f>V1607*W1607</f>
        <v>0</v>
      </c>
      <c r="AC1607" s="53">
        <f>(R1607+V1607)*W1607</f>
        <v>13.9</v>
      </c>
      <c r="AD1607" s="138">
        <v>13.9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107</v>
      </c>
      <c r="F1608" s="96" t="s">
        <v>106</v>
      </c>
      <c r="G1608" s="97">
        <v>46132</v>
      </c>
      <c r="H1608" s="98">
        <v>0.5778009259259259</v>
      </c>
      <c r="I1608" s="50">
        <v>166004760</v>
      </c>
      <c r="J1608" s="96" t="s">
        <v>157</v>
      </c>
      <c r="K1608" s="49" t="s">
        <v>2583</v>
      </c>
      <c r="L1608" s="39" t="s">
        <v>2584</v>
      </c>
      <c r="M1608" s="49" t="s">
        <v>1428</v>
      </c>
      <c r="N1608" s="39" t="s">
        <v>609</v>
      </c>
      <c r="O1608" s="96" t="s">
        <v>2585</v>
      </c>
      <c r="P1608" s="49" t="s">
        <v>157</v>
      </c>
      <c r="Q1608" s="96" t="s">
        <v>104</v>
      </c>
      <c r="R1608" s="52">
        <v>13.9</v>
      </c>
      <c r="S1608" s="52">
        <f>R1608-T1608</f>
        <v>12.410714285714286</v>
      </c>
      <c r="T1608" s="52">
        <f>R1608*U1608/(U1608+100)</f>
        <v>1.4892857142857143</v>
      </c>
      <c r="U1608" s="50">
        <v>12</v>
      </c>
      <c r="V1608" s="53">
        <v>0</v>
      </c>
      <c r="W1608" s="147">
        <v>1</v>
      </c>
      <c r="X1608" s="148" t="s">
        <v>163</v>
      </c>
      <c r="Y1608" s="54">
        <f>R1608*W1608</f>
        <v>13.9</v>
      </c>
      <c r="Z1608" s="52">
        <f>S1608*W1608</f>
        <v>12.410714285714286</v>
      </c>
      <c r="AA1608" s="52">
        <f>T1608*W1608</f>
        <v>1.4892857142857143</v>
      </c>
      <c r="AB1608" s="52">
        <f>V1608*W1608</f>
        <v>0</v>
      </c>
      <c r="AC1608" s="53">
        <f>(R1608+V1608)*W1608</f>
        <v>13.9</v>
      </c>
      <c r="AD1608" s="138">
        <v>13.9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107</v>
      </c>
      <c r="F1609" s="96" t="s">
        <v>106</v>
      </c>
      <c r="G1609" s="97">
        <v>46132</v>
      </c>
      <c r="H1609" s="98">
        <v>0.5778009259259259</v>
      </c>
      <c r="I1609" s="50">
        <v>166004760</v>
      </c>
      <c r="J1609" s="96" t="s">
        <v>157</v>
      </c>
      <c r="K1609" s="49" t="s">
        <v>2583</v>
      </c>
      <c r="L1609" s="39" t="s">
        <v>2584</v>
      </c>
      <c r="M1609" s="49" t="s">
        <v>1428</v>
      </c>
      <c r="N1609" s="39" t="s">
        <v>609</v>
      </c>
      <c r="O1609" s="96" t="s">
        <v>2585</v>
      </c>
      <c r="P1609" s="49" t="s">
        <v>157</v>
      </c>
      <c r="Q1609" s="96" t="s">
        <v>104</v>
      </c>
      <c r="R1609" s="52">
        <v>13.9</v>
      </c>
      <c r="S1609" s="52">
        <f>R1609-T1609</f>
        <v>12.410714285714286</v>
      </c>
      <c r="T1609" s="52">
        <f>R1609*U1609/(U1609+100)</f>
        <v>1.4892857142857143</v>
      </c>
      <c r="U1609" s="50">
        <v>12</v>
      </c>
      <c r="V1609" s="53">
        <v>0</v>
      </c>
      <c r="W1609" s="147">
        <v>1</v>
      </c>
      <c r="X1609" s="148" t="s">
        <v>163</v>
      </c>
      <c r="Y1609" s="54">
        <f>R1609*W1609</f>
        <v>13.9</v>
      </c>
      <c r="Z1609" s="52">
        <f>S1609*W1609</f>
        <v>12.410714285714286</v>
      </c>
      <c r="AA1609" s="52">
        <f>T1609*W1609</f>
        <v>1.4892857142857143</v>
      </c>
      <c r="AB1609" s="52">
        <f>V1609*W1609</f>
        <v>0</v>
      </c>
      <c r="AC1609" s="53">
        <f>(R1609+V1609)*W1609</f>
        <v>13.9</v>
      </c>
      <c r="AD1609" s="138">
        <v>13.9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107</v>
      </c>
      <c r="F1610" s="96" t="s">
        <v>106</v>
      </c>
      <c r="G1610" s="97">
        <v>46132</v>
      </c>
      <c r="H1610" s="98">
        <v>0.5778009259259259</v>
      </c>
      <c r="I1610" s="50">
        <v>166004760</v>
      </c>
      <c r="J1610" s="96" t="s">
        <v>157</v>
      </c>
      <c r="K1610" s="49" t="s">
        <v>2586</v>
      </c>
      <c r="L1610" s="39" t="s">
        <v>2587</v>
      </c>
      <c r="M1610" s="49" t="s">
        <v>1428</v>
      </c>
      <c r="N1610" s="39" t="s">
        <v>609</v>
      </c>
      <c r="O1610" s="96" t="s">
        <v>2588</v>
      </c>
      <c r="P1610" s="49" t="s">
        <v>157</v>
      </c>
      <c r="Q1610" s="96" t="s">
        <v>104</v>
      </c>
      <c r="R1610" s="52">
        <v>13.9</v>
      </c>
      <c r="S1610" s="52">
        <f>R1610-T1610</f>
        <v>12.410714285714286</v>
      </c>
      <c r="T1610" s="52">
        <f>R1610*U1610/(U1610+100)</f>
        <v>1.4892857142857143</v>
      </c>
      <c r="U1610" s="50">
        <v>12</v>
      </c>
      <c r="V1610" s="53">
        <v>0</v>
      </c>
      <c r="W1610" s="147">
        <v>1</v>
      </c>
      <c r="X1610" s="148" t="s">
        <v>163</v>
      </c>
      <c r="Y1610" s="54">
        <f>R1610*W1610</f>
        <v>13.9</v>
      </c>
      <c r="Z1610" s="52">
        <f>S1610*W1610</f>
        <v>12.410714285714286</v>
      </c>
      <c r="AA1610" s="52">
        <f>T1610*W1610</f>
        <v>1.4892857142857143</v>
      </c>
      <c r="AB1610" s="52">
        <f>V1610*W1610</f>
        <v>0</v>
      </c>
      <c r="AC1610" s="53">
        <f>(R1610+V1610)*W1610</f>
        <v>13.9</v>
      </c>
      <c r="AD1610" s="138">
        <v>13.9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107</v>
      </c>
      <c r="F1611" s="96" t="s">
        <v>106</v>
      </c>
      <c r="G1611" s="97">
        <v>46132</v>
      </c>
      <c r="H1611" s="98">
        <v>0.5778009259259259</v>
      </c>
      <c r="I1611" s="50">
        <v>166004760</v>
      </c>
      <c r="J1611" s="96" t="s">
        <v>157</v>
      </c>
      <c r="K1611" s="49" t="s">
        <v>901</v>
      </c>
      <c r="L1611" s="39" t="s">
        <v>902</v>
      </c>
      <c r="M1611" s="49" t="s">
        <v>201</v>
      </c>
      <c r="N1611" s="39" t="s">
        <v>609</v>
      </c>
      <c r="O1611" s="96" t="s">
        <v>1816</v>
      </c>
      <c r="P1611" s="49" t="s">
        <v>157</v>
      </c>
      <c r="Q1611" s="96" t="s">
        <v>104</v>
      </c>
      <c r="R1611" s="52">
        <v>13.9</v>
      </c>
      <c r="S1611" s="52">
        <f>R1611-T1611</f>
        <v>12.410714285714286</v>
      </c>
      <c r="T1611" s="52">
        <f>R1611*U1611/(U1611+100)</f>
        <v>1.4892857142857143</v>
      </c>
      <c r="U1611" s="50">
        <v>12</v>
      </c>
      <c r="V1611" s="53">
        <v>0</v>
      </c>
      <c r="W1611" s="147">
        <v>1</v>
      </c>
      <c r="X1611" s="148" t="s">
        <v>163</v>
      </c>
      <c r="Y1611" s="54">
        <f>R1611*W1611</f>
        <v>13.9</v>
      </c>
      <c r="Z1611" s="52">
        <f>S1611*W1611</f>
        <v>12.410714285714286</v>
      </c>
      <c r="AA1611" s="52">
        <f>T1611*W1611</f>
        <v>1.4892857142857143</v>
      </c>
      <c r="AB1611" s="52">
        <f>V1611*W1611</f>
        <v>0</v>
      </c>
      <c r="AC1611" s="53">
        <f>(R1611+V1611)*W1611</f>
        <v>13.9</v>
      </c>
      <c r="AD1611" s="138">
        <v>13.9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107</v>
      </c>
      <c r="F1612" s="96" t="s">
        <v>106</v>
      </c>
      <c r="G1612" s="97">
        <v>46132</v>
      </c>
      <c r="H1612" s="98">
        <v>0.5778009259259259</v>
      </c>
      <c r="I1612" s="50">
        <v>166004760</v>
      </c>
      <c r="J1612" s="96" t="s">
        <v>157</v>
      </c>
      <c r="K1612" s="49" t="s">
        <v>1136</v>
      </c>
      <c r="L1612" s="39" t="s">
        <v>1137</v>
      </c>
      <c r="M1612" s="49" t="s">
        <v>201</v>
      </c>
      <c r="N1612" s="39" t="s">
        <v>609</v>
      </c>
      <c r="O1612" s="96" t="s">
        <v>1138</v>
      </c>
      <c r="P1612" s="49" t="s">
        <v>157</v>
      </c>
      <c r="Q1612" s="96" t="s">
        <v>104</v>
      </c>
      <c r="R1612" s="52">
        <v>13.9</v>
      </c>
      <c r="S1612" s="52">
        <f>R1612-T1612</f>
        <v>12.410714285714286</v>
      </c>
      <c r="T1612" s="52">
        <f>R1612*U1612/(U1612+100)</f>
        <v>1.4892857142857143</v>
      </c>
      <c r="U1612" s="50">
        <v>12</v>
      </c>
      <c r="V1612" s="53">
        <v>0</v>
      </c>
      <c r="W1612" s="147">
        <v>1</v>
      </c>
      <c r="X1612" s="148" t="s">
        <v>163</v>
      </c>
      <c r="Y1612" s="54">
        <f>R1612*W1612</f>
        <v>13.9</v>
      </c>
      <c r="Z1612" s="52">
        <f>S1612*W1612</f>
        <v>12.410714285714286</v>
      </c>
      <c r="AA1612" s="52">
        <f>T1612*W1612</f>
        <v>1.4892857142857143</v>
      </c>
      <c r="AB1612" s="52">
        <f>V1612*W1612</f>
        <v>0</v>
      </c>
      <c r="AC1612" s="53">
        <f>(R1612+V1612)*W1612</f>
        <v>13.9</v>
      </c>
      <c r="AD1612" s="138">
        <v>13.9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107</v>
      </c>
      <c r="F1613" s="96" t="s">
        <v>106</v>
      </c>
      <c r="G1613" s="97">
        <v>46132</v>
      </c>
      <c r="H1613" s="98">
        <v>0.5778009259259259</v>
      </c>
      <c r="I1613" s="50">
        <v>166004760</v>
      </c>
      <c r="J1613" s="96" t="s">
        <v>157</v>
      </c>
      <c r="K1613" s="49" t="s">
        <v>1136</v>
      </c>
      <c r="L1613" s="39" t="s">
        <v>1137</v>
      </c>
      <c r="M1613" s="49" t="s">
        <v>201</v>
      </c>
      <c r="N1613" s="39" t="s">
        <v>609</v>
      </c>
      <c r="O1613" s="96" t="s">
        <v>1138</v>
      </c>
      <c r="P1613" s="49" t="s">
        <v>157</v>
      </c>
      <c r="Q1613" s="96" t="s">
        <v>104</v>
      </c>
      <c r="R1613" s="52">
        <v>13.9</v>
      </c>
      <c r="S1613" s="52">
        <f>R1613-T1613</f>
        <v>12.410714285714286</v>
      </c>
      <c r="T1613" s="52">
        <f>R1613*U1613/(U1613+100)</f>
        <v>1.4892857142857143</v>
      </c>
      <c r="U1613" s="50">
        <v>12</v>
      </c>
      <c r="V1613" s="53">
        <v>0</v>
      </c>
      <c r="W1613" s="147">
        <v>1</v>
      </c>
      <c r="X1613" s="148" t="s">
        <v>163</v>
      </c>
      <c r="Y1613" s="54">
        <f>R1613*W1613</f>
        <v>13.9</v>
      </c>
      <c r="Z1613" s="52">
        <f>S1613*W1613</f>
        <v>12.410714285714286</v>
      </c>
      <c r="AA1613" s="52">
        <f>T1613*W1613</f>
        <v>1.4892857142857143</v>
      </c>
      <c r="AB1613" s="52">
        <f>V1613*W1613</f>
        <v>0</v>
      </c>
      <c r="AC1613" s="53">
        <f>(R1613+V1613)*W1613</f>
        <v>13.9</v>
      </c>
      <c r="AD1613" s="138">
        <v>13.9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107</v>
      </c>
      <c r="F1614" s="96" t="s">
        <v>106</v>
      </c>
      <c r="G1614" s="97">
        <v>46132</v>
      </c>
      <c r="H1614" s="98">
        <v>0.5778009259259259</v>
      </c>
      <c r="I1614" s="50">
        <v>166004760</v>
      </c>
      <c r="J1614" s="96" t="s">
        <v>157</v>
      </c>
      <c r="K1614" s="49" t="s">
        <v>1616</v>
      </c>
      <c r="L1614" s="39" t="s">
        <v>1617</v>
      </c>
      <c r="M1614" s="49" t="s">
        <v>649</v>
      </c>
      <c r="N1614" s="39" t="s">
        <v>1618</v>
      </c>
      <c r="O1614" s="96" t="s">
        <v>1619</v>
      </c>
      <c r="P1614" s="49" t="s">
        <v>157</v>
      </c>
      <c r="Q1614" s="96" t="s">
        <v>104</v>
      </c>
      <c r="R1614" s="52">
        <v>27.9</v>
      </c>
      <c r="S1614" s="52">
        <f>R1614-T1614</f>
        <v>24.910714285714285</v>
      </c>
      <c r="T1614" s="52">
        <f>R1614*U1614/(U1614+100)</f>
        <v>2.989285714285714</v>
      </c>
      <c r="U1614" s="50">
        <v>12</v>
      </c>
      <c r="V1614" s="53">
        <v>0</v>
      </c>
      <c r="W1614" s="147">
        <v>1</v>
      </c>
      <c r="X1614" s="148" t="s">
        <v>163</v>
      </c>
      <c r="Y1614" s="54">
        <f>R1614*W1614</f>
        <v>27.9</v>
      </c>
      <c r="Z1614" s="52">
        <f>S1614*W1614</f>
        <v>24.910714285714285</v>
      </c>
      <c r="AA1614" s="52">
        <f>T1614*W1614</f>
        <v>2.989285714285714</v>
      </c>
      <c r="AB1614" s="52">
        <f>V1614*W1614</f>
        <v>0</v>
      </c>
      <c r="AC1614" s="53">
        <f>(R1614+V1614)*W1614</f>
        <v>27.9</v>
      </c>
      <c r="AD1614" s="138">
        <v>27.9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107</v>
      </c>
      <c r="F1615" s="96" t="s">
        <v>106</v>
      </c>
      <c r="G1615" s="97">
        <v>46132</v>
      </c>
      <c r="H1615" s="98">
        <v>0.5778009259259259</v>
      </c>
      <c r="I1615" s="50">
        <v>166004760</v>
      </c>
      <c r="J1615" s="96" t="s">
        <v>157</v>
      </c>
      <c r="K1615" s="49" t="s">
        <v>2681</v>
      </c>
      <c r="L1615" s="39" t="s">
        <v>2682</v>
      </c>
      <c r="M1615" s="49" t="s">
        <v>649</v>
      </c>
      <c r="N1615" s="39" t="s">
        <v>838</v>
      </c>
      <c r="O1615" s="96" t="s">
        <v>2683</v>
      </c>
      <c r="P1615" s="49" t="s">
        <v>157</v>
      </c>
      <c r="Q1615" s="96" t="s">
        <v>104</v>
      </c>
      <c r="R1615" s="52">
        <v>27.9</v>
      </c>
      <c r="S1615" s="52">
        <f>R1615-T1615</f>
        <v>24.910714285714285</v>
      </c>
      <c r="T1615" s="52">
        <f>R1615*U1615/(U1615+100)</f>
        <v>2.989285714285714</v>
      </c>
      <c r="U1615" s="50">
        <v>12</v>
      </c>
      <c r="V1615" s="53">
        <v>0</v>
      </c>
      <c r="W1615" s="147">
        <v>1</v>
      </c>
      <c r="X1615" s="148" t="s">
        <v>163</v>
      </c>
      <c r="Y1615" s="54">
        <f>R1615*W1615</f>
        <v>27.9</v>
      </c>
      <c r="Z1615" s="52">
        <f>S1615*W1615</f>
        <v>24.910714285714285</v>
      </c>
      <c r="AA1615" s="52">
        <f>T1615*W1615</f>
        <v>2.989285714285714</v>
      </c>
      <c r="AB1615" s="52">
        <f>V1615*W1615</f>
        <v>0</v>
      </c>
      <c r="AC1615" s="53">
        <f>(R1615+V1615)*W1615</f>
        <v>27.9</v>
      </c>
      <c r="AD1615" s="138">
        <v>27.9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107</v>
      </c>
      <c r="F1616" s="96" t="s">
        <v>106</v>
      </c>
      <c r="G1616" s="97">
        <v>46132</v>
      </c>
      <c r="H1616" s="98">
        <v>0.5778009259259259</v>
      </c>
      <c r="I1616" s="50">
        <v>166004760</v>
      </c>
      <c r="J1616" s="96" t="s">
        <v>157</v>
      </c>
      <c r="K1616" s="49" t="s">
        <v>2706</v>
      </c>
      <c r="L1616" s="39" t="s">
        <v>2707</v>
      </c>
      <c r="M1616" s="49" t="s">
        <v>277</v>
      </c>
      <c r="N1616" s="39" t="s">
        <v>1732</v>
      </c>
      <c r="O1616" s="96" t="s">
        <v>2708</v>
      </c>
      <c r="P1616" s="49" t="s">
        <v>157</v>
      </c>
      <c r="Q1616" s="96" t="s">
        <v>104</v>
      </c>
      <c r="R1616" s="52">
        <v>69.9</v>
      </c>
      <c r="S1616" s="52">
        <f>R1616-T1616</f>
        <v>62.41071428571429</v>
      </c>
      <c r="T1616" s="52">
        <f>R1616*U1616/(U1616+100)</f>
        <v>7.489285714285715</v>
      </c>
      <c r="U1616" s="50">
        <v>12</v>
      </c>
      <c r="V1616" s="53">
        <v>0</v>
      </c>
      <c r="W1616" s="147">
        <v>1</v>
      </c>
      <c r="X1616" s="148" t="s">
        <v>163</v>
      </c>
      <c r="Y1616" s="54">
        <f>R1616*W1616</f>
        <v>69.9</v>
      </c>
      <c r="Z1616" s="52">
        <f>S1616*W1616</f>
        <v>62.41071428571429</v>
      </c>
      <c r="AA1616" s="52">
        <f>T1616*W1616</f>
        <v>7.489285714285715</v>
      </c>
      <c r="AB1616" s="52">
        <f>V1616*W1616</f>
        <v>0</v>
      </c>
      <c r="AC1616" s="53">
        <f>(R1616+V1616)*W1616</f>
        <v>69.9</v>
      </c>
      <c r="AD1616" s="138">
        <v>69.9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107</v>
      </c>
      <c r="F1617" s="96" t="s">
        <v>106</v>
      </c>
      <c r="G1617" s="97">
        <v>46132</v>
      </c>
      <c r="H1617" s="98">
        <v>0.5778009259259259</v>
      </c>
      <c r="I1617" s="50">
        <v>166004760</v>
      </c>
      <c r="J1617" s="96" t="s">
        <v>157</v>
      </c>
      <c r="K1617" s="49" t="s">
        <v>553</v>
      </c>
      <c r="L1617" s="39" t="s">
        <v>104</v>
      </c>
      <c r="M1617" s="49" t="s">
        <v>554</v>
      </c>
      <c r="N1617" s="39" t="s">
        <v>296</v>
      </c>
      <c r="O1617" s="96" t="s">
        <v>555</v>
      </c>
      <c r="P1617" s="49" t="s">
        <v>157</v>
      </c>
      <c r="Q1617" s="96" t="s">
        <v>104</v>
      </c>
      <c r="R1617" s="52">
        <v>8.9</v>
      </c>
      <c r="S1617" s="52">
        <f>R1617-T1617</f>
        <v>7.946428571428572</v>
      </c>
      <c r="T1617" s="52">
        <f>R1617*U1617/(U1617+100)</f>
        <v>0.9535714285714286</v>
      </c>
      <c r="U1617" s="50">
        <v>12</v>
      </c>
      <c r="V1617" s="53">
        <v>0</v>
      </c>
      <c r="W1617" s="147">
        <v>4</v>
      </c>
      <c r="X1617" s="148" t="s">
        <v>163</v>
      </c>
      <c r="Y1617" s="54">
        <f>R1617*W1617</f>
        <v>35.6</v>
      </c>
      <c r="Z1617" s="52">
        <f>S1617*W1617</f>
        <v>31.78571428571429</v>
      </c>
      <c r="AA1617" s="52">
        <f>T1617*W1617</f>
        <v>3.8142857142857145</v>
      </c>
      <c r="AB1617" s="52">
        <f>V1617*W1617</f>
        <v>0</v>
      </c>
      <c r="AC1617" s="53">
        <f>(R1617+V1617)*W1617</f>
        <v>35.6</v>
      </c>
      <c r="AD1617" s="138">
        <v>8.9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107</v>
      </c>
      <c r="F1618" s="96" t="s">
        <v>106</v>
      </c>
      <c r="G1618" s="97">
        <v>46132</v>
      </c>
      <c r="H1618" s="98">
        <v>0.5778009259259259</v>
      </c>
      <c r="I1618" s="50">
        <v>166004760</v>
      </c>
      <c r="J1618" s="96" t="s">
        <v>157</v>
      </c>
      <c r="K1618" s="49" t="s">
        <v>2709</v>
      </c>
      <c r="L1618" s="39"/>
      <c r="M1618" s="49" t="s">
        <v>554</v>
      </c>
      <c r="N1618" s="39" t="s">
        <v>433</v>
      </c>
      <c r="O1618" s="96" t="s">
        <v>2710</v>
      </c>
      <c r="P1618" s="49" t="s">
        <v>157</v>
      </c>
      <c r="Q1618" s="96" t="s">
        <v>104</v>
      </c>
      <c r="R1618" s="52">
        <v>17.9</v>
      </c>
      <c r="S1618" s="52">
        <f>R1618-T1618</f>
        <v>15.982142857142856</v>
      </c>
      <c r="T1618" s="52">
        <f>R1618*U1618/(U1618+100)</f>
        <v>1.9178571428571427</v>
      </c>
      <c r="U1618" s="50">
        <v>12</v>
      </c>
      <c r="V1618" s="53">
        <v>0</v>
      </c>
      <c r="W1618" s="147">
        <v>1</v>
      </c>
      <c r="X1618" s="148" t="s">
        <v>945</v>
      </c>
      <c r="Y1618" s="54">
        <f>R1618*W1618</f>
        <v>17.9</v>
      </c>
      <c r="Z1618" s="52">
        <f>S1618*W1618</f>
        <v>15.982142857142856</v>
      </c>
      <c r="AA1618" s="52">
        <f>T1618*W1618</f>
        <v>1.9178571428571427</v>
      </c>
      <c r="AB1618" s="52">
        <f>V1618*W1618</f>
        <v>0</v>
      </c>
      <c r="AC1618" s="53">
        <f>(R1618+V1618)*W1618</f>
        <v>17.9</v>
      </c>
      <c r="AD1618" s="138">
        <v>17.9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107</v>
      </c>
      <c r="F1619" s="96" t="s">
        <v>106</v>
      </c>
      <c r="G1619" s="97">
        <v>46132</v>
      </c>
      <c r="H1619" s="98">
        <v>0.5784837962962963</v>
      </c>
      <c r="I1619" s="50">
        <v>166004761</v>
      </c>
      <c r="J1619" s="96" t="s">
        <v>157</v>
      </c>
      <c r="K1619" s="49" t="s">
        <v>1681</v>
      </c>
      <c r="L1619" s="39" t="s">
        <v>1682</v>
      </c>
      <c r="M1619" s="49" t="s">
        <v>425</v>
      </c>
      <c r="N1619" s="39" t="s">
        <v>197</v>
      </c>
      <c r="O1619" s="96" t="s">
        <v>1683</v>
      </c>
      <c r="P1619" s="49" t="s">
        <v>235</v>
      </c>
      <c r="Q1619" s="96" t="s">
        <v>236</v>
      </c>
      <c r="R1619" s="52">
        <v>5.9</v>
      </c>
      <c r="S1619" s="52">
        <f>R1619-T1619</f>
        <v>5.267857142857143</v>
      </c>
      <c r="T1619" s="52">
        <f>R1619*U1619/(U1619+100)</f>
        <v>0.6321428571428572</v>
      </c>
      <c r="U1619" s="50">
        <v>12</v>
      </c>
      <c r="V1619" s="53">
        <v>0</v>
      </c>
      <c r="W1619" s="147">
        <v>1</v>
      </c>
      <c r="X1619" s="148" t="s">
        <v>163</v>
      </c>
      <c r="Y1619" s="54">
        <f>R1619*W1619</f>
        <v>5.9</v>
      </c>
      <c r="Z1619" s="52">
        <f>S1619*W1619</f>
        <v>5.267857142857143</v>
      </c>
      <c r="AA1619" s="52">
        <f>T1619*W1619</f>
        <v>0.6321428571428572</v>
      </c>
      <c r="AB1619" s="52">
        <f>V1619*W1619</f>
        <v>0</v>
      </c>
      <c r="AC1619" s="53">
        <f>(R1619+V1619)*W1619</f>
        <v>5.9</v>
      </c>
      <c r="AD1619" s="138">
        <v>5.9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107</v>
      </c>
      <c r="F1620" s="96" t="s">
        <v>106</v>
      </c>
      <c r="G1620" s="97">
        <v>46132</v>
      </c>
      <c r="H1620" s="98">
        <v>0.5784837962962963</v>
      </c>
      <c r="I1620" s="50">
        <v>166004761</v>
      </c>
      <c r="J1620" s="96" t="s">
        <v>157</v>
      </c>
      <c r="K1620" s="49" t="s">
        <v>1681</v>
      </c>
      <c r="L1620" s="39" t="s">
        <v>1682</v>
      </c>
      <c r="M1620" s="49" t="s">
        <v>425</v>
      </c>
      <c r="N1620" s="39" t="s">
        <v>197</v>
      </c>
      <c r="O1620" s="96" t="s">
        <v>1683</v>
      </c>
      <c r="P1620" s="49" t="s">
        <v>235</v>
      </c>
      <c r="Q1620" s="96" t="s">
        <v>236</v>
      </c>
      <c r="R1620" s="52">
        <v>5.9</v>
      </c>
      <c r="S1620" s="52">
        <f>R1620-T1620</f>
        <v>5.267857142857143</v>
      </c>
      <c r="T1620" s="52">
        <f>R1620*U1620/(U1620+100)</f>
        <v>0.6321428571428572</v>
      </c>
      <c r="U1620" s="50">
        <v>12</v>
      </c>
      <c r="V1620" s="53">
        <v>0</v>
      </c>
      <c r="W1620" s="147">
        <v>1</v>
      </c>
      <c r="X1620" s="148" t="s">
        <v>163</v>
      </c>
      <c r="Y1620" s="54">
        <f>R1620*W1620</f>
        <v>5.9</v>
      </c>
      <c r="Z1620" s="52">
        <f>S1620*W1620</f>
        <v>5.267857142857143</v>
      </c>
      <c r="AA1620" s="52">
        <f>T1620*W1620</f>
        <v>0.6321428571428572</v>
      </c>
      <c r="AB1620" s="52">
        <f>V1620*W1620</f>
        <v>0</v>
      </c>
      <c r="AC1620" s="53">
        <f>(R1620+V1620)*W1620</f>
        <v>5.9</v>
      </c>
      <c r="AD1620" s="138">
        <v>5.9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107</v>
      </c>
      <c r="F1621" s="96" t="s">
        <v>106</v>
      </c>
      <c r="G1621" s="97">
        <v>46132</v>
      </c>
      <c r="H1621" s="98">
        <v>0.5784837962962963</v>
      </c>
      <c r="I1621" s="50">
        <v>166004761</v>
      </c>
      <c r="J1621" s="96" t="s">
        <v>157</v>
      </c>
      <c r="K1621" s="49" t="s">
        <v>1681</v>
      </c>
      <c r="L1621" s="39" t="s">
        <v>1682</v>
      </c>
      <c r="M1621" s="49" t="s">
        <v>425</v>
      </c>
      <c r="N1621" s="39" t="s">
        <v>197</v>
      </c>
      <c r="O1621" s="96" t="s">
        <v>1683</v>
      </c>
      <c r="P1621" s="49" t="s">
        <v>235</v>
      </c>
      <c r="Q1621" s="96" t="s">
        <v>236</v>
      </c>
      <c r="R1621" s="52">
        <v>5.9</v>
      </c>
      <c r="S1621" s="52">
        <f>R1621-T1621</f>
        <v>5.267857142857143</v>
      </c>
      <c r="T1621" s="52">
        <f>R1621*U1621/(U1621+100)</f>
        <v>0.6321428571428572</v>
      </c>
      <c r="U1621" s="50">
        <v>12</v>
      </c>
      <c r="V1621" s="53">
        <v>0</v>
      </c>
      <c r="W1621" s="147">
        <v>1</v>
      </c>
      <c r="X1621" s="148" t="s">
        <v>163</v>
      </c>
      <c r="Y1621" s="54">
        <f>R1621*W1621</f>
        <v>5.9</v>
      </c>
      <c r="Z1621" s="52">
        <f>S1621*W1621</f>
        <v>5.267857142857143</v>
      </c>
      <c r="AA1621" s="52">
        <f>T1621*W1621</f>
        <v>0.6321428571428572</v>
      </c>
      <c r="AB1621" s="52">
        <f>V1621*W1621</f>
        <v>0</v>
      </c>
      <c r="AC1621" s="53">
        <f>(R1621+V1621)*W1621</f>
        <v>5.9</v>
      </c>
      <c r="AD1621" s="138">
        <v>5.9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107</v>
      </c>
      <c r="F1622" s="96" t="s">
        <v>106</v>
      </c>
      <c r="G1622" s="97">
        <v>46132</v>
      </c>
      <c r="H1622" s="98">
        <v>0.5784837962962963</v>
      </c>
      <c r="I1622" s="50">
        <v>166004761</v>
      </c>
      <c r="J1622" s="96" t="s">
        <v>157</v>
      </c>
      <c r="K1622" s="49" t="s">
        <v>1681</v>
      </c>
      <c r="L1622" s="39" t="s">
        <v>1682</v>
      </c>
      <c r="M1622" s="49" t="s">
        <v>425</v>
      </c>
      <c r="N1622" s="39" t="s">
        <v>197</v>
      </c>
      <c r="O1622" s="96" t="s">
        <v>1683</v>
      </c>
      <c r="P1622" s="49" t="s">
        <v>235</v>
      </c>
      <c r="Q1622" s="96" t="s">
        <v>236</v>
      </c>
      <c r="R1622" s="52">
        <v>5.9</v>
      </c>
      <c r="S1622" s="52">
        <f>R1622-T1622</f>
        <v>5.267857142857143</v>
      </c>
      <c r="T1622" s="52">
        <f>R1622*U1622/(U1622+100)</f>
        <v>0.6321428571428572</v>
      </c>
      <c r="U1622" s="50">
        <v>12</v>
      </c>
      <c r="V1622" s="53">
        <v>0</v>
      </c>
      <c r="W1622" s="147">
        <v>1</v>
      </c>
      <c r="X1622" s="148" t="s">
        <v>163</v>
      </c>
      <c r="Y1622" s="54">
        <f>R1622*W1622</f>
        <v>5.9</v>
      </c>
      <c r="Z1622" s="52">
        <f>S1622*W1622</f>
        <v>5.267857142857143</v>
      </c>
      <c r="AA1622" s="52">
        <f>T1622*W1622</f>
        <v>0.6321428571428572</v>
      </c>
      <c r="AB1622" s="52">
        <f>V1622*W1622</f>
        <v>0</v>
      </c>
      <c r="AC1622" s="53">
        <f>(R1622+V1622)*W1622</f>
        <v>5.9</v>
      </c>
      <c r="AD1622" s="138">
        <v>5.9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107</v>
      </c>
      <c r="F1623" s="96" t="s">
        <v>106</v>
      </c>
      <c r="G1623" s="97">
        <v>46132</v>
      </c>
      <c r="H1623" s="98">
        <v>0.5784837962962963</v>
      </c>
      <c r="I1623" s="50">
        <v>166004761</v>
      </c>
      <c r="J1623" s="96" t="s">
        <v>157</v>
      </c>
      <c r="K1623" s="49" t="s">
        <v>795</v>
      </c>
      <c r="L1623" s="39" t="s">
        <v>796</v>
      </c>
      <c r="M1623" s="49" t="s">
        <v>425</v>
      </c>
      <c r="N1623" s="39" t="s">
        <v>197</v>
      </c>
      <c r="O1623" s="96" t="s">
        <v>1558</v>
      </c>
      <c r="P1623" s="49" t="s">
        <v>235</v>
      </c>
      <c r="Q1623" s="96" t="s">
        <v>236</v>
      </c>
      <c r="R1623" s="52">
        <v>5.9</v>
      </c>
      <c r="S1623" s="52">
        <f>R1623-T1623</f>
        <v>5.267857142857143</v>
      </c>
      <c r="T1623" s="52">
        <f>R1623*U1623/(U1623+100)</f>
        <v>0.6321428571428572</v>
      </c>
      <c r="U1623" s="50">
        <v>12</v>
      </c>
      <c r="V1623" s="53">
        <v>0</v>
      </c>
      <c r="W1623" s="147">
        <v>1</v>
      </c>
      <c r="X1623" s="148" t="s">
        <v>163</v>
      </c>
      <c r="Y1623" s="54">
        <f>R1623*W1623</f>
        <v>5.9</v>
      </c>
      <c r="Z1623" s="52">
        <f>S1623*W1623</f>
        <v>5.267857142857143</v>
      </c>
      <c r="AA1623" s="52">
        <f>T1623*W1623</f>
        <v>0.6321428571428572</v>
      </c>
      <c r="AB1623" s="52">
        <f>V1623*W1623</f>
        <v>0</v>
      </c>
      <c r="AC1623" s="53">
        <f>(R1623+V1623)*W1623</f>
        <v>5.9</v>
      </c>
      <c r="AD1623" s="138">
        <v>5.9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107</v>
      </c>
      <c r="F1624" s="96" t="s">
        <v>106</v>
      </c>
      <c r="G1624" s="97">
        <v>46132</v>
      </c>
      <c r="H1624" s="98">
        <v>0.5784837962962963</v>
      </c>
      <c r="I1624" s="50">
        <v>166004761</v>
      </c>
      <c r="J1624" s="96" t="s">
        <v>157</v>
      </c>
      <c r="K1624" s="49" t="s">
        <v>795</v>
      </c>
      <c r="L1624" s="39" t="s">
        <v>796</v>
      </c>
      <c r="M1624" s="49" t="s">
        <v>425</v>
      </c>
      <c r="N1624" s="39" t="s">
        <v>197</v>
      </c>
      <c r="O1624" s="96" t="s">
        <v>1558</v>
      </c>
      <c r="P1624" s="49" t="s">
        <v>235</v>
      </c>
      <c r="Q1624" s="96" t="s">
        <v>236</v>
      </c>
      <c r="R1624" s="52">
        <v>5.9</v>
      </c>
      <c r="S1624" s="52">
        <f>R1624-T1624</f>
        <v>5.267857142857143</v>
      </c>
      <c r="T1624" s="52">
        <f>R1624*U1624/(U1624+100)</f>
        <v>0.6321428571428572</v>
      </c>
      <c r="U1624" s="50">
        <v>12</v>
      </c>
      <c r="V1624" s="53">
        <v>0</v>
      </c>
      <c r="W1624" s="147">
        <v>1</v>
      </c>
      <c r="X1624" s="148" t="s">
        <v>163</v>
      </c>
      <c r="Y1624" s="54">
        <f>R1624*W1624</f>
        <v>5.9</v>
      </c>
      <c r="Z1624" s="52">
        <f>S1624*W1624</f>
        <v>5.267857142857143</v>
      </c>
      <c r="AA1624" s="52">
        <f>T1624*W1624</f>
        <v>0.6321428571428572</v>
      </c>
      <c r="AB1624" s="52">
        <f>V1624*W1624</f>
        <v>0</v>
      </c>
      <c r="AC1624" s="53">
        <f>(R1624+V1624)*W1624</f>
        <v>5.9</v>
      </c>
      <c r="AD1624" s="138">
        <v>5.9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107</v>
      </c>
      <c r="F1625" s="96" t="s">
        <v>106</v>
      </c>
      <c r="G1625" s="97">
        <v>46132</v>
      </c>
      <c r="H1625" s="98">
        <v>0.5784837962962963</v>
      </c>
      <c r="I1625" s="50">
        <v>166004761</v>
      </c>
      <c r="J1625" s="96" t="s">
        <v>157</v>
      </c>
      <c r="K1625" s="49" t="s">
        <v>795</v>
      </c>
      <c r="L1625" s="39" t="s">
        <v>796</v>
      </c>
      <c r="M1625" s="49" t="s">
        <v>425</v>
      </c>
      <c r="N1625" s="39" t="s">
        <v>197</v>
      </c>
      <c r="O1625" s="96" t="s">
        <v>1558</v>
      </c>
      <c r="P1625" s="49" t="s">
        <v>235</v>
      </c>
      <c r="Q1625" s="96" t="s">
        <v>236</v>
      </c>
      <c r="R1625" s="52">
        <v>5.9</v>
      </c>
      <c r="S1625" s="52">
        <f>R1625-T1625</f>
        <v>5.267857142857143</v>
      </c>
      <c r="T1625" s="52">
        <f>R1625*U1625/(U1625+100)</f>
        <v>0.6321428571428572</v>
      </c>
      <c r="U1625" s="50">
        <v>12</v>
      </c>
      <c r="V1625" s="53">
        <v>0</v>
      </c>
      <c r="W1625" s="147">
        <v>1</v>
      </c>
      <c r="X1625" s="148" t="s">
        <v>163</v>
      </c>
      <c r="Y1625" s="54">
        <f>R1625*W1625</f>
        <v>5.9</v>
      </c>
      <c r="Z1625" s="52">
        <f>S1625*W1625</f>
        <v>5.267857142857143</v>
      </c>
      <c r="AA1625" s="52">
        <f>T1625*W1625</f>
        <v>0.6321428571428572</v>
      </c>
      <c r="AB1625" s="52">
        <f>V1625*W1625</f>
        <v>0</v>
      </c>
      <c r="AC1625" s="53">
        <f>(R1625+V1625)*W1625</f>
        <v>5.9</v>
      </c>
      <c r="AD1625" s="138">
        <v>5.9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107</v>
      </c>
      <c r="F1626" s="96" t="s">
        <v>106</v>
      </c>
      <c r="G1626" s="97">
        <v>46132</v>
      </c>
      <c r="H1626" s="98">
        <v>0.5784837962962963</v>
      </c>
      <c r="I1626" s="50">
        <v>166004761</v>
      </c>
      <c r="J1626" s="96" t="s">
        <v>157</v>
      </c>
      <c r="K1626" s="49" t="s">
        <v>795</v>
      </c>
      <c r="L1626" s="39" t="s">
        <v>796</v>
      </c>
      <c r="M1626" s="49" t="s">
        <v>425</v>
      </c>
      <c r="N1626" s="39" t="s">
        <v>197</v>
      </c>
      <c r="O1626" s="96" t="s">
        <v>1558</v>
      </c>
      <c r="P1626" s="49" t="s">
        <v>235</v>
      </c>
      <c r="Q1626" s="96" t="s">
        <v>236</v>
      </c>
      <c r="R1626" s="52">
        <v>5.9</v>
      </c>
      <c r="S1626" s="52">
        <f>R1626-T1626</f>
        <v>5.267857142857143</v>
      </c>
      <c r="T1626" s="52">
        <f>R1626*U1626/(U1626+100)</f>
        <v>0.6321428571428572</v>
      </c>
      <c r="U1626" s="50">
        <v>12</v>
      </c>
      <c r="V1626" s="53">
        <v>0</v>
      </c>
      <c r="W1626" s="147">
        <v>1</v>
      </c>
      <c r="X1626" s="148" t="s">
        <v>163</v>
      </c>
      <c r="Y1626" s="54">
        <f>R1626*W1626</f>
        <v>5.9</v>
      </c>
      <c r="Z1626" s="52">
        <f>S1626*W1626</f>
        <v>5.267857142857143</v>
      </c>
      <c r="AA1626" s="52">
        <f>T1626*W1626</f>
        <v>0.6321428571428572</v>
      </c>
      <c r="AB1626" s="52">
        <f>V1626*W1626</f>
        <v>0</v>
      </c>
      <c r="AC1626" s="53">
        <f>(R1626+V1626)*W1626</f>
        <v>5.9</v>
      </c>
      <c r="AD1626" s="138">
        <v>5.9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107</v>
      </c>
      <c r="F1627" s="96" t="s">
        <v>106</v>
      </c>
      <c r="G1627" s="97">
        <v>46132</v>
      </c>
      <c r="H1627" s="98">
        <v>0.5784837962962963</v>
      </c>
      <c r="I1627" s="50">
        <v>166004761</v>
      </c>
      <c r="J1627" s="96" t="s">
        <v>157</v>
      </c>
      <c r="K1627" s="49" t="s">
        <v>798</v>
      </c>
      <c r="L1627" s="39" t="s">
        <v>799</v>
      </c>
      <c r="M1627" s="49" t="s">
        <v>425</v>
      </c>
      <c r="N1627" s="39" t="s">
        <v>197</v>
      </c>
      <c r="O1627" s="96" t="s">
        <v>1684</v>
      </c>
      <c r="P1627" s="49" t="s">
        <v>235</v>
      </c>
      <c r="Q1627" s="96" t="s">
        <v>236</v>
      </c>
      <c r="R1627" s="52">
        <v>5.9</v>
      </c>
      <c r="S1627" s="52">
        <f>R1627-T1627</f>
        <v>5.267857142857143</v>
      </c>
      <c r="T1627" s="52">
        <f>R1627*U1627/(U1627+100)</f>
        <v>0.6321428571428572</v>
      </c>
      <c r="U1627" s="50">
        <v>12</v>
      </c>
      <c r="V1627" s="53">
        <v>0</v>
      </c>
      <c r="W1627" s="147">
        <v>1</v>
      </c>
      <c r="X1627" s="148" t="s">
        <v>163</v>
      </c>
      <c r="Y1627" s="54">
        <f>R1627*W1627</f>
        <v>5.9</v>
      </c>
      <c r="Z1627" s="52">
        <f>S1627*W1627</f>
        <v>5.267857142857143</v>
      </c>
      <c r="AA1627" s="52">
        <f>T1627*W1627</f>
        <v>0.6321428571428572</v>
      </c>
      <c r="AB1627" s="52">
        <f>V1627*W1627</f>
        <v>0</v>
      </c>
      <c r="AC1627" s="53">
        <f>(R1627+V1627)*W1627</f>
        <v>5.9</v>
      </c>
      <c r="AD1627" s="138">
        <v>5.9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107</v>
      </c>
      <c r="F1628" s="96" t="s">
        <v>106</v>
      </c>
      <c r="G1628" s="97">
        <v>46132</v>
      </c>
      <c r="H1628" s="98">
        <v>0.5784837962962963</v>
      </c>
      <c r="I1628" s="50">
        <v>166004761</v>
      </c>
      <c r="J1628" s="96" t="s">
        <v>157</v>
      </c>
      <c r="K1628" s="49" t="s">
        <v>798</v>
      </c>
      <c r="L1628" s="39" t="s">
        <v>799</v>
      </c>
      <c r="M1628" s="49" t="s">
        <v>425</v>
      </c>
      <c r="N1628" s="39" t="s">
        <v>197</v>
      </c>
      <c r="O1628" s="96" t="s">
        <v>1684</v>
      </c>
      <c r="P1628" s="49" t="s">
        <v>235</v>
      </c>
      <c r="Q1628" s="96" t="s">
        <v>236</v>
      </c>
      <c r="R1628" s="52">
        <v>5.9</v>
      </c>
      <c r="S1628" s="52">
        <f>R1628-T1628</f>
        <v>5.267857142857143</v>
      </c>
      <c r="T1628" s="52">
        <f>R1628*U1628/(U1628+100)</f>
        <v>0.6321428571428572</v>
      </c>
      <c r="U1628" s="50">
        <v>12</v>
      </c>
      <c r="V1628" s="53">
        <v>0</v>
      </c>
      <c r="W1628" s="147">
        <v>1</v>
      </c>
      <c r="X1628" s="148" t="s">
        <v>163</v>
      </c>
      <c r="Y1628" s="54">
        <f>R1628*W1628</f>
        <v>5.9</v>
      </c>
      <c r="Z1628" s="52">
        <f>S1628*W1628</f>
        <v>5.267857142857143</v>
      </c>
      <c r="AA1628" s="52">
        <f>T1628*W1628</f>
        <v>0.6321428571428572</v>
      </c>
      <c r="AB1628" s="52">
        <f>V1628*W1628</f>
        <v>0</v>
      </c>
      <c r="AC1628" s="53">
        <f>(R1628+V1628)*W1628</f>
        <v>5.9</v>
      </c>
      <c r="AD1628" s="138">
        <v>5.9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107</v>
      </c>
      <c r="F1629" s="96" t="s">
        <v>106</v>
      </c>
      <c r="G1629" s="97">
        <v>46132</v>
      </c>
      <c r="H1629" s="98">
        <v>0.5784837962962963</v>
      </c>
      <c r="I1629" s="50">
        <v>166004761</v>
      </c>
      <c r="J1629" s="96" t="s">
        <v>157</v>
      </c>
      <c r="K1629" s="49" t="s">
        <v>798</v>
      </c>
      <c r="L1629" s="39" t="s">
        <v>799</v>
      </c>
      <c r="M1629" s="49" t="s">
        <v>425</v>
      </c>
      <c r="N1629" s="39" t="s">
        <v>197</v>
      </c>
      <c r="O1629" s="96" t="s">
        <v>1684</v>
      </c>
      <c r="P1629" s="49" t="s">
        <v>235</v>
      </c>
      <c r="Q1629" s="96" t="s">
        <v>236</v>
      </c>
      <c r="R1629" s="52">
        <v>5.9</v>
      </c>
      <c r="S1629" s="52">
        <f>R1629-T1629</f>
        <v>5.267857142857143</v>
      </c>
      <c r="T1629" s="52">
        <f>R1629*U1629/(U1629+100)</f>
        <v>0.6321428571428572</v>
      </c>
      <c r="U1629" s="50">
        <v>12</v>
      </c>
      <c r="V1629" s="53">
        <v>0</v>
      </c>
      <c r="W1629" s="147">
        <v>1</v>
      </c>
      <c r="X1629" s="148" t="s">
        <v>163</v>
      </c>
      <c r="Y1629" s="54">
        <f>R1629*W1629</f>
        <v>5.9</v>
      </c>
      <c r="Z1629" s="52">
        <f>S1629*W1629</f>
        <v>5.267857142857143</v>
      </c>
      <c r="AA1629" s="52">
        <f>T1629*W1629</f>
        <v>0.6321428571428572</v>
      </c>
      <c r="AB1629" s="52">
        <f>V1629*W1629</f>
        <v>0</v>
      </c>
      <c r="AC1629" s="53">
        <f>(R1629+V1629)*W1629</f>
        <v>5.9</v>
      </c>
      <c r="AD1629" s="138">
        <v>5.9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107</v>
      </c>
      <c r="F1630" s="96" t="s">
        <v>106</v>
      </c>
      <c r="G1630" s="97">
        <v>46132</v>
      </c>
      <c r="H1630" s="98">
        <v>0.5784837962962963</v>
      </c>
      <c r="I1630" s="50">
        <v>166004761</v>
      </c>
      <c r="J1630" s="96" t="s">
        <v>157</v>
      </c>
      <c r="K1630" s="49" t="s">
        <v>798</v>
      </c>
      <c r="L1630" s="39" t="s">
        <v>799</v>
      </c>
      <c r="M1630" s="49" t="s">
        <v>425</v>
      </c>
      <c r="N1630" s="39" t="s">
        <v>197</v>
      </c>
      <c r="O1630" s="96" t="s">
        <v>1684</v>
      </c>
      <c r="P1630" s="49" t="s">
        <v>235</v>
      </c>
      <c r="Q1630" s="96" t="s">
        <v>236</v>
      </c>
      <c r="R1630" s="52">
        <v>5.9</v>
      </c>
      <c r="S1630" s="52">
        <f>R1630-T1630</f>
        <v>5.267857142857143</v>
      </c>
      <c r="T1630" s="52">
        <f>R1630*U1630/(U1630+100)</f>
        <v>0.6321428571428572</v>
      </c>
      <c r="U1630" s="50">
        <v>12</v>
      </c>
      <c r="V1630" s="53">
        <v>0</v>
      </c>
      <c r="W1630" s="147">
        <v>1</v>
      </c>
      <c r="X1630" s="148" t="s">
        <v>163</v>
      </c>
      <c r="Y1630" s="54">
        <f>R1630*W1630</f>
        <v>5.9</v>
      </c>
      <c r="Z1630" s="52">
        <f>S1630*W1630</f>
        <v>5.267857142857143</v>
      </c>
      <c r="AA1630" s="52">
        <f>T1630*W1630</f>
        <v>0.6321428571428572</v>
      </c>
      <c r="AB1630" s="52">
        <f>V1630*W1630</f>
        <v>0</v>
      </c>
      <c r="AC1630" s="53">
        <f>(R1630+V1630)*W1630</f>
        <v>5.9</v>
      </c>
      <c r="AD1630" s="138">
        <v>5.9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107</v>
      </c>
      <c r="F1631" s="96" t="s">
        <v>106</v>
      </c>
      <c r="G1631" s="97">
        <v>46132</v>
      </c>
      <c r="H1631" s="98">
        <v>0.5784837962962963</v>
      </c>
      <c r="I1631" s="50">
        <v>166004761</v>
      </c>
      <c r="J1631" s="96" t="s">
        <v>157</v>
      </c>
      <c r="K1631" s="49" t="s">
        <v>358</v>
      </c>
      <c r="L1631" s="39" t="s">
        <v>359</v>
      </c>
      <c r="M1631" s="49" t="s">
        <v>360</v>
      </c>
      <c r="N1631" s="39" t="s">
        <v>220</v>
      </c>
      <c r="O1631" s="96" t="s">
        <v>2711</v>
      </c>
      <c r="P1631" s="49" t="s">
        <v>157</v>
      </c>
      <c r="Q1631" s="96" t="s">
        <v>104</v>
      </c>
      <c r="R1631" s="52">
        <v>11.4</v>
      </c>
      <c r="S1631" s="52">
        <f>R1631-T1631</f>
        <v>9.421487603305785</v>
      </c>
      <c r="T1631" s="52">
        <f>R1631*U1631/(U1631+100)</f>
        <v>1.9785123966942149</v>
      </c>
      <c r="U1631" s="50">
        <v>21</v>
      </c>
      <c r="V1631" s="53">
        <v>0</v>
      </c>
      <c r="W1631" s="147">
        <v>1</v>
      </c>
      <c r="X1631" s="148" t="s">
        <v>163</v>
      </c>
      <c r="Y1631" s="54">
        <f>R1631*W1631</f>
        <v>11.4</v>
      </c>
      <c r="Z1631" s="52">
        <f>S1631*W1631</f>
        <v>9.421487603305785</v>
      </c>
      <c r="AA1631" s="52">
        <f>T1631*W1631</f>
        <v>1.9785123966942149</v>
      </c>
      <c r="AB1631" s="52">
        <f>V1631*W1631</f>
        <v>0</v>
      </c>
      <c r="AC1631" s="53">
        <f>(R1631+V1631)*W1631</f>
        <v>11.4</v>
      </c>
      <c r="AD1631" s="138">
        <v>11.4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107</v>
      </c>
      <c r="F1632" s="96" t="s">
        <v>106</v>
      </c>
      <c r="G1632" s="97">
        <v>46132</v>
      </c>
      <c r="H1632" s="98">
        <v>0.5784837962962963</v>
      </c>
      <c r="I1632" s="50">
        <v>166004761</v>
      </c>
      <c r="J1632" s="96" t="s">
        <v>157</v>
      </c>
      <c r="K1632" s="49" t="s">
        <v>1440</v>
      </c>
      <c r="L1632" s="39" t="s">
        <v>1441</v>
      </c>
      <c r="M1632" s="49" t="s">
        <v>190</v>
      </c>
      <c r="N1632" s="39" t="s">
        <v>191</v>
      </c>
      <c r="O1632" s="96" t="s">
        <v>1442</v>
      </c>
      <c r="P1632" s="49" t="s">
        <v>157</v>
      </c>
      <c r="Q1632" s="96" t="s">
        <v>104</v>
      </c>
      <c r="R1632" s="52">
        <v>8.9</v>
      </c>
      <c r="S1632" s="52">
        <f>R1632-T1632</f>
        <v>7.946428571428572</v>
      </c>
      <c r="T1632" s="52">
        <f>R1632*U1632/(U1632+100)</f>
        <v>0.9535714285714286</v>
      </c>
      <c r="U1632" s="50">
        <v>12</v>
      </c>
      <c r="V1632" s="53">
        <v>0</v>
      </c>
      <c r="W1632" s="147">
        <v>1.108</v>
      </c>
      <c r="X1632" s="148" t="s">
        <v>193</v>
      </c>
      <c r="Y1632" s="54">
        <f>R1632*W1632</f>
        <v>9.861200000000002</v>
      </c>
      <c r="Z1632" s="52">
        <f>S1632*W1632</f>
        <v>8.80464285714286</v>
      </c>
      <c r="AA1632" s="52">
        <f>T1632*W1632</f>
        <v>1.056557142857143</v>
      </c>
      <c r="AB1632" s="52">
        <f>V1632*W1632</f>
        <v>0</v>
      </c>
      <c r="AC1632" s="53">
        <f>(R1632+V1632)*W1632</f>
        <v>9.861200000000002</v>
      </c>
      <c r="AD1632" s="138">
        <v>8.9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107</v>
      </c>
      <c r="F1633" s="96" t="s">
        <v>106</v>
      </c>
      <c r="G1633" s="97">
        <v>46132</v>
      </c>
      <c r="H1633" s="98">
        <v>0.5784837962962963</v>
      </c>
      <c r="I1633" s="50">
        <v>166004761</v>
      </c>
      <c r="J1633" s="96" t="s">
        <v>157</v>
      </c>
      <c r="K1633" s="49" t="s">
        <v>686</v>
      </c>
      <c r="L1633" s="39" t="s">
        <v>687</v>
      </c>
      <c r="M1633" s="49" t="s">
        <v>369</v>
      </c>
      <c r="N1633" s="39" t="s">
        <v>688</v>
      </c>
      <c r="O1633" s="96" t="s">
        <v>1341</v>
      </c>
      <c r="P1633" s="49" t="s">
        <v>157</v>
      </c>
      <c r="Q1633" s="96" t="s">
        <v>104</v>
      </c>
      <c r="R1633" s="52">
        <v>227.9</v>
      </c>
      <c r="S1633" s="52">
        <f>R1633-T1633</f>
        <v>203.48214285714286</v>
      </c>
      <c r="T1633" s="52">
        <f>R1633*U1633/(U1633+100)</f>
        <v>24.417857142857144</v>
      </c>
      <c r="U1633" s="50">
        <v>12</v>
      </c>
      <c r="V1633" s="53">
        <v>0</v>
      </c>
      <c r="W1633" s="147">
        <v>0.112</v>
      </c>
      <c r="X1633" s="148" t="s">
        <v>193</v>
      </c>
      <c r="Y1633" s="54">
        <f>R1633*W1633</f>
        <v>25.524800000000003</v>
      </c>
      <c r="Z1633" s="52">
        <f>S1633*W1633</f>
        <v>22.790000000000003</v>
      </c>
      <c r="AA1633" s="52">
        <f>T1633*W1633</f>
        <v>2.7348000000000003</v>
      </c>
      <c r="AB1633" s="52">
        <f>V1633*W1633</f>
        <v>0</v>
      </c>
      <c r="AC1633" s="53">
        <f>(R1633+V1633)*W1633</f>
        <v>25.524800000000003</v>
      </c>
      <c r="AD1633" s="138">
        <v>227.9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107</v>
      </c>
      <c r="F1634" s="96" t="s">
        <v>106</v>
      </c>
      <c r="G1634" s="97">
        <v>46132</v>
      </c>
      <c r="H1634" s="98">
        <v>0.5784837962962963</v>
      </c>
      <c r="I1634" s="50">
        <v>166004761</v>
      </c>
      <c r="J1634" s="96" t="s">
        <v>157</v>
      </c>
      <c r="K1634" s="49" t="s">
        <v>2421</v>
      </c>
      <c r="L1634" s="39" t="s">
        <v>2422</v>
      </c>
      <c r="M1634" s="49" t="s">
        <v>403</v>
      </c>
      <c r="N1634" s="39" t="s">
        <v>523</v>
      </c>
      <c r="O1634" s="96" t="s">
        <v>2423</v>
      </c>
      <c r="P1634" s="49" t="s">
        <v>157</v>
      </c>
      <c r="Q1634" s="96" t="s">
        <v>104</v>
      </c>
      <c r="R1634" s="52">
        <v>217.9</v>
      </c>
      <c r="S1634" s="52">
        <f>R1634-T1634</f>
        <v>194.55357142857144</v>
      </c>
      <c r="T1634" s="52">
        <f>R1634*U1634/(U1634+100)</f>
        <v>23.34642857142857</v>
      </c>
      <c r="U1634" s="50">
        <v>12</v>
      </c>
      <c r="V1634" s="53">
        <v>0</v>
      </c>
      <c r="W1634" s="147">
        <v>0.11</v>
      </c>
      <c r="X1634" s="148" t="s">
        <v>193</v>
      </c>
      <c r="Y1634" s="54">
        <f>R1634*W1634</f>
        <v>23.969</v>
      </c>
      <c r="Z1634" s="52">
        <f>S1634*W1634</f>
        <v>21.40089285714286</v>
      </c>
      <c r="AA1634" s="52">
        <f>T1634*W1634</f>
        <v>2.568107142857143</v>
      </c>
      <c r="AB1634" s="52">
        <f>V1634*W1634</f>
        <v>0</v>
      </c>
      <c r="AC1634" s="53">
        <f>(R1634+V1634)*W1634</f>
        <v>23.969</v>
      </c>
      <c r="AD1634" s="138">
        <v>217.9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107</v>
      </c>
      <c r="F1635" s="96" t="s">
        <v>106</v>
      </c>
      <c r="G1635" s="97">
        <v>46132</v>
      </c>
      <c r="H1635" s="98">
        <v>0.5787847222222222</v>
      </c>
      <c r="I1635" s="50">
        <v>166004762</v>
      </c>
      <c r="J1635" s="96" t="s">
        <v>157</v>
      </c>
      <c r="K1635" s="49" t="s">
        <v>507</v>
      </c>
      <c r="L1635" s="39" t="s">
        <v>508</v>
      </c>
      <c r="M1635" s="49" t="s">
        <v>509</v>
      </c>
      <c r="N1635" s="39" t="s">
        <v>256</v>
      </c>
      <c r="O1635" s="96" t="s">
        <v>1024</v>
      </c>
      <c r="P1635" s="49" t="s">
        <v>235</v>
      </c>
      <c r="Q1635" s="96" t="s">
        <v>236</v>
      </c>
      <c r="R1635" s="52">
        <v>15.9</v>
      </c>
      <c r="S1635" s="52">
        <f>R1635-T1635</f>
        <v>13.140495867768596</v>
      </c>
      <c r="T1635" s="52">
        <f>R1635*U1635/(U1635+100)</f>
        <v>2.759504132231405</v>
      </c>
      <c r="U1635" s="50">
        <v>21</v>
      </c>
      <c r="V1635" s="53">
        <v>0</v>
      </c>
      <c r="W1635" s="147">
        <v>6</v>
      </c>
      <c r="X1635" s="148" t="s">
        <v>163</v>
      </c>
      <c r="Y1635" s="54">
        <f>R1635*W1635</f>
        <v>95.4</v>
      </c>
      <c r="Z1635" s="52">
        <f>S1635*W1635</f>
        <v>78.84297520661158</v>
      </c>
      <c r="AA1635" s="52">
        <f>T1635*W1635</f>
        <v>16.55702479338843</v>
      </c>
      <c r="AB1635" s="52">
        <f>V1635*W1635</f>
        <v>0</v>
      </c>
      <c r="AC1635" s="53">
        <f>(R1635+V1635)*W1635</f>
        <v>95.4</v>
      </c>
      <c r="AD1635" s="138">
        <v>15.9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107</v>
      </c>
      <c r="F1636" s="96" t="s">
        <v>106</v>
      </c>
      <c r="G1636" s="97">
        <v>46132</v>
      </c>
      <c r="H1636" s="98">
        <v>0.5795601851851852</v>
      </c>
      <c r="I1636" s="50">
        <v>166004763</v>
      </c>
      <c r="J1636" s="96" t="s">
        <v>157</v>
      </c>
      <c r="K1636" s="49" t="s">
        <v>585</v>
      </c>
      <c r="L1636" s="39" t="s">
        <v>586</v>
      </c>
      <c r="M1636" s="49" t="s">
        <v>341</v>
      </c>
      <c r="N1636" s="39" t="s">
        <v>587</v>
      </c>
      <c r="O1636" s="96" t="s">
        <v>588</v>
      </c>
      <c r="P1636" s="49" t="s">
        <v>157</v>
      </c>
      <c r="Q1636" s="96" t="s">
        <v>104</v>
      </c>
      <c r="R1636" s="52">
        <v>34.9</v>
      </c>
      <c r="S1636" s="52">
        <f>R1636-T1636</f>
        <v>28.84297520661157</v>
      </c>
      <c r="T1636" s="52">
        <f>R1636*U1636/(U1636+100)</f>
        <v>6.05702479338843</v>
      </c>
      <c r="U1636" s="50">
        <v>21</v>
      </c>
      <c r="V1636" s="53">
        <v>0</v>
      </c>
      <c r="W1636" s="147">
        <v>1</v>
      </c>
      <c r="X1636" s="148" t="s">
        <v>163</v>
      </c>
      <c r="Y1636" s="54">
        <f>R1636*W1636</f>
        <v>34.9</v>
      </c>
      <c r="Z1636" s="52">
        <f>S1636*W1636</f>
        <v>28.84297520661157</v>
      </c>
      <c r="AA1636" s="52">
        <f>T1636*W1636</f>
        <v>6.05702479338843</v>
      </c>
      <c r="AB1636" s="52">
        <f>V1636*W1636</f>
        <v>0</v>
      </c>
      <c r="AC1636" s="53">
        <f>(R1636+V1636)*W1636</f>
        <v>34.9</v>
      </c>
      <c r="AD1636" s="138">
        <v>34.9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107</v>
      </c>
      <c r="F1637" s="96" t="s">
        <v>106</v>
      </c>
      <c r="G1637" s="97">
        <v>46132</v>
      </c>
      <c r="H1637" s="98">
        <v>0.5795601851851852</v>
      </c>
      <c r="I1637" s="50">
        <v>166004763</v>
      </c>
      <c r="J1637" s="96" t="s">
        <v>157</v>
      </c>
      <c r="K1637" s="49" t="s">
        <v>2712</v>
      </c>
      <c r="L1637" s="39" t="s">
        <v>2713</v>
      </c>
      <c r="M1637" s="49" t="s">
        <v>972</v>
      </c>
      <c r="N1637" s="39" t="s">
        <v>256</v>
      </c>
      <c r="O1637" s="96" t="s">
        <v>2714</v>
      </c>
      <c r="P1637" s="49" t="s">
        <v>157</v>
      </c>
      <c r="Q1637" s="96" t="s">
        <v>104</v>
      </c>
      <c r="R1637" s="52">
        <v>19.9</v>
      </c>
      <c r="S1637" s="52">
        <f>R1637-T1637</f>
        <v>16.446280991735534</v>
      </c>
      <c r="T1637" s="52">
        <f>R1637*U1637/(U1637+100)</f>
        <v>3.4537190082644624</v>
      </c>
      <c r="U1637" s="50">
        <v>21</v>
      </c>
      <c r="V1637" s="53">
        <v>0</v>
      </c>
      <c r="W1637" s="147">
        <v>1</v>
      </c>
      <c r="X1637" s="148" t="s">
        <v>163</v>
      </c>
      <c r="Y1637" s="54">
        <f>R1637*W1637</f>
        <v>19.9</v>
      </c>
      <c r="Z1637" s="52">
        <f>S1637*W1637</f>
        <v>16.446280991735534</v>
      </c>
      <c r="AA1637" s="52">
        <f>T1637*W1637</f>
        <v>3.4537190082644624</v>
      </c>
      <c r="AB1637" s="52">
        <f>V1637*W1637</f>
        <v>0</v>
      </c>
      <c r="AC1637" s="53">
        <f>(R1637+V1637)*W1637</f>
        <v>19.9</v>
      </c>
      <c r="AD1637" s="138">
        <v>19.9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107</v>
      </c>
      <c r="F1638" s="96" t="s">
        <v>106</v>
      </c>
      <c r="G1638" s="97">
        <v>46132</v>
      </c>
      <c r="H1638" s="98">
        <v>0.5795601851851852</v>
      </c>
      <c r="I1638" s="50">
        <v>166004763</v>
      </c>
      <c r="J1638" s="96" t="s">
        <v>157</v>
      </c>
      <c r="K1638" s="49" t="s">
        <v>2715</v>
      </c>
      <c r="L1638" s="39" t="s">
        <v>2716</v>
      </c>
      <c r="M1638" s="49" t="s">
        <v>185</v>
      </c>
      <c r="N1638" s="39" t="s">
        <v>440</v>
      </c>
      <c r="O1638" s="96" t="s">
        <v>2717</v>
      </c>
      <c r="P1638" s="49" t="s">
        <v>157</v>
      </c>
      <c r="Q1638" s="96" t="s">
        <v>104</v>
      </c>
      <c r="R1638" s="52">
        <v>27.9</v>
      </c>
      <c r="S1638" s="52">
        <f>R1638-T1638</f>
        <v>24.910714285714285</v>
      </c>
      <c r="T1638" s="52">
        <f>R1638*U1638/(U1638+100)</f>
        <v>2.989285714285714</v>
      </c>
      <c r="U1638" s="50">
        <v>12</v>
      </c>
      <c r="V1638" s="53">
        <v>0</v>
      </c>
      <c r="W1638" s="147">
        <v>1</v>
      </c>
      <c r="X1638" s="148" t="s">
        <v>163</v>
      </c>
      <c r="Y1638" s="54">
        <f>R1638*W1638</f>
        <v>27.9</v>
      </c>
      <c r="Z1638" s="52">
        <f>S1638*W1638</f>
        <v>24.910714285714285</v>
      </c>
      <c r="AA1638" s="52">
        <f>T1638*W1638</f>
        <v>2.989285714285714</v>
      </c>
      <c r="AB1638" s="52">
        <f>V1638*W1638</f>
        <v>0</v>
      </c>
      <c r="AC1638" s="53">
        <f>(R1638+V1638)*W1638</f>
        <v>27.9</v>
      </c>
      <c r="AD1638" s="138">
        <v>27.9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107</v>
      </c>
      <c r="F1639" s="96" t="s">
        <v>106</v>
      </c>
      <c r="G1639" s="97">
        <v>46132</v>
      </c>
      <c r="H1639" s="98">
        <v>0.5795601851851852</v>
      </c>
      <c r="I1639" s="50">
        <v>166004763</v>
      </c>
      <c r="J1639" s="96" t="s">
        <v>157</v>
      </c>
      <c r="K1639" s="49" t="s">
        <v>2718</v>
      </c>
      <c r="L1639" s="39" t="s">
        <v>2719</v>
      </c>
      <c r="M1639" s="49"/>
      <c r="N1639" s="39" t="s">
        <v>256</v>
      </c>
      <c r="O1639" s="96" t="s">
        <v>2720</v>
      </c>
      <c r="P1639" s="49" t="s">
        <v>157</v>
      </c>
      <c r="Q1639" s="96" t="s">
        <v>104</v>
      </c>
      <c r="R1639" s="52">
        <v>19.9</v>
      </c>
      <c r="S1639" s="52">
        <f>R1639-T1639</f>
        <v>16.446280991735534</v>
      </c>
      <c r="T1639" s="52">
        <f>R1639*U1639/(U1639+100)</f>
        <v>3.4537190082644624</v>
      </c>
      <c r="U1639" s="50">
        <v>21</v>
      </c>
      <c r="V1639" s="53">
        <v>0</v>
      </c>
      <c r="W1639" s="147">
        <v>1</v>
      </c>
      <c r="X1639" s="148" t="s">
        <v>945</v>
      </c>
      <c r="Y1639" s="54">
        <f>R1639*W1639</f>
        <v>19.9</v>
      </c>
      <c r="Z1639" s="52">
        <f>S1639*W1639</f>
        <v>16.446280991735534</v>
      </c>
      <c r="AA1639" s="52">
        <f>T1639*W1639</f>
        <v>3.4537190082644624</v>
      </c>
      <c r="AB1639" s="52">
        <f>V1639*W1639</f>
        <v>0</v>
      </c>
      <c r="AC1639" s="53">
        <f>(R1639+V1639)*W1639</f>
        <v>19.9</v>
      </c>
      <c r="AD1639" s="138">
        <v>19.9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107</v>
      </c>
      <c r="F1640" s="96" t="s">
        <v>106</v>
      </c>
      <c r="G1640" s="97">
        <v>46132</v>
      </c>
      <c r="H1640" s="98">
        <v>0.5801736111111111</v>
      </c>
      <c r="I1640" s="50">
        <v>166004764</v>
      </c>
      <c r="J1640" s="96" t="s">
        <v>157</v>
      </c>
      <c r="K1640" s="49" t="s">
        <v>680</v>
      </c>
      <c r="L1640" s="39" t="s">
        <v>681</v>
      </c>
      <c r="M1640" s="49" t="s">
        <v>190</v>
      </c>
      <c r="N1640" s="39" t="s">
        <v>532</v>
      </c>
      <c r="O1640" s="96" t="s">
        <v>682</v>
      </c>
      <c r="P1640" s="49" t="s">
        <v>157</v>
      </c>
      <c r="Q1640" s="96" t="s">
        <v>104</v>
      </c>
      <c r="R1640" s="52">
        <v>24.9</v>
      </c>
      <c r="S1640" s="52">
        <f>R1640-T1640</f>
        <v>22.232142857142858</v>
      </c>
      <c r="T1640" s="52">
        <f>R1640*U1640/(U1640+100)</f>
        <v>2.6678571428571423</v>
      </c>
      <c r="U1640" s="50">
        <v>12</v>
      </c>
      <c r="V1640" s="53">
        <v>0</v>
      </c>
      <c r="W1640" s="147">
        <v>0.156</v>
      </c>
      <c r="X1640" s="148" t="s">
        <v>193</v>
      </c>
      <c r="Y1640" s="54">
        <f>R1640*W1640</f>
        <v>3.8844</v>
      </c>
      <c r="Z1640" s="52">
        <f>S1640*W1640</f>
        <v>3.4682142857142857</v>
      </c>
      <c r="AA1640" s="52">
        <f>T1640*W1640</f>
        <v>0.4161857142857142</v>
      </c>
      <c r="AB1640" s="52">
        <f>V1640*W1640</f>
        <v>0</v>
      </c>
      <c r="AC1640" s="53">
        <f>(R1640+V1640)*W1640</f>
        <v>3.8844</v>
      </c>
      <c r="AD1640" s="138">
        <v>24.9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107</v>
      </c>
      <c r="F1641" s="96" t="s">
        <v>106</v>
      </c>
      <c r="G1641" s="97">
        <v>46132</v>
      </c>
      <c r="H1641" s="98">
        <v>0.5801736111111111</v>
      </c>
      <c r="I1641" s="50">
        <v>166004764</v>
      </c>
      <c r="J1641" s="96" t="s">
        <v>157</v>
      </c>
      <c r="K1641" s="49" t="s">
        <v>1133</v>
      </c>
      <c r="L1641" s="39" t="s">
        <v>1134</v>
      </c>
      <c r="M1641" s="49" t="s">
        <v>649</v>
      </c>
      <c r="N1641" s="39" t="s">
        <v>440</v>
      </c>
      <c r="O1641" s="96" t="s">
        <v>1135</v>
      </c>
      <c r="P1641" s="49" t="s">
        <v>157</v>
      </c>
      <c r="Q1641" s="96" t="s">
        <v>104</v>
      </c>
      <c r="R1641" s="52">
        <v>125.93</v>
      </c>
      <c r="S1641" s="52">
        <f>R1641-T1641</f>
        <v>112.4375</v>
      </c>
      <c r="T1641" s="52">
        <f>R1641*U1641/(U1641+100)</f>
        <v>13.492500000000001</v>
      </c>
      <c r="U1641" s="50">
        <v>12</v>
      </c>
      <c r="V1641" s="53">
        <v>0</v>
      </c>
      <c r="W1641" s="147">
        <v>0.054</v>
      </c>
      <c r="X1641" s="148" t="s">
        <v>193</v>
      </c>
      <c r="Y1641" s="54">
        <f>R1641*W1641</f>
        <v>6.80022</v>
      </c>
      <c r="Z1641" s="52">
        <f>S1641*W1641</f>
        <v>6.071625</v>
      </c>
      <c r="AA1641" s="52">
        <f>T1641*W1641</f>
        <v>0.7285950000000001</v>
      </c>
      <c r="AB1641" s="52">
        <f>V1641*W1641</f>
        <v>0</v>
      </c>
      <c r="AC1641" s="53">
        <f>(R1641+V1641)*W1641</f>
        <v>6.80022</v>
      </c>
      <c r="AD1641" s="138">
        <v>179.9</v>
      </c>
      <c r="AE1641" s="137">
        <v>53.97</v>
      </c>
      <c r="AF1641" s="139">
        <v>2.9144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107</v>
      </c>
      <c r="F1642" s="96" t="s">
        <v>113</v>
      </c>
      <c r="G1642" s="97">
        <v>46132</v>
      </c>
      <c r="H1642" s="98">
        <v>0.6248726851851852</v>
      </c>
      <c r="I1642" s="50">
        <v>166004765</v>
      </c>
      <c r="J1642" s="96" t="s">
        <v>157</v>
      </c>
      <c r="K1642" s="49" t="s">
        <v>1303</v>
      </c>
      <c r="L1642" s="39" t="s">
        <v>1304</v>
      </c>
      <c r="M1642" s="49" t="s">
        <v>160</v>
      </c>
      <c r="N1642" s="39" t="s">
        <v>239</v>
      </c>
      <c r="O1642" s="96" t="s">
        <v>1305</v>
      </c>
      <c r="P1642" s="49" t="s">
        <v>157</v>
      </c>
      <c r="Q1642" s="96" t="s">
        <v>104</v>
      </c>
      <c r="R1642" s="52">
        <v>54.9</v>
      </c>
      <c r="S1642" s="52">
        <f>R1642-T1642</f>
        <v>49.01785714285714</v>
      </c>
      <c r="T1642" s="52">
        <f>R1642*U1642/(U1642+100)</f>
        <v>5.882142857142857</v>
      </c>
      <c r="U1642" s="50">
        <v>12</v>
      </c>
      <c r="V1642" s="53">
        <v>0</v>
      </c>
      <c r="W1642" s="147">
        <v>1</v>
      </c>
      <c r="X1642" s="148" t="s">
        <v>163</v>
      </c>
      <c r="Y1642" s="54">
        <f>R1642*W1642</f>
        <v>54.9</v>
      </c>
      <c r="Z1642" s="52">
        <f>S1642*W1642</f>
        <v>49.01785714285714</v>
      </c>
      <c r="AA1642" s="52">
        <f>T1642*W1642</f>
        <v>5.882142857142857</v>
      </c>
      <c r="AB1642" s="52">
        <f>V1642*W1642</f>
        <v>0</v>
      </c>
      <c r="AC1642" s="53">
        <f>(R1642+V1642)*W1642</f>
        <v>54.9</v>
      </c>
      <c r="AD1642" s="138">
        <v>54.9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107</v>
      </c>
      <c r="F1643" s="96" t="s">
        <v>113</v>
      </c>
      <c r="G1643" s="97">
        <v>46132</v>
      </c>
      <c r="H1643" s="98">
        <v>0.6248726851851852</v>
      </c>
      <c r="I1643" s="50">
        <v>166004765</v>
      </c>
      <c r="J1643" s="96" t="s">
        <v>157</v>
      </c>
      <c r="K1643" s="49" t="s">
        <v>2301</v>
      </c>
      <c r="L1643" s="39" t="s">
        <v>2302</v>
      </c>
      <c r="M1643" s="49" t="s">
        <v>282</v>
      </c>
      <c r="N1643" s="39" t="s">
        <v>609</v>
      </c>
      <c r="O1643" s="96" t="s">
        <v>2303</v>
      </c>
      <c r="P1643" s="49" t="s">
        <v>157</v>
      </c>
      <c r="Q1643" s="96" t="s">
        <v>104</v>
      </c>
      <c r="R1643" s="52">
        <v>11.83</v>
      </c>
      <c r="S1643" s="52">
        <f>R1643-T1643</f>
        <v>10.5625</v>
      </c>
      <c r="T1643" s="52">
        <f>R1643*U1643/(U1643+100)</f>
        <v>1.2675</v>
      </c>
      <c r="U1643" s="50">
        <v>12</v>
      </c>
      <c r="V1643" s="53">
        <v>0</v>
      </c>
      <c r="W1643" s="147">
        <v>7</v>
      </c>
      <c r="X1643" s="148" t="s">
        <v>163</v>
      </c>
      <c r="Y1643" s="54">
        <f>R1643*W1643</f>
        <v>82.81</v>
      </c>
      <c r="Z1643" s="52">
        <f>S1643*W1643</f>
        <v>73.9375</v>
      </c>
      <c r="AA1643" s="52">
        <f>T1643*W1643</f>
        <v>8.8725</v>
      </c>
      <c r="AB1643" s="52">
        <f>V1643*W1643</f>
        <v>0</v>
      </c>
      <c r="AC1643" s="53">
        <f>(R1643+V1643)*W1643</f>
        <v>82.81</v>
      </c>
      <c r="AD1643" s="138">
        <v>16.9</v>
      </c>
      <c r="AE1643" s="137">
        <v>5.07</v>
      </c>
      <c r="AF1643" s="139">
        <v>35.49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107</v>
      </c>
      <c r="F1644" s="96" t="s">
        <v>113</v>
      </c>
      <c r="G1644" s="97">
        <v>46132</v>
      </c>
      <c r="H1644" s="98">
        <v>0.6248726851851852</v>
      </c>
      <c r="I1644" s="50">
        <v>166004765</v>
      </c>
      <c r="J1644" s="96" t="s">
        <v>157</v>
      </c>
      <c r="K1644" s="49" t="s">
        <v>303</v>
      </c>
      <c r="L1644" s="39" t="s">
        <v>304</v>
      </c>
      <c r="M1644" s="49" t="s">
        <v>214</v>
      </c>
      <c r="N1644" s="39" t="s">
        <v>296</v>
      </c>
      <c r="O1644" s="96" t="s">
        <v>305</v>
      </c>
      <c r="P1644" s="49" t="s">
        <v>157</v>
      </c>
      <c r="Q1644" s="96" t="s">
        <v>104</v>
      </c>
      <c r="R1644" s="52">
        <v>11.9</v>
      </c>
      <c r="S1644" s="52">
        <f>R1644-T1644</f>
        <v>10.625</v>
      </c>
      <c r="T1644" s="52">
        <f>R1644*U1644/(U1644+100)</f>
        <v>1.2750000000000001</v>
      </c>
      <c r="U1644" s="50">
        <v>12</v>
      </c>
      <c r="V1644" s="53">
        <v>0</v>
      </c>
      <c r="W1644" s="147">
        <v>3</v>
      </c>
      <c r="X1644" s="148" t="s">
        <v>163</v>
      </c>
      <c r="Y1644" s="54">
        <f>R1644*W1644</f>
        <v>35.7</v>
      </c>
      <c r="Z1644" s="52">
        <f>S1644*W1644</f>
        <v>31.875</v>
      </c>
      <c r="AA1644" s="52">
        <f>T1644*W1644</f>
        <v>3.825</v>
      </c>
      <c r="AB1644" s="52">
        <f>V1644*W1644</f>
        <v>0</v>
      </c>
      <c r="AC1644" s="53">
        <f>(R1644+V1644)*W1644</f>
        <v>35.7</v>
      </c>
      <c r="AD1644" s="138">
        <v>11.9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107</v>
      </c>
      <c r="F1645" s="96" t="s">
        <v>113</v>
      </c>
      <c r="G1645" s="97">
        <v>46132</v>
      </c>
      <c r="H1645" s="98">
        <v>0.6248726851851852</v>
      </c>
      <c r="I1645" s="50">
        <v>166004765</v>
      </c>
      <c r="J1645" s="96" t="s">
        <v>157</v>
      </c>
      <c r="K1645" s="49" t="s">
        <v>293</v>
      </c>
      <c r="L1645" s="39" t="s">
        <v>294</v>
      </c>
      <c r="M1645" s="49" t="s">
        <v>295</v>
      </c>
      <c r="N1645" s="39" t="s">
        <v>296</v>
      </c>
      <c r="O1645" s="96" t="s">
        <v>297</v>
      </c>
      <c r="P1645" s="49" t="s">
        <v>157</v>
      </c>
      <c r="Q1645" s="96" t="s">
        <v>104</v>
      </c>
      <c r="R1645" s="52">
        <v>2.9</v>
      </c>
      <c r="S1645" s="52">
        <f>R1645-T1645</f>
        <v>2.5892857142857144</v>
      </c>
      <c r="T1645" s="52">
        <f>R1645*U1645/(U1645+100)</f>
        <v>0.31071428571428567</v>
      </c>
      <c r="U1645" s="50">
        <v>12</v>
      </c>
      <c r="V1645" s="53">
        <v>0</v>
      </c>
      <c r="W1645" s="147">
        <v>1</v>
      </c>
      <c r="X1645" s="148" t="s">
        <v>163</v>
      </c>
      <c r="Y1645" s="54">
        <f>R1645*W1645</f>
        <v>2.9</v>
      </c>
      <c r="Z1645" s="52">
        <f>S1645*W1645</f>
        <v>2.5892857142857144</v>
      </c>
      <c r="AA1645" s="52">
        <f>T1645*W1645</f>
        <v>0.31071428571428567</v>
      </c>
      <c r="AB1645" s="52">
        <f>V1645*W1645</f>
        <v>0</v>
      </c>
      <c r="AC1645" s="53">
        <f>(R1645+V1645)*W1645</f>
        <v>2.9</v>
      </c>
      <c r="AD1645" s="138">
        <v>2.9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107</v>
      </c>
      <c r="F1646" s="96" t="s">
        <v>113</v>
      </c>
      <c r="G1646" s="97">
        <v>46132</v>
      </c>
      <c r="H1646" s="98">
        <v>0.6257060185185185</v>
      </c>
      <c r="I1646" s="50">
        <v>166004766</v>
      </c>
      <c r="J1646" s="96" t="s">
        <v>157</v>
      </c>
      <c r="K1646" s="49" t="s">
        <v>2721</v>
      </c>
      <c r="L1646" s="39" t="s">
        <v>2722</v>
      </c>
      <c r="M1646" s="49" t="s">
        <v>255</v>
      </c>
      <c r="N1646" s="39" t="s">
        <v>256</v>
      </c>
      <c r="O1646" s="96" t="s">
        <v>2723</v>
      </c>
      <c r="P1646" s="49" t="s">
        <v>157</v>
      </c>
      <c r="Q1646" s="96" t="s">
        <v>104</v>
      </c>
      <c r="R1646" s="52">
        <v>27.9</v>
      </c>
      <c r="S1646" s="52">
        <f>R1646-T1646</f>
        <v>23.05785123966942</v>
      </c>
      <c r="T1646" s="52">
        <f>R1646*U1646/(U1646+100)</f>
        <v>4.842148760330578</v>
      </c>
      <c r="U1646" s="50">
        <v>21</v>
      </c>
      <c r="V1646" s="53">
        <v>0</v>
      </c>
      <c r="W1646" s="147">
        <v>1</v>
      </c>
      <c r="X1646" s="148" t="s">
        <v>163</v>
      </c>
      <c r="Y1646" s="54">
        <f>R1646*W1646</f>
        <v>27.9</v>
      </c>
      <c r="Z1646" s="52">
        <f>S1646*W1646</f>
        <v>23.05785123966942</v>
      </c>
      <c r="AA1646" s="52">
        <f>T1646*W1646</f>
        <v>4.842148760330578</v>
      </c>
      <c r="AB1646" s="52">
        <f>V1646*W1646</f>
        <v>0</v>
      </c>
      <c r="AC1646" s="53">
        <f>(R1646+V1646)*W1646</f>
        <v>27.9</v>
      </c>
      <c r="AD1646" s="138">
        <v>27.9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107</v>
      </c>
      <c r="F1647" s="96" t="s">
        <v>113</v>
      </c>
      <c r="G1647" s="97">
        <v>46132</v>
      </c>
      <c r="H1647" s="98">
        <v>0.6257060185185185</v>
      </c>
      <c r="I1647" s="50">
        <v>166004766</v>
      </c>
      <c r="J1647" s="96" t="s">
        <v>157</v>
      </c>
      <c r="K1647" s="49" t="s">
        <v>2721</v>
      </c>
      <c r="L1647" s="39" t="s">
        <v>2722</v>
      </c>
      <c r="M1647" s="49" t="s">
        <v>255</v>
      </c>
      <c r="N1647" s="39" t="s">
        <v>256</v>
      </c>
      <c r="O1647" s="96" t="s">
        <v>2723</v>
      </c>
      <c r="P1647" s="49" t="s">
        <v>157</v>
      </c>
      <c r="Q1647" s="96" t="s">
        <v>104</v>
      </c>
      <c r="R1647" s="52">
        <v>27.9</v>
      </c>
      <c r="S1647" s="52">
        <f>R1647-T1647</f>
        <v>23.05785123966942</v>
      </c>
      <c r="T1647" s="52">
        <f>R1647*U1647/(U1647+100)</f>
        <v>4.842148760330578</v>
      </c>
      <c r="U1647" s="50">
        <v>21</v>
      </c>
      <c r="V1647" s="53">
        <v>0</v>
      </c>
      <c r="W1647" s="147">
        <v>1</v>
      </c>
      <c r="X1647" s="148" t="s">
        <v>163</v>
      </c>
      <c r="Y1647" s="54">
        <f>R1647*W1647</f>
        <v>27.9</v>
      </c>
      <c r="Z1647" s="52">
        <f>S1647*W1647</f>
        <v>23.05785123966942</v>
      </c>
      <c r="AA1647" s="52">
        <f>T1647*W1647</f>
        <v>4.842148760330578</v>
      </c>
      <c r="AB1647" s="52">
        <f>V1647*W1647</f>
        <v>0</v>
      </c>
      <c r="AC1647" s="53">
        <f>(R1647+V1647)*W1647</f>
        <v>27.9</v>
      </c>
      <c r="AD1647" s="138">
        <v>27.9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107</v>
      </c>
      <c r="F1648" s="96" t="s">
        <v>113</v>
      </c>
      <c r="G1648" s="97">
        <v>46132</v>
      </c>
      <c r="H1648" s="98">
        <v>0.6257060185185185</v>
      </c>
      <c r="I1648" s="50">
        <v>166004766</v>
      </c>
      <c r="J1648" s="96" t="s">
        <v>157</v>
      </c>
      <c r="K1648" s="49" t="s">
        <v>2721</v>
      </c>
      <c r="L1648" s="39" t="s">
        <v>2722</v>
      </c>
      <c r="M1648" s="49" t="s">
        <v>255</v>
      </c>
      <c r="N1648" s="39" t="s">
        <v>256</v>
      </c>
      <c r="O1648" s="96" t="s">
        <v>2723</v>
      </c>
      <c r="P1648" s="49" t="s">
        <v>157</v>
      </c>
      <c r="Q1648" s="96" t="s">
        <v>104</v>
      </c>
      <c r="R1648" s="52">
        <v>27.9</v>
      </c>
      <c r="S1648" s="52">
        <f>R1648-T1648</f>
        <v>23.05785123966942</v>
      </c>
      <c r="T1648" s="52">
        <f>R1648*U1648/(U1648+100)</f>
        <v>4.842148760330578</v>
      </c>
      <c r="U1648" s="50">
        <v>21</v>
      </c>
      <c r="V1648" s="53">
        <v>0</v>
      </c>
      <c r="W1648" s="147">
        <v>1</v>
      </c>
      <c r="X1648" s="148" t="s">
        <v>163</v>
      </c>
      <c r="Y1648" s="54">
        <f>R1648*W1648</f>
        <v>27.9</v>
      </c>
      <c r="Z1648" s="52">
        <f>S1648*W1648</f>
        <v>23.05785123966942</v>
      </c>
      <c r="AA1648" s="52">
        <f>T1648*W1648</f>
        <v>4.842148760330578</v>
      </c>
      <c r="AB1648" s="52">
        <f>V1648*W1648</f>
        <v>0</v>
      </c>
      <c r="AC1648" s="53">
        <f>(R1648+V1648)*W1648</f>
        <v>27.9</v>
      </c>
      <c r="AD1648" s="138">
        <v>27.9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107</v>
      </c>
      <c r="F1649" s="96" t="s">
        <v>113</v>
      </c>
      <c r="G1649" s="97">
        <v>46132</v>
      </c>
      <c r="H1649" s="98">
        <v>0.6257060185185185</v>
      </c>
      <c r="I1649" s="50">
        <v>166004766</v>
      </c>
      <c r="J1649" s="96" t="s">
        <v>157</v>
      </c>
      <c r="K1649" s="49" t="s">
        <v>926</v>
      </c>
      <c r="L1649" s="39" t="s">
        <v>927</v>
      </c>
      <c r="M1649" s="49" t="s">
        <v>255</v>
      </c>
      <c r="N1649" s="39" t="s">
        <v>256</v>
      </c>
      <c r="O1649" s="96" t="s">
        <v>2368</v>
      </c>
      <c r="P1649" s="49" t="s">
        <v>157</v>
      </c>
      <c r="Q1649" s="96" t="s">
        <v>104</v>
      </c>
      <c r="R1649" s="52">
        <v>23.9</v>
      </c>
      <c r="S1649" s="52">
        <f>R1649-T1649</f>
        <v>19.752066115702476</v>
      </c>
      <c r="T1649" s="52">
        <f>R1649*U1649/(U1649+100)</f>
        <v>4.147933884297521</v>
      </c>
      <c r="U1649" s="50">
        <v>21</v>
      </c>
      <c r="V1649" s="53">
        <v>0</v>
      </c>
      <c r="W1649" s="147">
        <v>1</v>
      </c>
      <c r="X1649" s="148" t="s">
        <v>163</v>
      </c>
      <c r="Y1649" s="54">
        <f>R1649*W1649</f>
        <v>23.9</v>
      </c>
      <c r="Z1649" s="52">
        <f>S1649*W1649</f>
        <v>19.752066115702476</v>
      </c>
      <c r="AA1649" s="52">
        <f>T1649*W1649</f>
        <v>4.147933884297521</v>
      </c>
      <c r="AB1649" s="52">
        <f>V1649*W1649</f>
        <v>0</v>
      </c>
      <c r="AC1649" s="53">
        <f>(R1649+V1649)*W1649</f>
        <v>23.9</v>
      </c>
      <c r="AD1649" s="138">
        <v>23.9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107</v>
      </c>
      <c r="F1650" s="96" t="s">
        <v>113</v>
      </c>
      <c r="G1650" s="97">
        <v>46132</v>
      </c>
      <c r="H1650" s="98">
        <v>0.6257060185185185</v>
      </c>
      <c r="I1650" s="50">
        <v>166004766</v>
      </c>
      <c r="J1650" s="96" t="s">
        <v>157</v>
      </c>
      <c r="K1650" s="49" t="s">
        <v>1126</v>
      </c>
      <c r="L1650" s="39" t="s">
        <v>1127</v>
      </c>
      <c r="M1650" s="49" t="s">
        <v>862</v>
      </c>
      <c r="N1650" s="39" t="s">
        <v>863</v>
      </c>
      <c r="O1650" s="96" t="s">
        <v>1128</v>
      </c>
      <c r="P1650" s="49" t="s">
        <v>157</v>
      </c>
      <c r="Q1650" s="96" t="s">
        <v>104</v>
      </c>
      <c r="R1650" s="52">
        <v>161</v>
      </c>
      <c r="S1650" s="52">
        <f>R1650-T1650</f>
        <v>133.05785123966942</v>
      </c>
      <c r="T1650" s="52">
        <f>R1650*U1650/(U1650+100)</f>
        <v>27.94214876033058</v>
      </c>
      <c r="U1650" s="50">
        <v>21</v>
      </c>
      <c r="V1650" s="53">
        <v>0</v>
      </c>
      <c r="W1650" s="147">
        <v>1</v>
      </c>
      <c r="X1650" s="148" t="s">
        <v>163</v>
      </c>
      <c r="Y1650" s="54">
        <f>R1650*W1650</f>
        <v>161</v>
      </c>
      <c r="Z1650" s="52">
        <f>S1650*W1650</f>
        <v>133.05785123966942</v>
      </c>
      <c r="AA1650" s="52">
        <f>T1650*W1650</f>
        <v>27.94214876033058</v>
      </c>
      <c r="AB1650" s="52">
        <f>V1650*W1650</f>
        <v>0</v>
      </c>
      <c r="AC1650" s="53">
        <f>(R1650+V1650)*W1650</f>
        <v>161</v>
      </c>
      <c r="AD1650" s="138">
        <v>161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107</v>
      </c>
      <c r="F1651" s="96" t="s">
        <v>113</v>
      </c>
      <c r="G1651" s="97">
        <v>46132</v>
      </c>
      <c r="H1651" s="98">
        <v>0.6257060185185185</v>
      </c>
      <c r="I1651" s="50">
        <v>166004766</v>
      </c>
      <c r="J1651" s="96" t="s">
        <v>157</v>
      </c>
      <c r="K1651" s="49" t="s">
        <v>680</v>
      </c>
      <c r="L1651" s="39" t="s">
        <v>681</v>
      </c>
      <c r="M1651" s="49" t="s">
        <v>190</v>
      </c>
      <c r="N1651" s="39" t="s">
        <v>532</v>
      </c>
      <c r="O1651" s="96" t="s">
        <v>682</v>
      </c>
      <c r="P1651" s="49" t="s">
        <v>157</v>
      </c>
      <c r="Q1651" s="96" t="s">
        <v>104</v>
      </c>
      <c r="R1651" s="52">
        <v>24.9</v>
      </c>
      <c r="S1651" s="52">
        <f>R1651-T1651</f>
        <v>22.232142857142858</v>
      </c>
      <c r="T1651" s="52">
        <f>R1651*U1651/(U1651+100)</f>
        <v>2.6678571428571423</v>
      </c>
      <c r="U1651" s="50">
        <v>12</v>
      </c>
      <c r="V1651" s="53">
        <v>0</v>
      </c>
      <c r="W1651" s="147">
        <v>0.25</v>
      </c>
      <c r="X1651" s="148" t="s">
        <v>193</v>
      </c>
      <c r="Y1651" s="54">
        <f>R1651*W1651</f>
        <v>6.225</v>
      </c>
      <c r="Z1651" s="52">
        <f>S1651*W1651</f>
        <v>5.558035714285714</v>
      </c>
      <c r="AA1651" s="52">
        <f>T1651*W1651</f>
        <v>0.6669642857142856</v>
      </c>
      <c r="AB1651" s="52">
        <f>V1651*W1651</f>
        <v>0</v>
      </c>
      <c r="AC1651" s="53">
        <f>(R1651+V1651)*W1651</f>
        <v>6.225</v>
      </c>
      <c r="AD1651" s="138">
        <v>24.9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107</v>
      </c>
      <c r="F1652" s="96" t="s">
        <v>113</v>
      </c>
      <c r="G1652" s="97">
        <v>46132</v>
      </c>
      <c r="H1652" s="98">
        <v>0.6257060185185185</v>
      </c>
      <c r="I1652" s="50">
        <v>166004766</v>
      </c>
      <c r="J1652" s="96" t="s">
        <v>157</v>
      </c>
      <c r="K1652" s="49" t="s">
        <v>1188</v>
      </c>
      <c r="L1652" s="39" t="s">
        <v>1189</v>
      </c>
      <c r="M1652" s="49" t="s">
        <v>522</v>
      </c>
      <c r="N1652" s="39" t="s">
        <v>688</v>
      </c>
      <c r="O1652" s="96" t="s">
        <v>1190</v>
      </c>
      <c r="P1652" s="49" t="s">
        <v>157</v>
      </c>
      <c r="Q1652" s="96" t="s">
        <v>104</v>
      </c>
      <c r="R1652" s="52">
        <v>154.9</v>
      </c>
      <c r="S1652" s="52">
        <f>R1652-T1652</f>
        <v>138.30357142857144</v>
      </c>
      <c r="T1652" s="52">
        <f>R1652*U1652/(U1652+100)</f>
        <v>16.59642857142857</v>
      </c>
      <c r="U1652" s="50">
        <v>12</v>
      </c>
      <c r="V1652" s="53">
        <v>0</v>
      </c>
      <c r="W1652" s="147">
        <v>0.148</v>
      </c>
      <c r="X1652" s="148" t="s">
        <v>193</v>
      </c>
      <c r="Y1652" s="54">
        <f>R1652*W1652</f>
        <v>22.9252</v>
      </c>
      <c r="Z1652" s="52">
        <f>S1652*W1652</f>
        <v>20.468928571428574</v>
      </c>
      <c r="AA1652" s="52">
        <f>T1652*W1652</f>
        <v>2.4562714285714287</v>
      </c>
      <c r="AB1652" s="52">
        <f>V1652*W1652</f>
        <v>0</v>
      </c>
      <c r="AC1652" s="53">
        <f>(R1652+V1652)*W1652</f>
        <v>22.9252</v>
      </c>
      <c r="AD1652" s="138">
        <v>154.9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107</v>
      </c>
      <c r="F1653" s="96" t="s">
        <v>113</v>
      </c>
      <c r="G1653" s="97">
        <v>46132</v>
      </c>
      <c r="H1653" s="98">
        <v>0.6257060185185185</v>
      </c>
      <c r="I1653" s="50">
        <v>166004766</v>
      </c>
      <c r="J1653" s="96" t="s">
        <v>157</v>
      </c>
      <c r="K1653" s="49" t="s">
        <v>1531</v>
      </c>
      <c r="L1653" s="39"/>
      <c r="M1653" s="49" t="s">
        <v>295</v>
      </c>
      <c r="N1653" s="39" t="s">
        <v>433</v>
      </c>
      <c r="O1653" s="96" t="s">
        <v>1532</v>
      </c>
      <c r="P1653" s="49" t="s">
        <v>235</v>
      </c>
      <c r="Q1653" s="96" t="s">
        <v>1533</v>
      </c>
      <c r="R1653" s="52">
        <v>19.9</v>
      </c>
      <c r="S1653" s="52">
        <f>R1653-T1653</f>
        <v>17.767857142857142</v>
      </c>
      <c r="T1653" s="52">
        <f>R1653*U1653/(U1653+100)</f>
        <v>2.132142857142857</v>
      </c>
      <c r="U1653" s="50">
        <v>12</v>
      </c>
      <c r="V1653" s="53">
        <v>0</v>
      </c>
      <c r="W1653" s="147">
        <v>1</v>
      </c>
      <c r="X1653" s="148" t="s">
        <v>945</v>
      </c>
      <c r="Y1653" s="54">
        <f>R1653*W1653</f>
        <v>19.9</v>
      </c>
      <c r="Z1653" s="52">
        <f>S1653*W1653</f>
        <v>17.767857142857142</v>
      </c>
      <c r="AA1653" s="52">
        <f>T1653*W1653</f>
        <v>2.132142857142857</v>
      </c>
      <c r="AB1653" s="52">
        <f>V1653*W1653</f>
        <v>0</v>
      </c>
      <c r="AC1653" s="53">
        <f>(R1653+V1653)*W1653</f>
        <v>19.9</v>
      </c>
      <c r="AD1653" s="138">
        <v>19.9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107</v>
      </c>
      <c r="F1654" s="96" t="s">
        <v>113</v>
      </c>
      <c r="G1654" s="97">
        <v>46132</v>
      </c>
      <c r="H1654" s="98">
        <v>0.626724537037037</v>
      </c>
      <c r="I1654" s="50">
        <v>166004767</v>
      </c>
      <c r="J1654" s="96" t="s">
        <v>157</v>
      </c>
      <c r="K1654" s="49" t="s">
        <v>2724</v>
      </c>
      <c r="L1654" s="39" t="s">
        <v>2725</v>
      </c>
      <c r="M1654" s="49" t="s">
        <v>893</v>
      </c>
      <c r="N1654" s="39" t="s">
        <v>202</v>
      </c>
      <c r="O1654" s="96" t="s">
        <v>2726</v>
      </c>
      <c r="P1654" s="49" t="s">
        <v>157</v>
      </c>
      <c r="Q1654" s="96" t="s">
        <v>104</v>
      </c>
      <c r="R1654" s="52">
        <v>12.4</v>
      </c>
      <c r="S1654" s="52">
        <f>R1654-T1654</f>
        <v>11.071428571428571</v>
      </c>
      <c r="T1654" s="52">
        <f>R1654*U1654/(U1654+100)</f>
        <v>1.3285714285714287</v>
      </c>
      <c r="U1654" s="50">
        <v>12</v>
      </c>
      <c r="V1654" s="53">
        <v>0</v>
      </c>
      <c r="W1654" s="147">
        <v>2</v>
      </c>
      <c r="X1654" s="148" t="s">
        <v>163</v>
      </c>
      <c r="Y1654" s="54">
        <f>R1654*W1654</f>
        <v>24.8</v>
      </c>
      <c r="Z1654" s="52">
        <f>S1654*W1654</f>
        <v>22.142857142857142</v>
      </c>
      <c r="AA1654" s="52">
        <f>T1654*W1654</f>
        <v>2.6571428571428575</v>
      </c>
      <c r="AB1654" s="52">
        <f>V1654*W1654</f>
        <v>0</v>
      </c>
      <c r="AC1654" s="53">
        <f>(R1654+V1654)*W1654</f>
        <v>24.8</v>
      </c>
      <c r="AD1654" s="138">
        <v>12.4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107</v>
      </c>
      <c r="F1655" s="96" t="s">
        <v>113</v>
      </c>
      <c r="G1655" s="97">
        <v>46132</v>
      </c>
      <c r="H1655" s="98">
        <v>0.626724537037037</v>
      </c>
      <c r="I1655" s="50">
        <v>166004767</v>
      </c>
      <c r="J1655" s="96" t="s">
        <v>157</v>
      </c>
      <c r="K1655" s="49" t="s">
        <v>1549</v>
      </c>
      <c r="L1655" s="39" t="s">
        <v>1550</v>
      </c>
      <c r="M1655" s="49" t="s">
        <v>466</v>
      </c>
      <c r="N1655" s="39" t="s">
        <v>609</v>
      </c>
      <c r="O1655" s="96" t="s">
        <v>1551</v>
      </c>
      <c r="P1655" s="49" t="s">
        <v>157</v>
      </c>
      <c r="Q1655" s="96" t="s">
        <v>104</v>
      </c>
      <c r="R1655" s="52">
        <v>14.9</v>
      </c>
      <c r="S1655" s="52">
        <f>R1655-T1655</f>
        <v>13.303571428571429</v>
      </c>
      <c r="T1655" s="52">
        <f>R1655*U1655/(U1655+100)</f>
        <v>1.5964285714285715</v>
      </c>
      <c r="U1655" s="50">
        <v>12</v>
      </c>
      <c r="V1655" s="53">
        <v>0</v>
      </c>
      <c r="W1655" s="147">
        <v>1</v>
      </c>
      <c r="X1655" s="148" t="s">
        <v>163</v>
      </c>
      <c r="Y1655" s="54">
        <f>R1655*W1655</f>
        <v>14.9</v>
      </c>
      <c r="Z1655" s="52">
        <f>S1655*W1655</f>
        <v>13.303571428571429</v>
      </c>
      <c r="AA1655" s="52">
        <f>T1655*W1655</f>
        <v>1.5964285714285715</v>
      </c>
      <c r="AB1655" s="52">
        <f>V1655*W1655</f>
        <v>0</v>
      </c>
      <c r="AC1655" s="53">
        <f>(R1655+V1655)*W1655</f>
        <v>14.9</v>
      </c>
      <c r="AD1655" s="138">
        <v>14.9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107</v>
      </c>
      <c r="F1656" s="96" t="s">
        <v>113</v>
      </c>
      <c r="G1656" s="97">
        <v>46132</v>
      </c>
      <c r="H1656" s="98">
        <v>0.626724537037037</v>
      </c>
      <c r="I1656" s="50">
        <v>166004767</v>
      </c>
      <c r="J1656" s="96" t="s">
        <v>157</v>
      </c>
      <c r="K1656" s="49" t="s">
        <v>1698</v>
      </c>
      <c r="L1656" s="39" t="s">
        <v>1699</v>
      </c>
      <c r="M1656" s="49" t="s">
        <v>466</v>
      </c>
      <c r="N1656" s="39" t="s">
        <v>609</v>
      </c>
      <c r="O1656" s="96" t="s">
        <v>1700</v>
      </c>
      <c r="P1656" s="49" t="s">
        <v>157</v>
      </c>
      <c r="Q1656" s="96" t="s">
        <v>104</v>
      </c>
      <c r="R1656" s="52">
        <v>14.9</v>
      </c>
      <c r="S1656" s="52">
        <f>R1656-T1656</f>
        <v>13.303571428571429</v>
      </c>
      <c r="T1656" s="52">
        <f>R1656*U1656/(U1656+100)</f>
        <v>1.5964285714285715</v>
      </c>
      <c r="U1656" s="50">
        <v>12</v>
      </c>
      <c r="V1656" s="53">
        <v>0</v>
      </c>
      <c r="W1656" s="147">
        <v>1</v>
      </c>
      <c r="X1656" s="148" t="s">
        <v>163</v>
      </c>
      <c r="Y1656" s="54">
        <f>R1656*W1656</f>
        <v>14.9</v>
      </c>
      <c r="Z1656" s="52">
        <f>S1656*W1656</f>
        <v>13.303571428571429</v>
      </c>
      <c r="AA1656" s="52">
        <f>T1656*W1656</f>
        <v>1.5964285714285715</v>
      </c>
      <c r="AB1656" s="52">
        <f>V1656*W1656</f>
        <v>0</v>
      </c>
      <c r="AC1656" s="53">
        <f>(R1656+V1656)*W1656</f>
        <v>14.9</v>
      </c>
      <c r="AD1656" s="138">
        <v>14.9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107</v>
      </c>
      <c r="F1657" s="96" t="s">
        <v>113</v>
      </c>
      <c r="G1657" s="97">
        <v>46132</v>
      </c>
      <c r="H1657" s="98">
        <v>0.626724537037037</v>
      </c>
      <c r="I1657" s="50">
        <v>166004767</v>
      </c>
      <c r="J1657" s="96" t="s">
        <v>157</v>
      </c>
      <c r="K1657" s="49" t="s">
        <v>1520</v>
      </c>
      <c r="L1657" s="39" t="s">
        <v>1521</v>
      </c>
      <c r="M1657" s="49" t="s">
        <v>466</v>
      </c>
      <c r="N1657" s="39" t="s">
        <v>609</v>
      </c>
      <c r="O1657" s="96" t="s">
        <v>1522</v>
      </c>
      <c r="P1657" s="49" t="s">
        <v>157</v>
      </c>
      <c r="Q1657" s="96" t="s">
        <v>104</v>
      </c>
      <c r="R1657" s="52">
        <v>17.9</v>
      </c>
      <c r="S1657" s="52">
        <f>R1657-T1657</f>
        <v>15.982142857142856</v>
      </c>
      <c r="T1657" s="52">
        <f>R1657*U1657/(U1657+100)</f>
        <v>1.9178571428571427</v>
      </c>
      <c r="U1657" s="50">
        <v>12</v>
      </c>
      <c r="V1657" s="53">
        <v>0</v>
      </c>
      <c r="W1657" s="147">
        <v>1</v>
      </c>
      <c r="X1657" s="148" t="s">
        <v>163</v>
      </c>
      <c r="Y1657" s="54">
        <f>R1657*W1657</f>
        <v>17.9</v>
      </c>
      <c r="Z1657" s="52">
        <f>S1657*W1657</f>
        <v>15.982142857142856</v>
      </c>
      <c r="AA1657" s="52">
        <f>T1657*W1657</f>
        <v>1.9178571428571427</v>
      </c>
      <c r="AB1657" s="52">
        <f>V1657*W1657</f>
        <v>0</v>
      </c>
      <c r="AC1657" s="53">
        <f>(R1657+V1657)*W1657</f>
        <v>17.9</v>
      </c>
      <c r="AD1657" s="138">
        <v>17.9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107</v>
      </c>
      <c r="F1658" s="96" t="s">
        <v>113</v>
      </c>
      <c r="G1658" s="97">
        <v>46132</v>
      </c>
      <c r="H1658" s="98">
        <v>0.626724537037037</v>
      </c>
      <c r="I1658" s="50">
        <v>166004767</v>
      </c>
      <c r="J1658" s="96" t="s">
        <v>157</v>
      </c>
      <c r="K1658" s="49" t="s">
        <v>2727</v>
      </c>
      <c r="L1658" s="39" t="s">
        <v>2728</v>
      </c>
      <c r="M1658" s="49" t="s">
        <v>645</v>
      </c>
      <c r="N1658" s="39" t="s">
        <v>319</v>
      </c>
      <c r="O1658" s="96" t="s">
        <v>2729</v>
      </c>
      <c r="P1658" s="49" t="s">
        <v>157</v>
      </c>
      <c r="Q1658" s="96" t="s">
        <v>104</v>
      </c>
      <c r="R1658" s="52">
        <v>23.9</v>
      </c>
      <c r="S1658" s="52">
        <f>R1658-T1658</f>
        <v>21.33928571428571</v>
      </c>
      <c r="T1658" s="52">
        <f>R1658*U1658/(U1658+100)</f>
        <v>2.5607142857142855</v>
      </c>
      <c r="U1658" s="50">
        <v>12</v>
      </c>
      <c r="V1658" s="53">
        <v>0</v>
      </c>
      <c r="W1658" s="147">
        <v>1</v>
      </c>
      <c r="X1658" s="148" t="s">
        <v>163</v>
      </c>
      <c r="Y1658" s="54">
        <f>R1658*W1658</f>
        <v>23.9</v>
      </c>
      <c r="Z1658" s="52">
        <f>S1658*W1658</f>
        <v>21.33928571428571</v>
      </c>
      <c r="AA1658" s="52">
        <f>T1658*W1658</f>
        <v>2.5607142857142855</v>
      </c>
      <c r="AB1658" s="52">
        <f>V1658*W1658</f>
        <v>0</v>
      </c>
      <c r="AC1658" s="53">
        <f>(R1658+V1658)*W1658</f>
        <v>23.9</v>
      </c>
      <c r="AD1658" s="138">
        <v>23.9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107</v>
      </c>
      <c r="F1659" s="96" t="s">
        <v>113</v>
      </c>
      <c r="G1659" s="97">
        <v>46132</v>
      </c>
      <c r="H1659" s="98">
        <v>0.626724537037037</v>
      </c>
      <c r="I1659" s="50">
        <v>166004767</v>
      </c>
      <c r="J1659" s="96" t="s">
        <v>157</v>
      </c>
      <c r="K1659" s="49" t="s">
        <v>1136</v>
      </c>
      <c r="L1659" s="39" t="s">
        <v>1137</v>
      </c>
      <c r="M1659" s="49" t="s">
        <v>201</v>
      </c>
      <c r="N1659" s="39" t="s">
        <v>609</v>
      </c>
      <c r="O1659" s="96" t="s">
        <v>1138</v>
      </c>
      <c r="P1659" s="49" t="s">
        <v>157</v>
      </c>
      <c r="Q1659" s="96" t="s">
        <v>104</v>
      </c>
      <c r="R1659" s="52">
        <v>13.9</v>
      </c>
      <c r="S1659" s="52">
        <f>R1659-T1659</f>
        <v>12.410714285714286</v>
      </c>
      <c r="T1659" s="52">
        <f>R1659*U1659/(U1659+100)</f>
        <v>1.4892857142857143</v>
      </c>
      <c r="U1659" s="50">
        <v>12</v>
      </c>
      <c r="V1659" s="53">
        <v>0</v>
      </c>
      <c r="W1659" s="147">
        <v>1</v>
      </c>
      <c r="X1659" s="148" t="s">
        <v>163</v>
      </c>
      <c r="Y1659" s="54">
        <f>R1659*W1659</f>
        <v>13.9</v>
      </c>
      <c r="Z1659" s="52">
        <f>S1659*W1659</f>
        <v>12.410714285714286</v>
      </c>
      <c r="AA1659" s="52">
        <f>T1659*W1659</f>
        <v>1.4892857142857143</v>
      </c>
      <c r="AB1659" s="52">
        <f>V1659*W1659</f>
        <v>0</v>
      </c>
      <c r="AC1659" s="53">
        <f>(R1659+V1659)*W1659</f>
        <v>13.9</v>
      </c>
      <c r="AD1659" s="138">
        <v>13.9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107</v>
      </c>
      <c r="F1660" s="96" t="s">
        <v>113</v>
      </c>
      <c r="G1660" s="97">
        <v>46132</v>
      </c>
      <c r="H1660" s="98">
        <v>0.626724537037037</v>
      </c>
      <c r="I1660" s="50">
        <v>166004767</v>
      </c>
      <c r="J1660" s="96" t="s">
        <v>157</v>
      </c>
      <c r="K1660" s="49" t="s">
        <v>2730</v>
      </c>
      <c r="L1660" s="39" t="s">
        <v>2731</v>
      </c>
      <c r="M1660" s="49" t="s">
        <v>277</v>
      </c>
      <c r="N1660" s="39" t="s">
        <v>751</v>
      </c>
      <c r="O1660" s="96" t="s">
        <v>2732</v>
      </c>
      <c r="P1660" s="49" t="s">
        <v>235</v>
      </c>
      <c r="Q1660" s="96" t="s">
        <v>753</v>
      </c>
      <c r="R1660" s="52">
        <v>34.9</v>
      </c>
      <c r="S1660" s="52">
        <f>R1660-T1660</f>
        <v>31.160714285714285</v>
      </c>
      <c r="T1660" s="52">
        <f>R1660*U1660/(U1660+100)</f>
        <v>3.739285714285714</v>
      </c>
      <c r="U1660" s="50">
        <v>12</v>
      </c>
      <c r="V1660" s="53">
        <v>0</v>
      </c>
      <c r="W1660" s="147">
        <v>1</v>
      </c>
      <c r="X1660" s="148" t="s">
        <v>163</v>
      </c>
      <c r="Y1660" s="54">
        <f>R1660*W1660</f>
        <v>34.9</v>
      </c>
      <c r="Z1660" s="52">
        <f>S1660*W1660</f>
        <v>31.160714285714285</v>
      </c>
      <c r="AA1660" s="52">
        <f>T1660*W1660</f>
        <v>3.739285714285714</v>
      </c>
      <c r="AB1660" s="52">
        <f>V1660*W1660</f>
        <v>0</v>
      </c>
      <c r="AC1660" s="53">
        <f>(R1660+V1660)*W1660</f>
        <v>34.9</v>
      </c>
      <c r="AD1660" s="138">
        <v>34.9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107</v>
      </c>
      <c r="F1661" s="96" t="s">
        <v>113</v>
      </c>
      <c r="G1661" s="97">
        <v>46132</v>
      </c>
      <c r="H1661" s="98">
        <v>0.626724537037037</v>
      </c>
      <c r="I1661" s="50">
        <v>166004767</v>
      </c>
      <c r="J1661" s="96" t="s">
        <v>157</v>
      </c>
      <c r="K1661" s="49" t="s">
        <v>2164</v>
      </c>
      <c r="L1661" s="39" t="s">
        <v>2165</v>
      </c>
      <c r="M1661" s="49" t="s">
        <v>300</v>
      </c>
      <c r="N1661" s="39" t="s">
        <v>1377</v>
      </c>
      <c r="O1661" s="96" t="s">
        <v>2166</v>
      </c>
      <c r="P1661" s="49" t="s">
        <v>157</v>
      </c>
      <c r="Q1661" s="96" t="s">
        <v>104</v>
      </c>
      <c r="R1661" s="52">
        <v>14.4</v>
      </c>
      <c r="S1661" s="52">
        <f>R1661-T1661</f>
        <v>12.857142857142858</v>
      </c>
      <c r="T1661" s="52">
        <f>R1661*U1661/(U1661+100)</f>
        <v>1.542857142857143</v>
      </c>
      <c r="U1661" s="50">
        <v>12</v>
      </c>
      <c r="V1661" s="53">
        <v>0</v>
      </c>
      <c r="W1661" s="147">
        <v>1</v>
      </c>
      <c r="X1661" s="148" t="s">
        <v>163</v>
      </c>
      <c r="Y1661" s="54">
        <f>R1661*W1661</f>
        <v>14.4</v>
      </c>
      <c r="Z1661" s="52">
        <f>S1661*W1661</f>
        <v>12.857142857142858</v>
      </c>
      <c r="AA1661" s="52">
        <f>T1661*W1661</f>
        <v>1.542857142857143</v>
      </c>
      <c r="AB1661" s="52">
        <f>V1661*W1661</f>
        <v>0</v>
      </c>
      <c r="AC1661" s="53">
        <f>(R1661+V1661)*W1661</f>
        <v>14.4</v>
      </c>
      <c r="AD1661" s="138">
        <v>14.4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107</v>
      </c>
      <c r="F1662" s="96" t="s">
        <v>113</v>
      </c>
      <c r="G1662" s="97">
        <v>46132</v>
      </c>
      <c r="H1662" s="98">
        <v>0.626724537037037</v>
      </c>
      <c r="I1662" s="50">
        <v>166004767</v>
      </c>
      <c r="J1662" s="96" t="s">
        <v>157</v>
      </c>
      <c r="K1662" s="49" t="s">
        <v>2164</v>
      </c>
      <c r="L1662" s="39" t="s">
        <v>2165</v>
      </c>
      <c r="M1662" s="49" t="s">
        <v>300</v>
      </c>
      <c r="N1662" s="39" t="s">
        <v>1377</v>
      </c>
      <c r="O1662" s="96" t="s">
        <v>2166</v>
      </c>
      <c r="P1662" s="49" t="s">
        <v>157</v>
      </c>
      <c r="Q1662" s="96" t="s">
        <v>104</v>
      </c>
      <c r="R1662" s="52">
        <v>14.4</v>
      </c>
      <c r="S1662" s="52">
        <f>R1662-T1662</f>
        <v>12.857142857142858</v>
      </c>
      <c r="T1662" s="52">
        <f>R1662*U1662/(U1662+100)</f>
        <v>1.542857142857143</v>
      </c>
      <c r="U1662" s="50">
        <v>12</v>
      </c>
      <c r="V1662" s="53">
        <v>0</v>
      </c>
      <c r="W1662" s="147">
        <v>1</v>
      </c>
      <c r="X1662" s="148" t="s">
        <v>163</v>
      </c>
      <c r="Y1662" s="54">
        <f>R1662*W1662</f>
        <v>14.4</v>
      </c>
      <c r="Z1662" s="52">
        <f>S1662*W1662</f>
        <v>12.857142857142858</v>
      </c>
      <c r="AA1662" s="52">
        <f>T1662*W1662</f>
        <v>1.542857142857143</v>
      </c>
      <c r="AB1662" s="52">
        <f>V1662*W1662</f>
        <v>0</v>
      </c>
      <c r="AC1662" s="53">
        <f>(R1662+V1662)*W1662</f>
        <v>14.4</v>
      </c>
      <c r="AD1662" s="138">
        <v>14.4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107</v>
      </c>
      <c r="F1663" s="96" t="s">
        <v>113</v>
      </c>
      <c r="G1663" s="97">
        <v>46132</v>
      </c>
      <c r="H1663" s="98">
        <v>0.626724537037037</v>
      </c>
      <c r="I1663" s="50">
        <v>166004767</v>
      </c>
      <c r="J1663" s="96" t="s">
        <v>157</v>
      </c>
      <c r="K1663" s="49" t="s">
        <v>2733</v>
      </c>
      <c r="L1663" s="39" t="s">
        <v>2734</v>
      </c>
      <c r="M1663" s="49" t="s">
        <v>300</v>
      </c>
      <c r="N1663" s="39" t="s">
        <v>1377</v>
      </c>
      <c r="O1663" s="96" t="s">
        <v>2735</v>
      </c>
      <c r="P1663" s="49" t="s">
        <v>157</v>
      </c>
      <c r="Q1663" s="96" t="s">
        <v>104</v>
      </c>
      <c r="R1663" s="52">
        <v>14.4</v>
      </c>
      <c r="S1663" s="52">
        <f>R1663-T1663</f>
        <v>12.857142857142858</v>
      </c>
      <c r="T1663" s="52">
        <f>R1663*U1663/(U1663+100)</f>
        <v>1.542857142857143</v>
      </c>
      <c r="U1663" s="50">
        <v>12</v>
      </c>
      <c r="V1663" s="53">
        <v>0</v>
      </c>
      <c r="W1663" s="147">
        <v>1</v>
      </c>
      <c r="X1663" s="148" t="s">
        <v>163</v>
      </c>
      <c r="Y1663" s="54">
        <f>R1663*W1663</f>
        <v>14.4</v>
      </c>
      <c r="Z1663" s="52">
        <f>S1663*W1663</f>
        <v>12.857142857142858</v>
      </c>
      <c r="AA1663" s="52">
        <f>T1663*W1663</f>
        <v>1.542857142857143</v>
      </c>
      <c r="AB1663" s="52">
        <f>V1663*W1663</f>
        <v>0</v>
      </c>
      <c r="AC1663" s="53">
        <f>(R1663+V1663)*W1663</f>
        <v>14.4</v>
      </c>
      <c r="AD1663" s="138">
        <v>14.4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107</v>
      </c>
      <c r="F1664" s="96" t="s">
        <v>113</v>
      </c>
      <c r="G1664" s="97">
        <v>46132</v>
      </c>
      <c r="H1664" s="98">
        <v>0.626724537037037</v>
      </c>
      <c r="I1664" s="50">
        <v>166004767</v>
      </c>
      <c r="J1664" s="96" t="s">
        <v>157</v>
      </c>
      <c r="K1664" s="49" t="s">
        <v>2733</v>
      </c>
      <c r="L1664" s="39" t="s">
        <v>2734</v>
      </c>
      <c r="M1664" s="49" t="s">
        <v>300</v>
      </c>
      <c r="N1664" s="39" t="s">
        <v>1377</v>
      </c>
      <c r="O1664" s="96" t="s">
        <v>2735</v>
      </c>
      <c r="P1664" s="49" t="s">
        <v>157</v>
      </c>
      <c r="Q1664" s="96" t="s">
        <v>104</v>
      </c>
      <c r="R1664" s="52">
        <v>14.4</v>
      </c>
      <c r="S1664" s="52">
        <f>R1664-T1664</f>
        <v>12.857142857142858</v>
      </c>
      <c r="T1664" s="52">
        <f>R1664*U1664/(U1664+100)</f>
        <v>1.542857142857143</v>
      </c>
      <c r="U1664" s="50">
        <v>12</v>
      </c>
      <c r="V1664" s="53">
        <v>0</v>
      </c>
      <c r="W1664" s="147">
        <v>1</v>
      </c>
      <c r="X1664" s="148" t="s">
        <v>163</v>
      </c>
      <c r="Y1664" s="54">
        <f>R1664*W1664</f>
        <v>14.4</v>
      </c>
      <c r="Z1664" s="52">
        <f>S1664*W1664</f>
        <v>12.857142857142858</v>
      </c>
      <c r="AA1664" s="52">
        <f>T1664*W1664</f>
        <v>1.542857142857143</v>
      </c>
      <c r="AB1664" s="52">
        <f>V1664*W1664</f>
        <v>0</v>
      </c>
      <c r="AC1664" s="53">
        <f>(R1664+V1664)*W1664</f>
        <v>14.4</v>
      </c>
      <c r="AD1664" s="138">
        <v>14.4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107</v>
      </c>
      <c r="F1665" s="96" t="s">
        <v>113</v>
      </c>
      <c r="G1665" s="97">
        <v>46132</v>
      </c>
      <c r="H1665" s="98">
        <v>0.626724537037037</v>
      </c>
      <c r="I1665" s="50">
        <v>166004767</v>
      </c>
      <c r="J1665" s="96" t="s">
        <v>157</v>
      </c>
      <c r="K1665" s="49" t="s">
        <v>2736</v>
      </c>
      <c r="L1665" s="39" t="s">
        <v>2737</v>
      </c>
      <c r="M1665" s="49" t="s">
        <v>219</v>
      </c>
      <c r="N1665" s="39" t="s">
        <v>388</v>
      </c>
      <c r="O1665" s="96" t="s">
        <v>2738</v>
      </c>
      <c r="P1665" s="49" t="s">
        <v>157</v>
      </c>
      <c r="Q1665" s="96" t="s">
        <v>104</v>
      </c>
      <c r="R1665" s="52">
        <v>41.9</v>
      </c>
      <c r="S1665" s="52">
        <f>R1665-T1665</f>
        <v>34.62809917355372</v>
      </c>
      <c r="T1665" s="52">
        <f>R1665*U1665/(U1665+100)</f>
        <v>7.271900826446281</v>
      </c>
      <c r="U1665" s="50">
        <v>21</v>
      </c>
      <c r="V1665" s="53">
        <v>0</v>
      </c>
      <c r="W1665" s="147">
        <v>1</v>
      </c>
      <c r="X1665" s="148" t="s">
        <v>163</v>
      </c>
      <c r="Y1665" s="54">
        <f>R1665*W1665</f>
        <v>41.9</v>
      </c>
      <c r="Z1665" s="52">
        <f>S1665*W1665</f>
        <v>34.62809917355372</v>
      </c>
      <c r="AA1665" s="52">
        <f>T1665*W1665</f>
        <v>7.271900826446281</v>
      </c>
      <c r="AB1665" s="52">
        <f>V1665*W1665</f>
        <v>0</v>
      </c>
      <c r="AC1665" s="53">
        <f>(R1665+V1665)*W1665</f>
        <v>41.9</v>
      </c>
      <c r="AD1665" s="138">
        <v>41.9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107</v>
      </c>
      <c r="F1666" s="96" t="s">
        <v>113</v>
      </c>
      <c r="G1666" s="97">
        <v>46132</v>
      </c>
      <c r="H1666" s="98">
        <v>0.626724537037037</v>
      </c>
      <c r="I1666" s="50">
        <v>166004767</v>
      </c>
      <c r="J1666" s="96" t="s">
        <v>157</v>
      </c>
      <c r="K1666" s="49" t="s">
        <v>303</v>
      </c>
      <c r="L1666" s="39" t="s">
        <v>304</v>
      </c>
      <c r="M1666" s="49" t="s">
        <v>214</v>
      </c>
      <c r="N1666" s="39" t="s">
        <v>296</v>
      </c>
      <c r="O1666" s="96" t="s">
        <v>305</v>
      </c>
      <c r="P1666" s="49" t="s">
        <v>157</v>
      </c>
      <c r="Q1666" s="96" t="s">
        <v>104</v>
      </c>
      <c r="R1666" s="52">
        <v>11.9</v>
      </c>
      <c r="S1666" s="52">
        <f>R1666-T1666</f>
        <v>10.625</v>
      </c>
      <c r="T1666" s="52">
        <f>R1666*U1666/(U1666+100)</f>
        <v>1.2750000000000001</v>
      </c>
      <c r="U1666" s="50">
        <v>12</v>
      </c>
      <c r="V1666" s="53">
        <v>0</v>
      </c>
      <c r="W1666" s="147">
        <v>2</v>
      </c>
      <c r="X1666" s="148" t="s">
        <v>163</v>
      </c>
      <c r="Y1666" s="54">
        <f>R1666*W1666</f>
        <v>23.8</v>
      </c>
      <c r="Z1666" s="52">
        <f>S1666*W1666</f>
        <v>21.25</v>
      </c>
      <c r="AA1666" s="52">
        <f>T1666*W1666</f>
        <v>2.5500000000000003</v>
      </c>
      <c r="AB1666" s="52">
        <f>V1666*W1666</f>
        <v>0</v>
      </c>
      <c r="AC1666" s="53">
        <f>(R1666+V1666)*W1666</f>
        <v>23.8</v>
      </c>
      <c r="AD1666" s="138">
        <v>11.9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107</v>
      </c>
      <c r="F1667" s="96" t="s">
        <v>113</v>
      </c>
      <c r="G1667" s="97">
        <v>46132</v>
      </c>
      <c r="H1667" s="98">
        <v>0.626724537037037</v>
      </c>
      <c r="I1667" s="50">
        <v>166004767</v>
      </c>
      <c r="J1667" s="96" t="s">
        <v>157</v>
      </c>
      <c r="K1667" s="49" t="s">
        <v>271</v>
      </c>
      <c r="L1667" s="39" t="s">
        <v>272</v>
      </c>
      <c r="M1667" s="49" t="s">
        <v>214</v>
      </c>
      <c r="N1667" s="39" t="s">
        <v>273</v>
      </c>
      <c r="O1667" s="96" t="s">
        <v>1715</v>
      </c>
      <c r="P1667" s="49" t="s">
        <v>157</v>
      </c>
      <c r="Q1667" s="96" t="s">
        <v>104</v>
      </c>
      <c r="R1667" s="52">
        <v>13.9</v>
      </c>
      <c r="S1667" s="52">
        <f>R1667-T1667</f>
        <v>12.410714285714286</v>
      </c>
      <c r="T1667" s="52">
        <f>R1667*U1667/(U1667+100)</f>
        <v>1.4892857142857143</v>
      </c>
      <c r="U1667" s="50">
        <v>12</v>
      </c>
      <c r="V1667" s="53">
        <v>0</v>
      </c>
      <c r="W1667" s="147">
        <v>3</v>
      </c>
      <c r="X1667" s="148" t="s">
        <v>163</v>
      </c>
      <c r="Y1667" s="54">
        <f>R1667*W1667</f>
        <v>41.7</v>
      </c>
      <c r="Z1667" s="52">
        <f>S1667*W1667</f>
        <v>37.23214285714286</v>
      </c>
      <c r="AA1667" s="52">
        <f>T1667*W1667</f>
        <v>4.467857142857143</v>
      </c>
      <c r="AB1667" s="52">
        <f>V1667*W1667</f>
        <v>0</v>
      </c>
      <c r="AC1667" s="53">
        <f>(R1667+V1667)*W1667</f>
        <v>41.7</v>
      </c>
      <c r="AD1667" s="138">
        <v>13.9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107</v>
      </c>
      <c r="F1668" s="96" t="s">
        <v>113</v>
      </c>
      <c r="G1668" s="97">
        <v>46132</v>
      </c>
      <c r="H1668" s="98">
        <v>0.626724537037037</v>
      </c>
      <c r="I1668" s="50">
        <v>166004767</v>
      </c>
      <c r="J1668" s="96" t="s">
        <v>157</v>
      </c>
      <c r="K1668" s="49" t="s">
        <v>2739</v>
      </c>
      <c r="L1668" s="39" t="s">
        <v>2740</v>
      </c>
      <c r="M1668" s="49" t="s">
        <v>185</v>
      </c>
      <c r="N1668" s="39" t="s">
        <v>523</v>
      </c>
      <c r="O1668" s="96" t="s">
        <v>2741</v>
      </c>
      <c r="P1668" s="49" t="s">
        <v>157</v>
      </c>
      <c r="Q1668" s="96" t="s">
        <v>104</v>
      </c>
      <c r="R1668" s="52">
        <v>31.9</v>
      </c>
      <c r="S1668" s="52">
        <f>R1668-T1668</f>
        <v>28.482142857142858</v>
      </c>
      <c r="T1668" s="52">
        <f>R1668*U1668/(U1668+100)</f>
        <v>3.4178571428571423</v>
      </c>
      <c r="U1668" s="50">
        <v>12</v>
      </c>
      <c r="V1668" s="53">
        <v>0</v>
      </c>
      <c r="W1668" s="147">
        <v>1</v>
      </c>
      <c r="X1668" s="148" t="s">
        <v>163</v>
      </c>
      <c r="Y1668" s="54">
        <f>R1668*W1668</f>
        <v>31.9</v>
      </c>
      <c r="Z1668" s="52">
        <f>S1668*W1668</f>
        <v>28.482142857142858</v>
      </c>
      <c r="AA1668" s="52">
        <f>T1668*W1668</f>
        <v>3.4178571428571423</v>
      </c>
      <c r="AB1668" s="52">
        <f>V1668*W1668</f>
        <v>0</v>
      </c>
      <c r="AC1668" s="53">
        <f>(R1668+V1668)*W1668</f>
        <v>31.9</v>
      </c>
      <c r="AD1668" s="138">
        <v>31.9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107</v>
      </c>
      <c r="F1669" s="96" t="s">
        <v>113</v>
      </c>
      <c r="G1669" s="97">
        <v>46132</v>
      </c>
      <c r="H1669" s="98">
        <v>0.626724537037037</v>
      </c>
      <c r="I1669" s="50">
        <v>166004767</v>
      </c>
      <c r="J1669" s="96" t="s">
        <v>157</v>
      </c>
      <c r="K1669" s="49" t="s">
        <v>942</v>
      </c>
      <c r="L1669" s="39"/>
      <c r="M1669" s="49" t="s">
        <v>295</v>
      </c>
      <c r="N1669" s="39" t="s">
        <v>433</v>
      </c>
      <c r="O1669" s="96" t="s">
        <v>1332</v>
      </c>
      <c r="P1669" s="49" t="s">
        <v>235</v>
      </c>
      <c r="Q1669" s="96" t="s">
        <v>944</v>
      </c>
      <c r="R1669" s="52">
        <v>9.9</v>
      </c>
      <c r="S1669" s="52">
        <f>R1669-T1669</f>
        <v>8.839285714285715</v>
      </c>
      <c r="T1669" s="52">
        <f>R1669*U1669/(U1669+100)</f>
        <v>1.0607142857142857</v>
      </c>
      <c r="U1669" s="50">
        <v>12</v>
      </c>
      <c r="V1669" s="53">
        <v>0</v>
      </c>
      <c r="W1669" s="147">
        <v>1</v>
      </c>
      <c r="X1669" s="148" t="s">
        <v>945</v>
      </c>
      <c r="Y1669" s="54">
        <f>R1669*W1669</f>
        <v>9.9</v>
      </c>
      <c r="Z1669" s="52">
        <f>S1669*W1669</f>
        <v>8.839285714285715</v>
      </c>
      <c r="AA1669" s="52">
        <f>T1669*W1669</f>
        <v>1.0607142857142857</v>
      </c>
      <c r="AB1669" s="52">
        <f>V1669*W1669</f>
        <v>0</v>
      </c>
      <c r="AC1669" s="53">
        <f>(R1669+V1669)*W1669</f>
        <v>9.9</v>
      </c>
      <c r="AD1669" s="138">
        <v>9.9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107</v>
      </c>
      <c r="F1670" s="96" t="s">
        <v>113</v>
      </c>
      <c r="G1670" s="97">
        <v>46132</v>
      </c>
      <c r="H1670" s="98">
        <v>0.6287384259259259</v>
      </c>
      <c r="I1670" s="50">
        <v>166004768</v>
      </c>
      <c r="J1670" s="96" t="s">
        <v>157</v>
      </c>
      <c r="K1670" s="49" t="s">
        <v>2742</v>
      </c>
      <c r="L1670" s="39" t="s">
        <v>2743</v>
      </c>
      <c r="M1670" s="49" t="s">
        <v>300</v>
      </c>
      <c r="N1670" s="39" t="s">
        <v>1518</v>
      </c>
      <c r="O1670" s="96" t="s">
        <v>2744</v>
      </c>
      <c r="P1670" s="49" t="s">
        <v>157</v>
      </c>
      <c r="Q1670" s="96" t="s">
        <v>104</v>
      </c>
      <c r="R1670" s="52">
        <v>19.9</v>
      </c>
      <c r="S1670" s="52">
        <f>R1670-T1670</f>
        <v>17.767857142857142</v>
      </c>
      <c r="T1670" s="52">
        <f>R1670*U1670/(U1670+100)</f>
        <v>2.132142857142857</v>
      </c>
      <c r="U1670" s="50">
        <v>12</v>
      </c>
      <c r="V1670" s="53">
        <v>0</v>
      </c>
      <c r="W1670" s="147">
        <v>1</v>
      </c>
      <c r="X1670" s="148" t="s">
        <v>163</v>
      </c>
      <c r="Y1670" s="54">
        <f>R1670*W1670</f>
        <v>19.9</v>
      </c>
      <c r="Z1670" s="52">
        <f>S1670*W1670</f>
        <v>17.767857142857142</v>
      </c>
      <c r="AA1670" s="52">
        <f>T1670*W1670</f>
        <v>2.132142857142857</v>
      </c>
      <c r="AB1670" s="52">
        <f>V1670*W1670</f>
        <v>0</v>
      </c>
      <c r="AC1670" s="53">
        <f>(R1670+V1670)*W1670</f>
        <v>19.9</v>
      </c>
      <c r="AD1670" s="138">
        <v>19.9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107</v>
      </c>
      <c r="F1671" s="96" t="s">
        <v>113</v>
      </c>
      <c r="G1671" s="97">
        <v>46132</v>
      </c>
      <c r="H1671" s="98">
        <v>0.6287384259259259</v>
      </c>
      <c r="I1671" s="50">
        <v>166004768</v>
      </c>
      <c r="J1671" s="96" t="s">
        <v>157</v>
      </c>
      <c r="K1671" s="49" t="s">
        <v>2745</v>
      </c>
      <c r="L1671" s="39" t="s">
        <v>2746</v>
      </c>
      <c r="M1671" s="49" t="s">
        <v>2137</v>
      </c>
      <c r="N1671" s="39" t="s">
        <v>1518</v>
      </c>
      <c r="O1671" s="96" t="s">
        <v>2747</v>
      </c>
      <c r="P1671" s="49" t="s">
        <v>157</v>
      </c>
      <c r="Q1671" s="96" t="s">
        <v>104</v>
      </c>
      <c r="R1671" s="52">
        <v>19.9</v>
      </c>
      <c r="S1671" s="52">
        <f>R1671-T1671</f>
        <v>17.767857142857142</v>
      </c>
      <c r="T1671" s="52">
        <f>R1671*U1671/(U1671+100)</f>
        <v>2.132142857142857</v>
      </c>
      <c r="U1671" s="50">
        <v>12</v>
      </c>
      <c r="V1671" s="53">
        <v>0</v>
      </c>
      <c r="W1671" s="147">
        <v>1</v>
      </c>
      <c r="X1671" s="148" t="s">
        <v>163</v>
      </c>
      <c r="Y1671" s="54">
        <f>R1671*W1671</f>
        <v>19.9</v>
      </c>
      <c r="Z1671" s="52">
        <f>S1671*W1671</f>
        <v>17.767857142857142</v>
      </c>
      <c r="AA1671" s="52">
        <f>T1671*W1671</f>
        <v>2.132142857142857</v>
      </c>
      <c r="AB1671" s="52">
        <f>V1671*W1671</f>
        <v>0</v>
      </c>
      <c r="AC1671" s="53">
        <f>(R1671+V1671)*W1671</f>
        <v>19.9</v>
      </c>
      <c r="AD1671" s="138">
        <v>19.9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107</v>
      </c>
      <c r="F1672" s="96" t="s">
        <v>113</v>
      </c>
      <c r="G1672" s="97">
        <v>46132</v>
      </c>
      <c r="H1672" s="98">
        <v>0.6287384259259259</v>
      </c>
      <c r="I1672" s="50">
        <v>166004768</v>
      </c>
      <c r="J1672" s="96" t="s">
        <v>157</v>
      </c>
      <c r="K1672" s="49" t="s">
        <v>961</v>
      </c>
      <c r="L1672" s="39" t="s">
        <v>962</v>
      </c>
      <c r="M1672" s="49" t="s">
        <v>678</v>
      </c>
      <c r="N1672" s="39" t="s">
        <v>874</v>
      </c>
      <c r="O1672" s="96" t="s">
        <v>963</v>
      </c>
      <c r="P1672" s="49" t="s">
        <v>157</v>
      </c>
      <c r="Q1672" s="96" t="s">
        <v>104</v>
      </c>
      <c r="R1672" s="52">
        <v>49.9</v>
      </c>
      <c r="S1672" s="52">
        <f>R1672-T1672</f>
        <v>44.55357142857143</v>
      </c>
      <c r="T1672" s="52">
        <f>R1672*U1672/(U1672+100)</f>
        <v>5.346428571428571</v>
      </c>
      <c r="U1672" s="50">
        <v>12</v>
      </c>
      <c r="V1672" s="53">
        <v>0</v>
      </c>
      <c r="W1672" s="147">
        <v>1</v>
      </c>
      <c r="X1672" s="148" t="s">
        <v>163</v>
      </c>
      <c r="Y1672" s="54">
        <f>R1672*W1672</f>
        <v>49.9</v>
      </c>
      <c r="Z1672" s="52">
        <f>S1672*W1672</f>
        <v>44.55357142857143</v>
      </c>
      <c r="AA1672" s="52">
        <f>T1672*W1672</f>
        <v>5.346428571428571</v>
      </c>
      <c r="AB1672" s="52">
        <f>V1672*W1672</f>
        <v>0</v>
      </c>
      <c r="AC1672" s="53">
        <f>(R1672+V1672)*W1672</f>
        <v>49.9</v>
      </c>
      <c r="AD1672" s="138">
        <v>49.9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107</v>
      </c>
      <c r="F1673" s="96" t="s">
        <v>113</v>
      </c>
      <c r="G1673" s="97">
        <v>46132</v>
      </c>
      <c r="H1673" s="98">
        <v>0.6287384259259259</v>
      </c>
      <c r="I1673" s="50">
        <v>166004768</v>
      </c>
      <c r="J1673" s="96" t="s">
        <v>157</v>
      </c>
      <c r="K1673" s="49" t="s">
        <v>707</v>
      </c>
      <c r="L1673" s="39" t="s">
        <v>708</v>
      </c>
      <c r="M1673" s="49" t="s">
        <v>709</v>
      </c>
      <c r="N1673" s="39" t="s">
        <v>319</v>
      </c>
      <c r="O1673" s="96" t="s">
        <v>1504</v>
      </c>
      <c r="P1673" s="49" t="s">
        <v>235</v>
      </c>
      <c r="Q1673" s="96" t="s">
        <v>236</v>
      </c>
      <c r="R1673" s="52">
        <v>19.9</v>
      </c>
      <c r="S1673" s="52">
        <f>R1673-T1673</f>
        <v>17.767857142857142</v>
      </c>
      <c r="T1673" s="52">
        <f>R1673*U1673/(U1673+100)</f>
        <v>2.132142857142857</v>
      </c>
      <c r="U1673" s="50">
        <v>12</v>
      </c>
      <c r="V1673" s="53">
        <v>0</v>
      </c>
      <c r="W1673" s="147">
        <v>1</v>
      </c>
      <c r="X1673" s="148" t="s">
        <v>163</v>
      </c>
      <c r="Y1673" s="54">
        <f>R1673*W1673</f>
        <v>19.9</v>
      </c>
      <c r="Z1673" s="52">
        <f>S1673*W1673</f>
        <v>17.767857142857142</v>
      </c>
      <c r="AA1673" s="52">
        <f>T1673*W1673</f>
        <v>2.132142857142857</v>
      </c>
      <c r="AB1673" s="52">
        <f>V1673*W1673</f>
        <v>0</v>
      </c>
      <c r="AC1673" s="53">
        <f>(R1673+V1673)*W1673</f>
        <v>19.9</v>
      </c>
      <c r="AD1673" s="138">
        <v>19.9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107</v>
      </c>
      <c r="F1674" s="96" t="s">
        <v>113</v>
      </c>
      <c r="G1674" s="97">
        <v>46132</v>
      </c>
      <c r="H1674" s="98">
        <v>0.6287384259259259</v>
      </c>
      <c r="I1674" s="50">
        <v>166004768</v>
      </c>
      <c r="J1674" s="96" t="s">
        <v>157</v>
      </c>
      <c r="K1674" s="49" t="s">
        <v>478</v>
      </c>
      <c r="L1674" s="39" t="s">
        <v>479</v>
      </c>
      <c r="M1674" s="49" t="s">
        <v>480</v>
      </c>
      <c r="N1674" s="39" t="s">
        <v>481</v>
      </c>
      <c r="O1674" s="96" t="s">
        <v>2748</v>
      </c>
      <c r="P1674" s="49" t="s">
        <v>157</v>
      </c>
      <c r="Q1674" s="96" t="s">
        <v>104</v>
      </c>
      <c r="R1674" s="52">
        <v>29.9</v>
      </c>
      <c r="S1674" s="52">
        <f>R1674-T1674</f>
        <v>26.69642857142857</v>
      </c>
      <c r="T1674" s="52">
        <f>R1674*U1674/(U1674+100)</f>
        <v>3.2035714285714283</v>
      </c>
      <c r="U1674" s="50">
        <v>12</v>
      </c>
      <c r="V1674" s="53">
        <v>0</v>
      </c>
      <c r="W1674" s="147">
        <v>1</v>
      </c>
      <c r="X1674" s="148" t="s">
        <v>163</v>
      </c>
      <c r="Y1674" s="54">
        <f>R1674*W1674</f>
        <v>29.9</v>
      </c>
      <c r="Z1674" s="52">
        <f>S1674*W1674</f>
        <v>26.69642857142857</v>
      </c>
      <c r="AA1674" s="52">
        <f>T1674*W1674</f>
        <v>3.2035714285714283</v>
      </c>
      <c r="AB1674" s="52">
        <f>V1674*W1674</f>
        <v>0</v>
      </c>
      <c r="AC1674" s="53">
        <f>(R1674+V1674)*W1674</f>
        <v>29.9</v>
      </c>
      <c r="AD1674" s="138">
        <v>29.9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107</v>
      </c>
      <c r="F1675" s="96" t="s">
        <v>113</v>
      </c>
      <c r="G1675" s="97">
        <v>46132</v>
      </c>
      <c r="H1675" s="98">
        <v>0.6287384259259259</v>
      </c>
      <c r="I1675" s="50">
        <v>166004768</v>
      </c>
      <c r="J1675" s="96" t="s">
        <v>157</v>
      </c>
      <c r="K1675" s="49" t="s">
        <v>2749</v>
      </c>
      <c r="L1675" s="39" t="s">
        <v>2750</v>
      </c>
      <c r="M1675" s="49" t="s">
        <v>300</v>
      </c>
      <c r="N1675" s="39" t="s">
        <v>1377</v>
      </c>
      <c r="O1675" s="96" t="s">
        <v>2751</v>
      </c>
      <c r="P1675" s="49" t="s">
        <v>157</v>
      </c>
      <c r="Q1675" s="96" t="s">
        <v>104</v>
      </c>
      <c r="R1675" s="52">
        <v>23.9</v>
      </c>
      <c r="S1675" s="52">
        <f>R1675-T1675</f>
        <v>21.33928571428571</v>
      </c>
      <c r="T1675" s="52">
        <f>R1675*U1675/(U1675+100)</f>
        <v>2.5607142857142855</v>
      </c>
      <c r="U1675" s="50">
        <v>12</v>
      </c>
      <c r="V1675" s="53">
        <v>0</v>
      </c>
      <c r="W1675" s="147">
        <v>1</v>
      </c>
      <c r="X1675" s="148" t="s">
        <v>163</v>
      </c>
      <c r="Y1675" s="54">
        <f>R1675*W1675</f>
        <v>23.9</v>
      </c>
      <c r="Z1675" s="52">
        <f>S1675*W1675</f>
        <v>21.33928571428571</v>
      </c>
      <c r="AA1675" s="52">
        <f>T1675*W1675</f>
        <v>2.5607142857142855</v>
      </c>
      <c r="AB1675" s="52">
        <f>V1675*W1675</f>
        <v>0</v>
      </c>
      <c r="AC1675" s="53">
        <f>(R1675+V1675)*W1675</f>
        <v>23.9</v>
      </c>
      <c r="AD1675" s="138">
        <v>23.9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107</v>
      </c>
      <c r="F1676" s="96" t="s">
        <v>113</v>
      </c>
      <c r="G1676" s="97">
        <v>46132</v>
      </c>
      <c r="H1676" s="98">
        <v>0.6287384259259259</v>
      </c>
      <c r="I1676" s="50">
        <v>166004768</v>
      </c>
      <c r="J1676" s="96" t="s">
        <v>157</v>
      </c>
      <c r="K1676" s="49" t="s">
        <v>2749</v>
      </c>
      <c r="L1676" s="39" t="s">
        <v>2750</v>
      </c>
      <c r="M1676" s="49" t="s">
        <v>300</v>
      </c>
      <c r="N1676" s="39" t="s">
        <v>1377</v>
      </c>
      <c r="O1676" s="96" t="s">
        <v>2751</v>
      </c>
      <c r="P1676" s="49" t="s">
        <v>157</v>
      </c>
      <c r="Q1676" s="96" t="s">
        <v>104</v>
      </c>
      <c r="R1676" s="52">
        <v>23.9</v>
      </c>
      <c r="S1676" s="52">
        <f>R1676-T1676</f>
        <v>21.33928571428571</v>
      </c>
      <c r="T1676" s="52">
        <f>R1676*U1676/(U1676+100)</f>
        <v>2.5607142857142855</v>
      </c>
      <c r="U1676" s="50">
        <v>12</v>
      </c>
      <c r="V1676" s="53">
        <v>0</v>
      </c>
      <c r="W1676" s="147">
        <v>1</v>
      </c>
      <c r="X1676" s="148" t="s">
        <v>163</v>
      </c>
      <c r="Y1676" s="54">
        <f>R1676*W1676</f>
        <v>23.9</v>
      </c>
      <c r="Z1676" s="52">
        <f>S1676*W1676</f>
        <v>21.33928571428571</v>
      </c>
      <c r="AA1676" s="52">
        <f>T1676*W1676</f>
        <v>2.5607142857142855</v>
      </c>
      <c r="AB1676" s="52">
        <f>V1676*W1676</f>
        <v>0</v>
      </c>
      <c r="AC1676" s="53">
        <f>(R1676+V1676)*W1676</f>
        <v>23.9</v>
      </c>
      <c r="AD1676" s="138">
        <v>23.9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107</v>
      </c>
      <c r="F1677" s="96" t="s">
        <v>113</v>
      </c>
      <c r="G1677" s="97">
        <v>46132</v>
      </c>
      <c r="H1677" s="98">
        <v>0.6287384259259259</v>
      </c>
      <c r="I1677" s="50">
        <v>166004768</v>
      </c>
      <c r="J1677" s="96" t="s">
        <v>157</v>
      </c>
      <c r="K1677" s="49" t="s">
        <v>2667</v>
      </c>
      <c r="L1677" s="39" t="s">
        <v>2668</v>
      </c>
      <c r="M1677" s="49" t="s">
        <v>232</v>
      </c>
      <c r="N1677" s="39" t="s">
        <v>233</v>
      </c>
      <c r="O1677" s="96" t="s">
        <v>2669</v>
      </c>
      <c r="P1677" s="49" t="s">
        <v>157</v>
      </c>
      <c r="Q1677" s="96" t="s">
        <v>104</v>
      </c>
      <c r="R1677" s="52">
        <v>18.9</v>
      </c>
      <c r="S1677" s="52">
        <f>R1677-T1677</f>
        <v>15.6198347107438</v>
      </c>
      <c r="T1677" s="52">
        <f>R1677*U1677/(U1677+100)</f>
        <v>3.2801652892561983</v>
      </c>
      <c r="U1677" s="50">
        <v>21</v>
      </c>
      <c r="V1677" s="53">
        <v>0</v>
      </c>
      <c r="W1677" s="147">
        <v>1</v>
      </c>
      <c r="X1677" s="148" t="s">
        <v>163</v>
      </c>
      <c r="Y1677" s="54">
        <f>R1677*W1677</f>
        <v>18.9</v>
      </c>
      <c r="Z1677" s="52">
        <f>S1677*W1677</f>
        <v>15.6198347107438</v>
      </c>
      <c r="AA1677" s="52">
        <f>T1677*W1677</f>
        <v>3.2801652892561983</v>
      </c>
      <c r="AB1677" s="52">
        <f>V1677*W1677</f>
        <v>0</v>
      </c>
      <c r="AC1677" s="53">
        <f>(R1677+V1677)*W1677</f>
        <v>18.9</v>
      </c>
      <c r="AD1677" s="138">
        <v>18.9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107</v>
      </c>
      <c r="F1678" s="96" t="s">
        <v>113</v>
      </c>
      <c r="G1678" s="97">
        <v>46132</v>
      </c>
      <c r="H1678" s="98">
        <v>0.6287384259259259</v>
      </c>
      <c r="I1678" s="50">
        <v>166004768</v>
      </c>
      <c r="J1678" s="96" t="s">
        <v>157</v>
      </c>
      <c r="K1678" s="49" t="s">
        <v>1454</v>
      </c>
      <c r="L1678" s="39" t="s">
        <v>1455</v>
      </c>
      <c r="M1678" s="49" t="s">
        <v>185</v>
      </c>
      <c r="N1678" s="39" t="s">
        <v>653</v>
      </c>
      <c r="O1678" s="96" t="s">
        <v>1456</v>
      </c>
      <c r="P1678" s="49" t="s">
        <v>157</v>
      </c>
      <c r="Q1678" s="96" t="s">
        <v>104</v>
      </c>
      <c r="R1678" s="52">
        <v>64.9</v>
      </c>
      <c r="S1678" s="52">
        <f>R1678-T1678</f>
        <v>53.63636363636364</v>
      </c>
      <c r="T1678" s="52">
        <f>R1678*U1678/(U1678+100)</f>
        <v>11.263636363636364</v>
      </c>
      <c r="U1678" s="50">
        <v>21</v>
      </c>
      <c r="V1678" s="53">
        <v>0</v>
      </c>
      <c r="W1678" s="147">
        <v>1</v>
      </c>
      <c r="X1678" s="148" t="s">
        <v>163</v>
      </c>
      <c r="Y1678" s="54">
        <f>R1678*W1678</f>
        <v>64.9</v>
      </c>
      <c r="Z1678" s="52">
        <f>S1678*W1678</f>
        <v>53.63636363636364</v>
      </c>
      <c r="AA1678" s="52">
        <f>T1678*W1678</f>
        <v>11.263636363636364</v>
      </c>
      <c r="AB1678" s="52">
        <f>V1678*W1678</f>
        <v>0</v>
      </c>
      <c r="AC1678" s="53">
        <f>(R1678+V1678)*W1678</f>
        <v>64.9</v>
      </c>
      <c r="AD1678" s="138">
        <v>64.9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107</v>
      </c>
      <c r="F1679" s="96" t="s">
        <v>113</v>
      </c>
      <c r="G1679" s="97">
        <v>46132</v>
      </c>
      <c r="H1679" s="98">
        <v>0.6287384259259259</v>
      </c>
      <c r="I1679" s="50">
        <v>166004768</v>
      </c>
      <c r="J1679" s="96" t="s">
        <v>157</v>
      </c>
      <c r="K1679" s="49" t="s">
        <v>1802</v>
      </c>
      <c r="L1679" s="39" t="s">
        <v>1803</v>
      </c>
      <c r="M1679" s="49" t="s">
        <v>1222</v>
      </c>
      <c r="N1679" s="39" t="s">
        <v>1804</v>
      </c>
      <c r="O1679" s="96" t="s">
        <v>1805</v>
      </c>
      <c r="P1679" s="49" t="s">
        <v>157</v>
      </c>
      <c r="Q1679" s="96" t="s">
        <v>104</v>
      </c>
      <c r="R1679" s="52">
        <v>154.9</v>
      </c>
      <c r="S1679" s="52">
        <f>R1679-T1679</f>
        <v>128.01652892561984</v>
      </c>
      <c r="T1679" s="52">
        <f>R1679*U1679/(U1679+100)</f>
        <v>26.883471074380164</v>
      </c>
      <c r="U1679" s="50">
        <v>21</v>
      </c>
      <c r="V1679" s="53">
        <v>0</v>
      </c>
      <c r="W1679" s="147">
        <v>1</v>
      </c>
      <c r="X1679" s="148" t="s">
        <v>163</v>
      </c>
      <c r="Y1679" s="54">
        <f>R1679*W1679</f>
        <v>154.9</v>
      </c>
      <c r="Z1679" s="52">
        <f>S1679*W1679</f>
        <v>128.01652892561984</v>
      </c>
      <c r="AA1679" s="52">
        <f>T1679*W1679</f>
        <v>26.883471074380164</v>
      </c>
      <c r="AB1679" s="52">
        <f>V1679*W1679</f>
        <v>0</v>
      </c>
      <c r="AC1679" s="53">
        <f>(R1679+V1679)*W1679</f>
        <v>154.9</v>
      </c>
      <c r="AD1679" s="138">
        <v>154.9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107</v>
      </c>
      <c r="F1680" s="96" t="s">
        <v>113</v>
      </c>
      <c r="G1680" s="97">
        <v>46132</v>
      </c>
      <c r="H1680" s="98">
        <v>0.6287384259259259</v>
      </c>
      <c r="I1680" s="50">
        <v>166004768</v>
      </c>
      <c r="J1680" s="96" t="s">
        <v>157</v>
      </c>
      <c r="K1680" s="49" t="s">
        <v>183</v>
      </c>
      <c r="L1680" s="39" t="s">
        <v>184</v>
      </c>
      <c r="M1680" s="49" t="s">
        <v>185</v>
      </c>
      <c r="N1680" s="39" t="s">
        <v>186</v>
      </c>
      <c r="O1680" s="96" t="s">
        <v>988</v>
      </c>
      <c r="P1680" s="49" t="s">
        <v>157</v>
      </c>
      <c r="Q1680" s="96" t="s">
        <v>104</v>
      </c>
      <c r="R1680" s="52">
        <v>1.9</v>
      </c>
      <c r="S1680" s="52">
        <f>R1680-T1680</f>
        <v>1.5702479338842974</v>
      </c>
      <c r="T1680" s="52">
        <f>R1680*U1680/(U1680+100)</f>
        <v>0.32975206611570246</v>
      </c>
      <c r="U1680" s="50">
        <v>21</v>
      </c>
      <c r="V1680" s="53">
        <v>0</v>
      </c>
      <c r="W1680" s="147">
        <v>1</v>
      </c>
      <c r="X1680" s="148" t="s">
        <v>163</v>
      </c>
      <c r="Y1680" s="54">
        <f>R1680*W1680</f>
        <v>1.9</v>
      </c>
      <c r="Z1680" s="52">
        <f>S1680*W1680</f>
        <v>1.5702479338842974</v>
      </c>
      <c r="AA1680" s="52">
        <f>T1680*W1680</f>
        <v>0.32975206611570246</v>
      </c>
      <c r="AB1680" s="52">
        <f>V1680*W1680</f>
        <v>0</v>
      </c>
      <c r="AC1680" s="53">
        <f>(R1680+V1680)*W1680</f>
        <v>1.9</v>
      </c>
      <c r="AD1680" s="138">
        <v>1.9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107</v>
      </c>
      <c r="F1681" s="96" t="s">
        <v>113</v>
      </c>
      <c r="G1681" s="97">
        <v>46132</v>
      </c>
      <c r="H1681" s="98">
        <v>0.6287384259259259</v>
      </c>
      <c r="I1681" s="50">
        <v>166004768</v>
      </c>
      <c r="J1681" s="96" t="s">
        <v>157</v>
      </c>
      <c r="K1681" s="49" t="s">
        <v>303</v>
      </c>
      <c r="L1681" s="39" t="s">
        <v>304</v>
      </c>
      <c r="M1681" s="49" t="s">
        <v>214</v>
      </c>
      <c r="N1681" s="39" t="s">
        <v>296</v>
      </c>
      <c r="O1681" s="96" t="s">
        <v>305</v>
      </c>
      <c r="P1681" s="49" t="s">
        <v>157</v>
      </c>
      <c r="Q1681" s="96" t="s">
        <v>104</v>
      </c>
      <c r="R1681" s="52">
        <v>11.9</v>
      </c>
      <c r="S1681" s="52">
        <f>R1681-T1681</f>
        <v>10.625</v>
      </c>
      <c r="T1681" s="52">
        <f>R1681*U1681/(U1681+100)</f>
        <v>1.2750000000000001</v>
      </c>
      <c r="U1681" s="50">
        <v>12</v>
      </c>
      <c r="V1681" s="53">
        <v>0</v>
      </c>
      <c r="W1681" s="147">
        <v>4</v>
      </c>
      <c r="X1681" s="148" t="s">
        <v>163</v>
      </c>
      <c r="Y1681" s="54">
        <f>R1681*W1681</f>
        <v>47.6</v>
      </c>
      <c r="Z1681" s="52">
        <f>S1681*W1681</f>
        <v>42.5</v>
      </c>
      <c r="AA1681" s="52">
        <f>T1681*W1681</f>
        <v>5.1000000000000005</v>
      </c>
      <c r="AB1681" s="52">
        <f>V1681*W1681</f>
        <v>0</v>
      </c>
      <c r="AC1681" s="53">
        <f>(R1681+V1681)*W1681</f>
        <v>47.6</v>
      </c>
      <c r="AD1681" s="138">
        <v>11.9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107</v>
      </c>
      <c r="F1682" s="96" t="s">
        <v>113</v>
      </c>
      <c r="G1682" s="97">
        <v>46132</v>
      </c>
      <c r="H1682" s="98">
        <v>0.6287384259259259</v>
      </c>
      <c r="I1682" s="50">
        <v>166004768</v>
      </c>
      <c r="J1682" s="96" t="s">
        <v>157</v>
      </c>
      <c r="K1682" s="49" t="s">
        <v>560</v>
      </c>
      <c r="L1682" s="39" t="s">
        <v>104</v>
      </c>
      <c r="M1682" s="49" t="s">
        <v>554</v>
      </c>
      <c r="N1682" s="39" t="s">
        <v>296</v>
      </c>
      <c r="O1682" s="96" t="s">
        <v>561</v>
      </c>
      <c r="P1682" s="49" t="s">
        <v>157</v>
      </c>
      <c r="Q1682" s="96" t="s">
        <v>104</v>
      </c>
      <c r="R1682" s="52">
        <v>8.9</v>
      </c>
      <c r="S1682" s="52">
        <f>R1682-T1682</f>
        <v>7.946428571428572</v>
      </c>
      <c r="T1682" s="52">
        <f>R1682*U1682/(U1682+100)</f>
        <v>0.9535714285714286</v>
      </c>
      <c r="U1682" s="50">
        <v>12</v>
      </c>
      <c r="V1682" s="53">
        <v>0</v>
      </c>
      <c r="W1682" s="147">
        <v>4</v>
      </c>
      <c r="X1682" s="148" t="s">
        <v>163</v>
      </c>
      <c r="Y1682" s="54">
        <f>R1682*W1682</f>
        <v>35.6</v>
      </c>
      <c r="Z1682" s="52">
        <f>S1682*W1682</f>
        <v>31.78571428571429</v>
      </c>
      <c r="AA1682" s="52">
        <f>T1682*W1682</f>
        <v>3.8142857142857145</v>
      </c>
      <c r="AB1682" s="52">
        <f>V1682*W1682</f>
        <v>0</v>
      </c>
      <c r="AC1682" s="53">
        <f>(R1682+V1682)*W1682</f>
        <v>35.6</v>
      </c>
      <c r="AD1682" s="138">
        <v>8.9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107</v>
      </c>
      <c r="F1683" s="96" t="s">
        <v>113</v>
      </c>
      <c r="G1683" s="97">
        <v>46132</v>
      </c>
      <c r="H1683" s="98">
        <v>0.6287384259259259</v>
      </c>
      <c r="I1683" s="50">
        <v>166004768</v>
      </c>
      <c r="J1683" s="96" t="s">
        <v>157</v>
      </c>
      <c r="K1683" s="49" t="s">
        <v>1531</v>
      </c>
      <c r="L1683" s="39"/>
      <c r="M1683" s="49" t="s">
        <v>295</v>
      </c>
      <c r="N1683" s="39" t="s">
        <v>433</v>
      </c>
      <c r="O1683" s="96" t="s">
        <v>1532</v>
      </c>
      <c r="P1683" s="49" t="s">
        <v>235</v>
      </c>
      <c r="Q1683" s="96" t="s">
        <v>1533</v>
      </c>
      <c r="R1683" s="52">
        <v>19.9</v>
      </c>
      <c r="S1683" s="52">
        <f>R1683-T1683</f>
        <v>17.767857142857142</v>
      </c>
      <c r="T1683" s="52">
        <f>R1683*U1683/(U1683+100)</f>
        <v>2.132142857142857</v>
      </c>
      <c r="U1683" s="50">
        <v>12</v>
      </c>
      <c r="V1683" s="53">
        <v>0</v>
      </c>
      <c r="W1683" s="147">
        <v>1</v>
      </c>
      <c r="X1683" s="148" t="s">
        <v>945</v>
      </c>
      <c r="Y1683" s="54">
        <f>R1683*W1683</f>
        <v>19.9</v>
      </c>
      <c r="Z1683" s="52">
        <f>S1683*W1683</f>
        <v>17.767857142857142</v>
      </c>
      <c r="AA1683" s="52">
        <f>T1683*W1683</f>
        <v>2.132142857142857</v>
      </c>
      <c r="AB1683" s="52">
        <f>V1683*W1683</f>
        <v>0</v>
      </c>
      <c r="AC1683" s="53">
        <f>(R1683+V1683)*W1683</f>
        <v>19.9</v>
      </c>
      <c r="AD1683" s="138">
        <v>19.9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107</v>
      </c>
      <c r="F1684" s="96" t="s">
        <v>113</v>
      </c>
      <c r="G1684" s="97">
        <v>46132</v>
      </c>
      <c r="H1684" s="98">
        <v>0.6287384259259259</v>
      </c>
      <c r="I1684" s="50">
        <v>166004768</v>
      </c>
      <c r="J1684" s="96" t="s">
        <v>157</v>
      </c>
      <c r="K1684" s="49" t="s">
        <v>2752</v>
      </c>
      <c r="L1684" s="39" t="s">
        <v>2753</v>
      </c>
      <c r="M1684" s="49" t="s">
        <v>277</v>
      </c>
      <c r="N1684" s="39" t="s">
        <v>1732</v>
      </c>
      <c r="O1684" s="96" t="s">
        <v>2754</v>
      </c>
      <c r="P1684" s="49" t="s">
        <v>157</v>
      </c>
      <c r="Q1684" s="96" t="s">
        <v>104</v>
      </c>
      <c r="R1684" s="52">
        <v>39.9</v>
      </c>
      <c r="S1684" s="52">
        <f>R1684-T1684</f>
        <v>35.625</v>
      </c>
      <c r="T1684" s="52">
        <f>R1684*U1684/(U1684+100)</f>
        <v>4.2749999999999995</v>
      </c>
      <c r="U1684" s="50">
        <v>12</v>
      </c>
      <c r="V1684" s="53">
        <v>0</v>
      </c>
      <c r="W1684" s="147">
        <v>1</v>
      </c>
      <c r="X1684" s="148" t="s">
        <v>945</v>
      </c>
      <c r="Y1684" s="54">
        <f>R1684*W1684</f>
        <v>39.9</v>
      </c>
      <c r="Z1684" s="52">
        <f>S1684*W1684</f>
        <v>35.625</v>
      </c>
      <c r="AA1684" s="52">
        <f>T1684*W1684</f>
        <v>4.2749999999999995</v>
      </c>
      <c r="AB1684" s="52">
        <f>V1684*W1684</f>
        <v>0</v>
      </c>
      <c r="AC1684" s="53">
        <f>(R1684+V1684)*W1684</f>
        <v>39.9</v>
      </c>
      <c r="AD1684" s="138">
        <v>39.9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107</v>
      </c>
      <c r="F1685" s="96" t="s">
        <v>113</v>
      </c>
      <c r="G1685" s="97">
        <v>46132</v>
      </c>
      <c r="H1685" s="98">
        <v>0.6292824074074074</v>
      </c>
      <c r="I1685" s="50">
        <v>166004769</v>
      </c>
      <c r="J1685" s="96" t="s">
        <v>157</v>
      </c>
      <c r="K1685" s="49" t="s">
        <v>329</v>
      </c>
      <c r="L1685" s="39" t="s">
        <v>330</v>
      </c>
      <c r="M1685" s="49" t="s">
        <v>185</v>
      </c>
      <c r="N1685" s="39" t="s">
        <v>331</v>
      </c>
      <c r="O1685" s="96" t="s">
        <v>1640</v>
      </c>
      <c r="P1685" s="49" t="s">
        <v>157</v>
      </c>
      <c r="Q1685" s="96" t="s">
        <v>104</v>
      </c>
      <c r="R1685" s="52">
        <v>49.9</v>
      </c>
      <c r="S1685" s="52">
        <f>R1685-T1685</f>
        <v>44.55357142857143</v>
      </c>
      <c r="T1685" s="52">
        <f>R1685*U1685/(U1685+100)</f>
        <v>5.346428571428571</v>
      </c>
      <c r="U1685" s="50">
        <v>12</v>
      </c>
      <c r="V1685" s="53">
        <v>0</v>
      </c>
      <c r="W1685" s="147">
        <v>1</v>
      </c>
      <c r="X1685" s="148" t="s">
        <v>163</v>
      </c>
      <c r="Y1685" s="54">
        <f>R1685*W1685</f>
        <v>49.9</v>
      </c>
      <c r="Z1685" s="52">
        <f>S1685*W1685</f>
        <v>44.55357142857143</v>
      </c>
      <c r="AA1685" s="52">
        <f>T1685*W1685</f>
        <v>5.346428571428571</v>
      </c>
      <c r="AB1685" s="52">
        <f>V1685*W1685</f>
        <v>0</v>
      </c>
      <c r="AC1685" s="53">
        <f>(R1685+V1685)*W1685</f>
        <v>49.9</v>
      </c>
      <c r="AD1685" s="138">
        <v>49.9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107</v>
      </c>
      <c r="F1686" s="96" t="s">
        <v>113</v>
      </c>
      <c r="G1686" s="97">
        <v>46132</v>
      </c>
      <c r="H1686" s="98">
        <v>0.6292824074074074</v>
      </c>
      <c r="I1686" s="50">
        <v>166004769</v>
      </c>
      <c r="J1686" s="96" t="s">
        <v>157</v>
      </c>
      <c r="K1686" s="49" t="s">
        <v>560</v>
      </c>
      <c r="L1686" s="39" t="s">
        <v>104</v>
      </c>
      <c r="M1686" s="49" t="s">
        <v>554</v>
      </c>
      <c r="N1686" s="39" t="s">
        <v>296</v>
      </c>
      <c r="O1686" s="96" t="s">
        <v>561</v>
      </c>
      <c r="P1686" s="49" t="s">
        <v>157</v>
      </c>
      <c r="Q1686" s="96" t="s">
        <v>104</v>
      </c>
      <c r="R1686" s="52">
        <v>8.9</v>
      </c>
      <c r="S1686" s="52">
        <f>R1686-T1686</f>
        <v>7.946428571428572</v>
      </c>
      <c r="T1686" s="52">
        <f>R1686*U1686/(U1686+100)</f>
        <v>0.9535714285714286</v>
      </c>
      <c r="U1686" s="50">
        <v>12</v>
      </c>
      <c r="V1686" s="53">
        <v>0</v>
      </c>
      <c r="W1686" s="147">
        <v>2</v>
      </c>
      <c r="X1686" s="148" t="s">
        <v>163</v>
      </c>
      <c r="Y1686" s="54">
        <f>R1686*W1686</f>
        <v>17.8</v>
      </c>
      <c r="Z1686" s="52">
        <f>S1686*W1686</f>
        <v>15.892857142857144</v>
      </c>
      <c r="AA1686" s="52">
        <f>T1686*W1686</f>
        <v>1.9071428571428573</v>
      </c>
      <c r="AB1686" s="52">
        <f>V1686*W1686</f>
        <v>0</v>
      </c>
      <c r="AC1686" s="53">
        <f>(R1686+V1686)*W1686</f>
        <v>17.8</v>
      </c>
      <c r="AD1686" s="138">
        <v>8.9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107</v>
      </c>
      <c r="F1687" s="96" t="s">
        <v>113</v>
      </c>
      <c r="G1687" s="97">
        <v>46132</v>
      </c>
      <c r="H1687" s="98">
        <v>0.6299652777777778</v>
      </c>
      <c r="I1687" s="50">
        <v>166004770</v>
      </c>
      <c r="J1687" s="96" t="s">
        <v>157</v>
      </c>
      <c r="K1687" s="49" t="s">
        <v>2755</v>
      </c>
      <c r="L1687" s="39" t="s">
        <v>2756</v>
      </c>
      <c r="M1687" s="49" t="s">
        <v>219</v>
      </c>
      <c r="N1687" s="39" t="s">
        <v>244</v>
      </c>
      <c r="O1687" s="96" t="s">
        <v>2757</v>
      </c>
      <c r="P1687" s="49" t="s">
        <v>157</v>
      </c>
      <c r="Q1687" s="96" t="s">
        <v>104</v>
      </c>
      <c r="R1687" s="52">
        <v>45.9</v>
      </c>
      <c r="S1687" s="52">
        <f>R1687-T1687</f>
        <v>40.982142857142854</v>
      </c>
      <c r="T1687" s="52">
        <f>R1687*U1687/(U1687+100)</f>
        <v>4.917857142857143</v>
      </c>
      <c r="U1687" s="50">
        <v>12</v>
      </c>
      <c r="V1687" s="53">
        <v>0</v>
      </c>
      <c r="W1687" s="147">
        <v>1</v>
      </c>
      <c r="X1687" s="148" t="s">
        <v>163</v>
      </c>
      <c r="Y1687" s="54">
        <f>R1687*W1687</f>
        <v>45.9</v>
      </c>
      <c r="Z1687" s="52">
        <f>S1687*W1687</f>
        <v>40.982142857142854</v>
      </c>
      <c r="AA1687" s="52">
        <f>T1687*W1687</f>
        <v>4.917857142857143</v>
      </c>
      <c r="AB1687" s="52">
        <f>V1687*W1687</f>
        <v>0</v>
      </c>
      <c r="AC1687" s="53">
        <f>(R1687+V1687)*W1687</f>
        <v>45.9</v>
      </c>
      <c r="AD1687" s="138">
        <v>45.9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107</v>
      </c>
      <c r="F1688" s="96" t="s">
        <v>113</v>
      </c>
      <c r="G1688" s="97">
        <v>46132</v>
      </c>
      <c r="H1688" s="98">
        <v>0.6299652777777778</v>
      </c>
      <c r="I1688" s="50">
        <v>166004770</v>
      </c>
      <c r="J1688" s="96" t="s">
        <v>157</v>
      </c>
      <c r="K1688" s="49" t="s">
        <v>2758</v>
      </c>
      <c r="L1688" s="39" t="s">
        <v>2759</v>
      </c>
      <c r="M1688" s="49" t="s">
        <v>219</v>
      </c>
      <c r="N1688" s="39" t="s">
        <v>167</v>
      </c>
      <c r="O1688" s="96" t="s">
        <v>2760</v>
      </c>
      <c r="P1688" s="49" t="s">
        <v>157</v>
      </c>
      <c r="Q1688" s="96" t="s">
        <v>104</v>
      </c>
      <c r="R1688" s="52">
        <v>39.9</v>
      </c>
      <c r="S1688" s="52">
        <f>R1688-T1688</f>
        <v>32.97520661157024</v>
      </c>
      <c r="T1688" s="52">
        <f>R1688*U1688/(U1688+100)</f>
        <v>6.924793388429752</v>
      </c>
      <c r="U1688" s="50">
        <v>21</v>
      </c>
      <c r="V1688" s="53">
        <v>0</v>
      </c>
      <c r="W1688" s="147">
        <v>1</v>
      </c>
      <c r="X1688" s="148" t="s">
        <v>163</v>
      </c>
      <c r="Y1688" s="54">
        <f>R1688*W1688</f>
        <v>39.9</v>
      </c>
      <c r="Z1688" s="52">
        <f>S1688*W1688</f>
        <v>32.97520661157024</v>
      </c>
      <c r="AA1688" s="52">
        <f>T1688*W1688</f>
        <v>6.924793388429752</v>
      </c>
      <c r="AB1688" s="52">
        <f>V1688*W1688</f>
        <v>0</v>
      </c>
      <c r="AC1688" s="53">
        <f>(R1688+V1688)*W1688</f>
        <v>39.9</v>
      </c>
      <c r="AD1688" s="138">
        <v>39.9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107</v>
      </c>
      <c r="F1689" s="96" t="s">
        <v>113</v>
      </c>
      <c r="G1689" s="97">
        <v>46132</v>
      </c>
      <c r="H1689" s="98">
        <v>0.6299652777777778</v>
      </c>
      <c r="I1689" s="50">
        <v>166004770</v>
      </c>
      <c r="J1689" s="96" t="s">
        <v>157</v>
      </c>
      <c r="K1689" s="49" t="s">
        <v>183</v>
      </c>
      <c r="L1689" s="39" t="s">
        <v>184</v>
      </c>
      <c r="M1689" s="49" t="s">
        <v>185</v>
      </c>
      <c r="N1689" s="39" t="s">
        <v>186</v>
      </c>
      <c r="O1689" s="96" t="s">
        <v>988</v>
      </c>
      <c r="P1689" s="49" t="s">
        <v>157</v>
      </c>
      <c r="Q1689" s="96" t="s">
        <v>104</v>
      </c>
      <c r="R1689" s="52">
        <v>1.9</v>
      </c>
      <c r="S1689" s="52">
        <f>R1689-T1689</f>
        <v>1.5702479338842974</v>
      </c>
      <c r="T1689" s="52">
        <f>R1689*U1689/(U1689+100)</f>
        <v>0.32975206611570246</v>
      </c>
      <c r="U1689" s="50">
        <v>21</v>
      </c>
      <c r="V1689" s="53">
        <v>0</v>
      </c>
      <c r="W1689" s="147">
        <v>1</v>
      </c>
      <c r="X1689" s="148" t="s">
        <v>163</v>
      </c>
      <c r="Y1689" s="54">
        <f>R1689*W1689</f>
        <v>1.9</v>
      </c>
      <c r="Z1689" s="52">
        <f>S1689*W1689</f>
        <v>1.5702479338842974</v>
      </c>
      <c r="AA1689" s="52">
        <f>T1689*W1689</f>
        <v>0.32975206611570246</v>
      </c>
      <c r="AB1689" s="52">
        <f>V1689*W1689</f>
        <v>0</v>
      </c>
      <c r="AC1689" s="53">
        <f>(R1689+V1689)*W1689</f>
        <v>1.9</v>
      </c>
      <c r="AD1689" s="138">
        <v>1.9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107</v>
      </c>
      <c r="F1690" s="96" t="s">
        <v>113</v>
      </c>
      <c r="G1690" s="97">
        <v>46132</v>
      </c>
      <c r="H1690" s="98">
        <v>0.6299652777777778</v>
      </c>
      <c r="I1690" s="50">
        <v>166004770</v>
      </c>
      <c r="J1690" s="96" t="s">
        <v>157</v>
      </c>
      <c r="K1690" s="49" t="s">
        <v>2761</v>
      </c>
      <c r="L1690" s="39" t="s">
        <v>2762</v>
      </c>
      <c r="M1690" s="49" t="s">
        <v>2763</v>
      </c>
      <c r="N1690" s="39" t="s">
        <v>1732</v>
      </c>
      <c r="O1690" s="96" t="s">
        <v>2764</v>
      </c>
      <c r="P1690" s="49" t="s">
        <v>157</v>
      </c>
      <c r="Q1690" s="96" t="s">
        <v>104</v>
      </c>
      <c r="R1690" s="52">
        <v>97.9</v>
      </c>
      <c r="S1690" s="52">
        <f>R1690-T1690</f>
        <v>87.41071428571429</v>
      </c>
      <c r="T1690" s="52">
        <f>R1690*U1690/(U1690+100)</f>
        <v>10.489285714285716</v>
      </c>
      <c r="U1690" s="50">
        <v>12</v>
      </c>
      <c r="V1690" s="53">
        <v>0</v>
      </c>
      <c r="W1690" s="147">
        <v>1</v>
      </c>
      <c r="X1690" s="148" t="s">
        <v>163</v>
      </c>
      <c r="Y1690" s="54">
        <f>R1690*W1690</f>
        <v>97.9</v>
      </c>
      <c r="Z1690" s="52">
        <f>S1690*W1690</f>
        <v>87.41071428571429</v>
      </c>
      <c r="AA1690" s="52">
        <f>T1690*W1690</f>
        <v>10.489285714285716</v>
      </c>
      <c r="AB1690" s="52">
        <f>V1690*W1690</f>
        <v>0</v>
      </c>
      <c r="AC1690" s="53">
        <f>(R1690+V1690)*W1690</f>
        <v>97.9</v>
      </c>
      <c r="AD1690" s="138">
        <v>97.9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107</v>
      </c>
      <c r="F1691" s="96" t="s">
        <v>113</v>
      </c>
      <c r="G1691" s="97">
        <v>46132</v>
      </c>
      <c r="H1691" s="98">
        <v>0.6299652777777778</v>
      </c>
      <c r="I1691" s="50">
        <v>166004770</v>
      </c>
      <c r="J1691" s="96" t="s">
        <v>157</v>
      </c>
      <c r="K1691" s="49" t="s">
        <v>390</v>
      </c>
      <c r="L1691" s="39" t="s">
        <v>391</v>
      </c>
      <c r="M1691" s="49" t="s">
        <v>214</v>
      </c>
      <c r="N1691" s="39" t="s">
        <v>273</v>
      </c>
      <c r="O1691" s="96" t="s">
        <v>1110</v>
      </c>
      <c r="P1691" s="49" t="s">
        <v>157</v>
      </c>
      <c r="Q1691" s="96" t="s">
        <v>104</v>
      </c>
      <c r="R1691" s="52">
        <v>15.9</v>
      </c>
      <c r="S1691" s="52">
        <f>R1691-T1691</f>
        <v>14.196428571428571</v>
      </c>
      <c r="T1691" s="52">
        <f>R1691*U1691/(U1691+100)</f>
        <v>1.7035714285714287</v>
      </c>
      <c r="U1691" s="50">
        <v>12</v>
      </c>
      <c r="V1691" s="53">
        <v>0</v>
      </c>
      <c r="W1691" s="147">
        <v>3</v>
      </c>
      <c r="X1691" s="148" t="s">
        <v>163</v>
      </c>
      <c r="Y1691" s="54">
        <f>R1691*W1691</f>
        <v>47.7</v>
      </c>
      <c r="Z1691" s="52">
        <f>S1691*W1691</f>
        <v>42.589285714285715</v>
      </c>
      <c r="AA1691" s="52">
        <f>T1691*W1691</f>
        <v>5.110714285714286</v>
      </c>
      <c r="AB1691" s="52">
        <f>V1691*W1691</f>
        <v>0</v>
      </c>
      <c r="AC1691" s="53">
        <f>(R1691+V1691)*W1691</f>
        <v>47.7</v>
      </c>
      <c r="AD1691" s="138">
        <v>15.9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107</v>
      </c>
      <c r="F1692" s="96" t="s">
        <v>113</v>
      </c>
      <c r="G1692" s="97">
        <v>46132</v>
      </c>
      <c r="H1692" s="98">
        <v>0.6304861111111111</v>
      </c>
      <c r="I1692" s="50">
        <v>166004771</v>
      </c>
      <c r="J1692" s="96" t="s">
        <v>157</v>
      </c>
      <c r="K1692" s="49" t="s">
        <v>2765</v>
      </c>
      <c r="L1692" s="39" t="s">
        <v>2766</v>
      </c>
      <c r="M1692" s="49" t="s">
        <v>792</v>
      </c>
      <c r="N1692" s="39" t="s">
        <v>793</v>
      </c>
      <c r="O1692" s="96" t="s">
        <v>2767</v>
      </c>
      <c r="P1692" s="49" t="s">
        <v>157</v>
      </c>
      <c r="Q1692" s="96" t="s">
        <v>104</v>
      </c>
      <c r="R1692" s="52">
        <v>16.9</v>
      </c>
      <c r="S1692" s="52">
        <f>R1692-T1692</f>
        <v>15.089285714285714</v>
      </c>
      <c r="T1692" s="52">
        <f>R1692*U1692/(U1692+100)</f>
        <v>1.8107142857142855</v>
      </c>
      <c r="U1692" s="50">
        <v>12</v>
      </c>
      <c r="V1692" s="53">
        <v>0</v>
      </c>
      <c r="W1692" s="147">
        <v>1</v>
      </c>
      <c r="X1692" s="148" t="s">
        <v>163</v>
      </c>
      <c r="Y1692" s="54">
        <f>R1692*W1692</f>
        <v>16.9</v>
      </c>
      <c r="Z1692" s="52">
        <f>S1692*W1692</f>
        <v>15.089285714285714</v>
      </c>
      <c r="AA1692" s="52">
        <f>T1692*W1692</f>
        <v>1.8107142857142855</v>
      </c>
      <c r="AB1692" s="52">
        <f>V1692*W1692</f>
        <v>0</v>
      </c>
      <c r="AC1692" s="53">
        <f>(R1692+V1692)*W1692</f>
        <v>16.9</v>
      </c>
      <c r="AD1692" s="138">
        <v>16.9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107</v>
      </c>
      <c r="F1693" s="96" t="s">
        <v>113</v>
      </c>
      <c r="G1693" s="97">
        <v>46132</v>
      </c>
      <c r="H1693" s="98">
        <v>0.6304861111111111</v>
      </c>
      <c r="I1693" s="50">
        <v>166004771</v>
      </c>
      <c r="J1693" s="96" t="s">
        <v>157</v>
      </c>
      <c r="K1693" s="49" t="s">
        <v>1628</v>
      </c>
      <c r="L1693" s="39" t="s">
        <v>1629</v>
      </c>
      <c r="M1693" s="49" t="s">
        <v>466</v>
      </c>
      <c r="N1693" s="39" t="s">
        <v>609</v>
      </c>
      <c r="O1693" s="96" t="s">
        <v>1630</v>
      </c>
      <c r="P1693" s="49" t="s">
        <v>157</v>
      </c>
      <c r="Q1693" s="96" t="s">
        <v>104</v>
      </c>
      <c r="R1693" s="52">
        <v>17.9</v>
      </c>
      <c r="S1693" s="52">
        <f>R1693-T1693</f>
        <v>15.982142857142856</v>
      </c>
      <c r="T1693" s="52">
        <f>R1693*U1693/(U1693+100)</f>
        <v>1.9178571428571427</v>
      </c>
      <c r="U1693" s="50">
        <v>12</v>
      </c>
      <c r="V1693" s="53">
        <v>0</v>
      </c>
      <c r="W1693" s="147">
        <v>1</v>
      </c>
      <c r="X1693" s="148" t="s">
        <v>163</v>
      </c>
      <c r="Y1693" s="54">
        <f>R1693*W1693</f>
        <v>17.9</v>
      </c>
      <c r="Z1693" s="52">
        <f>S1693*W1693</f>
        <v>15.982142857142856</v>
      </c>
      <c r="AA1693" s="52">
        <f>T1693*W1693</f>
        <v>1.9178571428571427</v>
      </c>
      <c r="AB1693" s="52">
        <f>V1693*W1693</f>
        <v>0</v>
      </c>
      <c r="AC1693" s="53">
        <f>(R1693+V1693)*W1693</f>
        <v>17.9</v>
      </c>
      <c r="AD1693" s="138">
        <v>17.9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107</v>
      </c>
      <c r="F1694" s="96" t="s">
        <v>113</v>
      </c>
      <c r="G1694" s="97">
        <v>46132</v>
      </c>
      <c r="H1694" s="98">
        <v>0.6304861111111111</v>
      </c>
      <c r="I1694" s="50">
        <v>166004771</v>
      </c>
      <c r="J1694" s="96" t="s">
        <v>157</v>
      </c>
      <c r="K1694" s="49" t="s">
        <v>2768</v>
      </c>
      <c r="L1694" s="39" t="s">
        <v>2769</v>
      </c>
      <c r="M1694" s="49" t="s">
        <v>2565</v>
      </c>
      <c r="N1694" s="39" t="s">
        <v>1785</v>
      </c>
      <c r="O1694" s="96" t="s">
        <v>2770</v>
      </c>
      <c r="P1694" s="49" t="s">
        <v>157</v>
      </c>
      <c r="Q1694" s="96" t="s">
        <v>104</v>
      </c>
      <c r="R1694" s="52">
        <v>27.9</v>
      </c>
      <c r="S1694" s="52">
        <f>R1694-T1694</f>
        <v>24.910714285714285</v>
      </c>
      <c r="T1694" s="52">
        <f>R1694*U1694/(U1694+100)</f>
        <v>2.989285714285714</v>
      </c>
      <c r="U1694" s="50">
        <v>12</v>
      </c>
      <c r="V1694" s="53">
        <v>0</v>
      </c>
      <c r="W1694" s="147">
        <v>1</v>
      </c>
      <c r="X1694" s="148" t="s">
        <v>163</v>
      </c>
      <c r="Y1694" s="54">
        <f>R1694*W1694</f>
        <v>27.9</v>
      </c>
      <c r="Z1694" s="52">
        <f>S1694*W1694</f>
        <v>24.910714285714285</v>
      </c>
      <c r="AA1694" s="52">
        <f>T1694*W1694</f>
        <v>2.989285714285714</v>
      </c>
      <c r="AB1694" s="52">
        <f>V1694*W1694</f>
        <v>0</v>
      </c>
      <c r="AC1694" s="53">
        <f>(R1694+V1694)*W1694</f>
        <v>27.9</v>
      </c>
      <c r="AD1694" s="138">
        <v>27.9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107</v>
      </c>
      <c r="F1695" s="96" t="s">
        <v>113</v>
      </c>
      <c r="G1695" s="97">
        <v>46132</v>
      </c>
      <c r="H1695" s="98">
        <v>0.6304861111111111</v>
      </c>
      <c r="I1695" s="50">
        <v>166004771</v>
      </c>
      <c r="J1695" s="96" t="s">
        <v>157</v>
      </c>
      <c r="K1695" s="49" t="s">
        <v>507</v>
      </c>
      <c r="L1695" s="39" t="s">
        <v>508</v>
      </c>
      <c r="M1695" s="49" t="s">
        <v>509</v>
      </c>
      <c r="N1695" s="39" t="s">
        <v>256</v>
      </c>
      <c r="O1695" s="96" t="s">
        <v>1024</v>
      </c>
      <c r="P1695" s="49" t="s">
        <v>235</v>
      </c>
      <c r="Q1695" s="96" t="s">
        <v>236</v>
      </c>
      <c r="R1695" s="52">
        <v>15.9</v>
      </c>
      <c r="S1695" s="52">
        <f>R1695-T1695</f>
        <v>13.140495867768596</v>
      </c>
      <c r="T1695" s="52">
        <f>R1695*U1695/(U1695+100)</f>
        <v>2.759504132231405</v>
      </c>
      <c r="U1695" s="50">
        <v>21</v>
      </c>
      <c r="V1695" s="53">
        <v>0</v>
      </c>
      <c r="W1695" s="147">
        <v>4</v>
      </c>
      <c r="X1695" s="148" t="s">
        <v>163</v>
      </c>
      <c r="Y1695" s="54">
        <f>R1695*W1695</f>
        <v>63.6</v>
      </c>
      <c r="Z1695" s="52">
        <f>S1695*W1695</f>
        <v>52.561983471074385</v>
      </c>
      <c r="AA1695" s="52">
        <f>T1695*W1695</f>
        <v>11.03801652892562</v>
      </c>
      <c r="AB1695" s="52">
        <f>V1695*W1695</f>
        <v>0</v>
      </c>
      <c r="AC1695" s="53">
        <f>(R1695+V1695)*W1695</f>
        <v>63.6</v>
      </c>
      <c r="AD1695" s="138">
        <v>15.9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107</v>
      </c>
      <c r="F1696" s="96" t="s">
        <v>113</v>
      </c>
      <c r="G1696" s="97">
        <v>46132</v>
      </c>
      <c r="H1696" s="98">
        <v>0.6304861111111111</v>
      </c>
      <c r="I1696" s="50">
        <v>166004771</v>
      </c>
      <c r="J1696" s="96" t="s">
        <v>157</v>
      </c>
      <c r="K1696" s="49" t="s">
        <v>1300</v>
      </c>
      <c r="L1696" s="39" t="s">
        <v>1301</v>
      </c>
      <c r="M1696" s="49" t="s">
        <v>997</v>
      </c>
      <c r="N1696" s="39" t="s">
        <v>998</v>
      </c>
      <c r="O1696" s="96" t="s">
        <v>1302</v>
      </c>
      <c r="P1696" s="49" t="s">
        <v>157</v>
      </c>
      <c r="Q1696" s="96" t="s">
        <v>104</v>
      </c>
      <c r="R1696" s="52">
        <v>24</v>
      </c>
      <c r="S1696" s="52">
        <f>R1696-T1696</f>
        <v>21.428571428571427</v>
      </c>
      <c r="T1696" s="52">
        <f>R1696*U1696/(U1696+100)</f>
        <v>2.5714285714285716</v>
      </c>
      <c r="U1696" s="50">
        <v>12</v>
      </c>
      <c r="V1696" s="53">
        <v>0</v>
      </c>
      <c r="W1696" s="147">
        <v>1</v>
      </c>
      <c r="X1696" s="148" t="s">
        <v>945</v>
      </c>
      <c r="Y1696" s="54">
        <f>R1696*W1696</f>
        <v>24</v>
      </c>
      <c r="Z1696" s="52">
        <f>S1696*W1696</f>
        <v>21.428571428571427</v>
      </c>
      <c r="AA1696" s="52">
        <f>T1696*W1696</f>
        <v>2.5714285714285716</v>
      </c>
      <c r="AB1696" s="52">
        <f>V1696*W1696</f>
        <v>0</v>
      </c>
      <c r="AC1696" s="53">
        <f>(R1696+V1696)*W1696</f>
        <v>24</v>
      </c>
      <c r="AD1696" s="138">
        <v>24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107</v>
      </c>
      <c r="F1697" s="96" t="s">
        <v>113</v>
      </c>
      <c r="G1697" s="97">
        <v>46132</v>
      </c>
      <c r="H1697" s="98">
        <v>0.6319560185185186</v>
      </c>
      <c r="I1697" s="50">
        <v>166004772</v>
      </c>
      <c r="J1697" s="96" t="s">
        <v>157</v>
      </c>
      <c r="K1697" s="49" t="s">
        <v>2771</v>
      </c>
      <c r="L1697" s="39" t="s">
        <v>2772</v>
      </c>
      <c r="M1697" s="49" t="s">
        <v>160</v>
      </c>
      <c r="N1697" s="39" t="s">
        <v>239</v>
      </c>
      <c r="O1697" s="96" t="s">
        <v>2773</v>
      </c>
      <c r="P1697" s="49" t="s">
        <v>157</v>
      </c>
      <c r="Q1697" s="96" t="s">
        <v>104</v>
      </c>
      <c r="R1697" s="52">
        <v>49.9</v>
      </c>
      <c r="S1697" s="52">
        <f>R1697-T1697</f>
        <v>44.55357142857143</v>
      </c>
      <c r="T1697" s="52">
        <f>R1697*U1697/(U1697+100)</f>
        <v>5.346428571428571</v>
      </c>
      <c r="U1697" s="50">
        <v>12</v>
      </c>
      <c r="V1697" s="53">
        <v>0</v>
      </c>
      <c r="W1697" s="147">
        <v>1</v>
      </c>
      <c r="X1697" s="148" t="s">
        <v>163</v>
      </c>
      <c r="Y1697" s="54">
        <f>R1697*W1697</f>
        <v>49.9</v>
      </c>
      <c r="Z1697" s="52">
        <f>S1697*W1697</f>
        <v>44.55357142857143</v>
      </c>
      <c r="AA1697" s="52">
        <f>T1697*W1697</f>
        <v>5.346428571428571</v>
      </c>
      <c r="AB1697" s="52">
        <f>V1697*W1697</f>
        <v>0</v>
      </c>
      <c r="AC1697" s="53">
        <f>(R1697+V1697)*W1697</f>
        <v>49.9</v>
      </c>
      <c r="AD1697" s="138">
        <v>49.9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107</v>
      </c>
      <c r="F1698" s="96" t="s">
        <v>113</v>
      </c>
      <c r="G1698" s="97">
        <v>46132</v>
      </c>
      <c r="H1698" s="98">
        <v>0.6319560185185186</v>
      </c>
      <c r="I1698" s="50">
        <v>166004772</v>
      </c>
      <c r="J1698" s="96" t="s">
        <v>157</v>
      </c>
      <c r="K1698" s="49" t="s">
        <v>2774</v>
      </c>
      <c r="L1698" s="39" t="s">
        <v>2775</v>
      </c>
      <c r="M1698" s="49" t="s">
        <v>823</v>
      </c>
      <c r="N1698" s="39" t="s">
        <v>609</v>
      </c>
      <c r="O1698" s="96" t="s">
        <v>2776</v>
      </c>
      <c r="P1698" s="49" t="s">
        <v>157</v>
      </c>
      <c r="Q1698" s="96" t="s">
        <v>104</v>
      </c>
      <c r="R1698" s="52">
        <v>17.9</v>
      </c>
      <c r="S1698" s="52">
        <f>R1698-T1698</f>
        <v>15.982142857142856</v>
      </c>
      <c r="T1698" s="52">
        <f>R1698*U1698/(U1698+100)</f>
        <v>1.9178571428571427</v>
      </c>
      <c r="U1698" s="50">
        <v>12</v>
      </c>
      <c r="V1698" s="53">
        <v>0</v>
      </c>
      <c r="W1698" s="147">
        <v>2</v>
      </c>
      <c r="X1698" s="148" t="s">
        <v>163</v>
      </c>
      <c r="Y1698" s="54">
        <f>R1698*W1698</f>
        <v>35.8</v>
      </c>
      <c r="Z1698" s="52">
        <f>S1698*W1698</f>
        <v>31.96428571428571</v>
      </c>
      <c r="AA1698" s="52">
        <f>T1698*W1698</f>
        <v>3.8357142857142854</v>
      </c>
      <c r="AB1698" s="52">
        <f>V1698*W1698</f>
        <v>0</v>
      </c>
      <c r="AC1698" s="53">
        <f>(R1698+V1698)*W1698</f>
        <v>35.8</v>
      </c>
      <c r="AD1698" s="138">
        <v>17.9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107</v>
      </c>
      <c r="F1699" s="96" t="s">
        <v>113</v>
      </c>
      <c r="G1699" s="97">
        <v>46132</v>
      </c>
      <c r="H1699" s="98">
        <v>0.6319560185185186</v>
      </c>
      <c r="I1699" s="50">
        <v>166004772</v>
      </c>
      <c r="J1699" s="96" t="s">
        <v>157</v>
      </c>
      <c r="K1699" s="49" t="s">
        <v>2777</v>
      </c>
      <c r="L1699" s="39" t="s">
        <v>2778</v>
      </c>
      <c r="M1699" s="49" t="s">
        <v>214</v>
      </c>
      <c r="N1699" s="39" t="s">
        <v>490</v>
      </c>
      <c r="O1699" s="96" t="s">
        <v>2779</v>
      </c>
      <c r="P1699" s="49" t="s">
        <v>157</v>
      </c>
      <c r="Q1699" s="96" t="s">
        <v>104</v>
      </c>
      <c r="R1699" s="52">
        <v>39.9</v>
      </c>
      <c r="S1699" s="52">
        <f>R1699-T1699</f>
        <v>35.625</v>
      </c>
      <c r="T1699" s="52">
        <f>R1699*U1699/(U1699+100)</f>
        <v>4.2749999999999995</v>
      </c>
      <c r="U1699" s="50">
        <v>12</v>
      </c>
      <c r="V1699" s="53">
        <v>0</v>
      </c>
      <c r="W1699" s="147">
        <v>1</v>
      </c>
      <c r="X1699" s="148" t="s">
        <v>163</v>
      </c>
      <c r="Y1699" s="54">
        <f>R1699*W1699</f>
        <v>39.9</v>
      </c>
      <c r="Z1699" s="52">
        <f>S1699*W1699</f>
        <v>35.625</v>
      </c>
      <c r="AA1699" s="52">
        <f>T1699*W1699</f>
        <v>4.2749999999999995</v>
      </c>
      <c r="AB1699" s="52">
        <f>V1699*W1699</f>
        <v>0</v>
      </c>
      <c r="AC1699" s="53">
        <f>(R1699+V1699)*W1699</f>
        <v>39.9</v>
      </c>
      <c r="AD1699" s="138">
        <v>39.9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107</v>
      </c>
      <c r="F1700" s="96" t="s">
        <v>113</v>
      </c>
      <c r="G1700" s="97">
        <v>46132</v>
      </c>
      <c r="H1700" s="98">
        <v>0.6319560185185186</v>
      </c>
      <c r="I1700" s="50">
        <v>166004772</v>
      </c>
      <c r="J1700" s="96" t="s">
        <v>157</v>
      </c>
      <c r="K1700" s="49" t="s">
        <v>386</v>
      </c>
      <c r="L1700" s="39" t="s">
        <v>387</v>
      </c>
      <c r="M1700" s="49" t="s">
        <v>219</v>
      </c>
      <c r="N1700" s="39" t="s">
        <v>388</v>
      </c>
      <c r="O1700" s="96" t="s">
        <v>2780</v>
      </c>
      <c r="P1700" s="49" t="s">
        <v>157</v>
      </c>
      <c r="Q1700" s="96" t="s">
        <v>104</v>
      </c>
      <c r="R1700" s="52">
        <v>29.9</v>
      </c>
      <c r="S1700" s="52">
        <f>R1700-T1700</f>
        <v>24.710743801652892</v>
      </c>
      <c r="T1700" s="52">
        <f>R1700*U1700/(U1700+100)</f>
        <v>5.189256198347107</v>
      </c>
      <c r="U1700" s="50">
        <v>21</v>
      </c>
      <c r="V1700" s="53">
        <v>0</v>
      </c>
      <c r="W1700" s="147">
        <v>1</v>
      </c>
      <c r="X1700" s="148" t="s">
        <v>163</v>
      </c>
      <c r="Y1700" s="54">
        <f>R1700*W1700</f>
        <v>29.9</v>
      </c>
      <c r="Z1700" s="52">
        <f>S1700*W1700</f>
        <v>24.710743801652892</v>
      </c>
      <c r="AA1700" s="52">
        <f>T1700*W1700</f>
        <v>5.189256198347107</v>
      </c>
      <c r="AB1700" s="52">
        <f>V1700*W1700</f>
        <v>0</v>
      </c>
      <c r="AC1700" s="53">
        <f>(R1700+V1700)*W1700</f>
        <v>29.9</v>
      </c>
      <c r="AD1700" s="138">
        <v>29.9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107</v>
      </c>
      <c r="F1701" s="96" t="s">
        <v>113</v>
      </c>
      <c r="G1701" s="97">
        <v>46132</v>
      </c>
      <c r="H1701" s="98">
        <v>0.6319560185185186</v>
      </c>
      <c r="I1701" s="50">
        <v>166004772</v>
      </c>
      <c r="J1701" s="96" t="s">
        <v>157</v>
      </c>
      <c r="K1701" s="49" t="s">
        <v>1073</v>
      </c>
      <c r="L1701" s="39" t="s">
        <v>1074</v>
      </c>
      <c r="M1701" s="49" t="s">
        <v>399</v>
      </c>
      <c r="N1701" s="39" t="s">
        <v>1075</v>
      </c>
      <c r="O1701" s="96" t="s">
        <v>1076</v>
      </c>
      <c r="P1701" s="49" t="s">
        <v>157</v>
      </c>
      <c r="Q1701" s="96" t="s">
        <v>104</v>
      </c>
      <c r="R1701" s="52">
        <v>9.9</v>
      </c>
      <c r="S1701" s="52">
        <f>R1701-T1701</f>
        <v>8.181818181818182</v>
      </c>
      <c r="T1701" s="52">
        <f>R1701*U1701/(U1701+100)</f>
        <v>1.7181818181818183</v>
      </c>
      <c r="U1701" s="50">
        <v>21</v>
      </c>
      <c r="V1701" s="53">
        <v>0</v>
      </c>
      <c r="W1701" s="147">
        <v>1</v>
      </c>
      <c r="X1701" s="148" t="s">
        <v>163</v>
      </c>
      <c r="Y1701" s="54">
        <f>R1701*W1701</f>
        <v>9.9</v>
      </c>
      <c r="Z1701" s="52">
        <f>S1701*W1701</f>
        <v>8.181818181818182</v>
      </c>
      <c r="AA1701" s="52">
        <f>T1701*W1701</f>
        <v>1.7181818181818183</v>
      </c>
      <c r="AB1701" s="52">
        <f>V1701*W1701</f>
        <v>0</v>
      </c>
      <c r="AC1701" s="53">
        <f>(R1701+V1701)*W1701</f>
        <v>9.9</v>
      </c>
      <c r="AD1701" s="138">
        <v>9.9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107</v>
      </c>
      <c r="F1702" s="96" t="s">
        <v>113</v>
      </c>
      <c r="G1702" s="97">
        <v>46132</v>
      </c>
      <c r="H1702" s="98">
        <v>0.6319560185185186</v>
      </c>
      <c r="I1702" s="50">
        <v>166004772</v>
      </c>
      <c r="J1702" s="96" t="s">
        <v>157</v>
      </c>
      <c r="K1702" s="49" t="s">
        <v>2781</v>
      </c>
      <c r="L1702" s="39" t="s">
        <v>2782</v>
      </c>
      <c r="M1702" s="49" t="s">
        <v>2783</v>
      </c>
      <c r="N1702" s="39" t="s">
        <v>167</v>
      </c>
      <c r="O1702" s="96" t="s">
        <v>2784</v>
      </c>
      <c r="P1702" s="49" t="s">
        <v>157</v>
      </c>
      <c r="Q1702" s="96" t="s">
        <v>104</v>
      </c>
      <c r="R1702" s="52">
        <v>37.9</v>
      </c>
      <c r="S1702" s="52">
        <f>R1702-T1702</f>
        <v>31.322314049586776</v>
      </c>
      <c r="T1702" s="52">
        <f>R1702*U1702/(U1702+100)</f>
        <v>6.577685950413223</v>
      </c>
      <c r="U1702" s="50">
        <v>21</v>
      </c>
      <c r="V1702" s="53">
        <v>0</v>
      </c>
      <c r="W1702" s="147">
        <v>1</v>
      </c>
      <c r="X1702" s="148" t="s">
        <v>163</v>
      </c>
      <c r="Y1702" s="54">
        <f>R1702*W1702</f>
        <v>37.9</v>
      </c>
      <c r="Z1702" s="52">
        <f>S1702*W1702</f>
        <v>31.322314049586776</v>
      </c>
      <c r="AA1702" s="52">
        <f>T1702*W1702</f>
        <v>6.577685950413223</v>
      </c>
      <c r="AB1702" s="52">
        <f>V1702*W1702</f>
        <v>0</v>
      </c>
      <c r="AC1702" s="53">
        <f>(R1702+V1702)*W1702</f>
        <v>37.9</v>
      </c>
      <c r="AD1702" s="138">
        <v>37.9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107</v>
      </c>
      <c r="F1703" s="96" t="s">
        <v>113</v>
      </c>
      <c r="G1703" s="97">
        <v>46132</v>
      </c>
      <c r="H1703" s="98">
        <v>0.6319560185185186</v>
      </c>
      <c r="I1703" s="50">
        <v>166004772</v>
      </c>
      <c r="J1703" s="96" t="s">
        <v>157</v>
      </c>
      <c r="K1703" s="49" t="s">
        <v>397</v>
      </c>
      <c r="L1703" s="39" t="s">
        <v>398</v>
      </c>
      <c r="M1703" s="49" t="s">
        <v>399</v>
      </c>
      <c r="N1703" s="39" t="s">
        <v>353</v>
      </c>
      <c r="O1703" s="96" t="s">
        <v>2785</v>
      </c>
      <c r="P1703" s="49" t="s">
        <v>235</v>
      </c>
      <c r="Q1703" s="96" t="s">
        <v>236</v>
      </c>
      <c r="R1703" s="52">
        <v>26.9</v>
      </c>
      <c r="S1703" s="52">
        <f>R1703-T1703</f>
        <v>22.231404958677686</v>
      </c>
      <c r="T1703" s="52">
        <f>R1703*U1703/(U1703+100)</f>
        <v>4.668595041322314</v>
      </c>
      <c r="U1703" s="50">
        <v>21</v>
      </c>
      <c r="V1703" s="53">
        <v>0</v>
      </c>
      <c r="W1703" s="147">
        <v>1</v>
      </c>
      <c r="X1703" s="148" t="s">
        <v>163</v>
      </c>
      <c r="Y1703" s="54">
        <f>R1703*W1703</f>
        <v>26.9</v>
      </c>
      <c r="Z1703" s="52">
        <f>S1703*W1703</f>
        <v>22.231404958677686</v>
      </c>
      <c r="AA1703" s="52">
        <f>T1703*W1703</f>
        <v>4.668595041322314</v>
      </c>
      <c r="AB1703" s="52">
        <f>V1703*W1703</f>
        <v>0</v>
      </c>
      <c r="AC1703" s="53">
        <f>(R1703+V1703)*W1703</f>
        <v>26.9</v>
      </c>
      <c r="AD1703" s="138">
        <v>26.9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107</v>
      </c>
      <c r="F1704" s="96" t="s">
        <v>113</v>
      </c>
      <c r="G1704" s="97">
        <v>46132</v>
      </c>
      <c r="H1704" s="98">
        <v>0.6319560185185186</v>
      </c>
      <c r="I1704" s="50">
        <v>166004772</v>
      </c>
      <c r="J1704" s="96" t="s">
        <v>157</v>
      </c>
      <c r="K1704" s="49" t="s">
        <v>2786</v>
      </c>
      <c r="L1704" s="39" t="s">
        <v>2787</v>
      </c>
      <c r="M1704" s="49" t="s">
        <v>214</v>
      </c>
      <c r="N1704" s="39" t="s">
        <v>2788</v>
      </c>
      <c r="O1704" s="96" t="s">
        <v>2789</v>
      </c>
      <c r="P1704" s="49" t="s">
        <v>157</v>
      </c>
      <c r="Q1704" s="96" t="s">
        <v>104</v>
      </c>
      <c r="R1704" s="52">
        <v>47.9</v>
      </c>
      <c r="S1704" s="52">
        <f>R1704-T1704</f>
        <v>42.76785714285714</v>
      </c>
      <c r="T1704" s="52">
        <f>R1704*U1704/(U1704+100)</f>
        <v>5.132142857142857</v>
      </c>
      <c r="U1704" s="50">
        <v>12</v>
      </c>
      <c r="V1704" s="53">
        <v>0</v>
      </c>
      <c r="W1704" s="147">
        <v>1</v>
      </c>
      <c r="X1704" s="148" t="s">
        <v>163</v>
      </c>
      <c r="Y1704" s="54">
        <f>R1704*W1704</f>
        <v>47.9</v>
      </c>
      <c r="Z1704" s="52">
        <f>S1704*W1704</f>
        <v>42.76785714285714</v>
      </c>
      <c r="AA1704" s="52">
        <f>T1704*W1704</f>
        <v>5.132142857142857</v>
      </c>
      <c r="AB1704" s="52">
        <f>V1704*W1704</f>
        <v>0</v>
      </c>
      <c r="AC1704" s="53">
        <f>(R1704+V1704)*W1704</f>
        <v>47.9</v>
      </c>
      <c r="AD1704" s="138">
        <v>47.9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107</v>
      </c>
      <c r="F1705" s="96" t="s">
        <v>113</v>
      </c>
      <c r="G1705" s="97">
        <v>46132</v>
      </c>
      <c r="H1705" s="98">
        <v>0.6319560185185186</v>
      </c>
      <c r="I1705" s="50">
        <v>166004772</v>
      </c>
      <c r="J1705" s="96" t="s">
        <v>157</v>
      </c>
      <c r="K1705" s="49" t="s">
        <v>183</v>
      </c>
      <c r="L1705" s="39" t="s">
        <v>184</v>
      </c>
      <c r="M1705" s="49" t="s">
        <v>185</v>
      </c>
      <c r="N1705" s="39" t="s">
        <v>186</v>
      </c>
      <c r="O1705" s="96" t="s">
        <v>988</v>
      </c>
      <c r="P1705" s="49" t="s">
        <v>157</v>
      </c>
      <c r="Q1705" s="96" t="s">
        <v>104</v>
      </c>
      <c r="R1705" s="52">
        <v>1.9</v>
      </c>
      <c r="S1705" s="52">
        <f>R1705-T1705</f>
        <v>1.5702479338842974</v>
      </c>
      <c r="T1705" s="52">
        <f>R1705*U1705/(U1705+100)</f>
        <v>0.32975206611570246</v>
      </c>
      <c r="U1705" s="50">
        <v>21</v>
      </c>
      <c r="V1705" s="53">
        <v>0</v>
      </c>
      <c r="W1705" s="147">
        <v>1</v>
      </c>
      <c r="X1705" s="148" t="s">
        <v>163</v>
      </c>
      <c r="Y1705" s="54">
        <f>R1705*W1705</f>
        <v>1.9</v>
      </c>
      <c r="Z1705" s="52">
        <f>S1705*W1705</f>
        <v>1.5702479338842974</v>
      </c>
      <c r="AA1705" s="52">
        <f>T1705*W1705</f>
        <v>0.32975206611570246</v>
      </c>
      <c r="AB1705" s="52">
        <f>V1705*W1705</f>
        <v>0</v>
      </c>
      <c r="AC1705" s="53">
        <f>(R1705+V1705)*W1705</f>
        <v>1.9</v>
      </c>
      <c r="AD1705" s="138">
        <v>1.9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107</v>
      </c>
      <c r="F1706" s="96" t="s">
        <v>113</v>
      </c>
      <c r="G1706" s="97">
        <v>46132</v>
      </c>
      <c r="H1706" s="98">
        <v>0.6319560185185186</v>
      </c>
      <c r="I1706" s="50">
        <v>166004772</v>
      </c>
      <c r="J1706" s="96" t="s">
        <v>157</v>
      </c>
      <c r="K1706" s="49" t="s">
        <v>1037</v>
      </c>
      <c r="L1706" s="39" t="s">
        <v>1038</v>
      </c>
      <c r="M1706" s="49" t="s">
        <v>185</v>
      </c>
      <c r="N1706" s="39" t="s">
        <v>433</v>
      </c>
      <c r="O1706" s="96" t="s">
        <v>1039</v>
      </c>
      <c r="P1706" s="49" t="s">
        <v>157</v>
      </c>
      <c r="Q1706" s="96" t="s">
        <v>104</v>
      </c>
      <c r="R1706" s="52">
        <v>29.9</v>
      </c>
      <c r="S1706" s="52">
        <f>R1706-T1706</f>
        <v>26.69642857142857</v>
      </c>
      <c r="T1706" s="52">
        <f>R1706*U1706/(U1706+100)</f>
        <v>3.2035714285714283</v>
      </c>
      <c r="U1706" s="50">
        <v>12</v>
      </c>
      <c r="V1706" s="53">
        <v>0</v>
      </c>
      <c r="W1706" s="147">
        <v>1</v>
      </c>
      <c r="X1706" s="148" t="s">
        <v>163</v>
      </c>
      <c r="Y1706" s="54">
        <f>R1706*W1706</f>
        <v>29.9</v>
      </c>
      <c r="Z1706" s="52">
        <f>S1706*W1706</f>
        <v>26.69642857142857</v>
      </c>
      <c r="AA1706" s="52">
        <f>T1706*W1706</f>
        <v>3.2035714285714283</v>
      </c>
      <c r="AB1706" s="52">
        <f>V1706*W1706</f>
        <v>0</v>
      </c>
      <c r="AC1706" s="53">
        <f>(R1706+V1706)*W1706</f>
        <v>29.9</v>
      </c>
      <c r="AD1706" s="138">
        <v>29.9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107</v>
      </c>
      <c r="F1707" s="96" t="s">
        <v>113</v>
      </c>
      <c r="G1707" s="97">
        <v>46132</v>
      </c>
      <c r="H1707" s="98">
        <v>0.6319560185185186</v>
      </c>
      <c r="I1707" s="50">
        <v>166004772</v>
      </c>
      <c r="J1707" s="96" t="s">
        <v>157</v>
      </c>
      <c r="K1707" s="49" t="s">
        <v>2790</v>
      </c>
      <c r="L1707" s="39" t="s">
        <v>2791</v>
      </c>
      <c r="M1707" s="49" t="s">
        <v>403</v>
      </c>
      <c r="N1707" s="39" t="s">
        <v>1194</v>
      </c>
      <c r="O1707" s="96" t="s">
        <v>2792</v>
      </c>
      <c r="P1707" s="49" t="s">
        <v>157</v>
      </c>
      <c r="Q1707" s="96" t="s">
        <v>104</v>
      </c>
      <c r="R1707" s="52">
        <v>82.9</v>
      </c>
      <c r="S1707" s="52">
        <f>R1707-T1707</f>
        <v>74.01785714285715</v>
      </c>
      <c r="T1707" s="52">
        <f>R1707*U1707/(U1707+100)</f>
        <v>8.882142857142858</v>
      </c>
      <c r="U1707" s="50">
        <v>12</v>
      </c>
      <c r="V1707" s="53">
        <v>0</v>
      </c>
      <c r="W1707" s="147">
        <v>1</v>
      </c>
      <c r="X1707" s="148" t="s">
        <v>163</v>
      </c>
      <c r="Y1707" s="54">
        <f>R1707*W1707</f>
        <v>82.9</v>
      </c>
      <c r="Z1707" s="52">
        <f>S1707*W1707</f>
        <v>74.01785714285715</v>
      </c>
      <c r="AA1707" s="52">
        <f>T1707*W1707</f>
        <v>8.882142857142858</v>
      </c>
      <c r="AB1707" s="52">
        <f>V1707*W1707</f>
        <v>0</v>
      </c>
      <c r="AC1707" s="53">
        <f>(R1707+V1707)*W1707</f>
        <v>82.9</v>
      </c>
      <c r="AD1707" s="138">
        <v>82.9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107</v>
      </c>
      <c r="F1708" s="96" t="s">
        <v>113</v>
      </c>
      <c r="G1708" s="97">
        <v>46132</v>
      </c>
      <c r="H1708" s="98">
        <v>0.6319560185185186</v>
      </c>
      <c r="I1708" s="50">
        <v>166004772</v>
      </c>
      <c r="J1708" s="96" t="s">
        <v>157</v>
      </c>
      <c r="K1708" s="49" t="s">
        <v>438</v>
      </c>
      <c r="L1708" s="39" t="s">
        <v>439</v>
      </c>
      <c r="M1708" s="49" t="s">
        <v>185</v>
      </c>
      <c r="N1708" s="39" t="s">
        <v>440</v>
      </c>
      <c r="O1708" s="96" t="s">
        <v>1615</v>
      </c>
      <c r="P1708" s="49" t="s">
        <v>157</v>
      </c>
      <c r="Q1708" s="96" t="s">
        <v>104</v>
      </c>
      <c r="R1708" s="52">
        <v>27.9</v>
      </c>
      <c r="S1708" s="52">
        <f>R1708-T1708</f>
        <v>24.910714285714285</v>
      </c>
      <c r="T1708" s="52">
        <f>R1708*U1708/(U1708+100)</f>
        <v>2.989285714285714</v>
      </c>
      <c r="U1708" s="50">
        <v>12</v>
      </c>
      <c r="V1708" s="53">
        <v>0</v>
      </c>
      <c r="W1708" s="147">
        <v>1</v>
      </c>
      <c r="X1708" s="148" t="s">
        <v>163</v>
      </c>
      <c r="Y1708" s="54">
        <f>R1708*W1708</f>
        <v>27.9</v>
      </c>
      <c r="Z1708" s="52">
        <f>S1708*W1708</f>
        <v>24.910714285714285</v>
      </c>
      <c r="AA1708" s="52">
        <f>T1708*W1708</f>
        <v>2.989285714285714</v>
      </c>
      <c r="AB1708" s="52">
        <f>V1708*W1708</f>
        <v>0</v>
      </c>
      <c r="AC1708" s="53">
        <f>(R1708+V1708)*W1708</f>
        <v>27.9</v>
      </c>
      <c r="AD1708" s="138">
        <v>27.9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107</v>
      </c>
      <c r="F1709" s="96" t="s">
        <v>113</v>
      </c>
      <c r="G1709" s="97">
        <v>46132</v>
      </c>
      <c r="H1709" s="98">
        <v>0.6326273148148148</v>
      </c>
      <c r="I1709" s="50">
        <v>166004773</v>
      </c>
      <c r="J1709" s="96" t="s">
        <v>157</v>
      </c>
      <c r="K1709" s="49" t="s">
        <v>1232</v>
      </c>
      <c r="L1709" s="39" t="s">
        <v>1233</v>
      </c>
      <c r="M1709" s="49" t="s">
        <v>466</v>
      </c>
      <c r="N1709" s="39" t="s">
        <v>291</v>
      </c>
      <c r="O1709" s="96" t="s">
        <v>1234</v>
      </c>
      <c r="P1709" s="49" t="s">
        <v>235</v>
      </c>
      <c r="Q1709" s="96" t="s">
        <v>236</v>
      </c>
      <c r="R1709" s="52">
        <v>26.9</v>
      </c>
      <c r="S1709" s="52">
        <f>R1709-T1709</f>
        <v>24.017857142857142</v>
      </c>
      <c r="T1709" s="52">
        <f>R1709*U1709/(U1709+100)</f>
        <v>2.8821428571428567</v>
      </c>
      <c r="U1709" s="50">
        <v>12</v>
      </c>
      <c r="V1709" s="53">
        <v>0</v>
      </c>
      <c r="W1709" s="147">
        <v>1</v>
      </c>
      <c r="X1709" s="148" t="s">
        <v>163</v>
      </c>
      <c r="Y1709" s="54">
        <f>R1709*W1709</f>
        <v>26.9</v>
      </c>
      <c r="Z1709" s="52">
        <f>S1709*W1709</f>
        <v>24.017857142857142</v>
      </c>
      <c r="AA1709" s="52">
        <f>T1709*W1709</f>
        <v>2.8821428571428567</v>
      </c>
      <c r="AB1709" s="52">
        <f>V1709*W1709</f>
        <v>0</v>
      </c>
      <c r="AC1709" s="53">
        <f>(R1709+V1709)*W1709</f>
        <v>26.9</v>
      </c>
      <c r="AD1709" s="138">
        <v>26.9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107</v>
      </c>
      <c r="F1710" s="96" t="s">
        <v>113</v>
      </c>
      <c r="G1710" s="97">
        <v>46132</v>
      </c>
      <c r="H1710" s="98">
        <v>0.6326273148148148</v>
      </c>
      <c r="I1710" s="50">
        <v>166004773</v>
      </c>
      <c r="J1710" s="96" t="s">
        <v>157</v>
      </c>
      <c r="K1710" s="49" t="s">
        <v>1232</v>
      </c>
      <c r="L1710" s="39" t="s">
        <v>1233</v>
      </c>
      <c r="M1710" s="49" t="s">
        <v>466</v>
      </c>
      <c r="N1710" s="39" t="s">
        <v>291</v>
      </c>
      <c r="O1710" s="96" t="s">
        <v>1234</v>
      </c>
      <c r="P1710" s="49" t="s">
        <v>235</v>
      </c>
      <c r="Q1710" s="96" t="s">
        <v>236</v>
      </c>
      <c r="R1710" s="52">
        <v>26.9</v>
      </c>
      <c r="S1710" s="52">
        <f>R1710-T1710</f>
        <v>24.017857142857142</v>
      </c>
      <c r="T1710" s="52">
        <f>R1710*U1710/(U1710+100)</f>
        <v>2.8821428571428567</v>
      </c>
      <c r="U1710" s="50">
        <v>12</v>
      </c>
      <c r="V1710" s="53">
        <v>0</v>
      </c>
      <c r="W1710" s="147">
        <v>1</v>
      </c>
      <c r="X1710" s="148" t="s">
        <v>163</v>
      </c>
      <c r="Y1710" s="54">
        <f>R1710*W1710</f>
        <v>26.9</v>
      </c>
      <c r="Z1710" s="52">
        <f>S1710*W1710</f>
        <v>24.017857142857142</v>
      </c>
      <c r="AA1710" s="52">
        <f>T1710*W1710</f>
        <v>2.8821428571428567</v>
      </c>
      <c r="AB1710" s="52">
        <f>V1710*W1710</f>
        <v>0</v>
      </c>
      <c r="AC1710" s="53">
        <f>(R1710+V1710)*W1710</f>
        <v>26.9</v>
      </c>
      <c r="AD1710" s="138">
        <v>26.9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107</v>
      </c>
      <c r="F1711" s="96" t="s">
        <v>113</v>
      </c>
      <c r="G1711" s="97">
        <v>46132</v>
      </c>
      <c r="H1711" s="98">
        <v>0.6326273148148148</v>
      </c>
      <c r="I1711" s="50">
        <v>166004773</v>
      </c>
      <c r="J1711" s="96" t="s">
        <v>157</v>
      </c>
      <c r="K1711" s="49" t="s">
        <v>1865</v>
      </c>
      <c r="L1711" s="39" t="s">
        <v>1866</v>
      </c>
      <c r="M1711" s="49" t="s">
        <v>190</v>
      </c>
      <c r="N1711" s="39" t="s">
        <v>191</v>
      </c>
      <c r="O1711" s="96" t="s">
        <v>1867</v>
      </c>
      <c r="P1711" s="49" t="s">
        <v>157</v>
      </c>
      <c r="Q1711" s="96" t="s">
        <v>104</v>
      </c>
      <c r="R1711" s="52">
        <v>14.9</v>
      </c>
      <c r="S1711" s="52">
        <f>R1711-T1711</f>
        <v>13.303571428571429</v>
      </c>
      <c r="T1711" s="52">
        <f>R1711*U1711/(U1711+100)</f>
        <v>1.5964285714285715</v>
      </c>
      <c r="U1711" s="50">
        <v>12</v>
      </c>
      <c r="V1711" s="53">
        <v>0</v>
      </c>
      <c r="W1711" s="147">
        <v>0.326</v>
      </c>
      <c r="X1711" s="148" t="s">
        <v>193</v>
      </c>
      <c r="Y1711" s="54">
        <f>R1711*W1711</f>
        <v>4.8574</v>
      </c>
      <c r="Z1711" s="52">
        <f>S1711*W1711</f>
        <v>4.336964285714286</v>
      </c>
      <c r="AA1711" s="52">
        <f>T1711*W1711</f>
        <v>0.5204357142857143</v>
      </c>
      <c r="AB1711" s="52">
        <f>V1711*W1711</f>
        <v>0</v>
      </c>
      <c r="AC1711" s="53">
        <f>(R1711+V1711)*W1711</f>
        <v>4.8574</v>
      </c>
      <c r="AD1711" s="138">
        <v>14.9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107</v>
      </c>
      <c r="F1712" s="96" t="s">
        <v>113</v>
      </c>
      <c r="G1712" s="97">
        <v>46132</v>
      </c>
      <c r="H1712" s="98">
        <v>0.6329282407407407</v>
      </c>
      <c r="I1712" s="50">
        <v>166004774</v>
      </c>
      <c r="J1712" s="96" t="s">
        <v>157</v>
      </c>
      <c r="K1712" s="49" t="s">
        <v>815</v>
      </c>
      <c r="L1712" s="39" t="s">
        <v>816</v>
      </c>
      <c r="M1712" s="49" t="s">
        <v>243</v>
      </c>
      <c r="N1712" s="39" t="s">
        <v>244</v>
      </c>
      <c r="O1712" s="96" t="s">
        <v>2675</v>
      </c>
      <c r="P1712" s="49" t="s">
        <v>235</v>
      </c>
      <c r="Q1712" s="96" t="s">
        <v>236</v>
      </c>
      <c r="R1712" s="52">
        <v>29.9</v>
      </c>
      <c r="S1712" s="52">
        <f>R1712-T1712</f>
        <v>26.69642857142857</v>
      </c>
      <c r="T1712" s="52">
        <f>R1712*U1712/(U1712+100)</f>
        <v>3.2035714285714283</v>
      </c>
      <c r="U1712" s="50">
        <v>12</v>
      </c>
      <c r="V1712" s="53">
        <v>0</v>
      </c>
      <c r="W1712" s="147">
        <v>1</v>
      </c>
      <c r="X1712" s="148" t="s">
        <v>163</v>
      </c>
      <c r="Y1712" s="54">
        <f>R1712*W1712</f>
        <v>29.9</v>
      </c>
      <c r="Z1712" s="52">
        <f>S1712*W1712</f>
        <v>26.69642857142857</v>
      </c>
      <c r="AA1712" s="52">
        <f>T1712*W1712</f>
        <v>3.2035714285714283</v>
      </c>
      <c r="AB1712" s="52">
        <f>V1712*W1712</f>
        <v>0</v>
      </c>
      <c r="AC1712" s="53">
        <f>(R1712+V1712)*W1712</f>
        <v>29.9</v>
      </c>
      <c r="AD1712" s="138">
        <v>29.9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107</v>
      </c>
      <c r="F1713" s="96" t="s">
        <v>113</v>
      </c>
      <c r="G1713" s="97">
        <v>46132</v>
      </c>
      <c r="H1713" s="98">
        <v>0.6329282407407407</v>
      </c>
      <c r="I1713" s="50">
        <v>166004774</v>
      </c>
      <c r="J1713" s="96" t="s">
        <v>157</v>
      </c>
      <c r="K1713" s="49" t="s">
        <v>2525</v>
      </c>
      <c r="L1713" s="39" t="s">
        <v>2526</v>
      </c>
      <c r="M1713" s="49" t="s">
        <v>1095</v>
      </c>
      <c r="N1713" s="39" t="s">
        <v>793</v>
      </c>
      <c r="O1713" s="96" t="s">
        <v>2527</v>
      </c>
      <c r="P1713" s="49" t="s">
        <v>157</v>
      </c>
      <c r="Q1713" s="96" t="s">
        <v>104</v>
      </c>
      <c r="R1713" s="52">
        <v>2.5</v>
      </c>
      <c r="S1713" s="52">
        <f>R1713-T1713</f>
        <v>2.232142857142857</v>
      </c>
      <c r="T1713" s="52">
        <f>R1713*U1713/(U1713+100)</f>
        <v>0.26785714285714285</v>
      </c>
      <c r="U1713" s="50">
        <v>12</v>
      </c>
      <c r="V1713" s="53">
        <v>0</v>
      </c>
      <c r="W1713" s="147">
        <v>1</v>
      </c>
      <c r="X1713" s="148" t="s">
        <v>163</v>
      </c>
      <c r="Y1713" s="54">
        <f>R1713*W1713</f>
        <v>2.5</v>
      </c>
      <c r="Z1713" s="52">
        <f>S1713*W1713</f>
        <v>2.232142857142857</v>
      </c>
      <c r="AA1713" s="52">
        <f>T1713*W1713</f>
        <v>0.26785714285714285</v>
      </c>
      <c r="AB1713" s="52">
        <f>V1713*W1713</f>
        <v>0</v>
      </c>
      <c r="AC1713" s="53">
        <f>(R1713+V1713)*W1713</f>
        <v>2.5</v>
      </c>
      <c r="AD1713" s="138">
        <v>2.5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107</v>
      </c>
      <c r="F1714" s="96" t="s">
        <v>113</v>
      </c>
      <c r="G1714" s="97">
        <v>46132</v>
      </c>
      <c r="H1714" s="98">
        <v>0.6329282407407407</v>
      </c>
      <c r="I1714" s="50">
        <v>166004774</v>
      </c>
      <c r="J1714" s="96" t="s">
        <v>157</v>
      </c>
      <c r="K1714" s="49" t="s">
        <v>2525</v>
      </c>
      <c r="L1714" s="39" t="s">
        <v>2526</v>
      </c>
      <c r="M1714" s="49" t="s">
        <v>1095</v>
      </c>
      <c r="N1714" s="39" t="s">
        <v>793</v>
      </c>
      <c r="O1714" s="96" t="s">
        <v>2527</v>
      </c>
      <c r="P1714" s="49" t="s">
        <v>157</v>
      </c>
      <c r="Q1714" s="96" t="s">
        <v>104</v>
      </c>
      <c r="R1714" s="52">
        <v>2.5</v>
      </c>
      <c r="S1714" s="52">
        <f>R1714-T1714</f>
        <v>2.232142857142857</v>
      </c>
      <c r="T1714" s="52">
        <f>R1714*U1714/(U1714+100)</f>
        <v>0.26785714285714285</v>
      </c>
      <c r="U1714" s="50">
        <v>12</v>
      </c>
      <c r="V1714" s="53">
        <v>0</v>
      </c>
      <c r="W1714" s="147">
        <v>1</v>
      </c>
      <c r="X1714" s="148" t="s">
        <v>163</v>
      </c>
      <c r="Y1714" s="54">
        <f>R1714*W1714</f>
        <v>2.5</v>
      </c>
      <c r="Z1714" s="52">
        <f>S1714*W1714</f>
        <v>2.232142857142857</v>
      </c>
      <c r="AA1714" s="52">
        <f>T1714*W1714</f>
        <v>0.26785714285714285</v>
      </c>
      <c r="AB1714" s="52">
        <f>V1714*W1714</f>
        <v>0</v>
      </c>
      <c r="AC1714" s="53">
        <f>(R1714+V1714)*W1714</f>
        <v>2.5</v>
      </c>
      <c r="AD1714" s="138">
        <v>2.5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107</v>
      </c>
      <c r="F1715" s="96" t="s">
        <v>113</v>
      </c>
      <c r="G1715" s="97">
        <v>46132</v>
      </c>
      <c r="H1715" s="98">
        <v>0.6329282407407407</v>
      </c>
      <c r="I1715" s="50">
        <v>166004774</v>
      </c>
      <c r="J1715" s="96" t="s">
        <v>157</v>
      </c>
      <c r="K1715" s="49" t="s">
        <v>770</v>
      </c>
      <c r="L1715" s="39" t="s">
        <v>771</v>
      </c>
      <c r="M1715" s="49" t="s">
        <v>232</v>
      </c>
      <c r="N1715" s="39" t="s">
        <v>233</v>
      </c>
      <c r="O1715" s="96" t="s">
        <v>1775</v>
      </c>
      <c r="P1715" s="49" t="s">
        <v>235</v>
      </c>
      <c r="Q1715" s="96" t="s">
        <v>236</v>
      </c>
      <c r="R1715" s="52">
        <v>24.9</v>
      </c>
      <c r="S1715" s="52">
        <f>R1715-T1715</f>
        <v>20.578512396694215</v>
      </c>
      <c r="T1715" s="52">
        <f>R1715*U1715/(U1715+100)</f>
        <v>4.321487603305785</v>
      </c>
      <c r="U1715" s="50">
        <v>21</v>
      </c>
      <c r="V1715" s="53">
        <v>0</v>
      </c>
      <c r="W1715" s="147">
        <v>1</v>
      </c>
      <c r="X1715" s="148" t="s">
        <v>163</v>
      </c>
      <c r="Y1715" s="54">
        <f>R1715*W1715</f>
        <v>24.9</v>
      </c>
      <c r="Z1715" s="52">
        <f>S1715*W1715</f>
        <v>20.578512396694215</v>
      </c>
      <c r="AA1715" s="52">
        <f>T1715*W1715</f>
        <v>4.321487603305785</v>
      </c>
      <c r="AB1715" s="52">
        <f>V1715*W1715</f>
        <v>0</v>
      </c>
      <c r="AC1715" s="53">
        <f>(R1715+V1715)*W1715</f>
        <v>24.9</v>
      </c>
      <c r="AD1715" s="138">
        <v>24.9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107</v>
      </c>
      <c r="F1716" s="96" t="s">
        <v>113</v>
      </c>
      <c r="G1716" s="97">
        <v>46132</v>
      </c>
      <c r="H1716" s="98">
        <v>0.6335416666666667</v>
      </c>
      <c r="I1716" s="50">
        <v>166004775</v>
      </c>
      <c r="J1716" s="96" t="s">
        <v>157</v>
      </c>
      <c r="K1716" s="49" t="s">
        <v>2793</v>
      </c>
      <c r="L1716" s="39" t="s">
        <v>2794</v>
      </c>
      <c r="M1716" s="49" t="s">
        <v>862</v>
      </c>
      <c r="N1716" s="39" t="s">
        <v>863</v>
      </c>
      <c r="O1716" s="96" t="s">
        <v>2795</v>
      </c>
      <c r="P1716" s="49" t="s">
        <v>157</v>
      </c>
      <c r="Q1716" s="96" t="s">
        <v>104</v>
      </c>
      <c r="R1716" s="52">
        <v>161</v>
      </c>
      <c r="S1716" s="52">
        <f>R1716-T1716</f>
        <v>133.05785123966942</v>
      </c>
      <c r="T1716" s="52">
        <f>R1716*U1716/(U1716+100)</f>
        <v>27.94214876033058</v>
      </c>
      <c r="U1716" s="50">
        <v>21</v>
      </c>
      <c r="V1716" s="53">
        <v>0</v>
      </c>
      <c r="W1716" s="147">
        <v>1</v>
      </c>
      <c r="X1716" s="148" t="s">
        <v>163</v>
      </c>
      <c r="Y1716" s="54">
        <f>R1716*W1716</f>
        <v>161</v>
      </c>
      <c r="Z1716" s="52">
        <f>S1716*W1716</f>
        <v>133.05785123966942</v>
      </c>
      <c r="AA1716" s="52">
        <f>T1716*W1716</f>
        <v>27.94214876033058</v>
      </c>
      <c r="AB1716" s="52">
        <f>V1716*W1716</f>
        <v>0</v>
      </c>
      <c r="AC1716" s="53">
        <f>(R1716+V1716)*W1716</f>
        <v>161</v>
      </c>
      <c r="AD1716" s="138">
        <v>161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107</v>
      </c>
      <c r="F1717" s="96" t="s">
        <v>113</v>
      </c>
      <c r="G1717" s="97">
        <v>46132</v>
      </c>
      <c r="H1717" s="98">
        <v>0.6335416666666667</v>
      </c>
      <c r="I1717" s="50">
        <v>166004775</v>
      </c>
      <c r="J1717" s="96" t="s">
        <v>157</v>
      </c>
      <c r="K1717" s="49" t="s">
        <v>183</v>
      </c>
      <c r="L1717" s="39" t="s">
        <v>184</v>
      </c>
      <c r="M1717" s="49" t="s">
        <v>185</v>
      </c>
      <c r="N1717" s="39" t="s">
        <v>186</v>
      </c>
      <c r="O1717" s="96" t="s">
        <v>988</v>
      </c>
      <c r="P1717" s="49" t="s">
        <v>157</v>
      </c>
      <c r="Q1717" s="96" t="s">
        <v>104</v>
      </c>
      <c r="R1717" s="52">
        <v>1.9</v>
      </c>
      <c r="S1717" s="52">
        <f>R1717-T1717</f>
        <v>1.5702479338842974</v>
      </c>
      <c r="T1717" s="52">
        <f>R1717*U1717/(U1717+100)</f>
        <v>0.32975206611570246</v>
      </c>
      <c r="U1717" s="50">
        <v>21</v>
      </c>
      <c r="V1717" s="53">
        <v>0</v>
      </c>
      <c r="W1717" s="147">
        <v>1</v>
      </c>
      <c r="X1717" s="148" t="s">
        <v>163</v>
      </c>
      <c r="Y1717" s="54">
        <f>R1717*W1717</f>
        <v>1.9</v>
      </c>
      <c r="Z1717" s="52">
        <f>S1717*W1717</f>
        <v>1.5702479338842974</v>
      </c>
      <c r="AA1717" s="52">
        <f>T1717*W1717</f>
        <v>0.32975206611570246</v>
      </c>
      <c r="AB1717" s="52">
        <f>V1717*W1717</f>
        <v>0</v>
      </c>
      <c r="AC1717" s="53">
        <f>(R1717+V1717)*W1717</f>
        <v>1.9</v>
      </c>
      <c r="AD1717" s="138">
        <v>1.9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107</v>
      </c>
      <c r="F1718" s="96" t="s">
        <v>113</v>
      </c>
      <c r="G1718" s="97">
        <v>46132</v>
      </c>
      <c r="H1718" s="98">
        <v>0.6335416666666667</v>
      </c>
      <c r="I1718" s="50">
        <v>166004775</v>
      </c>
      <c r="J1718" s="96" t="s">
        <v>157</v>
      </c>
      <c r="K1718" s="49" t="s">
        <v>293</v>
      </c>
      <c r="L1718" s="39" t="s">
        <v>294</v>
      </c>
      <c r="M1718" s="49" t="s">
        <v>295</v>
      </c>
      <c r="N1718" s="39" t="s">
        <v>296</v>
      </c>
      <c r="O1718" s="96" t="s">
        <v>297</v>
      </c>
      <c r="P1718" s="49" t="s">
        <v>157</v>
      </c>
      <c r="Q1718" s="96" t="s">
        <v>104</v>
      </c>
      <c r="R1718" s="52">
        <v>2.9</v>
      </c>
      <c r="S1718" s="52">
        <f>R1718-T1718</f>
        <v>2.5892857142857144</v>
      </c>
      <c r="T1718" s="52">
        <f>R1718*U1718/(U1718+100)</f>
        <v>0.31071428571428567</v>
      </c>
      <c r="U1718" s="50">
        <v>12</v>
      </c>
      <c r="V1718" s="53">
        <v>0</v>
      </c>
      <c r="W1718" s="147">
        <v>6</v>
      </c>
      <c r="X1718" s="148" t="s">
        <v>163</v>
      </c>
      <c r="Y1718" s="54">
        <f>R1718*W1718</f>
        <v>17.4</v>
      </c>
      <c r="Z1718" s="52">
        <f>S1718*W1718</f>
        <v>15.535714285714286</v>
      </c>
      <c r="AA1718" s="52">
        <f>T1718*W1718</f>
        <v>1.8642857142857139</v>
      </c>
      <c r="AB1718" s="52">
        <f>V1718*W1718</f>
        <v>0</v>
      </c>
      <c r="AC1718" s="53">
        <f>(R1718+V1718)*W1718</f>
        <v>17.4</v>
      </c>
      <c r="AD1718" s="138">
        <v>2.9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107</v>
      </c>
      <c r="F1719" s="96" t="s">
        <v>113</v>
      </c>
      <c r="G1719" s="97">
        <v>46132</v>
      </c>
      <c r="H1719" s="98">
        <v>0.6335416666666667</v>
      </c>
      <c r="I1719" s="50">
        <v>166004775</v>
      </c>
      <c r="J1719" s="96" t="s">
        <v>157</v>
      </c>
      <c r="K1719" s="49" t="s">
        <v>942</v>
      </c>
      <c r="L1719" s="39"/>
      <c r="M1719" s="49" t="s">
        <v>295</v>
      </c>
      <c r="N1719" s="39" t="s">
        <v>433</v>
      </c>
      <c r="O1719" s="96" t="s">
        <v>1332</v>
      </c>
      <c r="P1719" s="49" t="s">
        <v>235</v>
      </c>
      <c r="Q1719" s="96" t="s">
        <v>944</v>
      </c>
      <c r="R1719" s="52">
        <v>9.9</v>
      </c>
      <c r="S1719" s="52">
        <f>R1719-T1719</f>
        <v>8.839285714285715</v>
      </c>
      <c r="T1719" s="52">
        <f>R1719*U1719/(U1719+100)</f>
        <v>1.0607142857142857</v>
      </c>
      <c r="U1719" s="50">
        <v>12</v>
      </c>
      <c r="V1719" s="53">
        <v>0</v>
      </c>
      <c r="W1719" s="147">
        <v>1</v>
      </c>
      <c r="X1719" s="148" t="s">
        <v>945</v>
      </c>
      <c r="Y1719" s="54">
        <f>R1719*W1719</f>
        <v>9.9</v>
      </c>
      <c r="Z1719" s="52">
        <f>S1719*W1719</f>
        <v>8.839285714285715</v>
      </c>
      <c r="AA1719" s="52">
        <f>T1719*W1719</f>
        <v>1.0607142857142857</v>
      </c>
      <c r="AB1719" s="52">
        <f>V1719*W1719</f>
        <v>0</v>
      </c>
      <c r="AC1719" s="53">
        <f>(R1719+V1719)*W1719</f>
        <v>9.9</v>
      </c>
      <c r="AD1719" s="138">
        <v>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107</v>
      </c>
      <c r="F1720" s="96" t="s">
        <v>113</v>
      </c>
      <c r="G1720" s="97">
        <v>46132</v>
      </c>
      <c r="H1720" s="98">
        <v>0.6358912037037037</v>
      </c>
      <c r="I1720" s="50">
        <v>166004776</v>
      </c>
      <c r="J1720" s="96" t="s">
        <v>157</v>
      </c>
      <c r="K1720" s="49" t="s">
        <v>2796</v>
      </c>
      <c r="L1720" s="39" t="s">
        <v>2797</v>
      </c>
      <c r="M1720" s="49" t="s">
        <v>444</v>
      </c>
      <c r="N1720" s="39" t="s">
        <v>558</v>
      </c>
      <c r="O1720" s="96" t="s">
        <v>2798</v>
      </c>
      <c r="P1720" s="49" t="s">
        <v>157</v>
      </c>
      <c r="Q1720" s="96" t="s">
        <v>104</v>
      </c>
      <c r="R1720" s="52">
        <v>27.9</v>
      </c>
      <c r="S1720" s="52">
        <f>R1720-T1720</f>
        <v>24.910714285714285</v>
      </c>
      <c r="T1720" s="52">
        <f>R1720*U1720/(U1720+100)</f>
        <v>2.989285714285714</v>
      </c>
      <c r="U1720" s="50">
        <v>12</v>
      </c>
      <c r="V1720" s="53">
        <v>0</v>
      </c>
      <c r="W1720" s="147">
        <v>1</v>
      </c>
      <c r="X1720" s="148" t="s">
        <v>163</v>
      </c>
      <c r="Y1720" s="54">
        <f>R1720*W1720</f>
        <v>27.9</v>
      </c>
      <c r="Z1720" s="52">
        <f>S1720*W1720</f>
        <v>24.910714285714285</v>
      </c>
      <c r="AA1720" s="52">
        <f>T1720*W1720</f>
        <v>2.989285714285714</v>
      </c>
      <c r="AB1720" s="52">
        <f>V1720*W1720</f>
        <v>0</v>
      </c>
      <c r="AC1720" s="53">
        <f>(R1720+V1720)*W1720</f>
        <v>27.9</v>
      </c>
      <c r="AD1720" s="138">
        <v>27.9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107</v>
      </c>
      <c r="F1721" s="96" t="s">
        <v>113</v>
      </c>
      <c r="G1721" s="97">
        <v>46132</v>
      </c>
      <c r="H1721" s="98">
        <v>0.6358912037037037</v>
      </c>
      <c r="I1721" s="50">
        <v>166004776</v>
      </c>
      <c r="J1721" s="96" t="s">
        <v>157</v>
      </c>
      <c r="K1721" s="49" t="s">
        <v>2158</v>
      </c>
      <c r="L1721" s="39" t="s">
        <v>2159</v>
      </c>
      <c r="M1721" s="49" t="s">
        <v>444</v>
      </c>
      <c r="N1721" s="39" t="s">
        <v>558</v>
      </c>
      <c r="O1721" s="96" t="s">
        <v>2160</v>
      </c>
      <c r="P1721" s="49" t="s">
        <v>157</v>
      </c>
      <c r="Q1721" s="96" t="s">
        <v>104</v>
      </c>
      <c r="R1721" s="52">
        <v>64.9</v>
      </c>
      <c r="S1721" s="52">
        <f>R1721-T1721</f>
        <v>57.94642857142858</v>
      </c>
      <c r="T1721" s="52">
        <f>R1721*U1721/(U1721+100)</f>
        <v>6.953571428571429</v>
      </c>
      <c r="U1721" s="50">
        <v>12</v>
      </c>
      <c r="V1721" s="53">
        <v>0</v>
      </c>
      <c r="W1721" s="147">
        <v>1</v>
      </c>
      <c r="X1721" s="148" t="s">
        <v>163</v>
      </c>
      <c r="Y1721" s="54">
        <f>R1721*W1721</f>
        <v>64.9</v>
      </c>
      <c r="Z1721" s="52">
        <f>S1721*W1721</f>
        <v>57.94642857142858</v>
      </c>
      <c r="AA1721" s="52">
        <f>T1721*W1721</f>
        <v>6.953571428571429</v>
      </c>
      <c r="AB1721" s="52">
        <f>V1721*W1721</f>
        <v>0</v>
      </c>
      <c r="AC1721" s="53">
        <f>(R1721+V1721)*W1721</f>
        <v>64.9</v>
      </c>
      <c r="AD1721" s="138">
        <v>64.9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107</v>
      </c>
      <c r="F1722" s="96" t="s">
        <v>113</v>
      </c>
      <c r="G1722" s="97">
        <v>46132</v>
      </c>
      <c r="H1722" s="98">
        <v>0.6358912037037037</v>
      </c>
      <c r="I1722" s="50">
        <v>166004776</v>
      </c>
      <c r="J1722" s="96" t="s">
        <v>157</v>
      </c>
      <c r="K1722" s="49" t="s">
        <v>499</v>
      </c>
      <c r="L1722" s="39" t="s">
        <v>500</v>
      </c>
      <c r="M1722" s="49" t="s">
        <v>214</v>
      </c>
      <c r="N1722" s="39" t="s">
        <v>501</v>
      </c>
      <c r="O1722" s="96" t="s">
        <v>1295</v>
      </c>
      <c r="P1722" s="49" t="s">
        <v>157</v>
      </c>
      <c r="Q1722" s="96" t="s">
        <v>104</v>
      </c>
      <c r="R1722" s="52">
        <v>29.9</v>
      </c>
      <c r="S1722" s="52">
        <f>R1722-T1722</f>
        <v>26.69642857142857</v>
      </c>
      <c r="T1722" s="52">
        <f>R1722*U1722/(U1722+100)</f>
        <v>3.2035714285714283</v>
      </c>
      <c r="U1722" s="50">
        <v>12</v>
      </c>
      <c r="V1722" s="53">
        <v>0</v>
      </c>
      <c r="W1722" s="147">
        <v>2</v>
      </c>
      <c r="X1722" s="148" t="s">
        <v>163</v>
      </c>
      <c r="Y1722" s="54">
        <f>R1722*W1722</f>
        <v>59.8</v>
      </c>
      <c r="Z1722" s="52">
        <f>S1722*W1722</f>
        <v>53.39285714285714</v>
      </c>
      <c r="AA1722" s="52">
        <f>T1722*W1722</f>
        <v>6.407142857142857</v>
      </c>
      <c r="AB1722" s="52">
        <f>V1722*W1722</f>
        <v>0</v>
      </c>
      <c r="AC1722" s="53">
        <f>(R1722+V1722)*W1722</f>
        <v>59.8</v>
      </c>
      <c r="AD1722" s="138">
        <v>29.9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107</v>
      </c>
      <c r="F1723" s="96" t="s">
        <v>113</v>
      </c>
      <c r="G1723" s="97">
        <v>46132</v>
      </c>
      <c r="H1723" s="98">
        <v>0.6369675925925926</v>
      </c>
      <c r="I1723" s="50">
        <v>166004777</v>
      </c>
      <c r="J1723" s="96" t="s">
        <v>157</v>
      </c>
      <c r="K1723" s="49" t="s">
        <v>1286</v>
      </c>
      <c r="L1723" s="39" t="s">
        <v>1287</v>
      </c>
      <c r="M1723" s="49" t="s">
        <v>171</v>
      </c>
      <c r="N1723" s="39" t="s">
        <v>264</v>
      </c>
      <c r="O1723" s="96" t="s">
        <v>1288</v>
      </c>
      <c r="P1723" s="49" t="s">
        <v>157</v>
      </c>
      <c r="Q1723" s="96" t="s">
        <v>104</v>
      </c>
      <c r="R1723" s="52">
        <v>27.9</v>
      </c>
      <c r="S1723" s="52">
        <f>R1723-T1723</f>
        <v>24.910714285714285</v>
      </c>
      <c r="T1723" s="52">
        <f>R1723*U1723/(U1723+100)</f>
        <v>2.989285714285714</v>
      </c>
      <c r="U1723" s="50">
        <v>12</v>
      </c>
      <c r="V1723" s="53">
        <v>0</v>
      </c>
      <c r="W1723" s="147">
        <v>1</v>
      </c>
      <c r="X1723" s="148" t="s">
        <v>163</v>
      </c>
      <c r="Y1723" s="54">
        <f>R1723*W1723</f>
        <v>27.9</v>
      </c>
      <c r="Z1723" s="52">
        <f>S1723*W1723</f>
        <v>24.910714285714285</v>
      </c>
      <c r="AA1723" s="52">
        <f>T1723*W1723</f>
        <v>2.989285714285714</v>
      </c>
      <c r="AB1723" s="52">
        <f>V1723*W1723</f>
        <v>0</v>
      </c>
      <c r="AC1723" s="53">
        <f>(R1723+V1723)*W1723</f>
        <v>27.9</v>
      </c>
      <c r="AD1723" s="138">
        <v>27.9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107</v>
      </c>
      <c r="F1724" s="96" t="s">
        <v>113</v>
      </c>
      <c r="G1724" s="97">
        <v>46132</v>
      </c>
      <c r="H1724" s="98">
        <v>0.6369675925925926</v>
      </c>
      <c r="I1724" s="50">
        <v>166004777</v>
      </c>
      <c r="J1724" s="96" t="s">
        <v>157</v>
      </c>
      <c r="K1724" s="49" t="s">
        <v>2799</v>
      </c>
      <c r="L1724" s="39" t="s">
        <v>2800</v>
      </c>
      <c r="M1724" s="49" t="s">
        <v>185</v>
      </c>
      <c r="N1724" s="39" t="s">
        <v>1467</v>
      </c>
      <c r="O1724" s="96" t="s">
        <v>2801</v>
      </c>
      <c r="P1724" s="49" t="s">
        <v>157</v>
      </c>
      <c r="Q1724" s="96" t="s">
        <v>104</v>
      </c>
      <c r="R1724" s="52">
        <v>13.4</v>
      </c>
      <c r="S1724" s="52">
        <f>R1724-T1724</f>
        <v>11.964285714285715</v>
      </c>
      <c r="T1724" s="52">
        <f>R1724*U1724/(U1724+100)</f>
        <v>1.4357142857142857</v>
      </c>
      <c r="U1724" s="50">
        <v>12</v>
      </c>
      <c r="V1724" s="53">
        <v>0</v>
      </c>
      <c r="W1724" s="147">
        <v>1</v>
      </c>
      <c r="X1724" s="148" t="s">
        <v>163</v>
      </c>
      <c r="Y1724" s="54">
        <f>R1724*W1724</f>
        <v>13.4</v>
      </c>
      <c r="Z1724" s="52">
        <f>S1724*W1724</f>
        <v>11.964285714285715</v>
      </c>
      <c r="AA1724" s="52">
        <f>T1724*W1724</f>
        <v>1.4357142857142857</v>
      </c>
      <c r="AB1724" s="52">
        <f>V1724*W1724</f>
        <v>0</v>
      </c>
      <c r="AC1724" s="53">
        <f>(R1724+V1724)*W1724</f>
        <v>13.4</v>
      </c>
      <c r="AD1724" s="138">
        <v>13.4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107</v>
      </c>
      <c r="F1725" s="96" t="s">
        <v>113</v>
      </c>
      <c r="G1725" s="97">
        <v>46132</v>
      </c>
      <c r="H1725" s="98">
        <v>0.6369675925925926</v>
      </c>
      <c r="I1725" s="50">
        <v>166004777</v>
      </c>
      <c r="J1725" s="96" t="s">
        <v>157</v>
      </c>
      <c r="K1725" s="49" t="s">
        <v>2802</v>
      </c>
      <c r="L1725" s="39" t="s">
        <v>2803</v>
      </c>
      <c r="M1725" s="49" t="s">
        <v>185</v>
      </c>
      <c r="N1725" s="39" t="s">
        <v>906</v>
      </c>
      <c r="O1725" s="96" t="s">
        <v>2804</v>
      </c>
      <c r="P1725" s="49" t="s">
        <v>157</v>
      </c>
      <c r="Q1725" s="96" t="s">
        <v>104</v>
      </c>
      <c r="R1725" s="52">
        <v>10.9</v>
      </c>
      <c r="S1725" s="52">
        <f>R1725-T1725</f>
        <v>9.732142857142858</v>
      </c>
      <c r="T1725" s="52">
        <f>R1725*U1725/(U1725+100)</f>
        <v>1.167857142857143</v>
      </c>
      <c r="U1725" s="50">
        <v>12</v>
      </c>
      <c r="V1725" s="53">
        <v>0</v>
      </c>
      <c r="W1725" s="147">
        <v>1</v>
      </c>
      <c r="X1725" s="148" t="s">
        <v>163</v>
      </c>
      <c r="Y1725" s="54">
        <f>R1725*W1725</f>
        <v>10.9</v>
      </c>
      <c r="Z1725" s="52">
        <f>S1725*W1725</f>
        <v>9.732142857142858</v>
      </c>
      <c r="AA1725" s="52">
        <f>T1725*W1725</f>
        <v>1.167857142857143</v>
      </c>
      <c r="AB1725" s="52">
        <f>V1725*W1725</f>
        <v>0</v>
      </c>
      <c r="AC1725" s="53">
        <f>(R1725+V1725)*W1725</f>
        <v>10.9</v>
      </c>
      <c r="AD1725" s="138">
        <v>10.9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107</v>
      </c>
      <c r="F1726" s="96" t="s">
        <v>113</v>
      </c>
      <c r="G1726" s="97">
        <v>46132</v>
      </c>
      <c r="H1726" s="98">
        <v>0.6369675925925926</v>
      </c>
      <c r="I1726" s="50">
        <v>166004777</v>
      </c>
      <c r="J1726" s="96" t="s">
        <v>157</v>
      </c>
      <c r="K1726" s="49" t="s">
        <v>2802</v>
      </c>
      <c r="L1726" s="39" t="s">
        <v>2803</v>
      </c>
      <c r="M1726" s="49" t="s">
        <v>185</v>
      </c>
      <c r="N1726" s="39" t="s">
        <v>906</v>
      </c>
      <c r="O1726" s="96" t="s">
        <v>2804</v>
      </c>
      <c r="P1726" s="49" t="s">
        <v>157</v>
      </c>
      <c r="Q1726" s="96" t="s">
        <v>104</v>
      </c>
      <c r="R1726" s="52">
        <v>10.9</v>
      </c>
      <c r="S1726" s="52">
        <f>R1726-T1726</f>
        <v>9.732142857142858</v>
      </c>
      <c r="T1726" s="52">
        <f>R1726*U1726/(U1726+100)</f>
        <v>1.167857142857143</v>
      </c>
      <c r="U1726" s="50">
        <v>12</v>
      </c>
      <c r="V1726" s="53">
        <v>0</v>
      </c>
      <c r="W1726" s="147">
        <v>1</v>
      </c>
      <c r="X1726" s="148" t="s">
        <v>163</v>
      </c>
      <c r="Y1726" s="54">
        <f>R1726*W1726</f>
        <v>10.9</v>
      </c>
      <c r="Z1726" s="52">
        <f>S1726*W1726</f>
        <v>9.732142857142858</v>
      </c>
      <c r="AA1726" s="52">
        <f>T1726*W1726</f>
        <v>1.167857142857143</v>
      </c>
      <c r="AB1726" s="52">
        <f>V1726*W1726</f>
        <v>0</v>
      </c>
      <c r="AC1726" s="53">
        <f>(R1726+V1726)*W1726</f>
        <v>10.9</v>
      </c>
      <c r="AD1726" s="138">
        <v>10.9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107</v>
      </c>
      <c r="F1727" s="96" t="s">
        <v>113</v>
      </c>
      <c r="G1727" s="97">
        <v>46132</v>
      </c>
      <c r="H1727" s="98">
        <v>0.6369675925925926</v>
      </c>
      <c r="I1727" s="50">
        <v>166004777</v>
      </c>
      <c r="J1727" s="96" t="s">
        <v>157</v>
      </c>
      <c r="K1727" s="49" t="s">
        <v>692</v>
      </c>
      <c r="L1727" s="39" t="s">
        <v>693</v>
      </c>
      <c r="M1727" s="49" t="s">
        <v>429</v>
      </c>
      <c r="N1727" s="39" t="s">
        <v>348</v>
      </c>
      <c r="O1727" s="96" t="s">
        <v>694</v>
      </c>
      <c r="P1727" s="49" t="s">
        <v>235</v>
      </c>
      <c r="Q1727" s="96" t="s">
        <v>236</v>
      </c>
      <c r="R1727" s="52">
        <v>16.9</v>
      </c>
      <c r="S1727" s="52">
        <f>R1727-T1727</f>
        <v>15.089285714285714</v>
      </c>
      <c r="T1727" s="52">
        <f>R1727*U1727/(U1727+100)</f>
        <v>1.8107142857142855</v>
      </c>
      <c r="U1727" s="50">
        <v>12</v>
      </c>
      <c r="V1727" s="53">
        <v>0</v>
      </c>
      <c r="W1727" s="147">
        <v>1</v>
      </c>
      <c r="X1727" s="148" t="s">
        <v>163</v>
      </c>
      <c r="Y1727" s="54">
        <f>R1727*W1727</f>
        <v>16.9</v>
      </c>
      <c r="Z1727" s="52">
        <f>S1727*W1727</f>
        <v>15.089285714285714</v>
      </c>
      <c r="AA1727" s="52">
        <f>T1727*W1727</f>
        <v>1.8107142857142855</v>
      </c>
      <c r="AB1727" s="52">
        <f>V1727*W1727</f>
        <v>0</v>
      </c>
      <c r="AC1727" s="53">
        <f>(R1727+V1727)*W1727</f>
        <v>16.9</v>
      </c>
      <c r="AD1727" s="138">
        <v>16.9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107</v>
      </c>
      <c r="F1728" s="96" t="s">
        <v>113</v>
      </c>
      <c r="G1728" s="97">
        <v>46132</v>
      </c>
      <c r="H1728" s="98">
        <v>0.6369675925925926</v>
      </c>
      <c r="I1728" s="50">
        <v>166004777</v>
      </c>
      <c r="J1728" s="96" t="s">
        <v>157</v>
      </c>
      <c r="K1728" s="49" t="s">
        <v>2805</v>
      </c>
      <c r="L1728" s="39" t="s">
        <v>2806</v>
      </c>
      <c r="M1728" s="49" t="s">
        <v>1405</v>
      </c>
      <c r="N1728" s="39" t="s">
        <v>301</v>
      </c>
      <c r="O1728" s="96" t="s">
        <v>2807</v>
      </c>
      <c r="P1728" s="49" t="s">
        <v>157</v>
      </c>
      <c r="Q1728" s="96" t="s">
        <v>104</v>
      </c>
      <c r="R1728" s="52">
        <v>12.4</v>
      </c>
      <c r="S1728" s="52">
        <f>R1728-T1728</f>
        <v>11.071428571428571</v>
      </c>
      <c r="T1728" s="52">
        <f>R1728*U1728/(U1728+100)</f>
        <v>1.3285714285714287</v>
      </c>
      <c r="U1728" s="50">
        <v>12</v>
      </c>
      <c r="V1728" s="53">
        <v>0</v>
      </c>
      <c r="W1728" s="147">
        <v>1</v>
      </c>
      <c r="X1728" s="148" t="s">
        <v>163</v>
      </c>
      <c r="Y1728" s="54">
        <f>R1728*W1728</f>
        <v>12.4</v>
      </c>
      <c r="Z1728" s="52">
        <f>S1728*W1728</f>
        <v>11.071428571428571</v>
      </c>
      <c r="AA1728" s="52">
        <f>T1728*W1728</f>
        <v>1.3285714285714287</v>
      </c>
      <c r="AB1728" s="52">
        <f>V1728*W1728</f>
        <v>0</v>
      </c>
      <c r="AC1728" s="53">
        <f>(R1728+V1728)*W1728</f>
        <v>12.4</v>
      </c>
      <c r="AD1728" s="138">
        <v>12.4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107</v>
      </c>
      <c r="F1729" s="96" t="s">
        <v>113</v>
      </c>
      <c r="G1729" s="97">
        <v>46132</v>
      </c>
      <c r="H1729" s="98">
        <v>0.6369675925925926</v>
      </c>
      <c r="I1729" s="50">
        <v>166004777</v>
      </c>
      <c r="J1729" s="96" t="s">
        <v>157</v>
      </c>
      <c r="K1729" s="49" t="s">
        <v>758</v>
      </c>
      <c r="L1729" s="39" t="s">
        <v>759</v>
      </c>
      <c r="M1729" s="49" t="s">
        <v>201</v>
      </c>
      <c r="N1729" s="39" t="s">
        <v>202</v>
      </c>
      <c r="O1729" s="96" t="s">
        <v>1235</v>
      </c>
      <c r="P1729" s="49" t="s">
        <v>235</v>
      </c>
      <c r="Q1729" s="96" t="s">
        <v>236</v>
      </c>
      <c r="R1729" s="52">
        <v>19.9</v>
      </c>
      <c r="S1729" s="52">
        <f>R1729-T1729</f>
        <v>17.767857142857142</v>
      </c>
      <c r="T1729" s="52">
        <f>R1729*U1729/(U1729+100)</f>
        <v>2.132142857142857</v>
      </c>
      <c r="U1729" s="50">
        <v>12</v>
      </c>
      <c r="V1729" s="53">
        <v>0</v>
      </c>
      <c r="W1729" s="147">
        <v>1</v>
      </c>
      <c r="X1729" s="148" t="s">
        <v>163</v>
      </c>
      <c r="Y1729" s="54">
        <f>R1729*W1729</f>
        <v>19.9</v>
      </c>
      <c r="Z1729" s="52">
        <f>S1729*W1729</f>
        <v>17.767857142857142</v>
      </c>
      <c r="AA1729" s="52">
        <f>T1729*W1729</f>
        <v>2.132142857142857</v>
      </c>
      <c r="AB1729" s="52">
        <f>V1729*W1729</f>
        <v>0</v>
      </c>
      <c r="AC1729" s="53">
        <f>(R1729+V1729)*W1729</f>
        <v>19.9</v>
      </c>
      <c r="AD1729" s="138">
        <v>19.9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107</v>
      </c>
      <c r="F1730" s="96" t="s">
        <v>113</v>
      </c>
      <c r="G1730" s="97">
        <v>46132</v>
      </c>
      <c r="H1730" s="98">
        <v>0.6369675925925926</v>
      </c>
      <c r="I1730" s="50">
        <v>166004777</v>
      </c>
      <c r="J1730" s="96" t="s">
        <v>157</v>
      </c>
      <c r="K1730" s="49" t="s">
        <v>758</v>
      </c>
      <c r="L1730" s="39" t="s">
        <v>759</v>
      </c>
      <c r="M1730" s="49" t="s">
        <v>201</v>
      </c>
      <c r="N1730" s="39" t="s">
        <v>202</v>
      </c>
      <c r="O1730" s="96" t="s">
        <v>1235</v>
      </c>
      <c r="P1730" s="49" t="s">
        <v>235</v>
      </c>
      <c r="Q1730" s="96" t="s">
        <v>236</v>
      </c>
      <c r="R1730" s="52">
        <v>19.9</v>
      </c>
      <c r="S1730" s="52">
        <f>R1730-T1730</f>
        <v>17.767857142857142</v>
      </c>
      <c r="T1730" s="52">
        <f>R1730*U1730/(U1730+100)</f>
        <v>2.132142857142857</v>
      </c>
      <c r="U1730" s="50">
        <v>12</v>
      </c>
      <c r="V1730" s="53">
        <v>0</v>
      </c>
      <c r="W1730" s="147">
        <v>1</v>
      </c>
      <c r="X1730" s="148" t="s">
        <v>163</v>
      </c>
      <c r="Y1730" s="54">
        <f>R1730*W1730</f>
        <v>19.9</v>
      </c>
      <c r="Z1730" s="52">
        <f>S1730*W1730</f>
        <v>17.767857142857142</v>
      </c>
      <c r="AA1730" s="52">
        <f>T1730*W1730</f>
        <v>2.132142857142857</v>
      </c>
      <c r="AB1730" s="52">
        <f>V1730*W1730</f>
        <v>0</v>
      </c>
      <c r="AC1730" s="53">
        <f>(R1730+V1730)*W1730</f>
        <v>19.9</v>
      </c>
      <c r="AD1730" s="138">
        <v>19.9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107</v>
      </c>
      <c r="F1731" s="96" t="s">
        <v>113</v>
      </c>
      <c r="G1731" s="97">
        <v>46132</v>
      </c>
      <c r="H1731" s="98">
        <v>0.6369675925925926</v>
      </c>
      <c r="I1731" s="50">
        <v>166004777</v>
      </c>
      <c r="J1731" s="96" t="s">
        <v>157</v>
      </c>
      <c r="K1731" s="49" t="s">
        <v>2808</v>
      </c>
      <c r="L1731" s="39" t="s">
        <v>2809</v>
      </c>
      <c r="M1731" s="49" t="s">
        <v>480</v>
      </c>
      <c r="N1731" s="39" t="s">
        <v>476</v>
      </c>
      <c r="O1731" s="96" t="s">
        <v>2810</v>
      </c>
      <c r="P1731" s="49" t="s">
        <v>157</v>
      </c>
      <c r="Q1731" s="96" t="s">
        <v>104</v>
      </c>
      <c r="R1731" s="52">
        <v>25.9</v>
      </c>
      <c r="S1731" s="52">
        <f>R1731-T1731</f>
        <v>23.125</v>
      </c>
      <c r="T1731" s="52">
        <f>R1731*U1731/(U1731+100)</f>
        <v>2.7749999999999995</v>
      </c>
      <c r="U1731" s="50">
        <v>12</v>
      </c>
      <c r="V1731" s="53">
        <v>0</v>
      </c>
      <c r="W1731" s="147">
        <v>1</v>
      </c>
      <c r="X1731" s="148" t="s">
        <v>163</v>
      </c>
      <c r="Y1731" s="54">
        <f>R1731*W1731</f>
        <v>25.9</v>
      </c>
      <c r="Z1731" s="52">
        <f>S1731*W1731</f>
        <v>23.125</v>
      </c>
      <c r="AA1731" s="52">
        <f>T1731*W1731</f>
        <v>2.7749999999999995</v>
      </c>
      <c r="AB1731" s="52">
        <f>V1731*W1731</f>
        <v>0</v>
      </c>
      <c r="AC1731" s="53">
        <f>(R1731+V1731)*W1731</f>
        <v>25.9</v>
      </c>
      <c r="AD1731" s="138">
        <v>25.9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107</v>
      </c>
      <c r="F1732" s="96" t="s">
        <v>113</v>
      </c>
      <c r="G1732" s="97">
        <v>46132</v>
      </c>
      <c r="H1732" s="98">
        <v>0.6369675925925926</v>
      </c>
      <c r="I1732" s="50">
        <v>166004777</v>
      </c>
      <c r="J1732" s="96" t="s">
        <v>157</v>
      </c>
      <c r="K1732" s="49" t="s">
        <v>530</v>
      </c>
      <c r="L1732" s="39" t="s">
        <v>531</v>
      </c>
      <c r="M1732" s="49" t="s">
        <v>190</v>
      </c>
      <c r="N1732" s="39" t="s">
        <v>532</v>
      </c>
      <c r="O1732" s="96" t="s">
        <v>533</v>
      </c>
      <c r="P1732" s="49" t="s">
        <v>157</v>
      </c>
      <c r="Q1732" s="96" t="s">
        <v>104</v>
      </c>
      <c r="R1732" s="52">
        <v>25.9</v>
      </c>
      <c r="S1732" s="52">
        <f>R1732-T1732</f>
        <v>23.125</v>
      </c>
      <c r="T1732" s="52">
        <f>R1732*U1732/(U1732+100)</f>
        <v>2.7749999999999995</v>
      </c>
      <c r="U1732" s="50">
        <v>12</v>
      </c>
      <c r="V1732" s="53">
        <v>0</v>
      </c>
      <c r="W1732" s="147">
        <v>0.748</v>
      </c>
      <c r="X1732" s="148" t="s">
        <v>193</v>
      </c>
      <c r="Y1732" s="54">
        <f>R1732*W1732</f>
        <v>19.3732</v>
      </c>
      <c r="Z1732" s="52">
        <f>S1732*W1732</f>
        <v>17.2975</v>
      </c>
      <c r="AA1732" s="52">
        <f>T1732*W1732</f>
        <v>2.0756999999999994</v>
      </c>
      <c r="AB1732" s="52">
        <f>V1732*W1732</f>
        <v>0</v>
      </c>
      <c r="AC1732" s="53">
        <f>(R1732+V1732)*W1732</f>
        <v>19.3732</v>
      </c>
      <c r="AD1732" s="138">
        <v>25.9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107</v>
      </c>
      <c r="F1733" s="96" t="s">
        <v>113</v>
      </c>
      <c r="G1733" s="97">
        <v>46132</v>
      </c>
      <c r="H1733" s="98">
        <v>0.6369675925925926</v>
      </c>
      <c r="I1733" s="50">
        <v>166004777</v>
      </c>
      <c r="J1733" s="96" t="s">
        <v>157</v>
      </c>
      <c r="K1733" s="49" t="s">
        <v>711</v>
      </c>
      <c r="L1733" s="39" t="s">
        <v>712</v>
      </c>
      <c r="M1733" s="49" t="s">
        <v>190</v>
      </c>
      <c r="N1733" s="39" t="s">
        <v>532</v>
      </c>
      <c r="O1733" s="96" t="s">
        <v>713</v>
      </c>
      <c r="P1733" s="49" t="s">
        <v>235</v>
      </c>
      <c r="Q1733" s="96" t="s">
        <v>236</v>
      </c>
      <c r="R1733" s="52">
        <v>27.9</v>
      </c>
      <c r="S1733" s="52">
        <f>R1733-T1733</f>
        <v>24.910714285714285</v>
      </c>
      <c r="T1733" s="52">
        <f>R1733*U1733/(U1733+100)</f>
        <v>2.989285714285714</v>
      </c>
      <c r="U1733" s="50">
        <v>12</v>
      </c>
      <c r="V1733" s="53">
        <v>0</v>
      </c>
      <c r="W1733" s="147">
        <v>0.638</v>
      </c>
      <c r="X1733" s="148" t="s">
        <v>193</v>
      </c>
      <c r="Y1733" s="54">
        <f>R1733*W1733</f>
        <v>17.8002</v>
      </c>
      <c r="Z1733" s="52">
        <f>S1733*W1733</f>
        <v>15.893035714285714</v>
      </c>
      <c r="AA1733" s="52">
        <f>T1733*W1733</f>
        <v>1.9071642857142854</v>
      </c>
      <c r="AB1733" s="52">
        <f>V1733*W1733</f>
        <v>0</v>
      </c>
      <c r="AC1733" s="53">
        <f>(R1733+V1733)*W1733</f>
        <v>17.8002</v>
      </c>
      <c r="AD1733" s="138">
        <v>27.9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107</v>
      </c>
      <c r="F1734" s="96" t="s">
        <v>113</v>
      </c>
      <c r="G1734" s="97">
        <v>46132</v>
      </c>
      <c r="H1734" s="98">
        <v>0.6369675925925926</v>
      </c>
      <c r="I1734" s="50">
        <v>166004777</v>
      </c>
      <c r="J1734" s="96" t="s">
        <v>157</v>
      </c>
      <c r="K1734" s="49" t="s">
        <v>293</v>
      </c>
      <c r="L1734" s="39" t="s">
        <v>294</v>
      </c>
      <c r="M1734" s="49" t="s">
        <v>295</v>
      </c>
      <c r="N1734" s="39" t="s">
        <v>296</v>
      </c>
      <c r="O1734" s="96" t="s">
        <v>297</v>
      </c>
      <c r="P1734" s="49" t="s">
        <v>157</v>
      </c>
      <c r="Q1734" s="96" t="s">
        <v>104</v>
      </c>
      <c r="R1734" s="52">
        <v>2.9</v>
      </c>
      <c r="S1734" s="52">
        <f>R1734-T1734</f>
        <v>2.5892857142857144</v>
      </c>
      <c r="T1734" s="52">
        <f>R1734*U1734/(U1734+100)</f>
        <v>0.31071428571428567</v>
      </c>
      <c r="U1734" s="50">
        <v>12</v>
      </c>
      <c r="V1734" s="53">
        <v>0</v>
      </c>
      <c r="W1734" s="147">
        <v>5</v>
      </c>
      <c r="X1734" s="148" t="s">
        <v>163</v>
      </c>
      <c r="Y1734" s="54">
        <f>R1734*W1734</f>
        <v>14.5</v>
      </c>
      <c r="Z1734" s="52">
        <f>S1734*W1734</f>
        <v>12.946428571428573</v>
      </c>
      <c r="AA1734" s="52">
        <f>T1734*W1734</f>
        <v>1.5535714285714284</v>
      </c>
      <c r="AB1734" s="52">
        <f>V1734*W1734</f>
        <v>0</v>
      </c>
      <c r="AC1734" s="53">
        <f>(R1734+V1734)*W1734</f>
        <v>14.5</v>
      </c>
      <c r="AD1734" s="138">
        <v>2.9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107</v>
      </c>
      <c r="F1735" s="96" t="s">
        <v>113</v>
      </c>
      <c r="G1735" s="97">
        <v>46132</v>
      </c>
      <c r="H1735" s="98">
        <v>0.6369675925925926</v>
      </c>
      <c r="I1735" s="50">
        <v>166004777</v>
      </c>
      <c r="J1735" s="96" t="s">
        <v>157</v>
      </c>
      <c r="K1735" s="49" t="s">
        <v>942</v>
      </c>
      <c r="L1735" s="39"/>
      <c r="M1735" s="49" t="s">
        <v>295</v>
      </c>
      <c r="N1735" s="39" t="s">
        <v>433</v>
      </c>
      <c r="O1735" s="96" t="s">
        <v>1332</v>
      </c>
      <c r="P1735" s="49" t="s">
        <v>235</v>
      </c>
      <c r="Q1735" s="96" t="s">
        <v>944</v>
      </c>
      <c r="R1735" s="52">
        <v>9.9</v>
      </c>
      <c r="S1735" s="52">
        <f>R1735-T1735</f>
        <v>8.839285714285715</v>
      </c>
      <c r="T1735" s="52">
        <f>R1735*U1735/(U1735+100)</f>
        <v>1.0607142857142857</v>
      </c>
      <c r="U1735" s="50">
        <v>12</v>
      </c>
      <c r="V1735" s="53">
        <v>0</v>
      </c>
      <c r="W1735" s="147">
        <v>1</v>
      </c>
      <c r="X1735" s="148" t="s">
        <v>945</v>
      </c>
      <c r="Y1735" s="54">
        <f>R1735*W1735</f>
        <v>9.9</v>
      </c>
      <c r="Z1735" s="52">
        <f>S1735*W1735</f>
        <v>8.839285714285715</v>
      </c>
      <c r="AA1735" s="52">
        <f>T1735*W1735</f>
        <v>1.0607142857142857</v>
      </c>
      <c r="AB1735" s="52">
        <f>V1735*W1735</f>
        <v>0</v>
      </c>
      <c r="AC1735" s="53">
        <f>(R1735+V1735)*W1735</f>
        <v>9.9</v>
      </c>
      <c r="AD1735" s="138">
        <v>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107</v>
      </c>
      <c r="F1736" s="96" t="s">
        <v>113</v>
      </c>
      <c r="G1736" s="97">
        <v>46132</v>
      </c>
      <c r="H1736" s="98">
        <v>0.6382291666666666</v>
      </c>
      <c r="I1736" s="50">
        <v>166004778</v>
      </c>
      <c r="J1736" s="96" t="s">
        <v>157</v>
      </c>
      <c r="K1736" s="49" t="s">
        <v>1904</v>
      </c>
      <c r="L1736" s="39" t="s">
        <v>1905</v>
      </c>
      <c r="M1736" s="49" t="s">
        <v>413</v>
      </c>
      <c r="N1736" s="39" t="s">
        <v>414</v>
      </c>
      <c r="O1736" s="96" t="s">
        <v>1906</v>
      </c>
      <c r="P1736" s="49" t="s">
        <v>157</v>
      </c>
      <c r="Q1736" s="96" t="s">
        <v>104</v>
      </c>
      <c r="R1736" s="52">
        <v>9.9</v>
      </c>
      <c r="S1736" s="52">
        <f>R1736-T1736</f>
        <v>8.839285714285715</v>
      </c>
      <c r="T1736" s="52">
        <f>R1736*U1736/(U1736+100)</f>
        <v>1.0607142857142857</v>
      </c>
      <c r="U1736" s="50">
        <v>12</v>
      </c>
      <c r="V1736" s="53">
        <v>0</v>
      </c>
      <c r="W1736" s="147">
        <v>1</v>
      </c>
      <c r="X1736" s="148" t="s">
        <v>163</v>
      </c>
      <c r="Y1736" s="54">
        <f>R1736*W1736</f>
        <v>9.9</v>
      </c>
      <c r="Z1736" s="52">
        <f>S1736*W1736</f>
        <v>8.839285714285715</v>
      </c>
      <c r="AA1736" s="52">
        <f>T1736*W1736</f>
        <v>1.0607142857142857</v>
      </c>
      <c r="AB1736" s="52">
        <f>V1736*W1736</f>
        <v>0</v>
      </c>
      <c r="AC1736" s="53">
        <f>(R1736+V1736)*W1736</f>
        <v>9.9</v>
      </c>
      <c r="AD1736" s="138">
        <v>9.9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107</v>
      </c>
      <c r="F1737" s="96" t="s">
        <v>113</v>
      </c>
      <c r="G1737" s="97">
        <v>46132</v>
      </c>
      <c r="H1737" s="98">
        <v>0.6382291666666666</v>
      </c>
      <c r="I1737" s="50">
        <v>166004778</v>
      </c>
      <c r="J1737" s="96" t="s">
        <v>157</v>
      </c>
      <c r="K1737" s="49" t="s">
        <v>1904</v>
      </c>
      <c r="L1737" s="39" t="s">
        <v>1905</v>
      </c>
      <c r="M1737" s="49" t="s">
        <v>413</v>
      </c>
      <c r="N1737" s="39" t="s">
        <v>414</v>
      </c>
      <c r="O1737" s="96" t="s">
        <v>1906</v>
      </c>
      <c r="P1737" s="49" t="s">
        <v>157</v>
      </c>
      <c r="Q1737" s="96" t="s">
        <v>104</v>
      </c>
      <c r="R1737" s="52">
        <v>9.9</v>
      </c>
      <c r="S1737" s="52">
        <f>R1737-T1737</f>
        <v>8.839285714285715</v>
      </c>
      <c r="T1737" s="52">
        <f>R1737*U1737/(U1737+100)</f>
        <v>1.0607142857142857</v>
      </c>
      <c r="U1737" s="50">
        <v>12</v>
      </c>
      <c r="V1737" s="53">
        <v>0</v>
      </c>
      <c r="W1737" s="147">
        <v>1</v>
      </c>
      <c r="X1737" s="148" t="s">
        <v>163</v>
      </c>
      <c r="Y1737" s="54">
        <f>R1737*W1737</f>
        <v>9.9</v>
      </c>
      <c r="Z1737" s="52">
        <f>S1737*W1737</f>
        <v>8.839285714285715</v>
      </c>
      <c r="AA1737" s="52">
        <f>T1737*W1737</f>
        <v>1.0607142857142857</v>
      </c>
      <c r="AB1737" s="52">
        <f>V1737*W1737</f>
        <v>0</v>
      </c>
      <c r="AC1737" s="53">
        <f>(R1737+V1737)*W1737</f>
        <v>9.9</v>
      </c>
      <c r="AD1737" s="138">
        <v>9.9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107</v>
      </c>
      <c r="F1738" s="96" t="s">
        <v>113</v>
      </c>
      <c r="G1738" s="97">
        <v>46132</v>
      </c>
      <c r="H1738" s="98">
        <v>0.6382291666666666</v>
      </c>
      <c r="I1738" s="50">
        <v>166004778</v>
      </c>
      <c r="J1738" s="96" t="s">
        <v>157</v>
      </c>
      <c r="K1738" s="49" t="s">
        <v>2023</v>
      </c>
      <c r="L1738" s="39" t="s">
        <v>2024</v>
      </c>
      <c r="M1738" s="49" t="s">
        <v>1445</v>
      </c>
      <c r="N1738" s="39" t="s">
        <v>202</v>
      </c>
      <c r="O1738" s="96" t="s">
        <v>2025</v>
      </c>
      <c r="P1738" s="49" t="s">
        <v>157</v>
      </c>
      <c r="Q1738" s="96" t="s">
        <v>104</v>
      </c>
      <c r="R1738" s="52">
        <v>19.9</v>
      </c>
      <c r="S1738" s="52">
        <f>R1738-T1738</f>
        <v>17.767857142857142</v>
      </c>
      <c r="T1738" s="52">
        <f>R1738*U1738/(U1738+100)</f>
        <v>2.132142857142857</v>
      </c>
      <c r="U1738" s="50">
        <v>12</v>
      </c>
      <c r="V1738" s="53">
        <v>0</v>
      </c>
      <c r="W1738" s="147">
        <v>1</v>
      </c>
      <c r="X1738" s="148" t="s">
        <v>163</v>
      </c>
      <c r="Y1738" s="54">
        <f>R1738*W1738</f>
        <v>19.9</v>
      </c>
      <c r="Z1738" s="52">
        <f>S1738*W1738</f>
        <v>17.767857142857142</v>
      </c>
      <c r="AA1738" s="52">
        <f>T1738*W1738</f>
        <v>2.132142857142857</v>
      </c>
      <c r="AB1738" s="52">
        <f>V1738*W1738</f>
        <v>0</v>
      </c>
      <c r="AC1738" s="53">
        <f>(R1738+V1738)*W1738</f>
        <v>19.9</v>
      </c>
      <c r="AD1738" s="138">
        <v>19.9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107</v>
      </c>
      <c r="F1739" s="96" t="s">
        <v>113</v>
      </c>
      <c r="G1739" s="97">
        <v>46132</v>
      </c>
      <c r="H1739" s="98">
        <v>0.6382291666666666</v>
      </c>
      <c r="I1739" s="50">
        <v>166004778</v>
      </c>
      <c r="J1739" s="96" t="s">
        <v>157</v>
      </c>
      <c r="K1739" s="49" t="s">
        <v>1705</v>
      </c>
      <c r="L1739" s="39" t="s">
        <v>1706</v>
      </c>
      <c r="M1739" s="49" t="s">
        <v>466</v>
      </c>
      <c r="N1739" s="39" t="s">
        <v>1703</v>
      </c>
      <c r="O1739" s="96" t="s">
        <v>1707</v>
      </c>
      <c r="P1739" s="49" t="s">
        <v>157</v>
      </c>
      <c r="Q1739" s="96" t="s">
        <v>104</v>
      </c>
      <c r="R1739" s="52">
        <v>12.9</v>
      </c>
      <c r="S1739" s="52">
        <f>R1739-T1739</f>
        <v>11.517857142857142</v>
      </c>
      <c r="T1739" s="52">
        <f>R1739*U1739/(U1739+100)</f>
        <v>1.3821428571428573</v>
      </c>
      <c r="U1739" s="50">
        <v>12</v>
      </c>
      <c r="V1739" s="53">
        <v>0</v>
      </c>
      <c r="W1739" s="147">
        <v>1</v>
      </c>
      <c r="X1739" s="148" t="s">
        <v>163</v>
      </c>
      <c r="Y1739" s="54">
        <f>R1739*W1739</f>
        <v>12.9</v>
      </c>
      <c r="Z1739" s="52">
        <f>S1739*W1739</f>
        <v>11.517857142857142</v>
      </c>
      <c r="AA1739" s="52">
        <f>T1739*W1739</f>
        <v>1.3821428571428573</v>
      </c>
      <c r="AB1739" s="52">
        <f>V1739*W1739</f>
        <v>0</v>
      </c>
      <c r="AC1739" s="53">
        <f>(R1739+V1739)*W1739</f>
        <v>12.9</v>
      </c>
      <c r="AD1739" s="138">
        <v>12.9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107</v>
      </c>
      <c r="F1740" s="96" t="s">
        <v>113</v>
      </c>
      <c r="G1740" s="97">
        <v>46132</v>
      </c>
      <c r="H1740" s="98">
        <v>0.6382291666666666</v>
      </c>
      <c r="I1740" s="50">
        <v>166004778</v>
      </c>
      <c r="J1740" s="96" t="s">
        <v>157</v>
      </c>
      <c r="K1740" s="49" t="s">
        <v>821</v>
      </c>
      <c r="L1740" s="39" t="s">
        <v>822</v>
      </c>
      <c r="M1740" s="49" t="s">
        <v>823</v>
      </c>
      <c r="N1740" s="39" t="s">
        <v>202</v>
      </c>
      <c r="O1740" s="96" t="s">
        <v>1812</v>
      </c>
      <c r="P1740" s="49" t="s">
        <v>157</v>
      </c>
      <c r="Q1740" s="96" t="s">
        <v>104</v>
      </c>
      <c r="R1740" s="52">
        <v>15.9</v>
      </c>
      <c r="S1740" s="52">
        <f>R1740-T1740</f>
        <v>14.196428571428571</v>
      </c>
      <c r="T1740" s="52">
        <f>R1740*U1740/(U1740+100)</f>
        <v>1.7035714285714287</v>
      </c>
      <c r="U1740" s="50">
        <v>12</v>
      </c>
      <c r="V1740" s="53">
        <v>0</v>
      </c>
      <c r="W1740" s="147">
        <v>1</v>
      </c>
      <c r="X1740" s="148" t="s">
        <v>163</v>
      </c>
      <c r="Y1740" s="54">
        <f>R1740*W1740</f>
        <v>15.9</v>
      </c>
      <c r="Z1740" s="52">
        <f>S1740*W1740</f>
        <v>14.196428571428571</v>
      </c>
      <c r="AA1740" s="52">
        <f>T1740*W1740</f>
        <v>1.7035714285714287</v>
      </c>
      <c r="AB1740" s="52">
        <f>V1740*W1740</f>
        <v>0</v>
      </c>
      <c r="AC1740" s="53">
        <f>(R1740+V1740)*W1740</f>
        <v>15.9</v>
      </c>
      <c r="AD1740" s="138">
        <v>15.9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107</v>
      </c>
      <c r="F1741" s="96" t="s">
        <v>113</v>
      </c>
      <c r="G1741" s="97">
        <v>46132</v>
      </c>
      <c r="H1741" s="98">
        <v>0.6382291666666666</v>
      </c>
      <c r="I1741" s="50">
        <v>166004778</v>
      </c>
      <c r="J1741" s="96" t="s">
        <v>157</v>
      </c>
      <c r="K1741" s="49" t="s">
        <v>585</v>
      </c>
      <c r="L1741" s="39" t="s">
        <v>586</v>
      </c>
      <c r="M1741" s="49" t="s">
        <v>341</v>
      </c>
      <c r="N1741" s="39" t="s">
        <v>587</v>
      </c>
      <c r="O1741" s="96" t="s">
        <v>588</v>
      </c>
      <c r="P1741" s="49" t="s">
        <v>157</v>
      </c>
      <c r="Q1741" s="96" t="s">
        <v>104</v>
      </c>
      <c r="R1741" s="52">
        <v>34.9</v>
      </c>
      <c r="S1741" s="52">
        <f>R1741-T1741</f>
        <v>28.84297520661157</v>
      </c>
      <c r="T1741" s="52">
        <f>R1741*U1741/(U1741+100)</f>
        <v>6.05702479338843</v>
      </c>
      <c r="U1741" s="50">
        <v>21</v>
      </c>
      <c r="V1741" s="53">
        <v>0</v>
      </c>
      <c r="W1741" s="147">
        <v>1</v>
      </c>
      <c r="X1741" s="148" t="s">
        <v>163</v>
      </c>
      <c r="Y1741" s="54">
        <f>R1741*W1741</f>
        <v>34.9</v>
      </c>
      <c r="Z1741" s="52">
        <f>S1741*W1741</f>
        <v>28.84297520661157</v>
      </c>
      <c r="AA1741" s="52">
        <f>T1741*W1741</f>
        <v>6.05702479338843</v>
      </c>
      <c r="AB1741" s="52">
        <f>V1741*W1741</f>
        <v>0</v>
      </c>
      <c r="AC1741" s="53">
        <f>(R1741+V1741)*W1741</f>
        <v>34.9</v>
      </c>
      <c r="AD1741" s="138">
        <v>34.9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107</v>
      </c>
      <c r="F1742" s="96" t="s">
        <v>113</v>
      </c>
      <c r="G1742" s="97">
        <v>46132</v>
      </c>
      <c r="H1742" s="98">
        <v>0.6382291666666666</v>
      </c>
      <c r="I1742" s="50">
        <v>166004778</v>
      </c>
      <c r="J1742" s="96" t="s">
        <v>157</v>
      </c>
      <c r="K1742" s="49" t="s">
        <v>992</v>
      </c>
      <c r="L1742" s="39" t="s">
        <v>993</v>
      </c>
      <c r="M1742" s="49" t="s">
        <v>214</v>
      </c>
      <c r="N1742" s="39" t="s">
        <v>501</v>
      </c>
      <c r="O1742" s="96" t="s">
        <v>994</v>
      </c>
      <c r="P1742" s="49" t="s">
        <v>157</v>
      </c>
      <c r="Q1742" s="96" t="s">
        <v>104</v>
      </c>
      <c r="R1742" s="52">
        <v>6.9</v>
      </c>
      <c r="S1742" s="52">
        <f>R1742-T1742</f>
        <v>6.160714285714286</v>
      </c>
      <c r="T1742" s="52">
        <f>R1742*U1742/(U1742+100)</f>
        <v>0.7392857142857144</v>
      </c>
      <c r="U1742" s="50">
        <v>12</v>
      </c>
      <c r="V1742" s="53">
        <v>0</v>
      </c>
      <c r="W1742" s="147">
        <v>3</v>
      </c>
      <c r="X1742" s="148" t="s">
        <v>163</v>
      </c>
      <c r="Y1742" s="54">
        <f>R1742*W1742</f>
        <v>20.700000000000003</v>
      </c>
      <c r="Z1742" s="52">
        <f>S1742*W1742</f>
        <v>18.482142857142858</v>
      </c>
      <c r="AA1742" s="52">
        <f>T1742*W1742</f>
        <v>2.2178571428571434</v>
      </c>
      <c r="AB1742" s="52">
        <f>V1742*W1742</f>
        <v>0</v>
      </c>
      <c r="AC1742" s="53">
        <f>(R1742+V1742)*W1742</f>
        <v>20.700000000000003</v>
      </c>
      <c r="AD1742" s="138">
        <v>6.9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107</v>
      </c>
      <c r="F1743" s="96" t="s">
        <v>113</v>
      </c>
      <c r="G1743" s="97">
        <v>46132</v>
      </c>
      <c r="H1743" s="98">
        <v>0.6382291666666666</v>
      </c>
      <c r="I1743" s="50">
        <v>166004778</v>
      </c>
      <c r="J1743" s="96" t="s">
        <v>157</v>
      </c>
      <c r="K1743" s="49" t="s">
        <v>2811</v>
      </c>
      <c r="L1743" s="39" t="s">
        <v>2812</v>
      </c>
      <c r="M1743" s="49" t="s">
        <v>862</v>
      </c>
      <c r="N1743" s="39" t="s">
        <v>863</v>
      </c>
      <c r="O1743" s="96" t="s">
        <v>2813</v>
      </c>
      <c r="P1743" s="49" t="s">
        <v>157</v>
      </c>
      <c r="Q1743" s="96" t="s">
        <v>104</v>
      </c>
      <c r="R1743" s="52">
        <v>161</v>
      </c>
      <c r="S1743" s="52">
        <f>R1743-T1743</f>
        <v>133.05785123966942</v>
      </c>
      <c r="T1743" s="52">
        <f>R1743*U1743/(U1743+100)</f>
        <v>27.94214876033058</v>
      </c>
      <c r="U1743" s="50">
        <v>21</v>
      </c>
      <c r="V1743" s="53">
        <v>0</v>
      </c>
      <c r="W1743" s="147">
        <v>3</v>
      </c>
      <c r="X1743" s="148" t="s">
        <v>163</v>
      </c>
      <c r="Y1743" s="54">
        <f>R1743*W1743</f>
        <v>483</v>
      </c>
      <c r="Z1743" s="52">
        <f>S1743*W1743</f>
        <v>399.1735537190083</v>
      </c>
      <c r="AA1743" s="52">
        <f>T1743*W1743</f>
        <v>83.82644628099173</v>
      </c>
      <c r="AB1743" s="52">
        <f>V1743*W1743</f>
        <v>0</v>
      </c>
      <c r="AC1743" s="53">
        <f>(R1743+V1743)*W1743</f>
        <v>483</v>
      </c>
      <c r="AD1743" s="138">
        <v>161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107</v>
      </c>
      <c r="F1744" s="96" t="s">
        <v>113</v>
      </c>
      <c r="G1744" s="97">
        <v>46132</v>
      </c>
      <c r="H1744" s="98">
        <v>0.6382291666666666</v>
      </c>
      <c r="I1744" s="50">
        <v>166004778</v>
      </c>
      <c r="J1744" s="96" t="s">
        <v>157</v>
      </c>
      <c r="K1744" s="49" t="s">
        <v>2175</v>
      </c>
      <c r="L1744" s="39" t="s">
        <v>2176</v>
      </c>
      <c r="M1744" s="49" t="s">
        <v>369</v>
      </c>
      <c r="N1744" s="39" t="s">
        <v>688</v>
      </c>
      <c r="O1744" s="96" t="s">
        <v>2177</v>
      </c>
      <c r="P1744" s="49" t="s">
        <v>157</v>
      </c>
      <c r="Q1744" s="96" t="s">
        <v>104</v>
      </c>
      <c r="R1744" s="52">
        <v>227.9</v>
      </c>
      <c r="S1744" s="52">
        <f>R1744-T1744</f>
        <v>203.48214285714286</v>
      </c>
      <c r="T1744" s="52">
        <f>R1744*U1744/(U1744+100)</f>
        <v>24.417857142857144</v>
      </c>
      <c r="U1744" s="50">
        <v>12</v>
      </c>
      <c r="V1744" s="53">
        <v>0</v>
      </c>
      <c r="W1744" s="147">
        <v>0.11</v>
      </c>
      <c r="X1744" s="148" t="s">
        <v>193</v>
      </c>
      <c r="Y1744" s="54">
        <f>R1744*W1744</f>
        <v>25.069</v>
      </c>
      <c r="Z1744" s="52">
        <f>S1744*W1744</f>
        <v>22.383035714285715</v>
      </c>
      <c r="AA1744" s="52">
        <f>T1744*W1744</f>
        <v>2.685964285714286</v>
      </c>
      <c r="AB1744" s="52">
        <f>V1744*W1744</f>
        <v>0</v>
      </c>
      <c r="AC1744" s="53">
        <f>(R1744+V1744)*W1744</f>
        <v>25.069</v>
      </c>
      <c r="AD1744" s="138">
        <v>227.9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107</v>
      </c>
      <c r="F1745" s="96" t="s">
        <v>113</v>
      </c>
      <c r="G1745" s="97">
        <v>46132</v>
      </c>
      <c r="H1745" s="98">
        <v>0.6382291666666666</v>
      </c>
      <c r="I1745" s="50">
        <v>166004778</v>
      </c>
      <c r="J1745" s="96" t="s">
        <v>157</v>
      </c>
      <c r="K1745" s="49" t="s">
        <v>390</v>
      </c>
      <c r="L1745" s="39" t="s">
        <v>391</v>
      </c>
      <c r="M1745" s="49" t="s">
        <v>214</v>
      </c>
      <c r="N1745" s="39" t="s">
        <v>273</v>
      </c>
      <c r="O1745" s="96" t="s">
        <v>1110</v>
      </c>
      <c r="P1745" s="49" t="s">
        <v>157</v>
      </c>
      <c r="Q1745" s="96" t="s">
        <v>104</v>
      </c>
      <c r="R1745" s="52">
        <v>15.9</v>
      </c>
      <c r="S1745" s="52">
        <f>R1745-T1745</f>
        <v>14.196428571428571</v>
      </c>
      <c r="T1745" s="52">
        <f>R1745*U1745/(U1745+100)</f>
        <v>1.7035714285714287</v>
      </c>
      <c r="U1745" s="50">
        <v>12</v>
      </c>
      <c r="V1745" s="53">
        <v>0</v>
      </c>
      <c r="W1745" s="147">
        <v>2</v>
      </c>
      <c r="X1745" s="148" t="s">
        <v>163</v>
      </c>
      <c r="Y1745" s="54">
        <f>R1745*W1745</f>
        <v>31.8</v>
      </c>
      <c r="Z1745" s="52">
        <f>S1745*W1745</f>
        <v>28.392857142857142</v>
      </c>
      <c r="AA1745" s="52">
        <f>T1745*W1745</f>
        <v>3.4071428571428575</v>
      </c>
      <c r="AB1745" s="52">
        <f>V1745*W1745</f>
        <v>0</v>
      </c>
      <c r="AC1745" s="53">
        <f>(R1745+V1745)*W1745</f>
        <v>31.8</v>
      </c>
      <c r="AD1745" s="138">
        <v>15.9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107</v>
      </c>
      <c r="F1746" s="96" t="s">
        <v>113</v>
      </c>
      <c r="G1746" s="97">
        <v>46132</v>
      </c>
      <c r="H1746" s="98">
        <v>0.6382291666666666</v>
      </c>
      <c r="I1746" s="50">
        <v>166004778</v>
      </c>
      <c r="J1746" s="96" t="s">
        <v>157</v>
      </c>
      <c r="K1746" s="49" t="s">
        <v>2814</v>
      </c>
      <c r="L1746" s="39" t="s">
        <v>2815</v>
      </c>
      <c r="M1746" s="49" t="s">
        <v>277</v>
      </c>
      <c r="N1746" s="39" t="s">
        <v>373</v>
      </c>
      <c r="O1746" s="96" t="s">
        <v>2816</v>
      </c>
      <c r="P1746" s="49" t="s">
        <v>157</v>
      </c>
      <c r="Q1746" s="96" t="s">
        <v>104</v>
      </c>
      <c r="R1746" s="52">
        <v>198.9</v>
      </c>
      <c r="S1746" s="52">
        <f>R1746-T1746</f>
        <v>177.58928571428572</v>
      </c>
      <c r="T1746" s="52">
        <f>R1746*U1746/(U1746+100)</f>
        <v>21.310714285714287</v>
      </c>
      <c r="U1746" s="50">
        <v>12</v>
      </c>
      <c r="V1746" s="53">
        <v>0</v>
      </c>
      <c r="W1746" s="147">
        <v>0.09</v>
      </c>
      <c r="X1746" s="148" t="s">
        <v>193</v>
      </c>
      <c r="Y1746" s="54">
        <f>R1746*W1746</f>
        <v>17.901</v>
      </c>
      <c r="Z1746" s="52">
        <f>S1746*W1746</f>
        <v>15.983035714285714</v>
      </c>
      <c r="AA1746" s="52">
        <f>T1746*W1746</f>
        <v>1.9179642857142858</v>
      </c>
      <c r="AB1746" s="52">
        <f>V1746*W1746</f>
        <v>0</v>
      </c>
      <c r="AC1746" s="53">
        <f>(R1746+V1746)*W1746</f>
        <v>17.901</v>
      </c>
      <c r="AD1746" s="138">
        <v>198.9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107</v>
      </c>
      <c r="F1747" s="96" t="s">
        <v>113</v>
      </c>
      <c r="G1747" s="97">
        <v>46132</v>
      </c>
      <c r="H1747" s="98">
        <v>0.6382291666666666</v>
      </c>
      <c r="I1747" s="50">
        <v>166004778</v>
      </c>
      <c r="J1747" s="96" t="s">
        <v>157</v>
      </c>
      <c r="K1747" s="49" t="s">
        <v>293</v>
      </c>
      <c r="L1747" s="39" t="s">
        <v>294</v>
      </c>
      <c r="M1747" s="49" t="s">
        <v>295</v>
      </c>
      <c r="N1747" s="39" t="s">
        <v>296</v>
      </c>
      <c r="O1747" s="96" t="s">
        <v>297</v>
      </c>
      <c r="P1747" s="49" t="s">
        <v>157</v>
      </c>
      <c r="Q1747" s="96" t="s">
        <v>104</v>
      </c>
      <c r="R1747" s="52">
        <v>2.9</v>
      </c>
      <c r="S1747" s="52">
        <f>R1747-T1747</f>
        <v>2.5892857142857144</v>
      </c>
      <c r="T1747" s="52">
        <f>R1747*U1747/(U1747+100)</f>
        <v>0.31071428571428567</v>
      </c>
      <c r="U1747" s="50">
        <v>12</v>
      </c>
      <c r="V1747" s="53">
        <v>0</v>
      </c>
      <c r="W1747" s="147">
        <v>8</v>
      </c>
      <c r="X1747" s="148" t="s">
        <v>163</v>
      </c>
      <c r="Y1747" s="54">
        <f>R1747*W1747</f>
        <v>23.2</v>
      </c>
      <c r="Z1747" s="52">
        <f>S1747*W1747</f>
        <v>20.714285714285715</v>
      </c>
      <c r="AA1747" s="52">
        <f>T1747*W1747</f>
        <v>2.4857142857142853</v>
      </c>
      <c r="AB1747" s="52">
        <f>V1747*W1747</f>
        <v>0</v>
      </c>
      <c r="AC1747" s="53">
        <f>(R1747+V1747)*W1747</f>
        <v>23.2</v>
      </c>
      <c r="AD1747" s="138">
        <v>2.9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107</v>
      </c>
      <c r="F1748" s="96" t="s">
        <v>113</v>
      </c>
      <c r="G1748" s="97">
        <v>46132</v>
      </c>
      <c r="H1748" s="98">
        <v>0.6385532407407407</v>
      </c>
      <c r="I1748" s="50">
        <v>166004779</v>
      </c>
      <c r="J1748" s="96" t="s">
        <v>157</v>
      </c>
      <c r="K1748" s="49" t="s">
        <v>1329</v>
      </c>
      <c r="L1748" s="39" t="s">
        <v>1330</v>
      </c>
      <c r="M1748" s="49" t="s">
        <v>403</v>
      </c>
      <c r="N1748" s="39" t="s">
        <v>373</v>
      </c>
      <c r="O1748" s="96" t="s">
        <v>1331</v>
      </c>
      <c r="P1748" s="49" t="s">
        <v>157</v>
      </c>
      <c r="Q1748" s="96" t="s">
        <v>104</v>
      </c>
      <c r="R1748" s="52">
        <v>171.9</v>
      </c>
      <c r="S1748" s="52">
        <f>R1748-T1748</f>
        <v>153.48214285714286</v>
      </c>
      <c r="T1748" s="52">
        <f>R1748*U1748/(U1748+100)</f>
        <v>18.417857142857144</v>
      </c>
      <c r="U1748" s="50">
        <v>12</v>
      </c>
      <c r="V1748" s="53">
        <v>0</v>
      </c>
      <c r="W1748" s="147">
        <v>0.222</v>
      </c>
      <c r="X1748" s="148" t="s">
        <v>193</v>
      </c>
      <c r="Y1748" s="54">
        <f>R1748*W1748</f>
        <v>38.1618</v>
      </c>
      <c r="Z1748" s="52">
        <f>S1748*W1748</f>
        <v>34.073035714285716</v>
      </c>
      <c r="AA1748" s="52">
        <f>T1748*W1748</f>
        <v>4.088764285714286</v>
      </c>
      <c r="AB1748" s="52">
        <f>V1748*W1748</f>
        <v>0</v>
      </c>
      <c r="AC1748" s="53">
        <f>(R1748+V1748)*W1748</f>
        <v>38.1618</v>
      </c>
      <c r="AD1748" s="138">
        <v>171.9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107</v>
      </c>
      <c r="F1749" s="96" t="s">
        <v>113</v>
      </c>
      <c r="G1749" s="97">
        <v>46132</v>
      </c>
      <c r="H1749" s="98">
        <v>0.6385532407407407</v>
      </c>
      <c r="I1749" s="50">
        <v>166004779</v>
      </c>
      <c r="J1749" s="96" t="s">
        <v>157</v>
      </c>
      <c r="K1749" s="49" t="s">
        <v>2065</v>
      </c>
      <c r="L1749" s="39" t="s">
        <v>2066</v>
      </c>
      <c r="M1749" s="49" t="s">
        <v>277</v>
      </c>
      <c r="N1749" s="39" t="s">
        <v>490</v>
      </c>
      <c r="O1749" s="96" t="s">
        <v>2067</v>
      </c>
      <c r="P1749" s="49" t="s">
        <v>157</v>
      </c>
      <c r="Q1749" s="96" t="s">
        <v>104</v>
      </c>
      <c r="R1749" s="52">
        <v>41.9</v>
      </c>
      <c r="S1749" s="52">
        <f>R1749-T1749</f>
        <v>37.410714285714285</v>
      </c>
      <c r="T1749" s="52">
        <f>R1749*U1749/(U1749+100)</f>
        <v>4.489285714285714</v>
      </c>
      <c r="U1749" s="50">
        <v>12</v>
      </c>
      <c r="V1749" s="53">
        <v>0</v>
      </c>
      <c r="W1749" s="147">
        <v>1</v>
      </c>
      <c r="X1749" s="148" t="s">
        <v>163</v>
      </c>
      <c r="Y1749" s="54">
        <f>R1749*W1749</f>
        <v>41.9</v>
      </c>
      <c r="Z1749" s="52">
        <f>S1749*W1749</f>
        <v>37.410714285714285</v>
      </c>
      <c r="AA1749" s="52">
        <f>T1749*W1749</f>
        <v>4.489285714285714</v>
      </c>
      <c r="AB1749" s="52">
        <f>V1749*W1749</f>
        <v>0</v>
      </c>
      <c r="AC1749" s="53">
        <f>(R1749+V1749)*W1749</f>
        <v>41.9</v>
      </c>
      <c r="AD1749" s="138">
        <v>41.9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107</v>
      </c>
      <c r="F1750" s="96" t="s">
        <v>113</v>
      </c>
      <c r="G1750" s="97">
        <v>46132</v>
      </c>
      <c r="H1750" s="98">
        <v>0.6385532407407407</v>
      </c>
      <c r="I1750" s="50">
        <v>166004779</v>
      </c>
      <c r="J1750" s="96" t="s">
        <v>157</v>
      </c>
      <c r="K1750" s="49" t="s">
        <v>2065</v>
      </c>
      <c r="L1750" s="39" t="s">
        <v>2066</v>
      </c>
      <c r="M1750" s="49" t="s">
        <v>277</v>
      </c>
      <c r="N1750" s="39" t="s">
        <v>490</v>
      </c>
      <c r="O1750" s="96" t="s">
        <v>2067</v>
      </c>
      <c r="P1750" s="49" t="s">
        <v>157</v>
      </c>
      <c r="Q1750" s="96" t="s">
        <v>104</v>
      </c>
      <c r="R1750" s="52">
        <v>41.9</v>
      </c>
      <c r="S1750" s="52">
        <f>R1750-T1750</f>
        <v>37.410714285714285</v>
      </c>
      <c r="T1750" s="52">
        <f>R1750*U1750/(U1750+100)</f>
        <v>4.489285714285714</v>
      </c>
      <c r="U1750" s="50">
        <v>12</v>
      </c>
      <c r="V1750" s="53">
        <v>0</v>
      </c>
      <c r="W1750" s="147">
        <v>1</v>
      </c>
      <c r="X1750" s="148" t="s">
        <v>163</v>
      </c>
      <c r="Y1750" s="54">
        <f>R1750*W1750</f>
        <v>41.9</v>
      </c>
      <c r="Z1750" s="52">
        <f>S1750*W1750</f>
        <v>37.410714285714285</v>
      </c>
      <c r="AA1750" s="52">
        <f>T1750*W1750</f>
        <v>4.489285714285714</v>
      </c>
      <c r="AB1750" s="52">
        <f>V1750*W1750</f>
        <v>0</v>
      </c>
      <c r="AC1750" s="53">
        <f>(R1750+V1750)*W1750</f>
        <v>41.9</v>
      </c>
      <c r="AD1750" s="138">
        <v>41.9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107</v>
      </c>
      <c r="F1751" s="96" t="s">
        <v>113</v>
      </c>
      <c r="G1751" s="97">
        <v>46132</v>
      </c>
      <c r="H1751" s="98">
        <v>0.6385532407407407</v>
      </c>
      <c r="I1751" s="50">
        <v>166004779</v>
      </c>
      <c r="J1751" s="96" t="s">
        <v>157</v>
      </c>
      <c r="K1751" s="49" t="s">
        <v>1164</v>
      </c>
      <c r="L1751" s="39" t="s">
        <v>1165</v>
      </c>
      <c r="M1751" s="49" t="s">
        <v>277</v>
      </c>
      <c r="N1751" s="39" t="s">
        <v>408</v>
      </c>
      <c r="O1751" s="96" t="s">
        <v>1166</v>
      </c>
      <c r="P1751" s="49" t="s">
        <v>157</v>
      </c>
      <c r="Q1751" s="96" t="s">
        <v>104</v>
      </c>
      <c r="R1751" s="52">
        <v>159.9</v>
      </c>
      <c r="S1751" s="52">
        <f>R1751-T1751</f>
        <v>142.76785714285714</v>
      </c>
      <c r="T1751" s="52">
        <f>R1751*U1751/(U1751+100)</f>
        <v>17.13214285714286</v>
      </c>
      <c r="U1751" s="50">
        <v>12</v>
      </c>
      <c r="V1751" s="53">
        <v>0</v>
      </c>
      <c r="W1751" s="147">
        <v>0.29</v>
      </c>
      <c r="X1751" s="148" t="s">
        <v>410</v>
      </c>
      <c r="Y1751" s="54">
        <f>R1751*W1751</f>
        <v>46.370999999999995</v>
      </c>
      <c r="Z1751" s="52">
        <f>S1751*W1751</f>
        <v>41.40267857142857</v>
      </c>
      <c r="AA1751" s="52">
        <f>T1751*W1751</f>
        <v>4.9683214285714286</v>
      </c>
      <c r="AB1751" s="52">
        <f>V1751*W1751</f>
        <v>0</v>
      </c>
      <c r="AC1751" s="53">
        <f>(R1751+V1751)*W1751</f>
        <v>46.370999999999995</v>
      </c>
      <c r="AD1751" s="138">
        <v>159.9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107</v>
      </c>
      <c r="F1752" s="96" t="s">
        <v>113</v>
      </c>
      <c r="G1752" s="97">
        <v>46132</v>
      </c>
      <c r="H1752" s="98">
        <v>0.6393981481481481</v>
      </c>
      <c r="I1752" s="50">
        <v>166004780</v>
      </c>
      <c r="J1752" s="96" t="s">
        <v>157</v>
      </c>
      <c r="K1752" s="49" t="s">
        <v>2817</v>
      </c>
      <c r="L1752" s="39"/>
      <c r="M1752" s="49" t="s">
        <v>268</v>
      </c>
      <c r="N1752" s="39" t="s">
        <v>433</v>
      </c>
      <c r="O1752" s="96" t="s">
        <v>2818</v>
      </c>
      <c r="P1752" s="49" t="s">
        <v>157</v>
      </c>
      <c r="Q1752" s="96" t="s">
        <v>104</v>
      </c>
      <c r="R1752" s="52">
        <v>22.9</v>
      </c>
      <c r="S1752" s="52">
        <f>R1752-T1752</f>
        <v>20.44642857142857</v>
      </c>
      <c r="T1752" s="52">
        <f>R1752*U1752/(U1752+100)</f>
        <v>2.4535714285714283</v>
      </c>
      <c r="U1752" s="50">
        <v>12</v>
      </c>
      <c r="V1752" s="53">
        <v>0</v>
      </c>
      <c r="W1752" s="147">
        <v>1</v>
      </c>
      <c r="X1752" s="148" t="s">
        <v>945</v>
      </c>
      <c r="Y1752" s="54">
        <f>R1752*W1752</f>
        <v>22.9</v>
      </c>
      <c r="Z1752" s="52">
        <f>S1752*W1752</f>
        <v>20.44642857142857</v>
      </c>
      <c r="AA1752" s="52">
        <f>T1752*W1752</f>
        <v>2.4535714285714283</v>
      </c>
      <c r="AB1752" s="52">
        <f>V1752*W1752</f>
        <v>0</v>
      </c>
      <c r="AC1752" s="53">
        <f>(R1752+V1752)*W1752</f>
        <v>22.9</v>
      </c>
      <c r="AD1752" s="138">
        <v>22.9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107</v>
      </c>
      <c r="F1753" s="96" t="s">
        <v>113</v>
      </c>
      <c r="G1753" s="97">
        <v>46132</v>
      </c>
      <c r="H1753" s="98">
        <v>0.6398958333333333</v>
      </c>
      <c r="I1753" s="50">
        <v>166004781</v>
      </c>
      <c r="J1753" s="96" t="s">
        <v>157</v>
      </c>
      <c r="K1753" s="49" t="s">
        <v>2819</v>
      </c>
      <c r="L1753" s="39" t="s">
        <v>2820</v>
      </c>
      <c r="M1753" s="49" t="s">
        <v>232</v>
      </c>
      <c r="N1753" s="39" t="s">
        <v>233</v>
      </c>
      <c r="O1753" s="96" t="s">
        <v>2821</v>
      </c>
      <c r="P1753" s="49" t="s">
        <v>157</v>
      </c>
      <c r="Q1753" s="96" t="s">
        <v>104</v>
      </c>
      <c r="R1753" s="52">
        <v>19.9</v>
      </c>
      <c r="S1753" s="52">
        <f>R1753-T1753</f>
        <v>16.446280991735534</v>
      </c>
      <c r="T1753" s="52">
        <f>R1753*U1753/(U1753+100)</f>
        <v>3.4537190082644624</v>
      </c>
      <c r="U1753" s="50">
        <v>21</v>
      </c>
      <c r="V1753" s="53">
        <v>0</v>
      </c>
      <c r="W1753" s="147">
        <v>1</v>
      </c>
      <c r="X1753" s="148" t="s">
        <v>163</v>
      </c>
      <c r="Y1753" s="54">
        <f>R1753*W1753</f>
        <v>19.9</v>
      </c>
      <c r="Z1753" s="52">
        <f>S1753*W1753</f>
        <v>16.446280991735534</v>
      </c>
      <c r="AA1753" s="52">
        <f>T1753*W1753</f>
        <v>3.4537190082644624</v>
      </c>
      <c r="AB1753" s="52">
        <f>V1753*W1753</f>
        <v>0</v>
      </c>
      <c r="AC1753" s="53">
        <f>(R1753+V1753)*W1753</f>
        <v>19.9</v>
      </c>
      <c r="AD1753" s="138">
        <v>19.9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107</v>
      </c>
      <c r="F1754" s="96" t="s">
        <v>113</v>
      </c>
      <c r="G1754" s="97">
        <v>46132</v>
      </c>
      <c r="H1754" s="98">
        <v>0.6398958333333333</v>
      </c>
      <c r="I1754" s="50">
        <v>166004781</v>
      </c>
      <c r="J1754" s="96" t="s">
        <v>157</v>
      </c>
      <c r="K1754" s="49" t="s">
        <v>2822</v>
      </c>
      <c r="L1754" s="39" t="s">
        <v>2823</v>
      </c>
      <c r="M1754" s="49" t="s">
        <v>232</v>
      </c>
      <c r="N1754" s="39" t="s">
        <v>233</v>
      </c>
      <c r="O1754" s="96" t="s">
        <v>2824</v>
      </c>
      <c r="P1754" s="49" t="s">
        <v>157</v>
      </c>
      <c r="Q1754" s="96" t="s">
        <v>104</v>
      </c>
      <c r="R1754" s="52">
        <v>16.9</v>
      </c>
      <c r="S1754" s="52">
        <f>R1754-T1754</f>
        <v>13.96694214876033</v>
      </c>
      <c r="T1754" s="52">
        <f>R1754*U1754/(U1754+100)</f>
        <v>2.9330578512396692</v>
      </c>
      <c r="U1754" s="50">
        <v>21</v>
      </c>
      <c r="V1754" s="53">
        <v>0</v>
      </c>
      <c r="W1754" s="147">
        <v>1</v>
      </c>
      <c r="X1754" s="148" t="s">
        <v>163</v>
      </c>
      <c r="Y1754" s="54">
        <f>R1754*W1754</f>
        <v>16.9</v>
      </c>
      <c r="Z1754" s="52">
        <f>S1754*W1754</f>
        <v>13.96694214876033</v>
      </c>
      <c r="AA1754" s="52">
        <f>T1754*W1754</f>
        <v>2.9330578512396692</v>
      </c>
      <c r="AB1754" s="52">
        <f>V1754*W1754</f>
        <v>0</v>
      </c>
      <c r="AC1754" s="53">
        <f>(R1754+V1754)*W1754</f>
        <v>16.9</v>
      </c>
      <c r="AD1754" s="138">
        <v>16.9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107</v>
      </c>
      <c r="F1755" s="96" t="s">
        <v>113</v>
      </c>
      <c r="G1755" s="97">
        <v>46132</v>
      </c>
      <c r="H1755" s="98">
        <v>0.6398958333333333</v>
      </c>
      <c r="I1755" s="50">
        <v>166004781</v>
      </c>
      <c r="J1755" s="96" t="s">
        <v>157</v>
      </c>
      <c r="K1755" s="49" t="s">
        <v>952</v>
      </c>
      <c r="L1755" s="39" t="s">
        <v>953</v>
      </c>
      <c r="M1755" s="49" t="s">
        <v>954</v>
      </c>
      <c r="N1755" s="39" t="s">
        <v>233</v>
      </c>
      <c r="O1755" s="96" t="s">
        <v>2825</v>
      </c>
      <c r="P1755" s="49" t="s">
        <v>157</v>
      </c>
      <c r="Q1755" s="96" t="s">
        <v>104</v>
      </c>
      <c r="R1755" s="52">
        <v>19.9</v>
      </c>
      <c r="S1755" s="52">
        <f>R1755-T1755</f>
        <v>16.446280991735534</v>
      </c>
      <c r="T1755" s="52">
        <f>R1755*U1755/(U1755+100)</f>
        <v>3.4537190082644624</v>
      </c>
      <c r="U1755" s="50">
        <v>21</v>
      </c>
      <c r="V1755" s="53">
        <v>0</v>
      </c>
      <c r="W1755" s="147">
        <v>1</v>
      </c>
      <c r="X1755" s="148" t="s">
        <v>163</v>
      </c>
      <c r="Y1755" s="54">
        <f>R1755*W1755</f>
        <v>19.9</v>
      </c>
      <c r="Z1755" s="52">
        <f>S1755*W1755</f>
        <v>16.446280991735534</v>
      </c>
      <c r="AA1755" s="52">
        <f>T1755*W1755</f>
        <v>3.4537190082644624</v>
      </c>
      <c r="AB1755" s="52">
        <f>V1755*W1755</f>
        <v>0</v>
      </c>
      <c r="AC1755" s="53">
        <f>(R1755+V1755)*W1755</f>
        <v>19.9</v>
      </c>
      <c r="AD1755" s="138">
        <v>19.9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107</v>
      </c>
      <c r="F1756" s="96" t="s">
        <v>113</v>
      </c>
      <c r="G1756" s="97">
        <v>46132</v>
      </c>
      <c r="H1756" s="98">
        <v>0.6398958333333333</v>
      </c>
      <c r="I1756" s="50">
        <v>166004781</v>
      </c>
      <c r="J1756" s="96" t="s">
        <v>157</v>
      </c>
      <c r="K1756" s="49" t="s">
        <v>1161</v>
      </c>
      <c r="L1756" s="39" t="s">
        <v>1162</v>
      </c>
      <c r="M1756" s="49" t="s">
        <v>268</v>
      </c>
      <c r="N1756" s="39" t="s">
        <v>296</v>
      </c>
      <c r="O1756" s="96" t="s">
        <v>1163</v>
      </c>
      <c r="P1756" s="49" t="s">
        <v>157</v>
      </c>
      <c r="Q1756" s="96" t="s">
        <v>104</v>
      </c>
      <c r="R1756" s="52">
        <v>34.9</v>
      </c>
      <c r="S1756" s="52">
        <f>R1756-T1756</f>
        <v>31.160714285714285</v>
      </c>
      <c r="T1756" s="52">
        <f>R1756*U1756/(U1756+100)</f>
        <v>3.739285714285714</v>
      </c>
      <c r="U1756" s="50">
        <v>12</v>
      </c>
      <c r="V1756" s="53">
        <v>0</v>
      </c>
      <c r="W1756" s="147">
        <v>1</v>
      </c>
      <c r="X1756" s="148" t="s">
        <v>163</v>
      </c>
      <c r="Y1756" s="54">
        <f>R1756*W1756</f>
        <v>34.9</v>
      </c>
      <c r="Z1756" s="52">
        <f>S1756*W1756</f>
        <v>31.160714285714285</v>
      </c>
      <c r="AA1756" s="52">
        <f>T1756*W1756</f>
        <v>3.739285714285714</v>
      </c>
      <c r="AB1756" s="52">
        <f>V1756*W1756</f>
        <v>0</v>
      </c>
      <c r="AC1756" s="53">
        <f>(R1756+V1756)*W1756</f>
        <v>34.9</v>
      </c>
      <c r="AD1756" s="138">
        <v>34.9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107</v>
      </c>
      <c r="F1757" s="96" t="s">
        <v>113</v>
      </c>
      <c r="G1757" s="97">
        <v>46132</v>
      </c>
      <c r="H1757" s="98">
        <v>0.6417476851851852</v>
      </c>
      <c r="I1757" s="50">
        <v>166004782</v>
      </c>
      <c r="J1757" s="96" t="s">
        <v>157</v>
      </c>
      <c r="K1757" s="49" t="s">
        <v>2826</v>
      </c>
      <c r="L1757" s="39" t="s">
        <v>2827</v>
      </c>
      <c r="M1757" s="49" t="s">
        <v>429</v>
      </c>
      <c r="N1757" s="39" t="s">
        <v>747</v>
      </c>
      <c r="O1757" s="96" t="s">
        <v>2828</v>
      </c>
      <c r="P1757" s="49" t="s">
        <v>157</v>
      </c>
      <c r="Q1757" s="96" t="s">
        <v>104</v>
      </c>
      <c r="R1757" s="52">
        <v>11.9</v>
      </c>
      <c r="S1757" s="52">
        <f>R1757-T1757</f>
        <v>10.625</v>
      </c>
      <c r="T1757" s="52">
        <f>R1757*U1757/(U1757+100)</f>
        <v>1.2750000000000001</v>
      </c>
      <c r="U1757" s="50">
        <v>12</v>
      </c>
      <c r="V1757" s="53">
        <v>0</v>
      </c>
      <c r="W1757" s="147">
        <v>1</v>
      </c>
      <c r="X1757" s="148" t="s">
        <v>163</v>
      </c>
      <c r="Y1757" s="54">
        <f>R1757*W1757</f>
        <v>11.9</v>
      </c>
      <c r="Z1757" s="52">
        <f>S1757*W1757</f>
        <v>10.625</v>
      </c>
      <c r="AA1757" s="52">
        <f>T1757*W1757</f>
        <v>1.2750000000000001</v>
      </c>
      <c r="AB1757" s="52">
        <f>V1757*W1757</f>
        <v>0</v>
      </c>
      <c r="AC1757" s="53">
        <f>(R1757+V1757)*W1757</f>
        <v>11.9</v>
      </c>
      <c r="AD1757" s="138">
        <v>11.9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107</v>
      </c>
      <c r="F1758" s="96" t="s">
        <v>113</v>
      </c>
      <c r="G1758" s="97">
        <v>46132</v>
      </c>
      <c r="H1758" s="98">
        <v>0.6417476851851852</v>
      </c>
      <c r="I1758" s="50">
        <v>166004782</v>
      </c>
      <c r="J1758" s="96" t="s">
        <v>157</v>
      </c>
      <c r="K1758" s="49" t="s">
        <v>2829</v>
      </c>
      <c r="L1758" s="39" t="s">
        <v>2830</v>
      </c>
      <c r="M1758" s="49" t="s">
        <v>429</v>
      </c>
      <c r="N1758" s="39" t="s">
        <v>747</v>
      </c>
      <c r="O1758" s="96" t="s">
        <v>2831</v>
      </c>
      <c r="P1758" s="49" t="s">
        <v>157</v>
      </c>
      <c r="Q1758" s="96" t="s">
        <v>104</v>
      </c>
      <c r="R1758" s="52">
        <v>13.9</v>
      </c>
      <c r="S1758" s="52">
        <f>R1758-T1758</f>
        <v>12.410714285714286</v>
      </c>
      <c r="T1758" s="52">
        <f>R1758*U1758/(U1758+100)</f>
        <v>1.4892857142857143</v>
      </c>
      <c r="U1758" s="50">
        <v>12</v>
      </c>
      <c r="V1758" s="53">
        <v>0</v>
      </c>
      <c r="W1758" s="147">
        <v>1</v>
      </c>
      <c r="X1758" s="148" t="s">
        <v>163</v>
      </c>
      <c r="Y1758" s="54">
        <f>R1758*W1758</f>
        <v>13.9</v>
      </c>
      <c r="Z1758" s="52">
        <f>S1758*W1758</f>
        <v>12.410714285714286</v>
      </c>
      <c r="AA1758" s="52">
        <f>T1758*W1758</f>
        <v>1.4892857142857143</v>
      </c>
      <c r="AB1758" s="52">
        <f>V1758*W1758</f>
        <v>0</v>
      </c>
      <c r="AC1758" s="53">
        <f>(R1758+V1758)*W1758</f>
        <v>13.9</v>
      </c>
      <c r="AD1758" s="138">
        <v>13.9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107</v>
      </c>
      <c r="F1759" s="96" t="s">
        <v>113</v>
      </c>
      <c r="G1759" s="97">
        <v>46132</v>
      </c>
      <c r="H1759" s="98">
        <v>0.6417476851851852</v>
      </c>
      <c r="I1759" s="50">
        <v>166004782</v>
      </c>
      <c r="J1759" s="96" t="s">
        <v>157</v>
      </c>
      <c r="K1759" s="49" t="s">
        <v>2832</v>
      </c>
      <c r="L1759" s="39" t="s">
        <v>2833</v>
      </c>
      <c r="M1759" s="49" t="s">
        <v>2619</v>
      </c>
      <c r="N1759" s="39" t="s">
        <v>2834</v>
      </c>
      <c r="O1759" s="96" t="s">
        <v>2835</v>
      </c>
      <c r="P1759" s="49" t="s">
        <v>157</v>
      </c>
      <c r="Q1759" s="96" t="s">
        <v>104</v>
      </c>
      <c r="R1759" s="52">
        <v>35.9</v>
      </c>
      <c r="S1759" s="52">
        <f>R1759-T1759</f>
        <v>32.05357142857143</v>
      </c>
      <c r="T1759" s="52">
        <f>R1759*U1759/(U1759+100)</f>
        <v>3.846428571428571</v>
      </c>
      <c r="U1759" s="50">
        <v>12</v>
      </c>
      <c r="V1759" s="53">
        <v>0</v>
      </c>
      <c r="W1759" s="147">
        <v>1</v>
      </c>
      <c r="X1759" s="148" t="s">
        <v>163</v>
      </c>
      <c r="Y1759" s="54">
        <f>R1759*W1759</f>
        <v>35.9</v>
      </c>
      <c r="Z1759" s="52">
        <f>S1759*W1759</f>
        <v>32.05357142857143</v>
      </c>
      <c r="AA1759" s="52">
        <f>T1759*W1759</f>
        <v>3.846428571428571</v>
      </c>
      <c r="AB1759" s="52">
        <f>V1759*W1759</f>
        <v>0</v>
      </c>
      <c r="AC1759" s="53">
        <f>(R1759+V1759)*W1759</f>
        <v>35.9</v>
      </c>
      <c r="AD1759" s="138">
        <v>35.9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107</v>
      </c>
      <c r="F1760" s="96" t="s">
        <v>113</v>
      </c>
      <c r="G1760" s="97">
        <v>46132</v>
      </c>
      <c r="H1760" s="98">
        <v>0.6417476851851852</v>
      </c>
      <c r="I1760" s="50">
        <v>166004782</v>
      </c>
      <c r="J1760" s="96" t="s">
        <v>157</v>
      </c>
      <c r="K1760" s="49" t="s">
        <v>884</v>
      </c>
      <c r="L1760" s="39" t="s">
        <v>885</v>
      </c>
      <c r="M1760" s="49" t="s">
        <v>886</v>
      </c>
      <c r="N1760" s="39" t="s">
        <v>309</v>
      </c>
      <c r="O1760" s="96" t="s">
        <v>1527</v>
      </c>
      <c r="P1760" s="49" t="s">
        <v>157</v>
      </c>
      <c r="Q1760" s="96" t="s">
        <v>104</v>
      </c>
      <c r="R1760" s="52">
        <v>16.9</v>
      </c>
      <c r="S1760" s="52">
        <f>R1760-T1760</f>
        <v>15.089285714285714</v>
      </c>
      <c r="T1760" s="52">
        <f>R1760*U1760/(U1760+100)</f>
        <v>1.8107142857142855</v>
      </c>
      <c r="U1760" s="50">
        <v>12</v>
      </c>
      <c r="V1760" s="53">
        <v>0</v>
      </c>
      <c r="W1760" s="147">
        <v>1</v>
      </c>
      <c r="X1760" s="148" t="s">
        <v>163</v>
      </c>
      <c r="Y1760" s="54">
        <f>R1760*W1760</f>
        <v>16.9</v>
      </c>
      <c r="Z1760" s="52">
        <f>S1760*W1760</f>
        <v>15.089285714285714</v>
      </c>
      <c r="AA1760" s="52">
        <f>T1760*W1760</f>
        <v>1.8107142857142855</v>
      </c>
      <c r="AB1760" s="52">
        <f>V1760*W1760</f>
        <v>0</v>
      </c>
      <c r="AC1760" s="53">
        <f>(R1760+V1760)*W1760</f>
        <v>16.9</v>
      </c>
      <c r="AD1760" s="138">
        <v>16.9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107</v>
      </c>
      <c r="F1761" s="96" t="s">
        <v>113</v>
      </c>
      <c r="G1761" s="97">
        <v>46132</v>
      </c>
      <c r="H1761" s="98">
        <v>0.6417476851851852</v>
      </c>
      <c r="I1761" s="50">
        <v>166004782</v>
      </c>
      <c r="J1761" s="96" t="s">
        <v>157</v>
      </c>
      <c r="K1761" s="49" t="s">
        <v>1888</v>
      </c>
      <c r="L1761" s="39" t="s">
        <v>1889</v>
      </c>
      <c r="M1761" s="49" t="s">
        <v>823</v>
      </c>
      <c r="N1761" s="39" t="s">
        <v>1890</v>
      </c>
      <c r="O1761" s="96" t="s">
        <v>1891</v>
      </c>
      <c r="P1761" s="49" t="s">
        <v>157</v>
      </c>
      <c r="Q1761" s="96" t="s">
        <v>104</v>
      </c>
      <c r="R1761" s="52">
        <v>23.9</v>
      </c>
      <c r="S1761" s="52">
        <f>R1761-T1761</f>
        <v>21.33928571428571</v>
      </c>
      <c r="T1761" s="52">
        <f>R1761*U1761/(U1761+100)</f>
        <v>2.5607142857142855</v>
      </c>
      <c r="U1761" s="50">
        <v>12</v>
      </c>
      <c r="V1761" s="53">
        <v>0</v>
      </c>
      <c r="W1761" s="147">
        <v>1</v>
      </c>
      <c r="X1761" s="148" t="s">
        <v>163</v>
      </c>
      <c r="Y1761" s="54">
        <f>R1761*W1761</f>
        <v>23.9</v>
      </c>
      <c r="Z1761" s="52">
        <f>S1761*W1761</f>
        <v>21.33928571428571</v>
      </c>
      <c r="AA1761" s="52">
        <f>T1761*W1761</f>
        <v>2.5607142857142855</v>
      </c>
      <c r="AB1761" s="52">
        <f>V1761*W1761</f>
        <v>0</v>
      </c>
      <c r="AC1761" s="53">
        <f>(R1761+V1761)*W1761</f>
        <v>23.9</v>
      </c>
      <c r="AD1761" s="138">
        <v>23.9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107</v>
      </c>
      <c r="F1762" s="96" t="s">
        <v>113</v>
      </c>
      <c r="G1762" s="97">
        <v>46132</v>
      </c>
      <c r="H1762" s="98">
        <v>0.6417476851851852</v>
      </c>
      <c r="I1762" s="50">
        <v>166004782</v>
      </c>
      <c r="J1762" s="96" t="s">
        <v>157</v>
      </c>
      <c r="K1762" s="49" t="s">
        <v>1606</v>
      </c>
      <c r="L1762" s="39" t="s">
        <v>1607</v>
      </c>
      <c r="M1762" s="49" t="s">
        <v>620</v>
      </c>
      <c r="N1762" s="39" t="s">
        <v>167</v>
      </c>
      <c r="O1762" s="96" t="s">
        <v>1608</v>
      </c>
      <c r="P1762" s="49" t="s">
        <v>157</v>
      </c>
      <c r="Q1762" s="96" t="s">
        <v>104</v>
      </c>
      <c r="R1762" s="52">
        <v>14.9</v>
      </c>
      <c r="S1762" s="52">
        <f>R1762-T1762</f>
        <v>12.31404958677686</v>
      </c>
      <c r="T1762" s="52">
        <f>R1762*U1762/(U1762+100)</f>
        <v>2.5859504132231406</v>
      </c>
      <c r="U1762" s="50">
        <v>21</v>
      </c>
      <c r="V1762" s="53">
        <v>0</v>
      </c>
      <c r="W1762" s="147">
        <v>1</v>
      </c>
      <c r="X1762" s="148" t="s">
        <v>163</v>
      </c>
      <c r="Y1762" s="54">
        <f>R1762*W1762</f>
        <v>14.9</v>
      </c>
      <c r="Z1762" s="52">
        <f>S1762*W1762</f>
        <v>12.31404958677686</v>
      </c>
      <c r="AA1762" s="52">
        <f>T1762*W1762</f>
        <v>2.5859504132231406</v>
      </c>
      <c r="AB1762" s="52">
        <f>V1762*W1762</f>
        <v>0</v>
      </c>
      <c r="AC1762" s="53">
        <f>(R1762+V1762)*W1762</f>
        <v>14.9</v>
      </c>
      <c r="AD1762" s="138">
        <v>14.9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107</v>
      </c>
      <c r="F1763" s="96" t="s">
        <v>113</v>
      </c>
      <c r="G1763" s="97">
        <v>46132</v>
      </c>
      <c r="H1763" s="98">
        <v>0.6417476851851852</v>
      </c>
      <c r="I1763" s="50">
        <v>166004782</v>
      </c>
      <c r="J1763" s="96" t="s">
        <v>157</v>
      </c>
      <c r="K1763" s="49" t="s">
        <v>1606</v>
      </c>
      <c r="L1763" s="39" t="s">
        <v>1607</v>
      </c>
      <c r="M1763" s="49" t="s">
        <v>620</v>
      </c>
      <c r="N1763" s="39" t="s">
        <v>167</v>
      </c>
      <c r="O1763" s="96" t="s">
        <v>1608</v>
      </c>
      <c r="P1763" s="49" t="s">
        <v>157</v>
      </c>
      <c r="Q1763" s="96" t="s">
        <v>104</v>
      </c>
      <c r="R1763" s="52">
        <v>14.9</v>
      </c>
      <c r="S1763" s="52">
        <f>R1763-T1763</f>
        <v>12.31404958677686</v>
      </c>
      <c r="T1763" s="52">
        <f>R1763*U1763/(U1763+100)</f>
        <v>2.5859504132231406</v>
      </c>
      <c r="U1763" s="50">
        <v>21</v>
      </c>
      <c r="V1763" s="53">
        <v>0</v>
      </c>
      <c r="W1763" s="147">
        <v>1</v>
      </c>
      <c r="X1763" s="148" t="s">
        <v>163</v>
      </c>
      <c r="Y1763" s="54">
        <f>R1763*W1763</f>
        <v>14.9</v>
      </c>
      <c r="Z1763" s="52">
        <f>S1763*W1763</f>
        <v>12.31404958677686</v>
      </c>
      <c r="AA1763" s="52">
        <f>T1763*W1763</f>
        <v>2.5859504132231406</v>
      </c>
      <c r="AB1763" s="52">
        <f>V1763*W1763</f>
        <v>0</v>
      </c>
      <c r="AC1763" s="53">
        <f>(R1763+V1763)*W1763</f>
        <v>14.9</v>
      </c>
      <c r="AD1763" s="138">
        <v>14.9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107</v>
      </c>
      <c r="F1764" s="96" t="s">
        <v>113</v>
      </c>
      <c r="G1764" s="97">
        <v>46132</v>
      </c>
      <c r="H1764" s="98">
        <v>0.6417476851851852</v>
      </c>
      <c r="I1764" s="50">
        <v>166004782</v>
      </c>
      <c r="J1764" s="96" t="s">
        <v>157</v>
      </c>
      <c r="K1764" s="49" t="s">
        <v>1275</v>
      </c>
      <c r="L1764" s="39" t="s">
        <v>1276</v>
      </c>
      <c r="M1764" s="49" t="s">
        <v>214</v>
      </c>
      <c r="N1764" s="39" t="s">
        <v>501</v>
      </c>
      <c r="O1764" s="96" t="s">
        <v>1277</v>
      </c>
      <c r="P1764" s="49" t="s">
        <v>157</v>
      </c>
      <c r="Q1764" s="96" t="s">
        <v>104</v>
      </c>
      <c r="R1764" s="52">
        <v>13.9</v>
      </c>
      <c r="S1764" s="52">
        <f>R1764-T1764</f>
        <v>12.410714285714286</v>
      </c>
      <c r="T1764" s="52">
        <f>R1764*U1764/(U1764+100)</f>
        <v>1.4892857142857143</v>
      </c>
      <c r="U1764" s="50">
        <v>12</v>
      </c>
      <c r="V1764" s="53">
        <v>0</v>
      </c>
      <c r="W1764" s="147">
        <v>4</v>
      </c>
      <c r="X1764" s="148" t="s">
        <v>163</v>
      </c>
      <c r="Y1764" s="54">
        <f>R1764*W1764</f>
        <v>55.6</v>
      </c>
      <c r="Z1764" s="52">
        <f>S1764*W1764</f>
        <v>49.642857142857146</v>
      </c>
      <c r="AA1764" s="52">
        <f>T1764*W1764</f>
        <v>5.957142857142857</v>
      </c>
      <c r="AB1764" s="52">
        <f>V1764*W1764</f>
        <v>0</v>
      </c>
      <c r="AC1764" s="53">
        <f>(R1764+V1764)*W1764</f>
        <v>55.6</v>
      </c>
      <c r="AD1764" s="138">
        <v>13.9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107</v>
      </c>
      <c r="F1765" s="96" t="s">
        <v>113</v>
      </c>
      <c r="G1765" s="97">
        <v>46132</v>
      </c>
      <c r="H1765" s="98">
        <v>0.6417476851851852</v>
      </c>
      <c r="I1765" s="50">
        <v>166004782</v>
      </c>
      <c r="J1765" s="96" t="s">
        <v>157</v>
      </c>
      <c r="K1765" s="49" t="s">
        <v>507</v>
      </c>
      <c r="L1765" s="39" t="s">
        <v>508</v>
      </c>
      <c r="M1765" s="49" t="s">
        <v>509</v>
      </c>
      <c r="N1765" s="39" t="s">
        <v>256</v>
      </c>
      <c r="O1765" s="96" t="s">
        <v>1024</v>
      </c>
      <c r="P1765" s="49" t="s">
        <v>235</v>
      </c>
      <c r="Q1765" s="96" t="s">
        <v>236</v>
      </c>
      <c r="R1765" s="52">
        <v>15.9</v>
      </c>
      <c r="S1765" s="52">
        <f>R1765-T1765</f>
        <v>13.140495867768596</v>
      </c>
      <c r="T1765" s="52">
        <f>R1765*U1765/(U1765+100)</f>
        <v>2.759504132231405</v>
      </c>
      <c r="U1765" s="50">
        <v>21</v>
      </c>
      <c r="V1765" s="53">
        <v>0</v>
      </c>
      <c r="W1765" s="147">
        <v>6</v>
      </c>
      <c r="X1765" s="148" t="s">
        <v>163</v>
      </c>
      <c r="Y1765" s="54">
        <f>R1765*W1765</f>
        <v>95.4</v>
      </c>
      <c r="Z1765" s="52">
        <f>S1765*W1765</f>
        <v>78.84297520661158</v>
      </c>
      <c r="AA1765" s="52">
        <f>T1765*W1765</f>
        <v>16.55702479338843</v>
      </c>
      <c r="AB1765" s="52">
        <f>V1765*W1765</f>
        <v>0</v>
      </c>
      <c r="AC1765" s="53">
        <f>(R1765+V1765)*W1765</f>
        <v>95.4</v>
      </c>
      <c r="AD1765" s="138">
        <v>15.9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107</v>
      </c>
      <c r="F1766" s="96" t="s">
        <v>113</v>
      </c>
      <c r="G1766" s="97">
        <v>46132</v>
      </c>
      <c r="H1766" s="98">
        <v>0.6417476851851852</v>
      </c>
      <c r="I1766" s="50">
        <v>166004782</v>
      </c>
      <c r="J1766" s="96" t="s">
        <v>157</v>
      </c>
      <c r="K1766" s="49" t="s">
        <v>1133</v>
      </c>
      <c r="L1766" s="39" t="s">
        <v>1134</v>
      </c>
      <c r="M1766" s="49" t="s">
        <v>649</v>
      </c>
      <c r="N1766" s="39" t="s">
        <v>440</v>
      </c>
      <c r="O1766" s="96" t="s">
        <v>1135</v>
      </c>
      <c r="P1766" s="49" t="s">
        <v>157</v>
      </c>
      <c r="Q1766" s="96" t="s">
        <v>104</v>
      </c>
      <c r="R1766" s="52">
        <v>125.93</v>
      </c>
      <c r="S1766" s="52">
        <f>R1766-T1766</f>
        <v>112.4375</v>
      </c>
      <c r="T1766" s="52">
        <f>R1766*U1766/(U1766+100)</f>
        <v>13.492500000000001</v>
      </c>
      <c r="U1766" s="50">
        <v>12</v>
      </c>
      <c r="V1766" s="53">
        <v>0</v>
      </c>
      <c r="W1766" s="147">
        <v>0.27</v>
      </c>
      <c r="X1766" s="148" t="s">
        <v>193</v>
      </c>
      <c r="Y1766" s="54">
        <f>R1766*W1766</f>
        <v>34.0011</v>
      </c>
      <c r="Z1766" s="52">
        <f>S1766*W1766</f>
        <v>30.358125</v>
      </c>
      <c r="AA1766" s="52">
        <f>T1766*W1766</f>
        <v>3.6429750000000007</v>
      </c>
      <c r="AB1766" s="52">
        <f>V1766*W1766</f>
        <v>0</v>
      </c>
      <c r="AC1766" s="53">
        <f>(R1766+V1766)*W1766</f>
        <v>34.0011</v>
      </c>
      <c r="AD1766" s="138">
        <v>179.9</v>
      </c>
      <c r="AE1766" s="137">
        <v>53.97</v>
      </c>
      <c r="AF1766" s="139">
        <v>14.5719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107</v>
      </c>
      <c r="F1767" s="96" t="s">
        <v>113</v>
      </c>
      <c r="G1767" s="97">
        <v>46132</v>
      </c>
      <c r="H1767" s="98">
        <v>0.6522337962962963</v>
      </c>
      <c r="I1767" s="50">
        <v>166004783</v>
      </c>
      <c r="J1767" s="96" t="s">
        <v>157</v>
      </c>
      <c r="K1767" s="49" t="s">
        <v>2653</v>
      </c>
      <c r="L1767" s="39" t="s">
        <v>2654</v>
      </c>
      <c r="M1767" s="49" t="s">
        <v>255</v>
      </c>
      <c r="N1767" s="39" t="s">
        <v>256</v>
      </c>
      <c r="O1767" s="96" t="s">
        <v>2655</v>
      </c>
      <c r="P1767" s="49" t="s">
        <v>157</v>
      </c>
      <c r="Q1767" s="96" t="s">
        <v>104</v>
      </c>
      <c r="R1767" s="52">
        <v>23.9</v>
      </c>
      <c r="S1767" s="52">
        <f>R1767-T1767</f>
        <v>19.752066115702476</v>
      </c>
      <c r="T1767" s="52">
        <f>R1767*U1767/(U1767+100)</f>
        <v>4.147933884297521</v>
      </c>
      <c r="U1767" s="50">
        <v>21</v>
      </c>
      <c r="V1767" s="53">
        <v>0</v>
      </c>
      <c r="W1767" s="147">
        <v>1</v>
      </c>
      <c r="X1767" s="148" t="s">
        <v>163</v>
      </c>
      <c r="Y1767" s="54">
        <f>R1767*W1767</f>
        <v>23.9</v>
      </c>
      <c r="Z1767" s="52">
        <f>S1767*W1767</f>
        <v>19.752066115702476</v>
      </c>
      <c r="AA1767" s="52">
        <f>T1767*W1767</f>
        <v>4.147933884297521</v>
      </c>
      <c r="AB1767" s="52">
        <f>V1767*W1767</f>
        <v>0</v>
      </c>
      <c r="AC1767" s="53">
        <f>(R1767+V1767)*W1767</f>
        <v>23.9</v>
      </c>
      <c r="AD1767" s="138">
        <v>23.9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107</v>
      </c>
      <c r="F1768" s="96" t="s">
        <v>113</v>
      </c>
      <c r="G1768" s="97">
        <v>46132</v>
      </c>
      <c r="H1768" s="98">
        <v>0.6522337962962963</v>
      </c>
      <c r="I1768" s="50">
        <v>166004783</v>
      </c>
      <c r="J1768" s="96" t="s">
        <v>157</v>
      </c>
      <c r="K1768" s="49" t="s">
        <v>2653</v>
      </c>
      <c r="L1768" s="39" t="s">
        <v>2654</v>
      </c>
      <c r="M1768" s="49" t="s">
        <v>255</v>
      </c>
      <c r="N1768" s="39" t="s">
        <v>256</v>
      </c>
      <c r="O1768" s="96" t="s">
        <v>2655</v>
      </c>
      <c r="P1768" s="49" t="s">
        <v>157</v>
      </c>
      <c r="Q1768" s="96" t="s">
        <v>104</v>
      </c>
      <c r="R1768" s="52">
        <v>23.9</v>
      </c>
      <c r="S1768" s="52">
        <f>R1768-T1768</f>
        <v>19.752066115702476</v>
      </c>
      <c r="T1768" s="52">
        <f>R1768*U1768/(U1768+100)</f>
        <v>4.147933884297521</v>
      </c>
      <c r="U1768" s="50">
        <v>21</v>
      </c>
      <c r="V1768" s="53">
        <v>0</v>
      </c>
      <c r="W1768" s="147">
        <v>1</v>
      </c>
      <c r="X1768" s="148" t="s">
        <v>163</v>
      </c>
      <c r="Y1768" s="54">
        <f>R1768*W1768</f>
        <v>23.9</v>
      </c>
      <c r="Z1768" s="52">
        <f>S1768*W1768</f>
        <v>19.752066115702476</v>
      </c>
      <c r="AA1768" s="52">
        <f>T1768*W1768</f>
        <v>4.147933884297521</v>
      </c>
      <c r="AB1768" s="52">
        <f>V1768*W1768</f>
        <v>0</v>
      </c>
      <c r="AC1768" s="53">
        <f>(R1768+V1768)*W1768</f>
        <v>23.9</v>
      </c>
      <c r="AD1768" s="138">
        <v>23.9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107</v>
      </c>
      <c r="F1769" s="96" t="s">
        <v>113</v>
      </c>
      <c r="G1769" s="97">
        <v>46132</v>
      </c>
      <c r="H1769" s="98">
        <v>0.6522337962962963</v>
      </c>
      <c r="I1769" s="50">
        <v>166004783</v>
      </c>
      <c r="J1769" s="96" t="s">
        <v>157</v>
      </c>
      <c r="K1769" s="49" t="s">
        <v>2653</v>
      </c>
      <c r="L1769" s="39" t="s">
        <v>2654</v>
      </c>
      <c r="M1769" s="49" t="s">
        <v>255</v>
      </c>
      <c r="N1769" s="39" t="s">
        <v>256</v>
      </c>
      <c r="O1769" s="96" t="s">
        <v>2655</v>
      </c>
      <c r="P1769" s="49" t="s">
        <v>157</v>
      </c>
      <c r="Q1769" s="96" t="s">
        <v>104</v>
      </c>
      <c r="R1769" s="52">
        <v>23.9</v>
      </c>
      <c r="S1769" s="52">
        <f>R1769-T1769</f>
        <v>19.752066115702476</v>
      </c>
      <c r="T1769" s="52">
        <f>R1769*U1769/(U1769+100)</f>
        <v>4.147933884297521</v>
      </c>
      <c r="U1769" s="50">
        <v>21</v>
      </c>
      <c r="V1769" s="53">
        <v>0</v>
      </c>
      <c r="W1769" s="147">
        <v>1</v>
      </c>
      <c r="X1769" s="148" t="s">
        <v>163</v>
      </c>
      <c r="Y1769" s="54">
        <f>R1769*W1769</f>
        <v>23.9</v>
      </c>
      <c r="Z1769" s="52">
        <f>S1769*W1769</f>
        <v>19.752066115702476</v>
      </c>
      <c r="AA1769" s="52">
        <f>T1769*W1769</f>
        <v>4.147933884297521</v>
      </c>
      <c r="AB1769" s="52">
        <f>V1769*W1769</f>
        <v>0</v>
      </c>
      <c r="AC1769" s="53">
        <f>(R1769+V1769)*W1769</f>
        <v>23.9</v>
      </c>
      <c r="AD1769" s="138">
        <v>23.9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107</v>
      </c>
      <c r="F1770" s="96" t="s">
        <v>113</v>
      </c>
      <c r="G1770" s="97">
        <v>46132</v>
      </c>
      <c r="H1770" s="98">
        <v>0.6522337962962963</v>
      </c>
      <c r="I1770" s="50">
        <v>166004783</v>
      </c>
      <c r="J1770" s="96" t="s">
        <v>157</v>
      </c>
      <c r="K1770" s="49" t="s">
        <v>2836</v>
      </c>
      <c r="L1770" s="39" t="s">
        <v>2837</v>
      </c>
      <c r="M1770" s="49" t="s">
        <v>972</v>
      </c>
      <c r="N1770" s="39" t="s">
        <v>256</v>
      </c>
      <c r="O1770" s="96" t="s">
        <v>2838</v>
      </c>
      <c r="P1770" s="49" t="s">
        <v>157</v>
      </c>
      <c r="Q1770" s="96" t="s">
        <v>104</v>
      </c>
      <c r="R1770" s="52">
        <v>21.9</v>
      </c>
      <c r="S1770" s="52">
        <f>R1770-T1770</f>
        <v>18.099173553719005</v>
      </c>
      <c r="T1770" s="52">
        <f>R1770*U1770/(U1770+100)</f>
        <v>3.8008264462809915</v>
      </c>
      <c r="U1770" s="50">
        <v>21</v>
      </c>
      <c r="V1770" s="53">
        <v>0</v>
      </c>
      <c r="W1770" s="147">
        <v>1</v>
      </c>
      <c r="X1770" s="148" t="s">
        <v>163</v>
      </c>
      <c r="Y1770" s="54">
        <f>R1770*W1770</f>
        <v>21.9</v>
      </c>
      <c r="Z1770" s="52">
        <f>S1770*W1770</f>
        <v>18.099173553719005</v>
      </c>
      <c r="AA1770" s="52">
        <f>T1770*W1770</f>
        <v>3.8008264462809915</v>
      </c>
      <c r="AB1770" s="52">
        <f>V1770*W1770</f>
        <v>0</v>
      </c>
      <c r="AC1770" s="53">
        <f>(R1770+V1770)*W1770</f>
        <v>21.9</v>
      </c>
      <c r="AD1770" s="138">
        <v>21.9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107</v>
      </c>
      <c r="F1771" s="96" t="s">
        <v>113</v>
      </c>
      <c r="G1771" s="97">
        <v>46132</v>
      </c>
      <c r="H1771" s="98">
        <v>0.6522337962962963</v>
      </c>
      <c r="I1771" s="50">
        <v>166004783</v>
      </c>
      <c r="J1771" s="96" t="s">
        <v>157</v>
      </c>
      <c r="K1771" s="49" t="s">
        <v>2836</v>
      </c>
      <c r="L1771" s="39" t="s">
        <v>2837</v>
      </c>
      <c r="M1771" s="49" t="s">
        <v>972</v>
      </c>
      <c r="N1771" s="39" t="s">
        <v>256</v>
      </c>
      <c r="O1771" s="96" t="s">
        <v>2838</v>
      </c>
      <c r="P1771" s="49" t="s">
        <v>157</v>
      </c>
      <c r="Q1771" s="96" t="s">
        <v>104</v>
      </c>
      <c r="R1771" s="52">
        <v>21.9</v>
      </c>
      <c r="S1771" s="52">
        <f>R1771-T1771</f>
        <v>18.099173553719005</v>
      </c>
      <c r="T1771" s="52">
        <f>R1771*U1771/(U1771+100)</f>
        <v>3.8008264462809915</v>
      </c>
      <c r="U1771" s="50">
        <v>21</v>
      </c>
      <c r="V1771" s="53">
        <v>0</v>
      </c>
      <c r="W1771" s="147">
        <v>1</v>
      </c>
      <c r="X1771" s="148" t="s">
        <v>163</v>
      </c>
      <c r="Y1771" s="54">
        <f>R1771*W1771</f>
        <v>21.9</v>
      </c>
      <c r="Z1771" s="52">
        <f>S1771*W1771</f>
        <v>18.099173553719005</v>
      </c>
      <c r="AA1771" s="52">
        <f>T1771*W1771</f>
        <v>3.8008264462809915</v>
      </c>
      <c r="AB1771" s="52">
        <f>V1771*W1771</f>
        <v>0</v>
      </c>
      <c r="AC1771" s="53">
        <f>(R1771+V1771)*W1771</f>
        <v>21.9</v>
      </c>
      <c r="AD1771" s="138">
        <v>21.9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107</v>
      </c>
      <c r="F1772" s="96" t="s">
        <v>113</v>
      </c>
      <c r="G1772" s="97">
        <v>46132</v>
      </c>
      <c r="H1772" s="98">
        <v>0.6522337962962963</v>
      </c>
      <c r="I1772" s="50">
        <v>166004783</v>
      </c>
      <c r="J1772" s="96" t="s">
        <v>157</v>
      </c>
      <c r="K1772" s="49" t="s">
        <v>2836</v>
      </c>
      <c r="L1772" s="39" t="s">
        <v>2837</v>
      </c>
      <c r="M1772" s="49" t="s">
        <v>972</v>
      </c>
      <c r="N1772" s="39" t="s">
        <v>256</v>
      </c>
      <c r="O1772" s="96" t="s">
        <v>2838</v>
      </c>
      <c r="P1772" s="49" t="s">
        <v>157</v>
      </c>
      <c r="Q1772" s="96" t="s">
        <v>104</v>
      </c>
      <c r="R1772" s="52">
        <v>21.9</v>
      </c>
      <c r="S1772" s="52">
        <f>R1772-T1772</f>
        <v>18.099173553719005</v>
      </c>
      <c r="T1772" s="52">
        <f>R1772*U1772/(U1772+100)</f>
        <v>3.8008264462809915</v>
      </c>
      <c r="U1772" s="50">
        <v>21</v>
      </c>
      <c r="V1772" s="53">
        <v>0</v>
      </c>
      <c r="W1772" s="147">
        <v>1</v>
      </c>
      <c r="X1772" s="148" t="s">
        <v>163</v>
      </c>
      <c r="Y1772" s="54">
        <f>R1772*W1772</f>
        <v>21.9</v>
      </c>
      <c r="Z1772" s="52">
        <f>S1772*W1772</f>
        <v>18.099173553719005</v>
      </c>
      <c r="AA1772" s="52">
        <f>T1772*W1772</f>
        <v>3.8008264462809915</v>
      </c>
      <c r="AB1772" s="52">
        <f>V1772*W1772</f>
        <v>0</v>
      </c>
      <c r="AC1772" s="53">
        <f>(R1772+V1772)*W1772</f>
        <v>21.9</v>
      </c>
      <c r="AD1772" s="138">
        <v>21.9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107</v>
      </c>
      <c r="F1773" s="96" t="s">
        <v>113</v>
      </c>
      <c r="G1773" s="97">
        <v>46132</v>
      </c>
      <c r="H1773" s="98">
        <v>0.6522337962962963</v>
      </c>
      <c r="I1773" s="50">
        <v>166004783</v>
      </c>
      <c r="J1773" s="96" t="s">
        <v>157</v>
      </c>
      <c r="K1773" s="49" t="s">
        <v>2836</v>
      </c>
      <c r="L1773" s="39" t="s">
        <v>2837</v>
      </c>
      <c r="M1773" s="49" t="s">
        <v>972</v>
      </c>
      <c r="N1773" s="39" t="s">
        <v>256</v>
      </c>
      <c r="O1773" s="96" t="s">
        <v>2838</v>
      </c>
      <c r="P1773" s="49" t="s">
        <v>157</v>
      </c>
      <c r="Q1773" s="96" t="s">
        <v>104</v>
      </c>
      <c r="R1773" s="52">
        <v>21.9</v>
      </c>
      <c r="S1773" s="52">
        <f>R1773-T1773</f>
        <v>18.099173553719005</v>
      </c>
      <c r="T1773" s="52">
        <f>R1773*U1773/(U1773+100)</f>
        <v>3.8008264462809915</v>
      </c>
      <c r="U1773" s="50">
        <v>21</v>
      </c>
      <c r="V1773" s="53">
        <v>0</v>
      </c>
      <c r="W1773" s="147">
        <v>1</v>
      </c>
      <c r="X1773" s="148" t="s">
        <v>163</v>
      </c>
      <c r="Y1773" s="54">
        <f>R1773*W1773</f>
        <v>21.9</v>
      </c>
      <c r="Z1773" s="52">
        <f>S1773*W1773</f>
        <v>18.099173553719005</v>
      </c>
      <c r="AA1773" s="52">
        <f>T1773*W1773</f>
        <v>3.8008264462809915</v>
      </c>
      <c r="AB1773" s="52">
        <f>V1773*W1773</f>
        <v>0</v>
      </c>
      <c r="AC1773" s="53">
        <f>(R1773+V1773)*W1773</f>
        <v>21.9</v>
      </c>
      <c r="AD1773" s="138">
        <v>21.9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107</v>
      </c>
      <c r="F1774" s="96" t="s">
        <v>113</v>
      </c>
      <c r="G1774" s="97">
        <v>46132</v>
      </c>
      <c r="H1774" s="98">
        <v>0.6522337962962963</v>
      </c>
      <c r="I1774" s="50">
        <v>166004783</v>
      </c>
      <c r="J1774" s="96" t="s">
        <v>157</v>
      </c>
      <c r="K1774" s="49" t="s">
        <v>2839</v>
      </c>
      <c r="L1774" s="39" t="s">
        <v>2840</v>
      </c>
      <c r="M1774" s="49" t="s">
        <v>862</v>
      </c>
      <c r="N1774" s="39" t="s">
        <v>863</v>
      </c>
      <c r="O1774" s="96" t="s">
        <v>2841</v>
      </c>
      <c r="P1774" s="49" t="s">
        <v>157</v>
      </c>
      <c r="Q1774" s="96" t="s">
        <v>104</v>
      </c>
      <c r="R1774" s="52">
        <v>161</v>
      </c>
      <c r="S1774" s="52">
        <f>R1774-T1774</f>
        <v>133.05785123966942</v>
      </c>
      <c r="T1774" s="52">
        <f>R1774*U1774/(U1774+100)</f>
        <v>27.94214876033058</v>
      </c>
      <c r="U1774" s="50">
        <v>21</v>
      </c>
      <c r="V1774" s="53">
        <v>0</v>
      </c>
      <c r="W1774" s="147">
        <v>1</v>
      </c>
      <c r="X1774" s="148" t="s">
        <v>163</v>
      </c>
      <c r="Y1774" s="54">
        <f>R1774*W1774</f>
        <v>161</v>
      </c>
      <c r="Z1774" s="52">
        <f>S1774*W1774</f>
        <v>133.05785123966942</v>
      </c>
      <c r="AA1774" s="52">
        <f>T1774*W1774</f>
        <v>27.94214876033058</v>
      </c>
      <c r="AB1774" s="52">
        <f>V1774*W1774</f>
        <v>0</v>
      </c>
      <c r="AC1774" s="53">
        <f>(R1774+V1774)*W1774</f>
        <v>161</v>
      </c>
      <c r="AD1774" s="138">
        <v>161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107</v>
      </c>
      <c r="F1775" s="96" t="s">
        <v>113</v>
      </c>
      <c r="G1775" s="97">
        <v>46132</v>
      </c>
      <c r="H1775" s="98">
        <v>0.6522337962962963</v>
      </c>
      <c r="I1775" s="50">
        <v>166004783</v>
      </c>
      <c r="J1775" s="96" t="s">
        <v>157</v>
      </c>
      <c r="K1775" s="49" t="s">
        <v>2839</v>
      </c>
      <c r="L1775" s="39" t="s">
        <v>2840</v>
      </c>
      <c r="M1775" s="49" t="s">
        <v>862</v>
      </c>
      <c r="N1775" s="39" t="s">
        <v>863</v>
      </c>
      <c r="O1775" s="96" t="s">
        <v>2841</v>
      </c>
      <c r="P1775" s="49" t="s">
        <v>157</v>
      </c>
      <c r="Q1775" s="96" t="s">
        <v>104</v>
      </c>
      <c r="R1775" s="52">
        <v>161</v>
      </c>
      <c r="S1775" s="52">
        <f>R1775-T1775</f>
        <v>133.05785123966942</v>
      </c>
      <c r="T1775" s="52">
        <f>R1775*U1775/(U1775+100)</f>
        <v>27.94214876033058</v>
      </c>
      <c r="U1775" s="50">
        <v>21</v>
      </c>
      <c r="V1775" s="53">
        <v>0</v>
      </c>
      <c r="W1775" s="147">
        <v>1</v>
      </c>
      <c r="X1775" s="148" t="s">
        <v>163</v>
      </c>
      <c r="Y1775" s="54">
        <f>R1775*W1775</f>
        <v>161</v>
      </c>
      <c r="Z1775" s="52">
        <f>S1775*W1775</f>
        <v>133.05785123966942</v>
      </c>
      <c r="AA1775" s="52">
        <f>T1775*W1775</f>
        <v>27.94214876033058</v>
      </c>
      <c r="AB1775" s="52">
        <f>V1775*W1775</f>
        <v>0</v>
      </c>
      <c r="AC1775" s="53">
        <f>(R1775+V1775)*W1775</f>
        <v>161</v>
      </c>
      <c r="AD1775" s="138">
        <v>161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107</v>
      </c>
      <c r="F1776" s="96" t="s">
        <v>113</v>
      </c>
      <c r="G1776" s="97">
        <v>46132</v>
      </c>
      <c r="H1776" s="98">
        <v>0.6522337962962963</v>
      </c>
      <c r="I1776" s="50">
        <v>166004783</v>
      </c>
      <c r="J1776" s="96" t="s">
        <v>157</v>
      </c>
      <c r="K1776" s="49" t="s">
        <v>183</v>
      </c>
      <c r="L1776" s="39" t="s">
        <v>184</v>
      </c>
      <c r="M1776" s="49" t="s">
        <v>185</v>
      </c>
      <c r="N1776" s="39" t="s">
        <v>186</v>
      </c>
      <c r="O1776" s="96" t="s">
        <v>988</v>
      </c>
      <c r="P1776" s="49" t="s">
        <v>157</v>
      </c>
      <c r="Q1776" s="96" t="s">
        <v>104</v>
      </c>
      <c r="R1776" s="52">
        <v>1.9</v>
      </c>
      <c r="S1776" s="52">
        <f>R1776-T1776</f>
        <v>1.5702479338842974</v>
      </c>
      <c r="T1776" s="52">
        <f>R1776*U1776/(U1776+100)</f>
        <v>0.32975206611570246</v>
      </c>
      <c r="U1776" s="50">
        <v>21</v>
      </c>
      <c r="V1776" s="53">
        <v>0</v>
      </c>
      <c r="W1776" s="147">
        <v>1</v>
      </c>
      <c r="X1776" s="148" t="s">
        <v>163</v>
      </c>
      <c r="Y1776" s="54">
        <f>R1776*W1776</f>
        <v>1.9</v>
      </c>
      <c r="Z1776" s="52">
        <f>S1776*W1776</f>
        <v>1.5702479338842974</v>
      </c>
      <c r="AA1776" s="52">
        <f>T1776*W1776</f>
        <v>0.32975206611570246</v>
      </c>
      <c r="AB1776" s="52">
        <f>V1776*W1776</f>
        <v>0</v>
      </c>
      <c r="AC1776" s="53">
        <f>(R1776+V1776)*W1776</f>
        <v>1.9</v>
      </c>
      <c r="AD1776" s="138">
        <v>1.9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107</v>
      </c>
      <c r="F1777" s="96" t="s">
        <v>113</v>
      </c>
      <c r="G1777" s="97">
        <v>46132</v>
      </c>
      <c r="H1777" s="98">
        <v>0.6539236111111111</v>
      </c>
      <c r="I1777" s="50">
        <v>166004784</v>
      </c>
      <c r="J1777" s="96" t="s">
        <v>157</v>
      </c>
      <c r="K1777" s="49" t="s">
        <v>2842</v>
      </c>
      <c r="L1777" s="39" t="s">
        <v>2843</v>
      </c>
      <c r="M1777" s="49" t="s">
        <v>166</v>
      </c>
      <c r="N1777" s="39" t="s">
        <v>1042</v>
      </c>
      <c r="O1777" s="96" t="s">
        <v>2844</v>
      </c>
      <c r="P1777" s="49" t="s">
        <v>157</v>
      </c>
      <c r="Q1777" s="96" t="s">
        <v>104</v>
      </c>
      <c r="R1777" s="52">
        <v>18.9</v>
      </c>
      <c r="S1777" s="52">
        <f>R1777-T1777</f>
        <v>16.875</v>
      </c>
      <c r="T1777" s="52">
        <f>R1777*U1777/(U1777+100)</f>
        <v>2.025</v>
      </c>
      <c r="U1777" s="50">
        <v>12</v>
      </c>
      <c r="V1777" s="53">
        <v>0</v>
      </c>
      <c r="W1777" s="147">
        <v>1</v>
      </c>
      <c r="X1777" s="148" t="s">
        <v>163</v>
      </c>
      <c r="Y1777" s="54">
        <f>R1777*W1777</f>
        <v>18.9</v>
      </c>
      <c r="Z1777" s="52">
        <f>S1777*W1777</f>
        <v>16.875</v>
      </c>
      <c r="AA1777" s="52">
        <f>T1777*W1777</f>
        <v>2.025</v>
      </c>
      <c r="AB1777" s="52">
        <f>V1777*W1777</f>
        <v>0</v>
      </c>
      <c r="AC1777" s="53">
        <f>(R1777+V1777)*W1777</f>
        <v>18.9</v>
      </c>
      <c r="AD1777" s="138">
        <v>18.9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107</v>
      </c>
      <c r="F1778" s="96" t="s">
        <v>113</v>
      </c>
      <c r="G1778" s="97">
        <v>46132</v>
      </c>
      <c r="H1778" s="98">
        <v>0.6539236111111111</v>
      </c>
      <c r="I1778" s="50">
        <v>166004784</v>
      </c>
      <c r="J1778" s="96" t="s">
        <v>157</v>
      </c>
      <c r="K1778" s="49" t="s">
        <v>2842</v>
      </c>
      <c r="L1778" s="39" t="s">
        <v>2843</v>
      </c>
      <c r="M1778" s="49" t="s">
        <v>166</v>
      </c>
      <c r="N1778" s="39" t="s">
        <v>1042</v>
      </c>
      <c r="O1778" s="96" t="s">
        <v>2844</v>
      </c>
      <c r="P1778" s="49" t="s">
        <v>157</v>
      </c>
      <c r="Q1778" s="96" t="s">
        <v>104</v>
      </c>
      <c r="R1778" s="52">
        <v>18.9</v>
      </c>
      <c r="S1778" s="52">
        <f>R1778-T1778</f>
        <v>16.875</v>
      </c>
      <c r="T1778" s="52">
        <f>R1778*U1778/(U1778+100)</f>
        <v>2.025</v>
      </c>
      <c r="U1778" s="50">
        <v>12</v>
      </c>
      <c r="V1778" s="53">
        <v>0</v>
      </c>
      <c r="W1778" s="147">
        <v>1</v>
      </c>
      <c r="X1778" s="148" t="s">
        <v>163</v>
      </c>
      <c r="Y1778" s="54">
        <f>R1778*W1778</f>
        <v>18.9</v>
      </c>
      <c r="Z1778" s="52">
        <f>S1778*W1778</f>
        <v>16.875</v>
      </c>
      <c r="AA1778" s="52">
        <f>T1778*W1778</f>
        <v>2.025</v>
      </c>
      <c r="AB1778" s="52">
        <f>V1778*W1778</f>
        <v>0</v>
      </c>
      <c r="AC1778" s="53">
        <f>(R1778+V1778)*W1778</f>
        <v>18.9</v>
      </c>
      <c r="AD1778" s="138">
        <v>18.9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107</v>
      </c>
      <c r="F1779" s="96" t="s">
        <v>113</v>
      </c>
      <c r="G1779" s="97">
        <v>46132</v>
      </c>
      <c r="H1779" s="98">
        <v>0.6539236111111111</v>
      </c>
      <c r="I1779" s="50">
        <v>166004784</v>
      </c>
      <c r="J1779" s="96" t="s">
        <v>157</v>
      </c>
      <c r="K1779" s="49" t="s">
        <v>2845</v>
      </c>
      <c r="L1779" s="39" t="s">
        <v>2846</v>
      </c>
      <c r="M1779" s="49" t="s">
        <v>2847</v>
      </c>
      <c r="N1779" s="39" t="s">
        <v>1890</v>
      </c>
      <c r="O1779" s="96" t="s">
        <v>2848</v>
      </c>
      <c r="P1779" s="49" t="s">
        <v>157</v>
      </c>
      <c r="Q1779" s="96" t="s">
        <v>104</v>
      </c>
      <c r="R1779" s="52">
        <v>34.9</v>
      </c>
      <c r="S1779" s="52">
        <f>R1779-T1779</f>
        <v>31.160714285714285</v>
      </c>
      <c r="T1779" s="52">
        <f>R1779*U1779/(U1779+100)</f>
        <v>3.739285714285714</v>
      </c>
      <c r="U1779" s="50">
        <v>12</v>
      </c>
      <c r="V1779" s="53">
        <v>0</v>
      </c>
      <c r="W1779" s="147">
        <v>1</v>
      </c>
      <c r="X1779" s="148" t="s">
        <v>163</v>
      </c>
      <c r="Y1779" s="54">
        <f>R1779*W1779</f>
        <v>34.9</v>
      </c>
      <c r="Z1779" s="52">
        <f>S1779*W1779</f>
        <v>31.160714285714285</v>
      </c>
      <c r="AA1779" s="52">
        <f>T1779*W1779</f>
        <v>3.739285714285714</v>
      </c>
      <c r="AB1779" s="52">
        <f>V1779*W1779</f>
        <v>0</v>
      </c>
      <c r="AC1779" s="53">
        <f>(R1779+V1779)*W1779</f>
        <v>34.9</v>
      </c>
      <c r="AD1779" s="138">
        <v>34.9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107</v>
      </c>
      <c r="F1780" s="96" t="s">
        <v>113</v>
      </c>
      <c r="G1780" s="97">
        <v>46132</v>
      </c>
      <c r="H1780" s="98">
        <v>0.6539236111111111</v>
      </c>
      <c r="I1780" s="50">
        <v>166004784</v>
      </c>
      <c r="J1780" s="96" t="s">
        <v>157</v>
      </c>
      <c r="K1780" s="49" t="s">
        <v>2849</v>
      </c>
      <c r="L1780" s="39" t="s">
        <v>2850</v>
      </c>
      <c r="M1780" s="49" t="s">
        <v>620</v>
      </c>
      <c r="N1780" s="39" t="s">
        <v>481</v>
      </c>
      <c r="O1780" s="96" t="s">
        <v>2851</v>
      </c>
      <c r="P1780" s="49" t="s">
        <v>157</v>
      </c>
      <c r="Q1780" s="96" t="s">
        <v>104</v>
      </c>
      <c r="R1780" s="52">
        <v>16.9</v>
      </c>
      <c r="S1780" s="52">
        <f>R1780-T1780</f>
        <v>15.089285714285714</v>
      </c>
      <c r="T1780" s="52">
        <f>R1780*U1780/(U1780+100)</f>
        <v>1.8107142857142855</v>
      </c>
      <c r="U1780" s="50">
        <v>12</v>
      </c>
      <c r="V1780" s="53">
        <v>0</v>
      </c>
      <c r="W1780" s="147">
        <v>1</v>
      </c>
      <c r="X1780" s="148" t="s">
        <v>163</v>
      </c>
      <c r="Y1780" s="54">
        <f>R1780*W1780</f>
        <v>16.9</v>
      </c>
      <c r="Z1780" s="52">
        <f>S1780*W1780</f>
        <v>15.089285714285714</v>
      </c>
      <c r="AA1780" s="52">
        <f>T1780*W1780</f>
        <v>1.8107142857142855</v>
      </c>
      <c r="AB1780" s="52">
        <f>V1780*W1780</f>
        <v>0</v>
      </c>
      <c r="AC1780" s="53">
        <f>(R1780+V1780)*W1780</f>
        <v>16.9</v>
      </c>
      <c r="AD1780" s="138">
        <v>16.9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107</v>
      </c>
      <c r="F1781" s="96" t="s">
        <v>113</v>
      </c>
      <c r="G1781" s="97">
        <v>46132</v>
      </c>
      <c r="H1781" s="98">
        <v>0.6539236111111111</v>
      </c>
      <c r="I1781" s="50">
        <v>166004784</v>
      </c>
      <c r="J1781" s="96" t="s">
        <v>157</v>
      </c>
      <c r="K1781" s="49" t="s">
        <v>2852</v>
      </c>
      <c r="L1781" s="39" t="s">
        <v>104</v>
      </c>
      <c r="M1781" s="49" t="s">
        <v>190</v>
      </c>
      <c r="N1781" s="39" t="s">
        <v>462</v>
      </c>
      <c r="O1781" s="96" t="s">
        <v>2853</v>
      </c>
      <c r="P1781" s="49" t="s">
        <v>157</v>
      </c>
      <c r="Q1781" s="96" t="s">
        <v>104</v>
      </c>
      <c r="R1781" s="52">
        <v>16.9</v>
      </c>
      <c r="S1781" s="52">
        <f>R1781-T1781</f>
        <v>15.089285714285714</v>
      </c>
      <c r="T1781" s="52">
        <f>R1781*U1781/(U1781+100)</f>
        <v>1.8107142857142855</v>
      </c>
      <c r="U1781" s="50">
        <v>12</v>
      </c>
      <c r="V1781" s="53">
        <v>0</v>
      </c>
      <c r="W1781" s="147">
        <v>1</v>
      </c>
      <c r="X1781" s="148" t="s">
        <v>163</v>
      </c>
      <c r="Y1781" s="54">
        <f>R1781*W1781</f>
        <v>16.9</v>
      </c>
      <c r="Z1781" s="52">
        <f>S1781*W1781</f>
        <v>15.089285714285714</v>
      </c>
      <c r="AA1781" s="52">
        <f>T1781*W1781</f>
        <v>1.8107142857142855</v>
      </c>
      <c r="AB1781" s="52">
        <f>V1781*W1781</f>
        <v>0</v>
      </c>
      <c r="AC1781" s="53">
        <f>(R1781+V1781)*W1781</f>
        <v>16.9</v>
      </c>
      <c r="AD1781" s="138">
        <v>16.9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107</v>
      </c>
      <c r="F1782" s="96" t="s">
        <v>113</v>
      </c>
      <c r="G1782" s="97">
        <v>46132</v>
      </c>
      <c r="H1782" s="98">
        <v>0.6539236111111111</v>
      </c>
      <c r="I1782" s="50">
        <v>166004784</v>
      </c>
      <c r="J1782" s="96" t="s">
        <v>157</v>
      </c>
      <c r="K1782" s="49" t="s">
        <v>711</v>
      </c>
      <c r="L1782" s="39" t="s">
        <v>712</v>
      </c>
      <c r="M1782" s="49" t="s">
        <v>190</v>
      </c>
      <c r="N1782" s="39" t="s">
        <v>532</v>
      </c>
      <c r="O1782" s="96" t="s">
        <v>713</v>
      </c>
      <c r="P1782" s="49" t="s">
        <v>235</v>
      </c>
      <c r="Q1782" s="96" t="s">
        <v>236</v>
      </c>
      <c r="R1782" s="52">
        <v>27.9</v>
      </c>
      <c r="S1782" s="52">
        <f>R1782-T1782</f>
        <v>24.910714285714285</v>
      </c>
      <c r="T1782" s="52">
        <f>R1782*U1782/(U1782+100)</f>
        <v>2.989285714285714</v>
      </c>
      <c r="U1782" s="50">
        <v>12</v>
      </c>
      <c r="V1782" s="53">
        <v>0</v>
      </c>
      <c r="W1782" s="147">
        <v>0.62</v>
      </c>
      <c r="X1782" s="148" t="s">
        <v>193</v>
      </c>
      <c r="Y1782" s="54">
        <f>R1782*W1782</f>
        <v>17.298</v>
      </c>
      <c r="Z1782" s="52">
        <f>S1782*W1782</f>
        <v>15.444642857142856</v>
      </c>
      <c r="AA1782" s="52">
        <f>T1782*W1782</f>
        <v>1.8533571428571427</v>
      </c>
      <c r="AB1782" s="52">
        <f>V1782*W1782</f>
        <v>0</v>
      </c>
      <c r="AC1782" s="53">
        <f>(R1782+V1782)*W1782</f>
        <v>17.298</v>
      </c>
      <c r="AD1782" s="138">
        <v>27.9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107</v>
      </c>
      <c r="F1783" s="96" t="s">
        <v>113</v>
      </c>
      <c r="G1783" s="97">
        <v>46132</v>
      </c>
      <c r="H1783" s="98">
        <v>0.6539236111111111</v>
      </c>
      <c r="I1783" s="50">
        <v>166004784</v>
      </c>
      <c r="J1783" s="96" t="s">
        <v>157</v>
      </c>
      <c r="K1783" s="49" t="s">
        <v>303</v>
      </c>
      <c r="L1783" s="39" t="s">
        <v>304</v>
      </c>
      <c r="M1783" s="49" t="s">
        <v>214</v>
      </c>
      <c r="N1783" s="39" t="s">
        <v>296</v>
      </c>
      <c r="O1783" s="96" t="s">
        <v>305</v>
      </c>
      <c r="P1783" s="49" t="s">
        <v>157</v>
      </c>
      <c r="Q1783" s="96" t="s">
        <v>104</v>
      </c>
      <c r="R1783" s="52">
        <v>11.9</v>
      </c>
      <c r="S1783" s="52">
        <f>R1783-T1783</f>
        <v>10.625</v>
      </c>
      <c r="T1783" s="52">
        <f>R1783*U1783/(U1783+100)</f>
        <v>1.2750000000000001</v>
      </c>
      <c r="U1783" s="50">
        <v>12</v>
      </c>
      <c r="V1783" s="53">
        <v>0</v>
      </c>
      <c r="W1783" s="147">
        <v>2</v>
      </c>
      <c r="X1783" s="148" t="s">
        <v>163</v>
      </c>
      <c r="Y1783" s="54">
        <f>R1783*W1783</f>
        <v>23.8</v>
      </c>
      <c r="Z1783" s="52">
        <f>S1783*W1783</f>
        <v>21.25</v>
      </c>
      <c r="AA1783" s="52">
        <f>T1783*W1783</f>
        <v>2.5500000000000003</v>
      </c>
      <c r="AB1783" s="52">
        <f>V1783*W1783</f>
        <v>0</v>
      </c>
      <c r="AC1783" s="53">
        <f>(R1783+V1783)*W1783</f>
        <v>23.8</v>
      </c>
      <c r="AD1783" s="138">
        <v>11.9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107</v>
      </c>
      <c r="F1784" s="96" t="s">
        <v>113</v>
      </c>
      <c r="G1784" s="97">
        <v>46132</v>
      </c>
      <c r="H1784" s="98">
        <v>0.6552430555555555</v>
      </c>
      <c r="I1784" s="50">
        <v>166004785</v>
      </c>
      <c r="J1784" s="96" t="s">
        <v>157</v>
      </c>
      <c r="K1784" s="49" t="s">
        <v>250</v>
      </c>
      <c r="L1784" s="39" t="s">
        <v>251</v>
      </c>
      <c r="M1784" s="49" t="s">
        <v>209</v>
      </c>
      <c r="N1784" s="39" t="s">
        <v>228</v>
      </c>
      <c r="O1784" s="96" t="s">
        <v>981</v>
      </c>
      <c r="P1784" s="49" t="s">
        <v>157</v>
      </c>
      <c r="Q1784" s="96" t="s">
        <v>104</v>
      </c>
      <c r="R1784" s="52">
        <v>27.9</v>
      </c>
      <c r="S1784" s="52">
        <f>R1784-T1784</f>
        <v>24.910714285714285</v>
      </c>
      <c r="T1784" s="52">
        <f>R1784*U1784/(U1784+100)</f>
        <v>2.989285714285714</v>
      </c>
      <c r="U1784" s="50">
        <v>12</v>
      </c>
      <c r="V1784" s="53">
        <v>0</v>
      </c>
      <c r="W1784" s="147">
        <v>1</v>
      </c>
      <c r="X1784" s="148" t="s">
        <v>163</v>
      </c>
      <c r="Y1784" s="54">
        <f>R1784*W1784</f>
        <v>27.9</v>
      </c>
      <c r="Z1784" s="52">
        <f>S1784*W1784</f>
        <v>24.910714285714285</v>
      </c>
      <c r="AA1784" s="52">
        <f>T1784*W1784</f>
        <v>2.989285714285714</v>
      </c>
      <c r="AB1784" s="52">
        <f>V1784*W1784</f>
        <v>0</v>
      </c>
      <c r="AC1784" s="53">
        <f>(R1784+V1784)*W1784</f>
        <v>27.9</v>
      </c>
      <c r="AD1784" s="138">
        <v>27.9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107</v>
      </c>
      <c r="F1785" s="96" t="s">
        <v>113</v>
      </c>
      <c r="G1785" s="97">
        <v>46132</v>
      </c>
      <c r="H1785" s="98">
        <v>0.6552430555555555</v>
      </c>
      <c r="I1785" s="50">
        <v>166004785</v>
      </c>
      <c r="J1785" s="96" t="s">
        <v>157</v>
      </c>
      <c r="K1785" s="49" t="s">
        <v>2854</v>
      </c>
      <c r="L1785" s="39" t="s">
        <v>2855</v>
      </c>
      <c r="M1785" s="49" t="s">
        <v>166</v>
      </c>
      <c r="N1785" s="39" t="s">
        <v>220</v>
      </c>
      <c r="O1785" s="96" t="s">
        <v>2856</v>
      </c>
      <c r="P1785" s="49" t="s">
        <v>157</v>
      </c>
      <c r="Q1785" s="96" t="s">
        <v>104</v>
      </c>
      <c r="R1785" s="52">
        <v>49.9</v>
      </c>
      <c r="S1785" s="52">
        <f>R1785-T1785</f>
        <v>41.239669421487605</v>
      </c>
      <c r="T1785" s="52">
        <f>R1785*U1785/(U1785+100)</f>
        <v>8.660330578512395</v>
      </c>
      <c r="U1785" s="50">
        <v>21</v>
      </c>
      <c r="V1785" s="53">
        <v>0</v>
      </c>
      <c r="W1785" s="147">
        <v>1</v>
      </c>
      <c r="X1785" s="148" t="s">
        <v>163</v>
      </c>
      <c r="Y1785" s="54">
        <f>R1785*W1785</f>
        <v>49.9</v>
      </c>
      <c r="Z1785" s="52">
        <f>S1785*W1785</f>
        <v>41.239669421487605</v>
      </c>
      <c r="AA1785" s="52">
        <f>T1785*W1785</f>
        <v>8.660330578512395</v>
      </c>
      <c r="AB1785" s="52">
        <f>V1785*W1785</f>
        <v>0</v>
      </c>
      <c r="AC1785" s="53">
        <f>(R1785+V1785)*W1785</f>
        <v>49.9</v>
      </c>
      <c r="AD1785" s="138">
        <v>49.9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107</v>
      </c>
      <c r="F1786" s="96" t="s">
        <v>113</v>
      </c>
      <c r="G1786" s="97">
        <v>46132</v>
      </c>
      <c r="H1786" s="98">
        <v>0.6552430555555555</v>
      </c>
      <c r="I1786" s="50">
        <v>166004785</v>
      </c>
      <c r="J1786" s="96" t="s">
        <v>157</v>
      </c>
      <c r="K1786" s="49" t="s">
        <v>655</v>
      </c>
      <c r="L1786" s="39" t="s">
        <v>656</v>
      </c>
      <c r="M1786" s="49" t="s">
        <v>190</v>
      </c>
      <c r="N1786" s="39" t="s">
        <v>532</v>
      </c>
      <c r="O1786" s="96" t="s">
        <v>657</v>
      </c>
      <c r="P1786" s="49" t="s">
        <v>157</v>
      </c>
      <c r="Q1786" s="96" t="s">
        <v>104</v>
      </c>
      <c r="R1786" s="52">
        <v>17.95</v>
      </c>
      <c r="S1786" s="52">
        <f>R1786-T1786</f>
        <v>16.026785714285715</v>
      </c>
      <c r="T1786" s="52">
        <f>R1786*U1786/(U1786+100)</f>
        <v>1.9232142857142855</v>
      </c>
      <c r="U1786" s="50">
        <v>12</v>
      </c>
      <c r="V1786" s="53">
        <v>0</v>
      </c>
      <c r="W1786" s="147">
        <v>0.368</v>
      </c>
      <c r="X1786" s="148" t="s">
        <v>193</v>
      </c>
      <c r="Y1786" s="54">
        <f>R1786*W1786</f>
        <v>6.6056</v>
      </c>
      <c r="Z1786" s="52">
        <f>S1786*W1786</f>
        <v>5.897857142857143</v>
      </c>
      <c r="AA1786" s="52">
        <f>T1786*W1786</f>
        <v>0.7077428571428571</v>
      </c>
      <c r="AB1786" s="52">
        <f>V1786*W1786</f>
        <v>0</v>
      </c>
      <c r="AC1786" s="53">
        <f>(R1786+V1786)*W1786</f>
        <v>6.6056</v>
      </c>
      <c r="AD1786" s="138">
        <v>17.95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107</v>
      </c>
      <c r="F1787" s="96" t="s">
        <v>113</v>
      </c>
      <c r="G1787" s="97">
        <v>46132</v>
      </c>
      <c r="H1787" s="98">
        <v>0.6552430555555555</v>
      </c>
      <c r="I1787" s="50">
        <v>166004785</v>
      </c>
      <c r="J1787" s="96" t="s">
        <v>157</v>
      </c>
      <c r="K1787" s="49" t="s">
        <v>293</v>
      </c>
      <c r="L1787" s="39" t="s">
        <v>294</v>
      </c>
      <c r="M1787" s="49" t="s">
        <v>295</v>
      </c>
      <c r="N1787" s="39" t="s">
        <v>296</v>
      </c>
      <c r="O1787" s="96" t="s">
        <v>297</v>
      </c>
      <c r="P1787" s="49" t="s">
        <v>157</v>
      </c>
      <c r="Q1787" s="96" t="s">
        <v>104</v>
      </c>
      <c r="R1787" s="52">
        <v>2.9</v>
      </c>
      <c r="S1787" s="52">
        <f>R1787-T1787</f>
        <v>2.5892857142857144</v>
      </c>
      <c r="T1787" s="52">
        <f>R1787*U1787/(U1787+100)</f>
        <v>0.31071428571428567</v>
      </c>
      <c r="U1787" s="50">
        <v>12</v>
      </c>
      <c r="V1787" s="53">
        <v>0</v>
      </c>
      <c r="W1787" s="147">
        <v>2</v>
      </c>
      <c r="X1787" s="148" t="s">
        <v>163</v>
      </c>
      <c r="Y1787" s="54">
        <f>R1787*W1787</f>
        <v>5.8</v>
      </c>
      <c r="Z1787" s="52">
        <f>S1787*W1787</f>
        <v>5.178571428571429</v>
      </c>
      <c r="AA1787" s="52">
        <f>T1787*W1787</f>
        <v>0.6214285714285713</v>
      </c>
      <c r="AB1787" s="52">
        <f>V1787*W1787</f>
        <v>0</v>
      </c>
      <c r="AC1787" s="53">
        <f>(R1787+V1787)*W1787</f>
        <v>5.8</v>
      </c>
      <c r="AD1787" s="138">
        <v>2.9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107</v>
      </c>
      <c r="F1788" s="96" t="s">
        <v>113</v>
      </c>
      <c r="G1788" s="97">
        <v>46132</v>
      </c>
      <c r="H1788" s="98">
        <v>0.6554861111111111</v>
      </c>
      <c r="I1788" s="50">
        <v>166004786</v>
      </c>
      <c r="J1788" s="96" t="s">
        <v>157</v>
      </c>
      <c r="K1788" s="49" t="s">
        <v>786</v>
      </c>
      <c r="L1788" s="39" t="s">
        <v>787</v>
      </c>
      <c r="M1788" s="49" t="s">
        <v>788</v>
      </c>
      <c r="N1788" s="39" t="s">
        <v>244</v>
      </c>
      <c r="O1788" s="96" t="s">
        <v>1545</v>
      </c>
      <c r="P1788" s="49" t="s">
        <v>157</v>
      </c>
      <c r="Q1788" s="96" t="s">
        <v>104</v>
      </c>
      <c r="R1788" s="52">
        <v>14.9</v>
      </c>
      <c r="S1788" s="52">
        <f>R1788-T1788</f>
        <v>13.303571428571429</v>
      </c>
      <c r="T1788" s="52">
        <f>R1788*U1788/(U1788+100)</f>
        <v>1.5964285714285715</v>
      </c>
      <c r="U1788" s="50">
        <v>12</v>
      </c>
      <c r="V1788" s="53">
        <v>0</v>
      </c>
      <c r="W1788" s="147">
        <v>1</v>
      </c>
      <c r="X1788" s="148" t="s">
        <v>163</v>
      </c>
      <c r="Y1788" s="54">
        <f>R1788*W1788</f>
        <v>14.9</v>
      </c>
      <c r="Z1788" s="52">
        <f>S1788*W1788</f>
        <v>13.303571428571429</v>
      </c>
      <c r="AA1788" s="52">
        <f>T1788*W1788</f>
        <v>1.5964285714285715</v>
      </c>
      <c r="AB1788" s="52">
        <f>V1788*W1788</f>
        <v>0</v>
      </c>
      <c r="AC1788" s="53">
        <f>(R1788+V1788)*W1788</f>
        <v>14.9</v>
      </c>
      <c r="AD1788" s="138">
        <v>14.9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107</v>
      </c>
      <c r="F1789" s="96" t="s">
        <v>113</v>
      </c>
      <c r="G1789" s="97">
        <v>46132</v>
      </c>
      <c r="H1789" s="98">
        <v>0.6554861111111111</v>
      </c>
      <c r="I1789" s="50">
        <v>166004786</v>
      </c>
      <c r="J1789" s="96" t="s">
        <v>157</v>
      </c>
      <c r="K1789" s="49" t="s">
        <v>868</v>
      </c>
      <c r="L1789" s="39" t="s">
        <v>869</v>
      </c>
      <c r="M1789" s="49" t="s">
        <v>360</v>
      </c>
      <c r="N1789" s="39" t="s">
        <v>220</v>
      </c>
      <c r="O1789" s="96" t="s">
        <v>2857</v>
      </c>
      <c r="P1789" s="49" t="s">
        <v>157</v>
      </c>
      <c r="Q1789" s="96" t="s">
        <v>104</v>
      </c>
      <c r="R1789" s="52">
        <v>11.4</v>
      </c>
      <c r="S1789" s="52">
        <f>R1789-T1789</f>
        <v>9.421487603305785</v>
      </c>
      <c r="T1789" s="52">
        <f>R1789*U1789/(U1789+100)</f>
        <v>1.9785123966942149</v>
      </c>
      <c r="U1789" s="50">
        <v>21</v>
      </c>
      <c r="V1789" s="53">
        <v>0</v>
      </c>
      <c r="W1789" s="147">
        <v>1</v>
      </c>
      <c r="X1789" s="148" t="s">
        <v>163</v>
      </c>
      <c r="Y1789" s="54">
        <f>R1789*W1789</f>
        <v>11.4</v>
      </c>
      <c r="Z1789" s="52">
        <f>S1789*W1789</f>
        <v>9.421487603305785</v>
      </c>
      <c r="AA1789" s="52">
        <f>T1789*W1789</f>
        <v>1.9785123966942149</v>
      </c>
      <c r="AB1789" s="52">
        <f>V1789*W1789</f>
        <v>0</v>
      </c>
      <c r="AC1789" s="53">
        <f>(R1789+V1789)*W1789</f>
        <v>11.4</v>
      </c>
      <c r="AD1789" s="138">
        <v>11.4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107</v>
      </c>
      <c r="F1790" s="96" t="s">
        <v>113</v>
      </c>
      <c r="G1790" s="97">
        <v>46132</v>
      </c>
      <c r="H1790" s="98">
        <v>0.6557060185185185</v>
      </c>
      <c r="I1790" s="50">
        <v>166004787</v>
      </c>
      <c r="J1790" s="96" t="s">
        <v>157</v>
      </c>
      <c r="K1790" s="49" t="s">
        <v>2331</v>
      </c>
      <c r="L1790" s="39" t="s">
        <v>2332</v>
      </c>
      <c r="M1790" s="49" t="s">
        <v>171</v>
      </c>
      <c r="N1790" s="39" t="s">
        <v>348</v>
      </c>
      <c r="O1790" s="96" t="s">
        <v>2333</v>
      </c>
      <c r="P1790" s="49" t="s">
        <v>157</v>
      </c>
      <c r="Q1790" s="96" t="s">
        <v>104</v>
      </c>
      <c r="R1790" s="52">
        <v>14.9</v>
      </c>
      <c r="S1790" s="52">
        <f>R1790-T1790</f>
        <v>13.303571428571429</v>
      </c>
      <c r="T1790" s="52">
        <f>R1790*U1790/(U1790+100)</f>
        <v>1.5964285714285715</v>
      </c>
      <c r="U1790" s="50">
        <v>12</v>
      </c>
      <c r="V1790" s="53">
        <v>0</v>
      </c>
      <c r="W1790" s="147">
        <v>1</v>
      </c>
      <c r="X1790" s="148" t="s">
        <v>163</v>
      </c>
      <c r="Y1790" s="54">
        <f>R1790*W1790</f>
        <v>14.9</v>
      </c>
      <c r="Z1790" s="52">
        <f>S1790*W1790</f>
        <v>13.303571428571429</v>
      </c>
      <c r="AA1790" s="52">
        <f>T1790*W1790</f>
        <v>1.5964285714285715</v>
      </c>
      <c r="AB1790" s="52">
        <f>V1790*W1790</f>
        <v>0</v>
      </c>
      <c r="AC1790" s="53">
        <f>(R1790+V1790)*W1790</f>
        <v>14.9</v>
      </c>
      <c r="AD1790" s="138">
        <v>14.9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107</v>
      </c>
      <c r="F1791" s="96" t="s">
        <v>113</v>
      </c>
      <c r="G1791" s="97">
        <v>46132</v>
      </c>
      <c r="H1791" s="98">
        <v>0.6559490740740741</v>
      </c>
      <c r="I1791" s="50">
        <v>166004788</v>
      </c>
      <c r="J1791" s="96" t="s">
        <v>157</v>
      </c>
      <c r="K1791" s="49" t="s">
        <v>1694</v>
      </c>
      <c r="L1791" s="39" t="s">
        <v>1695</v>
      </c>
      <c r="M1791" s="49" t="s">
        <v>185</v>
      </c>
      <c r="N1791" s="39" t="s">
        <v>244</v>
      </c>
      <c r="O1791" s="96" t="s">
        <v>1696</v>
      </c>
      <c r="P1791" s="49" t="s">
        <v>157</v>
      </c>
      <c r="Q1791" s="96" t="s">
        <v>104</v>
      </c>
      <c r="R1791" s="52">
        <v>18.9</v>
      </c>
      <c r="S1791" s="52">
        <f>R1791-T1791</f>
        <v>16.875</v>
      </c>
      <c r="T1791" s="52">
        <f>R1791*U1791/(U1791+100)</f>
        <v>2.025</v>
      </c>
      <c r="U1791" s="50">
        <v>12</v>
      </c>
      <c r="V1791" s="53">
        <v>0</v>
      </c>
      <c r="W1791" s="147">
        <v>1</v>
      </c>
      <c r="X1791" s="148" t="s">
        <v>163</v>
      </c>
      <c r="Y1791" s="54">
        <f>R1791*W1791</f>
        <v>18.9</v>
      </c>
      <c r="Z1791" s="52">
        <f>S1791*W1791</f>
        <v>16.875</v>
      </c>
      <c r="AA1791" s="52">
        <f>T1791*W1791</f>
        <v>2.025</v>
      </c>
      <c r="AB1791" s="52">
        <f>V1791*W1791</f>
        <v>0</v>
      </c>
      <c r="AC1791" s="53">
        <f>(R1791+V1791)*W1791</f>
        <v>18.9</v>
      </c>
      <c r="AD1791" s="138">
        <v>18.9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107</v>
      </c>
      <c r="F1792" s="96" t="s">
        <v>113</v>
      </c>
      <c r="G1792" s="97">
        <v>46132</v>
      </c>
      <c r="H1792" s="98">
        <v>0.6559490740740741</v>
      </c>
      <c r="I1792" s="50">
        <v>166004788</v>
      </c>
      <c r="J1792" s="96" t="s">
        <v>157</v>
      </c>
      <c r="K1792" s="49" t="s">
        <v>2858</v>
      </c>
      <c r="L1792" s="39" t="s">
        <v>2859</v>
      </c>
      <c r="M1792" s="49" t="s">
        <v>219</v>
      </c>
      <c r="N1792" s="39" t="s">
        <v>388</v>
      </c>
      <c r="O1792" s="96" t="s">
        <v>2860</v>
      </c>
      <c r="P1792" s="49" t="s">
        <v>157</v>
      </c>
      <c r="Q1792" s="96" t="s">
        <v>104</v>
      </c>
      <c r="R1792" s="52">
        <v>35.9</v>
      </c>
      <c r="S1792" s="52">
        <f>R1792-T1792</f>
        <v>29.669421487603305</v>
      </c>
      <c r="T1792" s="52">
        <f>R1792*U1792/(U1792+100)</f>
        <v>6.230578512396694</v>
      </c>
      <c r="U1792" s="50">
        <v>21</v>
      </c>
      <c r="V1792" s="53">
        <v>0</v>
      </c>
      <c r="W1792" s="147">
        <v>1</v>
      </c>
      <c r="X1792" s="148" t="s">
        <v>163</v>
      </c>
      <c r="Y1792" s="54">
        <f>R1792*W1792</f>
        <v>35.9</v>
      </c>
      <c r="Z1792" s="52">
        <f>S1792*W1792</f>
        <v>29.669421487603305</v>
      </c>
      <c r="AA1792" s="52">
        <f>T1792*W1792</f>
        <v>6.230578512396694</v>
      </c>
      <c r="AB1792" s="52">
        <f>V1792*W1792</f>
        <v>0</v>
      </c>
      <c r="AC1792" s="53">
        <f>(R1792+V1792)*W1792</f>
        <v>35.9</v>
      </c>
      <c r="AD1792" s="138">
        <v>35.9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107</v>
      </c>
      <c r="F1793" s="96" t="s">
        <v>113</v>
      </c>
      <c r="G1793" s="97">
        <v>46132</v>
      </c>
      <c r="H1793" s="98">
        <v>0.6559490740740741</v>
      </c>
      <c r="I1793" s="50">
        <v>166004788</v>
      </c>
      <c r="J1793" s="96" t="s">
        <v>157</v>
      </c>
      <c r="K1793" s="49" t="s">
        <v>358</v>
      </c>
      <c r="L1793" s="39" t="s">
        <v>359</v>
      </c>
      <c r="M1793" s="49" t="s">
        <v>360</v>
      </c>
      <c r="N1793" s="39" t="s">
        <v>220</v>
      </c>
      <c r="O1793" s="96" t="s">
        <v>2711</v>
      </c>
      <c r="P1793" s="49" t="s">
        <v>157</v>
      </c>
      <c r="Q1793" s="96" t="s">
        <v>104</v>
      </c>
      <c r="R1793" s="52">
        <v>11.4</v>
      </c>
      <c r="S1793" s="52">
        <f>R1793-T1793</f>
        <v>9.421487603305785</v>
      </c>
      <c r="T1793" s="52">
        <f>R1793*U1793/(U1793+100)</f>
        <v>1.9785123966942149</v>
      </c>
      <c r="U1793" s="50">
        <v>21</v>
      </c>
      <c r="V1793" s="53">
        <v>0</v>
      </c>
      <c r="W1793" s="147">
        <v>1</v>
      </c>
      <c r="X1793" s="148" t="s">
        <v>163</v>
      </c>
      <c r="Y1793" s="54">
        <f>R1793*W1793</f>
        <v>11.4</v>
      </c>
      <c r="Z1793" s="52">
        <f>S1793*W1793</f>
        <v>9.421487603305785</v>
      </c>
      <c r="AA1793" s="52">
        <f>T1793*W1793</f>
        <v>1.9785123966942149</v>
      </c>
      <c r="AB1793" s="52">
        <f>V1793*W1793</f>
        <v>0</v>
      </c>
      <c r="AC1793" s="53">
        <f>(R1793+V1793)*W1793</f>
        <v>11.4</v>
      </c>
      <c r="AD1793" s="138">
        <v>11.4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107</v>
      </c>
      <c r="F1794" s="96" t="s">
        <v>113</v>
      </c>
      <c r="G1794" s="97">
        <v>46132</v>
      </c>
      <c r="H1794" s="98">
        <v>0.7055324074074074</v>
      </c>
      <c r="I1794" s="50">
        <v>166004789</v>
      </c>
      <c r="J1794" s="96" t="s">
        <v>157</v>
      </c>
      <c r="K1794" s="49" t="s">
        <v>2817</v>
      </c>
      <c r="L1794" s="39"/>
      <c r="M1794" s="49" t="s">
        <v>268</v>
      </c>
      <c r="N1794" s="39" t="s">
        <v>433</v>
      </c>
      <c r="O1794" s="96" t="s">
        <v>2818</v>
      </c>
      <c r="P1794" s="49" t="s">
        <v>157</v>
      </c>
      <c r="Q1794" s="96" t="s">
        <v>104</v>
      </c>
      <c r="R1794" s="52">
        <v>22.9</v>
      </c>
      <c r="S1794" s="52">
        <f>R1794-T1794</f>
        <v>20.44642857142857</v>
      </c>
      <c r="T1794" s="52">
        <f>R1794*U1794/(U1794+100)</f>
        <v>2.4535714285714283</v>
      </c>
      <c r="U1794" s="50">
        <v>12</v>
      </c>
      <c r="V1794" s="53">
        <v>0</v>
      </c>
      <c r="W1794" s="147">
        <v>1</v>
      </c>
      <c r="X1794" s="148" t="s">
        <v>945</v>
      </c>
      <c r="Y1794" s="54">
        <f>R1794*W1794</f>
        <v>22.9</v>
      </c>
      <c r="Z1794" s="52">
        <f>S1794*W1794</f>
        <v>20.44642857142857</v>
      </c>
      <c r="AA1794" s="52">
        <f>T1794*W1794</f>
        <v>2.4535714285714283</v>
      </c>
      <c r="AB1794" s="52">
        <f>V1794*W1794</f>
        <v>0</v>
      </c>
      <c r="AC1794" s="53">
        <f>(R1794+V1794)*W1794</f>
        <v>22.9</v>
      </c>
      <c r="AD1794" s="138">
        <v>22.9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107</v>
      </c>
      <c r="F1795" s="96" t="s">
        <v>113</v>
      </c>
      <c r="G1795" s="97">
        <v>46132</v>
      </c>
      <c r="H1795" s="98">
        <v>0.7055324074074074</v>
      </c>
      <c r="I1795" s="50">
        <v>166004789</v>
      </c>
      <c r="J1795" s="96" t="s">
        <v>157</v>
      </c>
      <c r="K1795" s="49" t="s">
        <v>2817</v>
      </c>
      <c r="L1795" s="39"/>
      <c r="M1795" s="49" t="s">
        <v>268</v>
      </c>
      <c r="N1795" s="39" t="s">
        <v>433</v>
      </c>
      <c r="O1795" s="96" t="s">
        <v>2818</v>
      </c>
      <c r="P1795" s="49" t="s">
        <v>157</v>
      </c>
      <c r="Q1795" s="96" t="s">
        <v>104</v>
      </c>
      <c r="R1795" s="52">
        <v>22.9</v>
      </c>
      <c r="S1795" s="52">
        <f>R1795-T1795</f>
        <v>20.44642857142857</v>
      </c>
      <c r="T1795" s="52">
        <f>R1795*U1795/(U1795+100)</f>
        <v>2.4535714285714283</v>
      </c>
      <c r="U1795" s="50">
        <v>12</v>
      </c>
      <c r="V1795" s="53">
        <v>0</v>
      </c>
      <c r="W1795" s="147">
        <v>1</v>
      </c>
      <c r="X1795" s="148" t="s">
        <v>945</v>
      </c>
      <c r="Y1795" s="54">
        <f>R1795*W1795</f>
        <v>22.9</v>
      </c>
      <c r="Z1795" s="52">
        <f>S1795*W1795</f>
        <v>20.44642857142857</v>
      </c>
      <c r="AA1795" s="52">
        <f>T1795*W1795</f>
        <v>2.4535714285714283</v>
      </c>
      <c r="AB1795" s="52">
        <f>V1795*W1795</f>
        <v>0</v>
      </c>
      <c r="AC1795" s="53">
        <f>(R1795+V1795)*W1795</f>
        <v>22.9</v>
      </c>
      <c r="AD1795" s="138">
        <v>22.9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107</v>
      </c>
      <c r="F1796" s="96" t="s">
        <v>113</v>
      </c>
      <c r="G1796" s="97">
        <v>46132</v>
      </c>
      <c r="H1796" s="98">
        <v>0.7061111111111111</v>
      </c>
      <c r="I1796" s="50">
        <v>166004790</v>
      </c>
      <c r="J1796" s="96" t="s">
        <v>157</v>
      </c>
      <c r="K1796" s="49" t="s">
        <v>2145</v>
      </c>
      <c r="L1796" s="39" t="s">
        <v>2146</v>
      </c>
      <c r="M1796" s="49" t="s">
        <v>709</v>
      </c>
      <c r="N1796" s="39" t="s">
        <v>319</v>
      </c>
      <c r="O1796" s="96" t="s">
        <v>2147</v>
      </c>
      <c r="P1796" s="49" t="s">
        <v>235</v>
      </c>
      <c r="Q1796" s="96" t="s">
        <v>236</v>
      </c>
      <c r="R1796" s="52">
        <v>149</v>
      </c>
      <c r="S1796" s="52">
        <f>R1796-T1796</f>
        <v>133.03571428571428</v>
      </c>
      <c r="T1796" s="52">
        <f>R1796*U1796/(U1796+100)</f>
        <v>15.964285714285714</v>
      </c>
      <c r="U1796" s="50">
        <v>12</v>
      </c>
      <c r="V1796" s="53">
        <v>0</v>
      </c>
      <c r="W1796" s="147">
        <v>0.118</v>
      </c>
      <c r="X1796" s="148" t="s">
        <v>193</v>
      </c>
      <c r="Y1796" s="54">
        <f>R1796*W1796</f>
        <v>17.582</v>
      </c>
      <c r="Z1796" s="52">
        <f>S1796*W1796</f>
        <v>15.698214285714284</v>
      </c>
      <c r="AA1796" s="52">
        <f>T1796*W1796</f>
        <v>1.8837857142857142</v>
      </c>
      <c r="AB1796" s="52">
        <f>V1796*W1796</f>
        <v>0</v>
      </c>
      <c r="AC1796" s="53">
        <f>(R1796+V1796)*W1796</f>
        <v>17.582</v>
      </c>
      <c r="AD1796" s="138">
        <v>149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107</v>
      </c>
      <c r="F1797" s="96" t="s">
        <v>113</v>
      </c>
      <c r="G1797" s="97">
        <v>46132</v>
      </c>
      <c r="H1797" s="98">
        <v>0.7061111111111111</v>
      </c>
      <c r="I1797" s="50">
        <v>166004790</v>
      </c>
      <c r="J1797" s="96" t="s">
        <v>157</v>
      </c>
      <c r="K1797" s="49" t="s">
        <v>530</v>
      </c>
      <c r="L1797" s="39" t="s">
        <v>531</v>
      </c>
      <c r="M1797" s="49" t="s">
        <v>190</v>
      </c>
      <c r="N1797" s="39" t="s">
        <v>532</v>
      </c>
      <c r="O1797" s="96" t="s">
        <v>533</v>
      </c>
      <c r="P1797" s="49" t="s">
        <v>157</v>
      </c>
      <c r="Q1797" s="96" t="s">
        <v>104</v>
      </c>
      <c r="R1797" s="52">
        <v>25.9</v>
      </c>
      <c r="S1797" s="52">
        <f>R1797-T1797</f>
        <v>23.125</v>
      </c>
      <c r="T1797" s="52">
        <f>R1797*U1797/(U1797+100)</f>
        <v>2.7749999999999995</v>
      </c>
      <c r="U1797" s="50">
        <v>12</v>
      </c>
      <c r="V1797" s="53">
        <v>0</v>
      </c>
      <c r="W1797" s="147">
        <v>0.582</v>
      </c>
      <c r="X1797" s="148" t="s">
        <v>193</v>
      </c>
      <c r="Y1797" s="54">
        <f>R1797*W1797</f>
        <v>15.073799999999999</v>
      </c>
      <c r="Z1797" s="52">
        <f>S1797*W1797</f>
        <v>13.458749999999998</v>
      </c>
      <c r="AA1797" s="52">
        <f>T1797*W1797</f>
        <v>1.6150499999999997</v>
      </c>
      <c r="AB1797" s="52">
        <f>V1797*W1797</f>
        <v>0</v>
      </c>
      <c r="AC1797" s="53">
        <f>(R1797+V1797)*W1797</f>
        <v>15.073799999999999</v>
      </c>
      <c r="AD1797" s="138">
        <v>25.9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107</v>
      </c>
      <c r="F1798" s="96" t="s">
        <v>113</v>
      </c>
      <c r="G1798" s="97">
        <v>46132</v>
      </c>
      <c r="H1798" s="98">
        <v>0.7062268518518519</v>
      </c>
      <c r="I1798" s="50">
        <v>166004791</v>
      </c>
      <c r="J1798" s="96" t="s">
        <v>157</v>
      </c>
      <c r="K1798" s="49" t="s">
        <v>350</v>
      </c>
      <c r="L1798" s="39" t="s">
        <v>351</v>
      </c>
      <c r="M1798" s="49" t="s">
        <v>352</v>
      </c>
      <c r="N1798" s="39" t="s">
        <v>353</v>
      </c>
      <c r="O1798" s="96" t="s">
        <v>1077</v>
      </c>
      <c r="P1798" s="49" t="s">
        <v>157</v>
      </c>
      <c r="Q1798" s="96" t="s">
        <v>104</v>
      </c>
      <c r="R1798" s="52">
        <v>27.9</v>
      </c>
      <c r="S1798" s="52">
        <f>R1798-T1798</f>
        <v>23.05785123966942</v>
      </c>
      <c r="T1798" s="52">
        <f>R1798*U1798/(U1798+100)</f>
        <v>4.842148760330578</v>
      </c>
      <c r="U1798" s="50">
        <v>21</v>
      </c>
      <c r="V1798" s="53">
        <v>0</v>
      </c>
      <c r="W1798" s="147">
        <v>1</v>
      </c>
      <c r="X1798" s="148" t="s">
        <v>163</v>
      </c>
      <c r="Y1798" s="54">
        <f>R1798*W1798</f>
        <v>27.9</v>
      </c>
      <c r="Z1798" s="52">
        <f>S1798*W1798</f>
        <v>23.05785123966942</v>
      </c>
      <c r="AA1798" s="52">
        <f>T1798*W1798</f>
        <v>4.842148760330578</v>
      </c>
      <c r="AB1798" s="52">
        <f>V1798*W1798</f>
        <v>0</v>
      </c>
      <c r="AC1798" s="53">
        <f>(R1798+V1798)*W1798</f>
        <v>27.9</v>
      </c>
      <c r="AD1798" s="138">
        <v>27.9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107</v>
      </c>
      <c r="F1799" s="96" t="s">
        <v>113</v>
      </c>
      <c r="G1799" s="97">
        <v>46132</v>
      </c>
      <c r="H1799" s="98">
        <v>0.7064236111111111</v>
      </c>
      <c r="I1799" s="50">
        <v>166004792</v>
      </c>
      <c r="J1799" s="96" t="s">
        <v>157</v>
      </c>
      <c r="K1799" s="49" t="s">
        <v>2861</v>
      </c>
      <c r="L1799" s="39" t="s">
        <v>2862</v>
      </c>
      <c r="M1799" s="49" t="s">
        <v>608</v>
      </c>
      <c r="N1799" s="39" t="s">
        <v>609</v>
      </c>
      <c r="O1799" s="96" t="s">
        <v>2863</v>
      </c>
      <c r="P1799" s="49" t="s">
        <v>157</v>
      </c>
      <c r="Q1799" s="96" t="s">
        <v>104</v>
      </c>
      <c r="R1799" s="52">
        <v>14.4</v>
      </c>
      <c r="S1799" s="52">
        <f>R1799-T1799</f>
        <v>12.857142857142858</v>
      </c>
      <c r="T1799" s="52">
        <f>R1799*U1799/(U1799+100)</f>
        <v>1.542857142857143</v>
      </c>
      <c r="U1799" s="50">
        <v>12</v>
      </c>
      <c r="V1799" s="53">
        <v>0</v>
      </c>
      <c r="W1799" s="147">
        <v>1</v>
      </c>
      <c r="X1799" s="148" t="s">
        <v>163</v>
      </c>
      <c r="Y1799" s="54">
        <f>R1799*W1799</f>
        <v>14.4</v>
      </c>
      <c r="Z1799" s="52">
        <f>S1799*W1799</f>
        <v>12.857142857142858</v>
      </c>
      <c r="AA1799" s="52">
        <f>T1799*W1799</f>
        <v>1.542857142857143</v>
      </c>
      <c r="AB1799" s="52">
        <f>V1799*W1799</f>
        <v>0</v>
      </c>
      <c r="AC1799" s="53">
        <f>(R1799+V1799)*W1799</f>
        <v>14.4</v>
      </c>
      <c r="AD1799" s="138">
        <v>14.4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107</v>
      </c>
      <c r="F1800" s="96" t="s">
        <v>113</v>
      </c>
      <c r="G1800" s="97">
        <v>46132</v>
      </c>
      <c r="H1800" s="98">
        <v>0.7064236111111111</v>
      </c>
      <c r="I1800" s="50">
        <v>166004792</v>
      </c>
      <c r="J1800" s="96" t="s">
        <v>157</v>
      </c>
      <c r="K1800" s="49" t="s">
        <v>1236</v>
      </c>
      <c r="L1800" s="39" t="s">
        <v>1237</v>
      </c>
      <c r="M1800" s="49" t="s">
        <v>201</v>
      </c>
      <c r="N1800" s="39" t="s">
        <v>609</v>
      </c>
      <c r="O1800" s="96" t="s">
        <v>1238</v>
      </c>
      <c r="P1800" s="49" t="s">
        <v>157</v>
      </c>
      <c r="Q1800" s="96" t="s">
        <v>104</v>
      </c>
      <c r="R1800" s="52">
        <v>13.9</v>
      </c>
      <c r="S1800" s="52">
        <f>R1800-T1800</f>
        <v>12.410714285714286</v>
      </c>
      <c r="T1800" s="52">
        <f>R1800*U1800/(U1800+100)</f>
        <v>1.4892857142857143</v>
      </c>
      <c r="U1800" s="50">
        <v>12</v>
      </c>
      <c r="V1800" s="53">
        <v>0</v>
      </c>
      <c r="W1800" s="147">
        <v>1</v>
      </c>
      <c r="X1800" s="148" t="s">
        <v>163</v>
      </c>
      <c r="Y1800" s="54">
        <f>R1800*W1800</f>
        <v>13.9</v>
      </c>
      <c r="Z1800" s="52">
        <f>S1800*W1800</f>
        <v>12.410714285714286</v>
      </c>
      <c r="AA1800" s="52">
        <f>T1800*W1800</f>
        <v>1.4892857142857143</v>
      </c>
      <c r="AB1800" s="52">
        <f>V1800*W1800</f>
        <v>0</v>
      </c>
      <c r="AC1800" s="53">
        <f>(R1800+V1800)*W1800</f>
        <v>13.9</v>
      </c>
      <c r="AD1800" s="138">
        <v>13.9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107</v>
      </c>
      <c r="F1801" s="96" t="s">
        <v>113</v>
      </c>
      <c r="G1801" s="97">
        <v>46132</v>
      </c>
      <c r="H1801" s="98">
        <v>0.7068865740740741</v>
      </c>
      <c r="I1801" s="50">
        <v>166004793</v>
      </c>
      <c r="J1801" s="96" t="s">
        <v>157</v>
      </c>
      <c r="K1801" s="49" t="s">
        <v>2311</v>
      </c>
      <c r="L1801" s="39" t="s">
        <v>2312</v>
      </c>
      <c r="M1801" s="49" t="s">
        <v>837</v>
      </c>
      <c r="N1801" s="39" t="s">
        <v>838</v>
      </c>
      <c r="O1801" s="96" t="s">
        <v>2313</v>
      </c>
      <c r="P1801" s="49" t="s">
        <v>157</v>
      </c>
      <c r="Q1801" s="96" t="s">
        <v>104</v>
      </c>
      <c r="R1801" s="52">
        <v>99.9</v>
      </c>
      <c r="S1801" s="52">
        <f>R1801-T1801</f>
        <v>89.19642857142857</v>
      </c>
      <c r="T1801" s="52">
        <f>R1801*U1801/(U1801+100)</f>
        <v>10.703571428571431</v>
      </c>
      <c r="U1801" s="50">
        <v>12</v>
      </c>
      <c r="V1801" s="53">
        <v>0</v>
      </c>
      <c r="W1801" s="147">
        <v>1</v>
      </c>
      <c r="X1801" s="148" t="s">
        <v>163</v>
      </c>
      <c r="Y1801" s="54">
        <f>R1801*W1801</f>
        <v>99.9</v>
      </c>
      <c r="Z1801" s="52">
        <f>S1801*W1801</f>
        <v>89.19642857142857</v>
      </c>
      <c r="AA1801" s="52">
        <f>T1801*W1801</f>
        <v>10.703571428571431</v>
      </c>
      <c r="AB1801" s="52">
        <f>V1801*W1801</f>
        <v>0</v>
      </c>
      <c r="AC1801" s="53">
        <f>(R1801+V1801)*W1801</f>
        <v>99.9</v>
      </c>
      <c r="AD1801" s="138">
        <v>99.9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107</v>
      </c>
      <c r="F1802" s="96" t="s">
        <v>113</v>
      </c>
      <c r="G1802" s="97">
        <v>46132</v>
      </c>
      <c r="H1802" s="98">
        <v>0.7068865740740741</v>
      </c>
      <c r="I1802" s="50">
        <v>166004793</v>
      </c>
      <c r="J1802" s="96" t="s">
        <v>157</v>
      </c>
      <c r="K1802" s="49" t="s">
        <v>2858</v>
      </c>
      <c r="L1802" s="39" t="s">
        <v>2859</v>
      </c>
      <c r="M1802" s="49" t="s">
        <v>219</v>
      </c>
      <c r="N1802" s="39" t="s">
        <v>388</v>
      </c>
      <c r="O1802" s="96" t="s">
        <v>2860</v>
      </c>
      <c r="P1802" s="49" t="s">
        <v>157</v>
      </c>
      <c r="Q1802" s="96" t="s">
        <v>104</v>
      </c>
      <c r="R1802" s="52">
        <v>35.9</v>
      </c>
      <c r="S1802" s="52">
        <f>R1802-T1802</f>
        <v>29.669421487603305</v>
      </c>
      <c r="T1802" s="52">
        <f>R1802*U1802/(U1802+100)</f>
        <v>6.230578512396694</v>
      </c>
      <c r="U1802" s="50">
        <v>21</v>
      </c>
      <c r="V1802" s="53">
        <v>0</v>
      </c>
      <c r="W1802" s="147">
        <v>1</v>
      </c>
      <c r="X1802" s="148" t="s">
        <v>163</v>
      </c>
      <c r="Y1802" s="54">
        <f>R1802*W1802</f>
        <v>35.9</v>
      </c>
      <c r="Z1802" s="52">
        <f>S1802*W1802</f>
        <v>29.669421487603305</v>
      </c>
      <c r="AA1802" s="52">
        <f>T1802*W1802</f>
        <v>6.230578512396694</v>
      </c>
      <c r="AB1802" s="52">
        <f>V1802*W1802</f>
        <v>0</v>
      </c>
      <c r="AC1802" s="53">
        <f>(R1802+V1802)*W1802</f>
        <v>35.9</v>
      </c>
      <c r="AD1802" s="138">
        <v>35.9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107</v>
      </c>
      <c r="F1803" s="96" t="s">
        <v>113</v>
      </c>
      <c r="G1803" s="97">
        <v>46132</v>
      </c>
      <c r="H1803" s="98">
        <v>0.7068865740740741</v>
      </c>
      <c r="I1803" s="50">
        <v>166004793</v>
      </c>
      <c r="J1803" s="96" t="s">
        <v>157</v>
      </c>
      <c r="K1803" s="49" t="s">
        <v>1688</v>
      </c>
      <c r="L1803" s="39" t="s">
        <v>1689</v>
      </c>
      <c r="M1803" s="49" t="s">
        <v>862</v>
      </c>
      <c r="N1803" s="39" t="s">
        <v>863</v>
      </c>
      <c r="O1803" s="96" t="s">
        <v>1690</v>
      </c>
      <c r="P1803" s="49" t="s">
        <v>157</v>
      </c>
      <c r="Q1803" s="96" t="s">
        <v>104</v>
      </c>
      <c r="R1803" s="52">
        <v>159</v>
      </c>
      <c r="S1803" s="52">
        <f>R1803-T1803</f>
        <v>131.40495867768595</v>
      </c>
      <c r="T1803" s="52">
        <f>R1803*U1803/(U1803+100)</f>
        <v>27.59504132231405</v>
      </c>
      <c r="U1803" s="50">
        <v>21</v>
      </c>
      <c r="V1803" s="53">
        <v>0</v>
      </c>
      <c r="W1803" s="147">
        <v>1</v>
      </c>
      <c r="X1803" s="148" t="s">
        <v>163</v>
      </c>
      <c r="Y1803" s="54">
        <f>R1803*W1803</f>
        <v>159</v>
      </c>
      <c r="Z1803" s="52">
        <f>S1803*W1803</f>
        <v>131.40495867768595</v>
      </c>
      <c r="AA1803" s="52">
        <f>T1803*W1803</f>
        <v>27.59504132231405</v>
      </c>
      <c r="AB1803" s="52">
        <f>V1803*W1803</f>
        <v>0</v>
      </c>
      <c r="AC1803" s="53">
        <f>(R1803+V1803)*W1803</f>
        <v>159</v>
      </c>
      <c r="AD1803" s="138">
        <v>159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107</v>
      </c>
      <c r="F1804" s="96" t="s">
        <v>113</v>
      </c>
      <c r="G1804" s="97">
        <v>46132</v>
      </c>
      <c r="H1804" s="98">
        <v>0.7077430555555555</v>
      </c>
      <c r="I1804" s="50">
        <v>166004794</v>
      </c>
      <c r="J1804" s="96" t="s">
        <v>157</v>
      </c>
      <c r="K1804" s="49" t="s">
        <v>798</v>
      </c>
      <c r="L1804" s="39" t="s">
        <v>799</v>
      </c>
      <c r="M1804" s="49" t="s">
        <v>425</v>
      </c>
      <c r="N1804" s="39" t="s">
        <v>197</v>
      </c>
      <c r="O1804" s="96" t="s">
        <v>1684</v>
      </c>
      <c r="P1804" s="49" t="s">
        <v>235</v>
      </c>
      <c r="Q1804" s="96" t="s">
        <v>236</v>
      </c>
      <c r="R1804" s="52">
        <v>5.9</v>
      </c>
      <c r="S1804" s="52">
        <f>R1804-T1804</f>
        <v>5.267857142857143</v>
      </c>
      <c r="T1804" s="52">
        <f>R1804*U1804/(U1804+100)</f>
        <v>0.6321428571428572</v>
      </c>
      <c r="U1804" s="50">
        <v>12</v>
      </c>
      <c r="V1804" s="53">
        <v>0</v>
      </c>
      <c r="W1804" s="147">
        <v>1</v>
      </c>
      <c r="X1804" s="148" t="s">
        <v>163</v>
      </c>
      <c r="Y1804" s="54">
        <f>R1804*W1804</f>
        <v>5.9</v>
      </c>
      <c r="Z1804" s="52">
        <f>S1804*W1804</f>
        <v>5.267857142857143</v>
      </c>
      <c r="AA1804" s="52">
        <f>T1804*W1804</f>
        <v>0.6321428571428572</v>
      </c>
      <c r="AB1804" s="52">
        <f>V1804*W1804</f>
        <v>0</v>
      </c>
      <c r="AC1804" s="53">
        <f>(R1804+V1804)*W1804</f>
        <v>5.9</v>
      </c>
      <c r="AD1804" s="138">
        <v>5.9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107</v>
      </c>
      <c r="F1805" s="96" t="s">
        <v>113</v>
      </c>
      <c r="G1805" s="97">
        <v>46132</v>
      </c>
      <c r="H1805" s="98">
        <v>0.7077430555555555</v>
      </c>
      <c r="I1805" s="50">
        <v>166004794</v>
      </c>
      <c r="J1805" s="96" t="s">
        <v>157</v>
      </c>
      <c r="K1805" s="49" t="s">
        <v>798</v>
      </c>
      <c r="L1805" s="39" t="s">
        <v>799</v>
      </c>
      <c r="M1805" s="49" t="s">
        <v>425</v>
      </c>
      <c r="N1805" s="39" t="s">
        <v>197</v>
      </c>
      <c r="O1805" s="96" t="s">
        <v>1684</v>
      </c>
      <c r="P1805" s="49" t="s">
        <v>235</v>
      </c>
      <c r="Q1805" s="96" t="s">
        <v>236</v>
      </c>
      <c r="R1805" s="52">
        <v>5.9</v>
      </c>
      <c r="S1805" s="52">
        <f>R1805-T1805</f>
        <v>5.267857142857143</v>
      </c>
      <c r="T1805" s="52">
        <f>R1805*U1805/(U1805+100)</f>
        <v>0.6321428571428572</v>
      </c>
      <c r="U1805" s="50">
        <v>12</v>
      </c>
      <c r="V1805" s="53">
        <v>0</v>
      </c>
      <c r="W1805" s="147">
        <v>1</v>
      </c>
      <c r="X1805" s="148" t="s">
        <v>163</v>
      </c>
      <c r="Y1805" s="54">
        <f>R1805*W1805</f>
        <v>5.9</v>
      </c>
      <c r="Z1805" s="52">
        <f>S1805*W1805</f>
        <v>5.267857142857143</v>
      </c>
      <c r="AA1805" s="52">
        <f>T1805*W1805</f>
        <v>0.6321428571428572</v>
      </c>
      <c r="AB1805" s="52">
        <f>V1805*W1805</f>
        <v>0</v>
      </c>
      <c r="AC1805" s="53">
        <f>(R1805+V1805)*W1805</f>
        <v>5.9</v>
      </c>
      <c r="AD1805" s="138">
        <v>5.9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107</v>
      </c>
      <c r="F1806" s="96" t="s">
        <v>113</v>
      </c>
      <c r="G1806" s="97">
        <v>46132</v>
      </c>
      <c r="H1806" s="98">
        <v>0.7077430555555555</v>
      </c>
      <c r="I1806" s="50">
        <v>166004794</v>
      </c>
      <c r="J1806" s="96" t="s">
        <v>157</v>
      </c>
      <c r="K1806" s="49" t="s">
        <v>798</v>
      </c>
      <c r="L1806" s="39" t="s">
        <v>799</v>
      </c>
      <c r="M1806" s="49" t="s">
        <v>425</v>
      </c>
      <c r="N1806" s="39" t="s">
        <v>197</v>
      </c>
      <c r="O1806" s="96" t="s">
        <v>1684</v>
      </c>
      <c r="P1806" s="49" t="s">
        <v>235</v>
      </c>
      <c r="Q1806" s="96" t="s">
        <v>236</v>
      </c>
      <c r="R1806" s="52">
        <v>5.9</v>
      </c>
      <c r="S1806" s="52">
        <f>R1806-T1806</f>
        <v>5.267857142857143</v>
      </c>
      <c r="T1806" s="52">
        <f>R1806*U1806/(U1806+100)</f>
        <v>0.6321428571428572</v>
      </c>
      <c r="U1806" s="50">
        <v>12</v>
      </c>
      <c r="V1806" s="53">
        <v>0</v>
      </c>
      <c r="W1806" s="147">
        <v>1</v>
      </c>
      <c r="X1806" s="148" t="s">
        <v>163</v>
      </c>
      <c r="Y1806" s="54">
        <f>R1806*W1806</f>
        <v>5.9</v>
      </c>
      <c r="Z1806" s="52">
        <f>S1806*W1806</f>
        <v>5.267857142857143</v>
      </c>
      <c r="AA1806" s="52">
        <f>T1806*W1806</f>
        <v>0.6321428571428572</v>
      </c>
      <c r="AB1806" s="52">
        <f>V1806*W1806</f>
        <v>0</v>
      </c>
      <c r="AC1806" s="53">
        <f>(R1806+V1806)*W1806</f>
        <v>5.9</v>
      </c>
      <c r="AD1806" s="138">
        <v>5.9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107</v>
      </c>
      <c r="F1807" s="96" t="s">
        <v>113</v>
      </c>
      <c r="G1807" s="97">
        <v>46132</v>
      </c>
      <c r="H1807" s="98">
        <v>0.7077430555555555</v>
      </c>
      <c r="I1807" s="50">
        <v>166004794</v>
      </c>
      <c r="J1807" s="96" t="s">
        <v>157</v>
      </c>
      <c r="K1807" s="49" t="s">
        <v>798</v>
      </c>
      <c r="L1807" s="39" t="s">
        <v>799</v>
      </c>
      <c r="M1807" s="49" t="s">
        <v>425</v>
      </c>
      <c r="N1807" s="39" t="s">
        <v>197</v>
      </c>
      <c r="O1807" s="96" t="s">
        <v>1684</v>
      </c>
      <c r="P1807" s="49" t="s">
        <v>235</v>
      </c>
      <c r="Q1807" s="96" t="s">
        <v>236</v>
      </c>
      <c r="R1807" s="52">
        <v>5.9</v>
      </c>
      <c r="S1807" s="52">
        <f>R1807-T1807</f>
        <v>5.267857142857143</v>
      </c>
      <c r="T1807" s="52">
        <f>R1807*U1807/(U1807+100)</f>
        <v>0.6321428571428572</v>
      </c>
      <c r="U1807" s="50">
        <v>12</v>
      </c>
      <c r="V1807" s="53">
        <v>0</v>
      </c>
      <c r="W1807" s="147">
        <v>1</v>
      </c>
      <c r="X1807" s="148" t="s">
        <v>163</v>
      </c>
      <c r="Y1807" s="54">
        <f>R1807*W1807</f>
        <v>5.9</v>
      </c>
      <c r="Z1807" s="52">
        <f>S1807*W1807</f>
        <v>5.267857142857143</v>
      </c>
      <c r="AA1807" s="52">
        <f>T1807*W1807</f>
        <v>0.6321428571428572</v>
      </c>
      <c r="AB1807" s="52">
        <f>V1807*W1807</f>
        <v>0</v>
      </c>
      <c r="AC1807" s="53">
        <f>(R1807+V1807)*W1807</f>
        <v>5.9</v>
      </c>
      <c r="AD1807" s="138">
        <v>5.9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107</v>
      </c>
      <c r="F1808" s="96" t="s">
        <v>113</v>
      </c>
      <c r="G1808" s="97">
        <v>46132</v>
      </c>
      <c r="H1808" s="98">
        <v>0.7077430555555555</v>
      </c>
      <c r="I1808" s="50">
        <v>166004794</v>
      </c>
      <c r="J1808" s="96" t="s">
        <v>157</v>
      </c>
      <c r="K1808" s="49" t="s">
        <v>2061</v>
      </c>
      <c r="L1808" s="39" t="s">
        <v>2062</v>
      </c>
      <c r="M1808" s="49" t="s">
        <v>2063</v>
      </c>
      <c r="N1808" s="39" t="s">
        <v>172</v>
      </c>
      <c r="O1808" s="96" t="s">
        <v>2064</v>
      </c>
      <c r="P1808" s="49" t="s">
        <v>157</v>
      </c>
      <c r="Q1808" s="96" t="s">
        <v>104</v>
      </c>
      <c r="R1808" s="52">
        <v>13.9</v>
      </c>
      <c r="S1808" s="52">
        <f>R1808-T1808</f>
        <v>12.410714285714286</v>
      </c>
      <c r="T1808" s="52">
        <f>R1808*U1808/(U1808+100)</f>
        <v>1.4892857142857143</v>
      </c>
      <c r="U1808" s="50">
        <v>12</v>
      </c>
      <c r="V1808" s="53">
        <v>0</v>
      </c>
      <c r="W1808" s="147">
        <v>1</v>
      </c>
      <c r="X1808" s="148" t="s">
        <v>163</v>
      </c>
      <c r="Y1808" s="54">
        <f>R1808*W1808</f>
        <v>13.9</v>
      </c>
      <c r="Z1808" s="52">
        <f>S1808*W1808</f>
        <v>12.410714285714286</v>
      </c>
      <c r="AA1808" s="52">
        <f>T1808*W1808</f>
        <v>1.4892857142857143</v>
      </c>
      <c r="AB1808" s="52">
        <f>V1808*W1808</f>
        <v>0</v>
      </c>
      <c r="AC1808" s="53">
        <f>(R1808+V1808)*W1808</f>
        <v>13.9</v>
      </c>
      <c r="AD1808" s="138">
        <v>13.9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107</v>
      </c>
      <c r="F1809" s="96" t="s">
        <v>113</v>
      </c>
      <c r="G1809" s="97">
        <v>46132</v>
      </c>
      <c r="H1809" s="98">
        <v>0.7077430555555555</v>
      </c>
      <c r="I1809" s="50">
        <v>166004794</v>
      </c>
      <c r="J1809" s="96" t="s">
        <v>157</v>
      </c>
      <c r="K1809" s="49" t="s">
        <v>2864</v>
      </c>
      <c r="L1809" s="39" t="s">
        <v>2865</v>
      </c>
      <c r="M1809" s="49" t="s">
        <v>2063</v>
      </c>
      <c r="N1809" s="39" t="s">
        <v>172</v>
      </c>
      <c r="O1809" s="96" t="s">
        <v>2866</v>
      </c>
      <c r="P1809" s="49" t="s">
        <v>157</v>
      </c>
      <c r="Q1809" s="96" t="s">
        <v>104</v>
      </c>
      <c r="R1809" s="52">
        <v>13.9</v>
      </c>
      <c r="S1809" s="52">
        <f>R1809-T1809</f>
        <v>12.410714285714286</v>
      </c>
      <c r="T1809" s="52">
        <f>R1809*U1809/(U1809+100)</f>
        <v>1.4892857142857143</v>
      </c>
      <c r="U1809" s="50">
        <v>12</v>
      </c>
      <c r="V1809" s="53">
        <v>0</v>
      </c>
      <c r="W1809" s="147">
        <v>1</v>
      </c>
      <c r="X1809" s="148" t="s">
        <v>163</v>
      </c>
      <c r="Y1809" s="54">
        <f>R1809*W1809</f>
        <v>13.9</v>
      </c>
      <c r="Z1809" s="52">
        <f>S1809*W1809</f>
        <v>12.410714285714286</v>
      </c>
      <c r="AA1809" s="52">
        <f>T1809*W1809</f>
        <v>1.4892857142857143</v>
      </c>
      <c r="AB1809" s="52">
        <f>V1809*W1809</f>
        <v>0</v>
      </c>
      <c r="AC1809" s="53">
        <f>(R1809+V1809)*W1809</f>
        <v>13.9</v>
      </c>
      <c r="AD1809" s="138">
        <v>13.9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107</v>
      </c>
      <c r="F1810" s="96" t="s">
        <v>113</v>
      </c>
      <c r="G1810" s="97">
        <v>46132</v>
      </c>
      <c r="H1810" s="98">
        <v>0.7077430555555555</v>
      </c>
      <c r="I1810" s="50">
        <v>166004794</v>
      </c>
      <c r="J1810" s="96" t="s">
        <v>157</v>
      </c>
      <c r="K1810" s="49" t="s">
        <v>2867</v>
      </c>
      <c r="L1810" s="39" t="s">
        <v>2868</v>
      </c>
      <c r="M1810" s="49" t="s">
        <v>185</v>
      </c>
      <c r="N1810" s="39" t="s">
        <v>513</v>
      </c>
      <c r="O1810" s="96" t="s">
        <v>2869</v>
      </c>
      <c r="P1810" s="49" t="s">
        <v>157</v>
      </c>
      <c r="Q1810" s="96" t="s">
        <v>104</v>
      </c>
      <c r="R1810" s="52">
        <v>14.4</v>
      </c>
      <c r="S1810" s="52">
        <f>R1810-T1810</f>
        <v>12.857142857142858</v>
      </c>
      <c r="T1810" s="52">
        <f>R1810*U1810/(U1810+100)</f>
        <v>1.542857142857143</v>
      </c>
      <c r="U1810" s="50">
        <v>12</v>
      </c>
      <c r="V1810" s="53">
        <v>0</v>
      </c>
      <c r="W1810" s="147">
        <v>1</v>
      </c>
      <c r="X1810" s="148" t="s">
        <v>163</v>
      </c>
      <c r="Y1810" s="54">
        <f>R1810*W1810</f>
        <v>14.4</v>
      </c>
      <c r="Z1810" s="52">
        <f>S1810*W1810</f>
        <v>12.857142857142858</v>
      </c>
      <c r="AA1810" s="52">
        <f>T1810*W1810</f>
        <v>1.542857142857143</v>
      </c>
      <c r="AB1810" s="52">
        <f>V1810*W1810</f>
        <v>0</v>
      </c>
      <c r="AC1810" s="53">
        <f>(R1810+V1810)*W1810</f>
        <v>14.4</v>
      </c>
      <c r="AD1810" s="138">
        <v>14.4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107</v>
      </c>
      <c r="F1811" s="96" t="s">
        <v>113</v>
      </c>
      <c r="G1811" s="97">
        <v>46132</v>
      </c>
      <c r="H1811" s="98">
        <v>0.7077430555555555</v>
      </c>
      <c r="I1811" s="50">
        <v>166004794</v>
      </c>
      <c r="J1811" s="96" t="s">
        <v>157</v>
      </c>
      <c r="K1811" s="49" t="s">
        <v>2867</v>
      </c>
      <c r="L1811" s="39" t="s">
        <v>2868</v>
      </c>
      <c r="M1811" s="49" t="s">
        <v>185</v>
      </c>
      <c r="N1811" s="39" t="s">
        <v>513</v>
      </c>
      <c r="O1811" s="96" t="s">
        <v>2869</v>
      </c>
      <c r="P1811" s="49" t="s">
        <v>157</v>
      </c>
      <c r="Q1811" s="96" t="s">
        <v>104</v>
      </c>
      <c r="R1811" s="52">
        <v>14.4</v>
      </c>
      <c r="S1811" s="52">
        <f>R1811-T1811</f>
        <v>12.857142857142858</v>
      </c>
      <c r="T1811" s="52">
        <f>R1811*U1811/(U1811+100)</f>
        <v>1.542857142857143</v>
      </c>
      <c r="U1811" s="50">
        <v>12</v>
      </c>
      <c r="V1811" s="53">
        <v>0</v>
      </c>
      <c r="W1811" s="147">
        <v>1</v>
      </c>
      <c r="X1811" s="148" t="s">
        <v>163</v>
      </c>
      <c r="Y1811" s="54">
        <f>R1811*W1811</f>
        <v>14.4</v>
      </c>
      <c r="Z1811" s="52">
        <f>S1811*W1811</f>
        <v>12.857142857142858</v>
      </c>
      <c r="AA1811" s="52">
        <f>T1811*W1811</f>
        <v>1.542857142857143</v>
      </c>
      <c r="AB1811" s="52">
        <f>V1811*W1811</f>
        <v>0</v>
      </c>
      <c r="AC1811" s="53">
        <f>(R1811+V1811)*W1811</f>
        <v>14.4</v>
      </c>
      <c r="AD1811" s="138">
        <v>14.4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107</v>
      </c>
      <c r="F1812" s="96" t="s">
        <v>113</v>
      </c>
      <c r="G1812" s="97">
        <v>46132</v>
      </c>
      <c r="H1812" s="98">
        <v>0.7077430555555555</v>
      </c>
      <c r="I1812" s="50">
        <v>166004794</v>
      </c>
      <c r="J1812" s="96" t="s">
        <v>157</v>
      </c>
      <c r="K1812" s="49" t="s">
        <v>2870</v>
      </c>
      <c r="L1812" s="39" t="s">
        <v>2871</v>
      </c>
      <c r="M1812" s="49" t="s">
        <v>1120</v>
      </c>
      <c r="N1812" s="39" t="s">
        <v>838</v>
      </c>
      <c r="O1812" s="96" t="s">
        <v>2872</v>
      </c>
      <c r="P1812" s="49" t="s">
        <v>157</v>
      </c>
      <c r="Q1812" s="96" t="s">
        <v>104</v>
      </c>
      <c r="R1812" s="52">
        <v>41.9</v>
      </c>
      <c r="S1812" s="52">
        <f>R1812-T1812</f>
        <v>37.410714285714285</v>
      </c>
      <c r="T1812" s="52">
        <f>R1812*U1812/(U1812+100)</f>
        <v>4.489285714285714</v>
      </c>
      <c r="U1812" s="50">
        <v>12</v>
      </c>
      <c r="V1812" s="53">
        <v>0</v>
      </c>
      <c r="W1812" s="147">
        <v>1</v>
      </c>
      <c r="X1812" s="148" t="s">
        <v>163</v>
      </c>
      <c r="Y1812" s="54">
        <f>R1812*W1812</f>
        <v>41.9</v>
      </c>
      <c r="Z1812" s="52">
        <f>S1812*W1812</f>
        <v>37.410714285714285</v>
      </c>
      <c r="AA1812" s="52">
        <f>T1812*W1812</f>
        <v>4.489285714285714</v>
      </c>
      <c r="AB1812" s="52">
        <f>V1812*W1812</f>
        <v>0</v>
      </c>
      <c r="AC1812" s="53">
        <f>(R1812+V1812)*W1812</f>
        <v>41.9</v>
      </c>
      <c r="AD1812" s="138">
        <v>41.9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107</v>
      </c>
      <c r="F1813" s="96" t="s">
        <v>113</v>
      </c>
      <c r="G1813" s="97">
        <v>46132</v>
      </c>
      <c r="H1813" s="98">
        <v>0.7077430555555555</v>
      </c>
      <c r="I1813" s="50">
        <v>166004794</v>
      </c>
      <c r="J1813" s="96" t="s">
        <v>157</v>
      </c>
      <c r="K1813" s="49" t="s">
        <v>2870</v>
      </c>
      <c r="L1813" s="39" t="s">
        <v>2871</v>
      </c>
      <c r="M1813" s="49" t="s">
        <v>1120</v>
      </c>
      <c r="N1813" s="39" t="s">
        <v>838</v>
      </c>
      <c r="O1813" s="96" t="s">
        <v>2872</v>
      </c>
      <c r="P1813" s="49" t="s">
        <v>157</v>
      </c>
      <c r="Q1813" s="96" t="s">
        <v>104</v>
      </c>
      <c r="R1813" s="52">
        <v>41.9</v>
      </c>
      <c r="S1813" s="52">
        <f>R1813-T1813</f>
        <v>37.410714285714285</v>
      </c>
      <c r="T1813" s="52">
        <f>R1813*U1813/(U1813+100)</f>
        <v>4.489285714285714</v>
      </c>
      <c r="U1813" s="50">
        <v>12</v>
      </c>
      <c r="V1813" s="53">
        <v>0</v>
      </c>
      <c r="W1813" s="147">
        <v>1</v>
      </c>
      <c r="X1813" s="148" t="s">
        <v>163</v>
      </c>
      <c r="Y1813" s="54">
        <f>R1813*W1813</f>
        <v>41.9</v>
      </c>
      <c r="Z1813" s="52">
        <f>S1813*W1813</f>
        <v>37.410714285714285</v>
      </c>
      <c r="AA1813" s="52">
        <f>T1813*W1813</f>
        <v>4.489285714285714</v>
      </c>
      <c r="AB1813" s="52">
        <f>V1813*W1813</f>
        <v>0</v>
      </c>
      <c r="AC1813" s="53">
        <f>(R1813+V1813)*W1813</f>
        <v>41.9</v>
      </c>
      <c r="AD1813" s="138">
        <v>41.9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107</v>
      </c>
      <c r="F1814" s="96" t="s">
        <v>113</v>
      </c>
      <c r="G1814" s="97">
        <v>46132</v>
      </c>
      <c r="H1814" s="98">
        <v>0.7077430555555555</v>
      </c>
      <c r="I1814" s="50">
        <v>166004794</v>
      </c>
      <c r="J1814" s="96" t="s">
        <v>157</v>
      </c>
      <c r="K1814" s="49" t="s">
        <v>1806</v>
      </c>
      <c r="L1814" s="39" t="s">
        <v>1807</v>
      </c>
      <c r="M1814" s="49" t="s">
        <v>214</v>
      </c>
      <c r="N1814" s="39" t="s">
        <v>756</v>
      </c>
      <c r="O1814" s="96" t="s">
        <v>1808</v>
      </c>
      <c r="P1814" s="49" t="s">
        <v>157</v>
      </c>
      <c r="Q1814" s="96" t="s">
        <v>104</v>
      </c>
      <c r="R1814" s="52">
        <v>15.9</v>
      </c>
      <c r="S1814" s="52">
        <f>R1814-T1814</f>
        <v>14.196428571428571</v>
      </c>
      <c r="T1814" s="52">
        <f>R1814*U1814/(U1814+100)</f>
        <v>1.7035714285714287</v>
      </c>
      <c r="U1814" s="50">
        <v>12</v>
      </c>
      <c r="V1814" s="53">
        <v>0</v>
      </c>
      <c r="W1814" s="147">
        <v>3</v>
      </c>
      <c r="X1814" s="148" t="s">
        <v>163</v>
      </c>
      <c r="Y1814" s="54">
        <f>R1814*W1814</f>
        <v>47.7</v>
      </c>
      <c r="Z1814" s="52">
        <f>S1814*W1814</f>
        <v>42.589285714285715</v>
      </c>
      <c r="AA1814" s="52">
        <f>T1814*W1814</f>
        <v>5.110714285714286</v>
      </c>
      <c r="AB1814" s="52">
        <f>V1814*W1814</f>
        <v>0</v>
      </c>
      <c r="AC1814" s="53">
        <f>(R1814+V1814)*W1814</f>
        <v>47.7</v>
      </c>
      <c r="AD1814" s="138">
        <v>15.9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107</v>
      </c>
      <c r="F1815" s="96" t="s">
        <v>113</v>
      </c>
      <c r="G1815" s="97">
        <v>46132</v>
      </c>
      <c r="H1815" s="98">
        <v>0.7077430555555555</v>
      </c>
      <c r="I1815" s="50">
        <v>166004794</v>
      </c>
      <c r="J1815" s="96" t="s">
        <v>157</v>
      </c>
      <c r="K1815" s="49" t="s">
        <v>183</v>
      </c>
      <c r="L1815" s="39" t="s">
        <v>184</v>
      </c>
      <c r="M1815" s="49" t="s">
        <v>185</v>
      </c>
      <c r="N1815" s="39" t="s">
        <v>186</v>
      </c>
      <c r="O1815" s="96" t="s">
        <v>988</v>
      </c>
      <c r="P1815" s="49" t="s">
        <v>157</v>
      </c>
      <c r="Q1815" s="96" t="s">
        <v>104</v>
      </c>
      <c r="R1815" s="52">
        <v>1.9</v>
      </c>
      <c r="S1815" s="52">
        <f>R1815-T1815</f>
        <v>1.5702479338842974</v>
      </c>
      <c r="T1815" s="52">
        <f>R1815*U1815/(U1815+100)</f>
        <v>0.32975206611570246</v>
      </c>
      <c r="U1815" s="50">
        <v>21</v>
      </c>
      <c r="V1815" s="53">
        <v>0</v>
      </c>
      <c r="W1815" s="147">
        <v>1</v>
      </c>
      <c r="X1815" s="148" t="s">
        <v>163</v>
      </c>
      <c r="Y1815" s="54">
        <f>R1815*W1815</f>
        <v>1.9</v>
      </c>
      <c r="Z1815" s="52">
        <f>S1815*W1815</f>
        <v>1.5702479338842974</v>
      </c>
      <c r="AA1815" s="52">
        <f>T1815*W1815</f>
        <v>0.32975206611570246</v>
      </c>
      <c r="AB1815" s="52">
        <f>V1815*W1815</f>
        <v>0</v>
      </c>
      <c r="AC1815" s="53">
        <f>(R1815+V1815)*W1815</f>
        <v>1.9</v>
      </c>
      <c r="AD1815" s="138">
        <v>1.9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107</v>
      </c>
      <c r="F1816" s="96" t="s">
        <v>113</v>
      </c>
      <c r="G1816" s="97">
        <v>46132</v>
      </c>
      <c r="H1816" s="98">
        <v>0.708125</v>
      </c>
      <c r="I1816" s="50">
        <v>166004795</v>
      </c>
      <c r="J1816" s="96" t="s">
        <v>157</v>
      </c>
      <c r="K1816" s="49" t="s">
        <v>2873</v>
      </c>
      <c r="L1816" s="39" t="s">
        <v>2874</v>
      </c>
      <c r="M1816" s="49" t="s">
        <v>243</v>
      </c>
      <c r="N1816" s="39" t="s">
        <v>244</v>
      </c>
      <c r="O1816" s="96" t="s">
        <v>2875</v>
      </c>
      <c r="P1816" s="49" t="s">
        <v>157</v>
      </c>
      <c r="Q1816" s="96" t="s">
        <v>104</v>
      </c>
      <c r="R1816" s="52">
        <v>44.9</v>
      </c>
      <c r="S1816" s="52">
        <f>R1816-T1816</f>
        <v>40.089285714285715</v>
      </c>
      <c r="T1816" s="52">
        <f>R1816*U1816/(U1816+100)</f>
        <v>4.810714285714285</v>
      </c>
      <c r="U1816" s="50">
        <v>12</v>
      </c>
      <c r="V1816" s="53">
        <v>0</v>
      </c>
      <c r="W1816" s="147">
        <v>1</v>
      </c>
      <c r="X1816" s="148" t="s">
        <v>163</v>
      </c>
      <c r="Y1816" s="54">
        <f>R1816*W1816</f>
        <v>44.9</v>
      </c>
      <c r="Z1816" s="52">
        <f>S1816*W1816</f>
        <v>40.089285714285715</v>
      </c>
      <c r="AA1816" s="52">
        <f>T1816*W1816</f>
        <v>4.810714285714285</v>
      </c>
      <c r="AB1816" s="52">
        <f>V1816*W1816</f>
        <v>0</v>
      </c>
      <c r="AC1816" s="53">
        <f>(R1816+V1816)*W1816</f>
        <v>44.9</v>
      </c>
      <c r="AD1816" s="138">
        <v>44.9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107</v>
      </c>
      <c r="F1817" s="96" t="s">
        <v>113</v>
      </c>
      <c r="G1817" s="97">
        <v>46132</v>
      </c>
      <c r="H1817" s="98">
        <v>0.708125</v>
      </c>
      <c r="I1817" s="50">
        <v>166004795</v>
      </c>
      <c r="J1817" s="96" t="s">
        <v>157</v>
      </c>
      <c r="K1817" s="49" t="s">
        <v>2876</v>
      </c>
      <c r="L1817" s="39" t="s">
        <v>2877</v>
      </c>
      <c r="M1817" s="49" t="s">
        <v>277</v>
      </c>
      <c r="N1817" s="39" t="s">
        <v>278</v>
      </c>
      <c r="O1817" s="96" t="s">
        <v>2878</v>
      </c>
      <c r="P1817" s="49" t="s">
        <v>157</v>
      </c>
      <c r="Q1817" s="96" t="s">
        <v>104</v>
      </c>
      <c r="R1817" s="52">
        <v>263.9</v>
      </c>
      <c r="S1817" s="52">
        <f>R1817-T1817</f>
        <v>235.62499999999997</v>
      </c>
      <c r="T1817" s="52">
        <f>R1817*U1817/(U1817+100)</f>
        <v>28.275</v>
      </c>
      <c r="U1817" s="50">
        <v>12</v>
      </c>
      <c r="V1817" s="53">
        <v>0</v>
      </c>
      <c r="W1817" s="147">
        <v>0.224</v>
      </c>
      <c r="X1817" s="148" t="s">
        <v>193</v>
      </c>
      <c r="Y1817" s="54">
        <f>R1817*W1817</f>
        <v>59.1136</v>
      </c>
      <c r="Z1817" s="52">
        <f>S1817*W1817</f>
        <v>52.779999999999994</v>
      </c>
      <c r="AA1817" s="52">
        <f>T1817*W1817</f>
        <v>6.3336</v>
      </c>
      <c r="AB1817" s="52">
        <f>V1817*W1817</f>
        <v>0</v>
      </c>
      <c r="AC1817" s="53">
        <f>(R1817+V1817)*W1817</f>
        <v>59.1136</v>
      </c>
      <c r="AD1817" s="138">
        <v>263.9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107</v>
      </c>
      <c r="F1818" s="96" t="s">
        <v>113</v>
      </c>
      <c r="G1818" s="97">
        <v>46132</v>
      </c>
      <c r="H1818" s="98">
        <v>0.708125</v>
      </c>
      <c r="I1818" s="50">
        <v>166004795</v>
      </c>
      <c r="J1818" s="96" t="s">
        <v>157</v>
      </c>
      <c r="K1818" s="49" t="s">
        <v>560</v>
      </c>
      <c r="L1818" s="39" t="s">
        <v>104</v>
      </c>
      <c r="M1818" s="49" t="s">
        <v>554</v>
      </c>
      <c r="N1818" s="39" t="s">
        <v>296</v>
      </c>
      <c r="O1818" s="96" t="s">
        <v>561</v>
      </c>
      <c r="P1818" s="49" t="s">
        <v>157</v>
      </c>
      <c r="Q1818" s="96" t="s">
        <v>104</v>
      </c>
      <c r="R1818" s="52">
        <v>8.9</v>
      </c>
      <c r="S1818" s="52">
        <f>R1818-T1818</f>
        <v>7.946428571428572</v>
      </c>
      <c r="T1818" s="52">
        <f>R1818*U1818/(U1818+100)</f>
        <v>0.9535714285714286</v>
      </c>
      <c r="U1818" s="50">
        <v>12</v>
      </c>
      <c r="V1818" s="53">
        <v>0</v>
      </c>
      <c r="W1818" s="147">
        <v>2</v>
      </c>
      <c r="X1818" s="148" t="s">
        <v>163</v>
      </c>
      <c r="Y1818" s="54">
        <f>R1818*W1818</f>
        <v>17.8</v>
      </c>
      <c r="Z1818" s="52">
        <f>S1818*W1818</f>
        <v>15.892857142857144</v>
      </c>
      <c r="AA1818" s="52">
        <f>T1818*W1818</f>
        <v>1.9071428571428573</v>
      </c>
      <c r="AB1818" s="52">
        <f>V1818*W1818</f>
        <v>0</v>
      </c>
      <c r="AC1818" s="53">
        <f>(R1818+V1818)*W1818</f>
        <v>17.8</v>
      </c>
      <c r="AD1818" s="138">
        <v>8.9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107</v>
      </c>
      <c r="F1819" s="96" t="s">
        <v>113</v>
      </c>
      <c r="G1819" s="97">
        <v>46132</v>
      </c>
      <c r="H1819" s="98">
        <v>0.7084606481481481</v>
      </c>
      <c r="I1819" s="50">
        <v>166004796</v>
      </c>
      <c r="J1819" s="96" t="s">
        <v>157</v>
      </c>
      <c r="K1819" s="49" t="s">
        <v>2879</v>
      </c>
      <c r="L1819" s="39" t="s">
        <v>2880</v>
      </c>
      <c r="M1819" s="49" t="s">
        <v>954</v>
      </c>
      <c r="N1819" s="39" t="s">
        <v>1312</v>
      </c>
      <c r="O1819" s="96" t="s">
        <v>2881</v>
      </c>
      <c r="P1819" s="49" t="s">
        <v>157</v>
      </c>
      <c r="Q1819" s="96" t="s">
        <v>104</v>
      </c>
      <c r="R1819" s="52">
        <v>94.9</v>
      </c>
      <c r="S1819" s="52">
        <f>R1819-T1819</f>
        <v>78.42975206611571</v>
      </c>
      <c r="T1819" s="52">
        <f>R1819*U1819/(U1819+100)</f>
        <v>16.4702479338843</v>
      </c>
      <c r="U1819" s="50">
        <v>21</v>
      </c>
      <c r="V1819" s="53">
        <v>0</v>
      </c>
      <c r="W1819" s="147">
        <v>1</v>
      </c>
      <c r="X1819" s="148" t="s">
        <v>163</v>
      </c>
      <c r="Y1819" s="54">
        <f>R1819*W1819</f>
        <v>94.9</v>
      </c>
      <c r="Z1819" s="52">
        <f>S1819*W1819</f>
        <v>78.42975206611571</v>
      </c>
      <c r="AA1819" s="52">
        <f>T1819*W1819</f>
        <v>16.4702479338843</v>
      </c>
      <c r="AB1819" s="52">
        <f>V1819*W1819</f>
        <v>0</v>
      </c>
      <c r="AC1819" s="53">
        <f>(R1819+V1819)*W1819</f>
        <v>94.9</v>
      </c>
      <c r="AD1819" s="138">
        <v>94.9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107</v>
      </c>
      <c r="F1820" s="96" t="s">
        <v>113</v>
      </c>
      <c r="G1820" s="97">
        <v>46132</v>
      </c>
      <c r="H1820" s="98">
        <v>0.7084606481481481</v>
      </c>
      <c r="I1820" s="50">
        <v>166004796</v>
      </c>
      <c r="J1820" s="96" t="s">
        <v>157</v>
      </c>
      <c r="K1820" s="49" t="s">
        <v>1158</v>
      </c>
      <c r="L1820" s="39" t="s">
        <v>1159</v>
      </c>
      <c r="M1820" s="49" t="s">
        <v>862</v>
      </c>
      <c r="N1820" s="39" t="s">
        <v>863</v>
      </c>
      <c r="O1820" s="96" t="s">
        <v>1160</v>
      </c>
      <c r="P1820" s="49" t="s">
        <v>157</v>
      </c>
      <c r="Q1820" s="96" t="s">
        <v>104</v>
      </c>
      <c r="R1820" s="52">
        <v>149</v>
      </c>
      <c r="S1820" s="52">
        <f>R1820-T1820</f>
        <v>123.14049586776859</v>
      </c>
      <c r="T1820" s="52">
        <f>R1820*U1820/(U1820+100)</f>
        <v>25.859504132231404</v>
      </c>
      <c r="U1820" s="50">
        <v>21</v>
      </c>
      <c r="V1820" s="53">
        <v>0</v>
      </c>
      <c r="W1820" s="147">
        <v>1</v>
      </c>
      <c r="X1820" s="148" t="s">
        <v>163</v>
      </c>
      <c r="Y1820" s="54">
        <f>R1820*W1820</f>
        <v>149</v>
      </c>
      <c r="Z1820" s="52">
        <f>S1820*W1820</f>
        <v>123.14049586776859</v>
      </c>
      <c r="AA1820" s="52">
        <f>T1820*W1820</f>
        <v>25.859504132231404</v>
      </c>
      <c r="AB1820" s="52">
        <f>V1820*W1820</f>
        <v>0</v>
      </c>
      <c r="AC1820" s="53">
        <f>(R1820+V1820)*W1820</f>
        <v>149</v>
      </c>
      <c r="AD1820" s="138">
        <v>149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107</v>
      </c>
      <c r="F1821" s="96" t="s">
        <v>113</v>
      </c>
      <c r="G1821" s="97">
        <v>46132</v>
      </c>
      <c r="H1821" s="98">
        <v>0.7084606481481481</v>
      </c>
      <c r="I1821" s="50">
        <v>166004796</v>
      </c>
      <c r="J1821" s="96" t="s">
        <v>157</v>
      </c>
      <c r="K1821" s="49" t="s">
        <v>2882</v>
      </c>
      <c r="L1821" s="39" t="s">
        <v>2883</v>
      </c>
      <c r="M1821" s="49" t="s">
        <v>277</v>
      </c>
      <c r="N1821" s="39" t="s">
        <v>408</v>
      </c>
      <c r="O1821" s="96" t="s">
        <v>2884</v>
      </c>
      <c r="P1821" s="49" t="s">
        <v>157</v>
      </c>
      <c r="Q1821" s="96" t="s">
        <v>104</v>
      </c>
      <c r="R1821" s="52">
        <v>157.9</v>
      </c>
      <c r="S1821" s="52">
        <f>R1821-T1821</f>
        <v>140.98214285714286</v>
      </c>
      <c r="T1821" s="52">
        <f>R1821*U1821/(U1821+100)</f>
        <v>16.917857142857144</v>
      </c>
      <c r="U1821" s="50">
        <v>12</v>
      </c>
      <c r="V1821" s="53">
        <v>0</v>
      </c>
      <c r="W1821" s="147">
        <v>0.154</v>
      </c>
      <c r="X1821" s="148" t="s">
        <v>410</v>
      </c>
      <c r="Y1821" s="54">
        <f>R1821*W1821</f>
        <v>24.3166</v>
      </c>
      <c r="Z1821" s="52">
        <f>S1821*W1821</f>
        <v>21.71125</v>
      </c>
      <c r="AA1821" s="52">
        <f>T1821*W1821</f>
        <v>2.60535</v>
      </c>
      <c r="AB1821" s="52">
        <f>V1821*W1821</f>
        <v>0</v>
      </c>
      <c r="AC1821" s="53">
        <f>(R1821+V1821)*W1821</f>
        <v>24.3166</v>
      </c>
      <c r="AD1821" s="138">
        <v>157.9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107</v>
      </c>
      <c r="F1822" s="96" t="s">
        <v>113</v>
      </c>
      <c r="G1822" s="97">
        <v>46132</v>
      </c>
      <c r="H1822" s="98">
        <v>0.7090277777777778</v>
      </c>
      <c r="I1822" s="50">
        <v>166004797</v>
      </c>
      <c r="J1822" s="96" t="s">
        <v>157</v>
      </c>
      <c r="K1822" s="49" t="s">
        <v>2885</v>
      </c>
      <c r="L1822" s="39" t="s">
        <v>2886</v>
      </c>
      <c r="M1822" s="49" t="s">
        <v>196</v>
      </c>
      <c r="N1822" s="39" t="s">
        <v>264</v>
      </c>
      <c r="O1822" s="96" t="s">
        <v>2887</v>
      </c>
      <c r="P1822" s="49" t="s">
        <v>157</v>
      </c>
      <c r="Q1822" s="96" t="s">
        <v>104</v>
      </c>
      <c r="R1822" s="52">
        <v>11.9</v>
      </c>
      <c r="S1822" s="52">
        <f>R1822-T1822</f>
        <v>10.625</v>
      </c>
      <c r="T1822" s="52">
        <f>R1822*U1822/(U1822+100)</f>
        <v>1.2750000000000001</v>
      </c>
      <c r="U1822" s="50">
        <v>12</v>
      </c>
      <c r="V1822" s="53">
        <v>0</v>
      </c>
      <c r="W1822" s="147">
        <v>1</v>
      </c>
      <c r="X1822" s="148" t="s">
        <v>163</v>
      </c>
      <c r="Y1822" s="54">
        <f>R1822*W1822</f>
        <v>11.9</v>
      </c>
      <c r="Z1822" s="52">
        <f>S1822*W1822</f>
        <v>10.625</v>
      </c>
      <c r="AA1822" s="52">
        <f>T1822*W1822</f>
        <v>1.2750000000000001</v>
      </c>
      <c r="AB1822" s="52">
        <f>V1822*W1822</f>
        <v>0</v>
      </c>
      <c r="AC1822" s="53">
        <f>(R1822+V1822)*W1822</f>
        <v>11.9</v>
      </c>
      <c r="AD1822" s="138">
        <v>11.9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107</v>
      </c>
      <c r="F1823" s="96" t="s">
        <v>113</v>
      </c>
      <c r="G1823" s="97">
        <v>46132</v>
      </c>
      <c r="H1823" s="98">
        <v>0.7090277777777778</v>
      </c>
      <c r="I1823" s="50">
        <v>166004797</v>
      </c>
      <c r="J1823" s="96" t="s">
        <v>157</v>
      </c>
      <c r="K1823" s="49" t="s">
        <v>2888</v>
      </c>
      <c r="L1823" s="39" t="s">
        <v>2889</v>
      </c>
      <c r="M1823" s="49" t="s">
        <v>1252</v>
      </c>
      <c r="N1823" s="39" t="s">
        <v>264</v>
      </c>
      <c r="O1823" s="96" t="s">
        <v>2890</v>
      </c>
      <c r="P1823" s="49" t="s">
        <v>157</v>
      </c>
      <c r="Q1823" s="96" t="s">
        <v>104</v>
      </c>
      <c r="R1823" s="52">
        <v>14.4</v>
      </c>
      <c r="S1823" s="52">
        <f>R1823-T1823</f>
        <v>12.857142857142858</v>
      </c>
      <c r="T1823" s="52">
        <f>R1823*U1823/(U1823+100)</f>
        <v>1.542857142857143</v>
      </c>
      <c r="U1823" s="50">
        <v>12</v>
      </c>
      <c r="V1823" s="53">
        <v>0</v>
      </c>
      <c r="W1823" s="147">
        <v>1</v>
      </c>
      <c r="X1823" s="148" t="s">
        <v>163</v>
      </c>
      <c r="Y1823" s="54">
        <f>R1823*W1823</f>
        <v>14.4</v>
      </c>
      <c r="Z1823" s="52">
        <f>S1823*W1823</f>
        <v>12.857142857142858</v>
      </c>
      <c r="AA1823" s="52">
        <f>T1823*W1823</f>
        <v>1.542857142857143</v>
      </c>
      <c r="AB1823" s="52">
        <f>V1823*W1823</f>
        <v>0</v>
      </c>
      <c r="AC1823" s="53">
        <f>(R1823+V1823)*W1823</f>
        <v>14.4</v>
      </c>
      <c r="AD1823" s="138">
        <v>14.4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107</v>
      </c>
      <c r="F1824" s="96" t="s">
        <v>113</v>
      </c>
      <c r="G1824" s="97">
        <v>46132</v>
      </c>
      <c r="H1824" s="98">
        <v>0.7090277777777778</v>
      </c>
      <c r="I1824" s="50">
        <v>166004797</v>
      </c>
      <c r="J1824" s="96" t="s">
        <v>157</v>
      </c>
      <c r="K1824" s="49" t="s">
        <v>2891</v>
      </c>
      <c r="L1824" s="39" t="s">
        <v>2892</v>
      </c>
      <c r="M1824" s="49" t="s">
        <v>1252</v>
      </c>
      <c r="N1824" s="39" t="s">
        <v>264</v>
      </c>
      <c r="O1824" s="96" t="s">
        <v>2893</v>
      </c>
      <c r="P1824" s="49" t="s">
        <v>157</v>
      </c>
      <c r="Q1824" s="96" t="s">
        <v>104</v>
      </c>
      <c r="R1824" s="52">
        <v>14.9</v>
      </c>
      <c r="S1824" s="52">
        <f>R1824-T1824</f>
        <v>13.303571428571429</v>
      </c>
      <c r="T1824" s="52">
        <f>R1824*U1824/(U1824+100)</f>
        <v>1.5964285714285715</v>
      </c>
      <c r="U1824" s="50">
        <v>12</v>
      </c>
      <c r="V1824" s="53">
        <v>0</v>
      </c>
      <c r="W1824" s="147">
        <v>1</v>
      </c>
      <c r="X1824" s="148" t="s">
        <v>163</v>
      </c>
      <c r="Y1824" s="54">
        <f>R1824*W1824</f>
        <v>14.9</v>
      </c>
      <c r="Z1824" s="52">
        <f>S1824*W1824</f>
        <v>13.303571428571429</v>
      </c>
      <c r="AA1824" s="52">
        <f>T1824*W1824</f>
        <v>1.5964285714285715</v>
      </c>
      <c r="AB1824" s="52">
        <f>V1824*W1824</f>
        <v>0</v>
      </c>
      <c r="AC1824" s="53">
        <f>(R1824+V1824)*W1824</f>
        <v>14.9</v>
      </c>
      <c r="AD1824" s="138">
        <v>14.9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107</v>
      </c>
      <c r="F1825" s="96" t="s">
        <v>113</v>
      </c>
      <c r="G1825" s="97">
        <v>46132</v>
      </c>
      <c r="H1825" s="98">
        <v>0.7090277777777778</v>
      </c>
      <c r="I1825" s="50">
        <v>166004797</v>
      </c>
      <c r="J1825" s="96" t="s">
        <v>157</v>
      </c>
      <c r="K1825" s="49" t="s">
        <v>786</v>
      </c>
      <c r="L1825" s="39" t="s">
        <v>787</v>
      </c>
      <c r="M1825" s="49" t="s">
        <v>788</v>
      </c>
      <c r="N1825" s="39" t="s">
        <v>244</v>
      </c>
      <c r="O1825" s="96" t="s">
        <v>1545</v>
      </c>
      <c r="P1825" s="49" t="s">
        <v>157</v>
      </c>
      <c r="Q1825" s="96" t="s">
        <v>104</v>
      </c>
      <c r="R1825" s="52">
        <v>14.9</v>
      </c>
      <c r="S1825" s="52">
        <f>R1825-T1825</f>
        <v>13.303571428571429</v>
      </c>
      <c r="T1825" s="52">
        <f>R1825*U1825/(U1825+100)</f>
        <v>1.5964285714285715</v>
      </c>
      <c r="U1825" s="50">
        <v>12</v>
      </c>
      <c r="V1825" s="53">
        <v>0</v>
      </c>
      <c r="W1825" s="147">
        <v>1</v>
      </c>
      <c r="X1825" s="148" t="s">
        <v>163</v>
      </c>
      <c r="Y1825" s="54">
        <f>R1825*W1825</f>
        <v>14.9</v>
      </c>
      <c r="Z1825" s="52">
        <f>S1825*W1825</f>
        <v>13.303571428571429</v>
      </c>
      <c r="AA1825" s="52">
        <f>T1825*W1825</f>
        <v>1.5964285714285715</v>
      </c>
      <c r="AB1825" s="52">
        <f>V1825*W1825</f>
        <v>0</v>
      </c>
      <c r="AC1825" s="53">
        <f>(R1825+V1825)*W1825</f>
        <v>14.9</v>
      </c>
      <c r="AD1825" s="138">
        <v>14.9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107</v>
      </c>
      <c r="F1826" s="96" t="s">
        <v>113</v>
      </c>
      <c r="G1826" s="97">
        <v>46132</v>
      </c>
      <c r="H1826" s="98">
        <v>0.7090277777777778</v>
      </c>
      <c r="I1826" s="50">
        <v>166004797</v>
      </c>
      <c r="J1826" s="96" t="s">
        <v>157</v>
      </c>
      <c r="K1826" s="49" t="s">
        <v>2894</v>
      </c>
      <c r="L1826" s="39" t="s">
        <v>2895</v>
      </c>
      <c r="M1826" s="49" t="s">
        <v>219</v>
      </c>
      <c r="N1826" s="39" t="s">
        <v>167</v>
      </c>
      <c r="O1826" s="96" t="s">
        <v>2896</v>
      </c>
      <c r="P1826" s="49" t="s">
        <v>157</v>
      </c>
      <c r="Q1826" s="96" t="s">
        <v>104</v>
      </c>
      <c r="R1826" s="52">
        <v>32.9</v>
      </c>
      <c r="S1826" s="52">
        <f>R1826-T1826</f>
        <v>27.1900826446281</v>
      </c>
      <c r="T1826" s="52">
        <f>R1826*U1826/(U1826+100)</f>
        <v>5.709917355371901</v>
      </c>
      <c r="U1826" s="50">
        <v>21</v>
      </c>
      <c r="V1826" s="53">
        <v>0</v>
      </c>
      <c r="W1826" s="147">
        <v>1</v>
      </c>
      <c r="X1826" s="148" t="s">
        <v>163</v>
      </c>
      <c r="Y1826" s="54">
        <f>R1826*W1826</f>
        <v>32.9</v>
      </c>
      <c r="Z1826" s="52">
        <f>S1826*W1826</f>
        <v>27.1900826446281</v>
      </c>
      <c r="AA1826" s="52">
        <f>T1826*W1826</f>
        <v>5.709917355371901</v>
      </c>
      <c r="AB1826" s="52">
        <f>V1826*W1826</f>
        <v>0</v>
      </c>
      <c r="AC1826" s="53">
        <f>(R1826+V1826)*W1826</f>
        <v>32.9</v>
      </c>
      <c r="AD1826" s="138">
        <v>32.9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107</v>
      </c>
      <c r="F1827" s="96" t="s">
        <v>113</v>
      </c>
      <c r="G1827" s="97">
        <v>46132</v>
      </c>
      <c r="H1827" s="98">
        <v>0.7094444444444444</v>
      </c>
      <c r="I1827" s="50">
        <v>166004798</v>
      </c>
      <c r="J1827" s="96" t="s">
        <v>157</v>
      </c>
      <c r="K1827" s="49" t="s">
        <v>2522</v>
      </c>
      <c r="L1827" s="39" t="s">
        <v>2523</v>
      </c>
      <c r="M1827" s="49" t="s">
        <v>219</v>
      </c>
      <c r="N1827" s="39" t="s">
        <v>641</v>
      </c>
      <c r="O1827" s="96" t="s">
        <v>2524</v>
      </c>
      <c r="P1827" s="49" t="s">
        <v>157</v>
      </c>
      <c r="Q1827" s="96" t="s">
        <v>104</v>
      </c>
      <c r="R1827" s="52">
        <v>35.9</v>
      </c>
      <c r="S1827" s="52">
        <f>R1827-T1827</f>
        <v>32.05357142857143</v>
      </c>
      <c r="T1827" s="52">
        <f>R1827*U1827/(U1827+100)</f>
        <v>3.846428571428571</v>
      </c>
      <c r="U1827" s="50">
        <v>12</v>
      </c>
      <c r="V1827" s="53">
        <v>0</v>
      </c>
      <c r="W1827" s="147">
        <v>1</v>
      </c>
      <c r="X1827" s="148" t="s">
        <v>163</v>
      </c>
      <c r="Y1827" s="54">
        <f>R1827*W1827</f>
        <v>35.9</v>
      </c>
      <c r="Z1827" s="52">
        <f>S1827*W1827</f>
        <v>32.05357142857143</v>
      </c>
      <c r="AA1827" s="52">
        <f>T1827*W1827</f>
        <v>3.846428571428571</v>
      </c>
      <c r="AB1827" s="52">
        <f>V1827*W1827</f>
        <v>0</v>
      </c>
      <c r="AC1827" s="53">
        <f>(R1827+V1827)*W1827</f>
        <v>35.9</v>
      </c>
      <c r="AD1827" s="138">
        <v>35.9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107</v>
      </c>
      <c r="F1828" s="96" t="s">
        <v>113</v>
      </c>
      <c r="G1828" s="97">
        <v>46132</v>
      </c>
      <c r="H1828" s="98">
        <v>0.7094444444444444</v>
      </c>
      <c r="I1828" s="50">
        <v>166004798</v>
      </c>
      <c r="J1828" s="96" t="s">
        <v>157</v>
      </c>
      <c r="K1828" s="49" t="s">
        <v>1106</v>
      </c>
      <c r="L1828" s="39" t="s">
        <v>1107</v>
      </c>
      <c r="M1828" s="49" t="s">
        <v>166</v>
      </c>
      <c r="N1828" s="39" t="s">
        <v>167</v>
      </c>
      <c r="O1828" s="96" t="s">
        <v>1108</v>
      </c>
      <c r="P1828" s="49" t="s">
        <v>157</v>
      </c>
      <c r="Q1828" s="96" t="s">
        <v>104</v>
      </c>
      <c r="R1828" s="52">
        <v>17.9</v>
      </c>
      <c r="S1828" s="52">
        <f>R1828-T1828</f>
        <v>14.793388429752065</v>
      </c>
      <c r="T1828" s="52">
        <f>R1828*U1828/(U1828+100)</f>
        <v>3.1066115702479338</v>
      </c>
      <c r="U1828" s="50">
        <v>21</v>
      </c>
      <c r="V1828" s="53">
        <v>0</v>
      </c>
      <c r="W1828" s="147">
        <v>1</v>
      </c>
      <c r="X1828" s="148" t="s">
        <v>163</v>
      </c>
      <c r="Y1828" s="54">
        <f>R1828*W1828</f>
        <v>17.9</v>
      </c>
      <c r="Z1828" s="52">
        <f>S1828*W1828</f>
        <v>14.793388429752065</v>
      </c>
      <c r="AA1828" s="52">
        <f>T1828*W1828</f>
        <v>3.1066115702479338</v>
      </c>
      <c r="AB1828" s="52">
        <f>V1828*W1828</f>
        <v>0</v>
      </c>
      <c r="AC1828" s="53">
        <f>(R1828+V1828)*W1828</f>
        <v>17.9</v>
      </c>
      <c r="AD1828" s="138">
        <v>17.9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107</v>
      </c>
      <c r="F1829" s="96" t="s">
        <v>113</v>
      </c>
      <c r="G1829" s="97">
        <v>46132</v>
      </c>
      <c r="H1829" s="98">
        <v>0.7099537037037037</v>
      </c>
      <c r="I1829" s="50">
        <v>166004799</v>
      </c>
      <c r="J1829" s="96" t="s">
        <v>157</v>
      </c>
      <c r="K1829" s="49" t="s">
        <v>2897</v>
      </c>
      <c r="L1829" s="39" t="s">
        <v>2898</v>
      </c>
      <c r="M1829" s="49" t="s">
        <v>243</v>
      </c>
      <c r="N1829" s="39" t="s">
        <v>244</v>
      </c>
      <c r="O1829" s="96" t="s">
        <v>2899</v>
      </c>
      <c r="P1829" s="49" t="s">
        <v>157</v>
      </c>
      <c r="Q1829" s="96" t="s">
        <v>104</v>
      </c>
      <c r="R1829" s="52">
        <v>44.9</v>
      </c>
      <c r="S1829" s="52">
        <f>R1829-T1829</f>
        <v>40.089285714285715</v>
      </c>
      <c r="T1829" s="52">
        <f>R1829*U1829/(U1829+100)</f>
        <v>4.810714285714285</v>
      </c>
      <c r="U1829" s="50">
        <v>12</v>
      </c>
      <c r="V1829" s="53">
        <v>0</v>
      </c>
      <c r="W1829" s="147">
        <v>1</v>
      </c>
      <c r="X1829" s="148" t="s">
        <v>163</v>
      </c>
      <c r="Y1829" s="54">
        <f>R1829*W1829</f>
        <v>44.9</v>
      </c>
      <c r="Z1829" s="52">
        <f>S1829*W1829</f>
        <v>40.089285714285715</v>
      </c>
      <c r="AA1829" s="52">
        <f>T1829*W1829</f>
        <v>4.810714285714285</v>
      </c>
      <c r="AB1829" s="52">
        <f>V1829*W1829</f>
        <v>0</v>
      </c>
      <c r="AC1829" s="53">
        <f>(R1829+V1829)*W1829</f>
        <v>44.9</v>
      </c>
      <c r="AD1829" s="138">
        <v>44.9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107</v>
      </c>
      <c r="F1830" s="96" t="s">
        <v>113</v>
      </c>
      <c r="G1830" s="97">
        <v>46132</v>
      </c>
      <c r="H1830" s="98">
        <v>0.7099537037037037</v>
      </c>
      <c r="I1830" s="50">
        <v>166004799</v>
      </c>
      <c r="J1830" s="96" t="s">
        <v>157</v>
      </c>
      <c r="K1830" s="49" t="s">
        <v>992</v>
      </c>
      <c r="L1830" s="39" t="s">
        <v>993</v>
      </c>
      <c r="M1830" s="49" t="s">
        <v>214</v>
      </c>
      <c r="N1830" s="39" t="s">
        <v>501</v>
      </c>
      <c r="O1830" s="96" t="s">
        <v>994</v>
      </c>
      <c r="P1830" s="49" t="s">
        <v>157</v>
      </c>
      <c r="Q1830" s="96" t="s">
        <v>104</v>
      </c>
      <c r="R1830" s="52">
        <v>6.9</v>
      </c>
      <c r="S1830" s="52">
        <f>R1830-T1830</f>
        <v>6.160714285714286</v>
      </c>
      <c r="T1830" s="52">
        <f>R1830*U1830/(U1830+100)</f>
        <v>0.7392857142857144</v>
      </c>
      <c r="U1830" s="50">
        <v>12</v>
      </c>
      <c r="V1830" s="53">
        <v>0</v>
      </c>
      <c r="W1830" s="147">
        <v>4</v>
      </c>
      <c r="X1830" s="148" t="s">
        <v>163</v>
      </c>
      <c r="Y1830" s="54">
        <f>R1830*W1830</f>
        <v>27.6</v>
      </c>
      <c r="Z1830" s="52">
        <f>S1830*W1830</f>
        <v>24.642857142857142</v>
      </c>
      <c r="AA1830" s="52">
        <f>T1830*W1830</f>
        <v>2.9571428571428577</v>
      </c>
      <c r="AB1830" s="52">
        <f>V1830*W1830</f>
        <v>0</v>
      </c>
      <c r="AC1830" s="53">
        <f>(R1830+V1830)*W1830</f>
        <v>27.6</v>
      </c>
      <c r="AD1830" s="138">
        <v>6.9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107</v>
      </c>
      <c r="F1831" s="96" t="s">
        <v>113</v>
      </c>
      <c r="G1831" s="97">
        <v>46132</v>
      </c>
      <c r="H1831" s="98">
        <v>0.7099537037037037</v>
      </c>
      <c r="I1831" s="50">
        <v>166004799</v>
      </c>
      <c r="J1831" s="96" t="s">
        <v>157</v>
      </c>
      <c r="K1831" s="49" t="s">
        <v>1155</v>
      </c>
      <c r="L1831" s="39" t="s">
        <v>1156</v>
      </c>
      <c r="M1831" s="49" t="s">
        <v>620</v>
      </c>
      <c r="N1831" s="39" t="s">
        <v>731</v>
      </c>
      <c r="O1831" s="96" t="s">
        <v>1157</v>
      </c>
      <c r="P1831" s="49" t="s">
        <v>157</v>
      </c>
      <c r="Q1831" s="96" t="s">
        <v>104</v>
      </c>
      <c r="R1831" s="52">
        <v>39.9</v>
      </c>
      <c r="S1831" s="52">
        <f>R1831-T1831</f>
        <v>32.97520661157024</v>
      </c>
      <c r="T1831" s="52">
        <f>R1831*U1831/(U1831+100)</f>
        <v>6.924793388429752</v>
      </c>
      <c r="U1831" s="50">
        <v>21</v>
      </c>
      <c r="V1831" s="53">
        <v>0</v>
      </c>
      <c r="W1831" s="147">
        <v>1</v>
      </c>
      <c r="X1831" s="148" t="s">
        <v>163</v>
      </c>
      <c r="Y1831" s="54">
        <f>R1831*W1831</f>
        <v>39.9</v>
      </c>
      <c r="Z1831" s="52">
        <f>S1831*W1831</f>
        <v>32.97520661157024</v>
      </c>
      <c r="AA1831" s="52">
        <f>T1831*W1831</f>
        <v>6.924793388429752</v>
      </c>
      <c r="AB1831" s="52">
        <f>V1831*W1831</f>
        <v>0</v>
      </c>
      <c r="AC1831" s="53">
        <f>(R1831+V1831)*W1831</f>
        <v>39.9</v>
      </c>
      <c r="AD1831" s="138">
        <v>39.9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107</v>
      </c>
      <c r="F1832" s="96" t="s">
        <v>113</v>
      </c>
      <c r="G1832" s="97">
        <v>46132</v>
      </c>
      <c r="H1832" s="98">
        <v>0.710474537037037</v>
      </c>
      <c r="I1832" s="50">
        <v>166004800</v>
      </c>
      <c r="J1832" s="96" t="s">
        <v>157</v>
      </c>
      <c r="K1832" s="49" t="s">
        <v>507</v>
      </c>
      <c r="L1832" s="39" t="s">
        <v>508</v>
      </c>
      <c r="M1832" s="49" t="s">
        <v>509</v>
      </c>
      <c r="N1832" s="39" t="s">
        <v>256</v>
      </c>
      <c r="O1832" s="96" t="s">
        <v>1024</v>
      </c>
      <c r="P1832" s="49" t="s">
        <v>235</v>
      </c>
      <c r="Q1832" s="96" t="s">
        <v>236</v>
      </c>
      <c r="R1832" s="52">
        <v>15.9</v>
      </c>
      <c r="S1832" s="52">
        <f>R1832-T1832</f>
        <v>13.140495867768596</v>
      </c>
      <c r="T1832" s="52">
        <f>R1832*U1832/(U1832+100)</f>
        <v>2.759504132231405</v>
      </c>
      <c r="U1832" s="50">
        <v>21</v>
      </c>
      <c r="V1832" s="53">
        <v>0</v>
      </c>
      <c r="W1832" s="147">
        <v>24</v>
      </c>
      <c r="X1832" s="148" t="s">
        <v>163</v>
      </c>
      <c r="Y1832" s="54">
        <f>R1832*W1832</f>
        <v>381.6</v>
      </c>
      <c r="Z1832" s="52">
        <f>S1832*W1832</f>
        <v>315.37190082644634</v>
      </c>
      <c r="AA1832" s="52">
        <f>T1832*W1832</f>
        <v>66.22809917355372</v>
      </c>
      <c r="AB1832" s="52">
        <f>V1832*W1832</f>
        <v>0</v>
      </c>
      <c r="AC1832" s="53">
        <f>(R1832+V1832)*W1832</f>
        <v>381.6</v>
      </c>
      <c r="AD1832" s="138">
        <v>15.9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107</v>
      </c>
      <c r="F1833" s="96" t="s">
        <v>113</v>
      </c>
      <c r="G1833" s="97">
        <v>46132</v>
      </c>
      <c r="H1833" s="98">
        <v>0.7265277777777778</v>
      </c>
      <c r="I1833" s="50">
        <v>166004801</v>
      </c>
      <c r="J1833" s="96" t="s">
        <v>157</v>
      </c>
      <c r="K1833" s="49" t="s">
        <v>2900</v>
      </c>
      <c r="L1833" s="39" t="s">
        <v>2901</v>
      </c>
      <c r="M1833" s="49" t="s">
        <v>300</v>
      </c>
      <c r="N1833" s="39" t="s">
        <v>2902</v>
      </c>
      <c r="O1833" s="96" t="s">
        <v>2903</v>
      </c>
      <c r="P1833" s="49" t="s">
        <v>157</v>
      </c>
      <c r="Q1833" s="96" t="s">
        <v>104</v>
      </c>
      <c r="R1833" s="52">
        <v>22.9</v>
      </c>
      <c r="S1833" s="52">
        <f>R1833-T1833</f>
        <v>20.44642857142857</v>
      </c>
      <c r="T1833" s="52">
        <f>R1833*U1833/(U1833+100)</f>
        <v>2.4535714285714283</v>
      </c>
      <c r="U1833" s="50">
        <v>12</v>
      </c>
      <c r="V1833" s="53">
        <v>0</v>
      </c>
      <c r="W1833" s="147">
        <v>1</v>
      </c>
      <c r="X1833" s="148" t="s">
        <v>163</v>
      </c>
      <c r="Y1833" s="54">
        <f>R1833*W1833</f>
        <v>22.9</v>
      </c>
      <c r="Z1833" s="52">
        <f>S1833*W1833</f>
        <v>20.44642857142857</v>
      </c>
      <c r="AA1833" s="52">
        <f>T1833*W1833</f>
        <v>2.4535714285714283</v>
      </c>
      <c r="AB1833" s="52">
        <f>V1833*W1833</f>
        <v>0</v>
      </c>
      <c r="AC1833" s="53">
        <f>(R1833+V1833)*W1833</f>
        <v>22.9</v>
      </c>
      <c r="AD1833" s="138">
        <v>22.9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107</v>
      </c>
      <c r="F1834" s="96" t="s">
        <v>113</v>
      </c>
      <c r="G1834" s="97">
        <v>46132</v>
      </c>
      <c r="H1834" s="98">
        <v>0.7265277777777778</v>
      </c>
      <c r="I1834" s="50">
        <v>166004801</v>
      </c>
      <c r="J1834" s="96" t="s">
        <v>157</v>
      </c>
      <c r="K1834" s="49" t="s">
        <v>2904</v>
      </c>
      <c r="L1834" s="39" t="s">
        <v>2905</v>
      </c>
      <c r="M1834" s="49" t="s">
        <v>300</v>
      </c>
      <c r="N1834" s="39" t="s">
        <v>2902</v>
      </c>
      <c r="O1834" s="96" t="s">
        <v>2906</v>
      </c>
      <c r="P1834" s="49" t="s">
        <v>157</v>
      </c>
      <c r="Q1834" s="96" t="s">
        <v>104</v>
      </c>
      <c r="R1834" s="52">
        <v>22.9</v>
      </c>
      <c r="S1834" s="52">
        <f>R1834-T1834</f>
        <v>20.44642857142857</v>
      </c>
      <c r="T1834" s="52">
        <f>R1834*U1834/(U1834+100)</f>
        <v>2.4535714285714283</v>
      </c>
      <c r="U1834" s="50">
        <v>12</v>
      </c>
      <c r="V1834" s="53">
        <v>0</v>
      </c>
      <c r="W1834" s="147">
        <v>1</v>
      </c>
      <c r="X1834" s="148" t="s">
        <v>163</v>
      </c>
      <c r="Y1834" s="54">
        <f>R1834*W1834</f>
        <v>22.9</v>
      </c>
      <c r="Z1834" s="52">
        <f>S1834*W1834</f>
        <v>20.44642857142857</v>
      </c>
      <c r="AA1834" s="52">
        <f>T1834*W1834</f>
        <v>2.4535714285714283</v>
      </c>
      <c r="AB1834" s="52">
        <f>V1834*W1834</f>
        <v>0</v>
      </c>
      <c r="AC1834" s="53">
        <f>(R1834+V1834)*W1834</f>
        <v>22.9</v>
      </c>
      <c r="AD1834" s="138">
        <v>22.9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107</v>
      </c>
      <c r="F1835" s="96" t="s">
        <v>113</v>
      </c>
      <c r="G1835" s="97">
        <v>46132</v>
      </c>
      <c r="H1835" s="98">
        <v>0.7265277777777778</v>
      </c>
      <c r="I1835" s="50">
        <v>166004801</v>
      </c>
      <c r="J1835" s="96" t="s">
        <v>157</v>
      </c>
      <c r="K1835" s="49" t="s">
        <v>2029</v>
      </c>
      <c r="L1835" s="39" t="s">
        <v>2030</v>
      </c>
      <c r="M1835" s="49" t="s">
        <v>282</v>
      </c>
      <c r="N1835" s="39" t="s">
        <v>210</v>
      </c>
      <c r="O1835" s="96" t="s">
        <v>2031</v>
      </c>
      <c r="P1835" s="49" t="s">
        <v>157</v>
      </c>
      <c r="Q1835" s="96" t="s">
        <v>104</v>
      </c>
      <c r="R1835" s="52">
        <v>19.9</v>
      </c>
      <c r="S1835" s="52">
        <f>R1835-T1835</f>
        <v>17.767857142857142</v>
      </c>
      <c r="T1835" s="52">
        <f>R1835*U1835/(U1835+100)</f>
        <v>2.132142857142857</v>
      </c>
      <c r="U1835" s="50">
        <v>12</v>
      </c>
      <c r="V1835" s="53">
        <v>0</v>
      </c>
      <c r="W1835" s="147">
        <v>1</v>
      </c>
      <c r="X1835" s="148" t="s">
        <v>163</v>
      </c>
      <c r="Y1835" s="54">
        <f>R1835*W1835</f>
        <v>19.9</v>
      </c>
      <c r="Z1835" s="52">
        <f>S1835*W1835</f>
        <v>17.767857142857142</v>
      </c>
      <c r="AA1835" s="52">
        <f>T1835*W1835</f>
        <v>2.132142857142857</v>
      </c>
      <c r="AB1835" s="52">
        <f>V1835*W1835</f>
        <v>0</v>
      </c>
      <c r="AC1835" s="53">
        <f>(R1835+V1835)*W1835</f>
        <v>19.9</v>
      </c>
      <c r="AD1835" s="138">
        <v>19.9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107</v>
      </c>
      <c r="F1836" s="96" t="s">
        <v>113</v>
      </c>
      <c r="G1836" s="97">
        <v>46132</v>
      </c>
      <c r="H1836" s="98">
        <v>0.7265277777777778</v>
      </c>
      <c r="I1836" s="50">
        <v>166004801</v>
      </c>
      <c r="J1836" s="96" t="s">
        <v>157</v>
      </c>
      <c r="K1836" s="49" t="s">
        <v>2907</v>
      </c>
      <c r="L1836" s="39" t="s">
        <v>2908</v>
      </c>
      <c r="M1836" s="49" t="s">
        <v>190</v>
      </c>
      <c r="N1836" s="39" t="s">
        <v>476</v>
      </c>
      <c r="O1836" s="96" t="s">
        <v>2909</v>
      </c>
      <c r="P1836" s="49" t="s">
        <v>157</v>
      </c>
      <c r="Q1836" s="96" t="s">
        <v>104</v>
      </c>
      <c r="R1836" s="52">
        <v>57.9</v>
      </c>
      <c r="S1836" s="52">
        <f>R1836-T1836</f>
        <v>51.69642857142857</v>
      </c>
      <c r="T1836" s="52">
        <f>R1836*U1836/(U1836+100)</f>
        <v>6.203571428571428</v>
      </c>
      <c r="U1836" s="50">
        <v>12</v>
      </c>
      <c r="V1836" s="53">
        <v>0</v>
      </c>
      <c r="W1836" s="147">
        <v>1</v>
      </c>
      <c r="X1836" s="148" t="s">
        <v>163</v>
      </c>
      <c r="Y1836" s="54">
        <f>R1836*W1836</f>
        <v>57.9</v>
      </c>
      <c r="Z1836" s="52">
        <f>S1836*W1836</f>
        <v>51.69642857142857</v>
      </c>
      <c r="AA1836" s="52">
        <f>T1836*W1836</f>
        <v>6.203571428571428</v>
      </c>
      <c r="AB1836" s="52">
        <f>V1836*W1836</f>
        <v>0</v>
      </c>
      <c r="AC1836" s="53">
        <f>(R1836+V1836)*W1836</f>
        <v>57.9</v>
      </c>
      <c r="AD1836" s="138">
        <v>57.9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107</v>
      </c>
      <c r="F1837" s="96" t="s">
        <v>113</v>
      </c>
      <c r="G1837" s="97">
        <v>46132</v>
      </c>
      <c r="H1837" s="98">
        <v>0.7265277777777778</v>
      </c>
      <c r="I1837" s="50">
        <v>166004801</v>
      </c>
      <c r="J1837" s="96" t="s">
        <v>157</v>
      </c>
      <c r="K1837" s="49" t="s">
        <v>2910</v>
      </c>
      <c r="L1837" s="39" t="s">
        <v>2911</v>
      </c>
      <c r="M1837" s="49" t="s">
        <v>403</v>
      </c>
      <c r="N1837" s="39" t="s">
        <v>838</v>
      </c>
      <c r="O1837" s="96" t="s">
        <v>2912</v>
      </c>
      <c r="P1837" s="49" t="s">
        <v>157</v>
      </c>
      <c r="Q1837" s="96" t="s">
        <v>104</v>
      </c>
      <c r="R1837" s="52">
        <v>89.9</v>
      </c>
      <c r="S1837" s="52">
        <f>R1837-T1837</f>
        <v>80.26785714285715</v>
      </c>
      <c r="T1837" s="52">
        <f>R1837*U1837/(U1837+100)</f>
        <v>9.632142857142858</v>
      </c>
      <c r="U1837" s="50">
        <v>12</v>
      </c>
      <c r="V1837" s="53">
        <v>0</v>
      </c>
      <c r="W1837" s="147">
        <v>1</v>
      </c>
      <c r="X1837" s="148" t="s">
        <v>163</v>
      </c>
      <c r="Y1837" s="54">
        <f>R1837*W1837</f>
        <v>89.9</v>
      </c>
      <c r="Z1837" s="52">
        <f>S1837*W1837</f>
        <v>80.26785714285715</v>
      </c>
      <c r="AA1837" s="52">
        <f>T1837*W1837</f>
        <v>9.632142857142858</v>
      </c>
      <c r="AB1837" s="52">
        <f>V1837*W1837</f>
        <v>0</v>
      </c>
      <c r="AC1837" s="53">
        <f>(R1837+V1837)*W1837</f>
        <v>89.9</v>
      </c>
      <c r="AD1837" s="138">
        <v>89.9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107</v>
      </c>
      <c r="F1838" s="96" t="s">
        <v>113</v>
      </c>
      <c r="G1838" s="97">
        <v>46132</v>
      </c>
      <c r="H1838" s="98">
        <v>0.7265277777777778</v>
      </c>
      <c r="I1838" s="50">
        <v>166004801</v>
      </c>
      <c r="J1838" s="96" t="s">
        <v>157</v>
      </c>
      <c r="K1838" s="49" t="s">
        <v>2913</v>
      </c>
      <c r="L1838" s="39" t="s">
        <v>2914</v>
      </c>
      <c r="M1838" s="49" t="s">
        <v>214</v>
      </c>
      <c r="N1838" s="39" t="s">
        <v>940</v>
      </c>
      <c r="O1838" s="96" t="s">
        <v>2915</v>
      </c>
      <c r="P1838" s="49" t="s">
        <v>157</v>
      </c>
      <c r="Q1838" s="96" t="s">
        <v>104</v>
      </c>
      <c r="R1838" s="52">
        <v>37.9</v>
      </c>
      <c r="S1838" s="52">
        <f>R1838-T1838</f>
        <v>33.839285714285715</v>
      </c>
      <c r="T1838" s="52">
        <f>R1838*U1838/(U1838+100)</f>
        <v>4.060714285714285</v>
      </c>
      <c r="U1838" s="50">
        <v>12</v>
      </c>
      <c r="V1838" s="53">
        <v>0</v>
      </c>
      <c r="W1838" s="147">
        <v>1</v>
      </c>
      <c r="X1838" s="148" t="s">
        <v>163</v>
      </c>
      <c r="Y1838" s="54">
        <f>R1838*W1838</f>
        <v>37.9</v>
      </c>
      <c r="Z1838" s="52">
        <f>S1838*W1838</f>
        <v>33.839285714285715</v>
      </c>
      <c r="AA1838" s="52">
        <f>T1838*W1838</f>
        <v>4.060714285714285</v>
      </c>
      <c r="AB1838" s="52">
        <f>V1838*W1838</f>
        <v>0</v>
      </c>
      <c r="AC1838" s="53">
        <f>(R1838+V1838)*W1838</f>
        <v>37.9</v>
      </c>
      <c r="AD1838" s="138">
        <v>37.9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107</v>
      </c>
      <c r="F1839" s="96" t="s">
        <v>113</v>
      </c>
      <c r="G1839" s="97">
        <v>46132</v>
      </c>
      <c r="H1839" s="98">
        <v>0.7265277777777778</v>
      </c>
      <c r="I1839" s="50">
        <v>166004801</v>
      </c>
      <c r="J1839" s="96" t="s">
        <v>157</v>
      </c>
      <c r="K1839" s="49" t="s">
        <v>183</v>
      </c>
      <c r="L1839" s="39" t="s">
        <v>184</v>
      </c>
      <c r="M1839" s="49" t="s">
        <v>185</v>
      </c>
      <c r="N1839" s="39" t="s">
        <v>186</v>
      </c>
      <c r="O1839" s="96" t="s">
        <v>988</v>
      </c>
      <c r="P1839" s="49" t="s">
        <v>157</v>
      </c>
      <c r="Q1839" s="96" t="s">
        <v>104</v>
      </c>
      <c r="R1839" s="52">
        <v>1.9</v>
      </c>
      <c r="S1839" s="52">
        <f>R1839-T1839</f>
        <v>1.5702479338842974</v>
      </c>
      <c r="T1839" s="52">
        <f>R1839*U1839/(U1839+100)</f>
        <v>0.32975206611570246</v>
      </c>
      <c r="U1839" s="50">
        <v>21</v>
      </c>
      <c r="V1839" s="53">
        <v>0</v>
      </c>
      <c r="W1839" s="147">
        <v>1</v>
      </c>
      <c r="X1839" s="148" t="s">
        <v>163</v>
      </c>
      <c r="Y1839" s="54">
        <f>R1839*W1839</f>
        <v>1.9</v>
      </c>
      <c r="Z1839" s="52">
        <f>S1839*W1839</f>
        <v>1.5702479338842974</v>
      </c>
      <c r="AA1839" s="52">
        <f>T1839*W1839</f>
        <v>0.32975206611570246</v>
      </c>
      <c r="AB1839" s="52">
        <f>V1839*W1839</f>
        <v>0</v>
      </c>
      <c r="AC1839" s="53">
        <f>(R1839+V1839)*W1839</f>
        <v>1.9</v>
      </c>
      <c r="AD1839" s="138">
        <v>1.9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107</v>
      </c>
      <c r="F1840" s="96" t="s">
        <v>113</v>
      </c>
      <c r="G1840" s="97">
        <v>46132</v>
      </c>
      <c r="H1840" s="98">
        <v>0.7265277777777778</v>
      </c>
      <c r="I1840" s="50">
        <v>166004801</v>
      </c>
      <c r="J1840" s="96" t="s">
        <v>157</v>
      </c>
      <c r="K1840" s="49" t="s">
        <v>1865</v>
      </c>
      <c r="L1840" s="39" t="s">
        <v>1866</v>
      </c>
      <c r="M1840" s="49" t="s">
        <v>190</v>
      </c>
      <c r="N1840" s="39" t="s">
        <v>191</v>
      </c>
      <c r="O1840" s="96" t="s">
        <v>1867</v>
      </c>
      <c r="P1840" s="49" t="s">
        <v>157</v>
      </c>
      <c r="Q1840" s="96" t="s">
        <v>104</v>
      </c>
      <c r="R1840" s="52">
        <v>14.9</v>
      </c>
      <c r="S1840" s="52">
        <f>R1840-T1840</f>
        <v>13.303571428571429</v>
      </c>
      <c r="T1840" s="52">
        <f>R1840*U1840/(U1840+100)</f>
        <v>1.5964285714285715</v>
      </c>
      <c r="U1840" s="50">
        <v>12</v>
      </c>
      <c r="V1840" s="53">
        <v>0</v>
      </c>
      <c r="W1840" s="147">
        <v>0.362</v>
      </c>
      <c r="X1840" s="148" t="s">
        <v>193</v>
      </c>
      <c r="Y1840" s="54">
        <f>R1840*W1840</f>
        <v>5.3938</v>
      </c>
      <c r="Z1840" s="52">
        <f>S1840*W1840</f>
        <v>4.815892857142857</v>
      </c>
      <c r="AA1840" s="52">
        <f>T1840*W1840</f>
        <v>0.5779071428571428</v>
      </c>
      <c r="AB1840" s="52">
        <f>V1840*W1840</f>
        <v>0</v>
      </c>
      <c r="AC1840" s="53">
        <f>(R1840+V1840)*W1840</f>
        <v>5.3938</v>
      </c>
      <c r="AD1840" s="138">
        <v>14.9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107</v>
      </c>
      <c r="F1841" s="96" t="s">
        <v>113</v>
      </c>
      <c r="G1841" s="97">
        <v>46132</v>
      </c>
      <c r="H1841" s="98">
        <v>0.7265277777777778</v>
      </c>
      <c r="I1841" s="50">
        <v>166004801</v>
      </c>
      <c r="J1841" s="96" t="s">
        <v>157</v>
      </c>
      <c r="K1841" s="49" t="s">
        <v>2916</v>
      </c>
      <c r="L1841" s="39" t="s">
        <v>2917</v>
      </c>
      <c r="M1841" s="49" t="s">
        <v>1193</v>
      </c>
      <c r="N1841" s="39" t="s">
        <v>1194</v>
      </c>
      <c r="O1841" s="96" t="s">
        <v>2918</v>
      </c>
      <c r="P1841" s="49" t="s">
        <v>157</v>
      </c>
      <c r="Q1841" s="96" t="s">
        <v>104</v>
      </c>
      <c r="R1841" s="52">
        <v>39.9</v>
      </c>
      <c r="S1841" s="52">
        <f>R1841-T1841</f>
        <v>35.625</v>
      </c>
      <c r="T1841" s="52">
        <f>R1841*U1841/(U1841+100)</f>
        <v>4.2749999999999995</v>
      </c>
      <c r="U1841" s="50">
        <v>12</v>
      </c>
      <c r="V1841" s="53">
        <v>0</v>
      </c>
      <c r="W1841" s="147">
        <v>1</v>
      </c>
      <c r="X1841" s="148" t="s">
        <v>163</v>
      </c>
      <c r="Y1841" s="54">
        <f>R1841*W1841</f>
        <v>39.9</v>
      </c>
      <c r="Z1841" s="52">
        <f>S1841*W1841</f>
        <v>35.625</v>
      </c>
      <c r="AA1841" s="52">
        <f>T1841*W1841</f>
        <v>4.2749999999999995</v>
      </c>
      <c r="AB1841" s="52">
        <f>V1841*W1841</f>
        <v>0</v>
      </c>
      <c r="AC1841" s="53">
        <f>(R1841+V1841)*W1841</f>
        <v>39.9</v>
      </c>
      <c r="AD1841" s="138">
        <v>39.9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107</v>
      </c>
      <c r="F1842" s="96" t="s">
        <v>113</v>
      </c>
      <c r="G1842" s="97">
        <v>46132</v>
      </c>
      <c r="H1842" s="98">
        <v>0.7271875</v>
      </c>
      <c r="I1842" s="50">
        <v>166004802</v>
      </c>
      <c r="J1842" s="96" t="s">
        <v>157</v>
      </c>
      <c r="K1842" s="49" t="s">
        <v>1203</v>
      </c>
      <c r="L1842" s="39" t="s">
        <v>1204</v>
      </c>
      <c r="M1842" s="49" t="s">
        <v>1205</v>
      </c>
      <c r="N1842" s="39" t="s">
        <v>838</v>
      </c>
      <c r="O1842" s="96" t="s">
        <v>1206</v>
      </c>
      <c r="P1842" s="49" t="s">
        <v>157</v>
      </c>
      <c r="Q1842" s="96" t="s">
        <v>104</v>
      </c>
      <c r="R1842" s="52">
        <v>57.9</v>
      </c>
      <c r="S1842" s="52">
        <f>R1842-T1842</f>
        <v>51.69642857142857</v>
      </c>
      <c r="T1842" s="52">
        <f>R1842*U1842/(U1842+100)</f>
        <v>6.203571428571428</v>
      </c>
      <c r="U1842" s="50">
        <v>12</v>
      </c>
      <c r="V1842" s="53">
        <v>0</v>
      </c>
      <c r="W1842" s="147">
        <v>1</v>
      </c>
      <c r="X1842" s="148" t="s">
        <v>163</v>
      </c>
      <c r="Y1842" s="54">
        <f>R1842*W1842</f>
        <v>57.9</v>
      </c>
      <c r="Z1842" s="52">
        <f>S1842*W1842</f>
        <v>51.69642857142857</v>
      </c>
      <c r="AA1842" s="52">
        <f>T1842*W1842</f>
        <v>6.203571428571428</v>
      </c>
      <c r="AB1842" s="52">
        <f>V1842*W1842</f>
        <v>0</v>
      </c>
      <c r="AC1842" s="53">
        <f>(R1842+V1842)*W1842</f>
        <v>57.9</v>
      </c>
      <c r="AD1842" s="138">
        <v>57.9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107</v>
      </c>
      <c r="F1843" s="96" t="s">
        <v>113</v>
      </c>
      <c r="G1843" s="97">
        <v>46132</v>
      </c>
      <c r="H1843" s="98">
        <v>0.7271875</v>
      </c>
      <c r="I1843" s="50">
        <v>166004802</v>
      </c>
      <c r="J1843" s="96" t="s">
        <v>157</v>
      </c>
      <c r="K1843" s="49" t="s">
        <v>655</v>
      </c>
      <c r="L1843" s="39" t="s">
        <v>656</v>
      </c>
      <c r="M1843" s="49" t="s">
        <v>190</v>
      </c>
      <c r="N1843" s="39" t="s">
        <v>532</v>
      </c>
      <c r="O1843" s="96" t="s">
        <v>657</v>
      </c>
      <c r="P1843" s="49" t="s">
        <v>157</v>
      </c>
      <c r="Q1843" s="96" t="s">
        <v>104</v>
      </c>
      <c r="R1843" s="52">
        <v>35.9</v>
      </c>
      <c r="S1843" s="52">
        <f>R1843-T1843</f>
        <v>32.05357142857143</v>
      </c>
      <c r="T1843" s="52">
        <f>R1843*U1843/(U1843+100)</f>
        <v>3.846428571428571</v>
      </c>
      <c r="U1843" s="50">
        <v>12</v>
      </c>
      <c r="V1843" s="53">
        <v>0</v>
      </c>
      <c r="W1843" s="147">
        <v>0.14</v>
      </c>
      <c r="X1843" s="148" t="s">
        <v>193</v>
      </c>
      <c r="Y1843" s="54">
        <f>R1843*W1843</f>
        <v>5.026000000000001</v>
      </c>
      <c r="Z1843" s="52">
        <f>S1843*W1843</f>
        <v>4.487500000000001</v>
      </c>
      <c r="AA1843" s="52">
        <f>T1843*W1843</f>
        <v>0.5385</v>
      </c>
      <c r="AB1843" s="52">
        <f>V1843*W1843</f>
        <v>0</v>
      </c>
      <c r="AC1843" s="53">
        <f>(R1843+V1843)*W1843</f>
        <v>5.026000000000001</v>
      </c>
      <c r="AD1843" s="138">
        <v>35.9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107</v>
      </c>
      <c r="F1844" s="96" t="s">
        <v>113</v>
      </c>
      <c r="G1844" s="97">
        <v>46132</v>
      </c>
      <c r="H1844" s="98">
        <v>0.7275</v>
      </c>
      <c r="I1844" s="50">
        <v>166004803</v>
      </c>
      <c r="J1844" s="96" t="s">
        <v>157</v>
      </c>
      <c r="K1844" s="49" t="s">
        <v>733</v>
      </c>
      <c r="L1844" s="39" t="s">
        <v>734</v>
      </c>
      <c r="M1844" s="49" t="s">
        <v>243</v>
      </c>
      <c r="N1844" s="39" t="s">
        <v>244</v>
      </c>
      <c r="O1844" s="96" t="s">
        <v>2919</v>
      </c>
      <c r="P1844" s="49" t="s">
        <v>157</v>
      </c>
      <c r="Q1844" s="96" t="s">
        <v>104</v>
      </c>
      <c r="R1844" s="52">
        <v>44.9</v>
      </c>
      <c r="S1844" s="52">
        <f>R1844-T1844</f>
        <v>40.089285714285715</v>
      </c>
      <c r="T1844" s="52">
        <f>R1844*U1844/(U1844+100)</f>
        <v>4.810714285714285</v>
      </c>
      <c r="U1844" s="50">
        <v>12</v>
      </c>
      <c r="V1844" s="53">
        <v>0</v>
      </c>
      <c r="W1844" s="147">
        <v>1</v>
      </c>
      <c r="X1844" s="148" t="s">
        <v>163</v>
      </c>
      <c r="Y1844" s="54">
        <f>R1844*W1844</f>
        <v>44.9</v>
      </c>
      <c r="Z1844" s="52">
        <f>S1844*W1844</f>
        <v>40.089285714285715</v>
      </c>
      <c r="AA1844" s="52">
        <f>T1844*W1844</f>
        <v>4.810714285714285</v>
      </c>
      <c r="AB1844" s="52">
        <f>V1844*W1844</f>
        <v>0</v>
      </c>
      <c r="AC1844" s="53">
        <f>(R1844+V1844)*W1844</f>
        <v>44.9</v>
      </c>
      <c r="AD1844" s="138">
        <v>44.9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107</v>
      </c>
      <c r="F1845" s="96" t="s">
        <v>113</v>
      </c>
      <c r="G1845" s="97">
        <v>46132</v>
      </c>
      <c r="H1845" s="98">
        <v>0.7290972222222222</v>
      </c>
      <c r="I1845" s="50">
        <v>166004804</v>
      </c>
      <c r="J1845" s="96" t="s">
        <v>157</v>
      </c>
      <c r="K1845" s="49" t="s">
        <v>2920</v>
      </c>
      <c r="L1845" s="39" t="s">
        <v>2921</v>
      </c>
      <c r="M1845" s="49" t="s">
        <v>1252</v>
      </c>
      <c r="N1845" s="39" t="s">
        <v>2922</v>
      </c>
      <c r="O1845" s="96" t="s">
        <v>2923</v>
      </c>
      <c r="P1845" s="49" t="s">
        <v>157</v>
      </c>
      <c r="Q1845" s="96" t="s">
        <v>104</v>
      </c>
      <c r="R1845" s="52">
        <v>29.9</v>
      </c>
      <c r="S1845" s="52">
        <f>R1845-T1845</f>
        <v>26.69642857142857</v>
      </c>
      <c r="T1845" s="52">
        <f>R1845*U1845/(U1845+100)</f>
        <v>3.2035714285714283</v>
      </c>
      <c r="U1845" s="50">
        <v>12</v>
      </c>
      <c r="V1845" s="53">
        <v>0</v>
      </c>
      <c r="W1845" s="147">
        <v>1</v>
      </c>
      <c r="X1845" s="148" t="s">
        <v>163</v>
      </c>
      <c r="Y1845" s="54">
        <f>R1845*W1845</f>
        <v>29.9</v>
      </c>
      <c r="Z1845" s="52">
        <f>S1845*W1845</f>
        <v>26.69642857142857</v>
      </c>
      <c r="AA1845" s="52">
        <f>T1845*W1845</f>
        <v>3.2035714285714283</v>
      </c>
      <c r="AB1845" s="52">
        <f>V1845*W1845</f>
        <v>0</v>
      </c>
      <c r="AC1845" s="53">
        <f>(R1845+V1845)*W1845</f>
        <v>29.9</v>
      </c>
      <c r="AD1845" s="138">
        <v>29.9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107</v>
      </c>
      <c r="F1846" s="96" t="s">
        <v>113</v>
      </c>
      <c r="G1846" s="97">
        <v>46132</v>
      </c>
      <c r="H1846" s="98">
        <v>0.7290972222222222</v>
      </c>
      <c r="I1846" s="50">
        <v>166004804</v>
      </c>
      <c r="J1846" s="96" t="s">
        <v>157</v>
      </c>
      <c r="K1846" s="49" t="s">
        <v>2924</v>
      </c>
      <c r="L1846" s="39" t="s">
        <v>2925</v>
      </c>
      <c r="M1846" s="49" t="s">
        <v>671</v>
      </c>
      <c r="N1846" s="39" t="s">
        <v>505</v>
      </c>
      <c r="O1846" s="96" t="s">
        <v>2926</v>
      </c>
      <c r="P1846" s="49" t="s">
        <v>157</v>
      </c>
      <c r="Q1846" s="96" t="s">
        <v>104</v>
      </c>
      <c r="R1846" s="52">
        <v>15.9</v>
      </c>
      <c r="S1846" s="52">
        <f>R1846-T1846</f>
        <v>14.196428571428571</v>
      </c>
      <c r="T1846" s="52">
        <f>R1846*U1846/(U1846+100)</f>
        <v>1.7035714285714287</v>
      </c>
      <c r="U1846" s="50">
        <v>12</v>
      </c>
      <c r="V1846" s="53">
        <v>0</v>
      </c>
      <c r="W1846" s="147">
        <v>1</v>
      </c>
      <c r="X1846" s="148" t="s">
        <v>163</v>
      </c>
      <c r="Y1846" s="54">
        <f>R1846*W1846</f>
        <v>15.9</v>
      </c>
      <c r="Z1846" s="52">
        <f>S1846*W1846</f>
        <v>14.196428571428571</v>
      </c>
      <c r="AA1846" s="52">
        <f>T1846*W1846</f>
        <v>1.7035714285714287</v>
      </c>
      <c r="AB1846" s="52">
        <f>V1846*W1846</f>
        <v>0</v>
      </c>
      <c r="AC1846" s="53">
        <f>(R1846+V1846)*W1846</f>
        <v>15.9</v>
      </c>
      <c r="AD1846" s="138">
        <v>15.9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107</v>
      </c>
      <c r="F1847" s="96" t="s">
        <v>113</v>
      </c>
      <c r="G1847" s="97">
        <v>46132</v>
      </c>
      <c r="H1847" s="98">
        <v>0.7290972222222222</v>
      </c>
      <c r="I1847" s="50">
        <v>166004804</v>
      </c>
      <c r="J1847" s="96" t="s">
        <v>157</v>
      </c>
      <c r="K1847" s="49" t="s">
        <v>2924</v>
      </c>
      <c r="L1847" s="39" t="s">
        <v>2925</v>
      </c>
      <c r="M1847" s="49" t="s">
        <v>671</v>
      </c>
      <c r="N1847" s="39" t="s">
        <v>505</v>
      </c>
      <c r="O1847" s="96" t="s">
        <v>2926</v>
      </c>
      <c r="P1847" s="49" t="s">
        <v>157</v>
      </c>
      <c r="Q1847" s="96" t="s">
        <v>104</v>
      </c>
      <c r="R1847" s="52">
        <v>15.9</v>
      </c>
      <c r="S1847" s="52">
        <f>R1847-T1847</f>
        <v>14.196428571428571</v>
      </c>
      <c r="T1847" s="52">
        <f>R1847*U1847/(U1847+100)</f>
        <v>1.7035714285714287</v>
      </c>
      <c r="U1847" s="50">
        <v>12</v>
      </c>
      <c r="V1847" s="53">
        <v>0</v>
      </c>
      <c r="W1847" s="147">
        <v>1</v>
      </c>
      <c r="X1847" s="148" t="s">
        <v>163</v>
      </c>
      <c r="Y1847" s="54">
        <f>R1847*W1847</f>
        <v>15.9</v>
      </c>
      <c r="Z1847" s="52">
        <f>S1847*W1847</f>
        <v>14.196428571428571</v>
      </c>
      <c r="AA1847" s="52">
        <f>T1847*W1847</f>
        <v>1.7035714285714287</v>
      </c>
      <c r="AB1847" s="52">
        <f>V1847*W1847</f>
        <v>0</v>
      </c>
      <c r="AC1847" s="53">
        <f>(R1847+V1847)*W1847</f>
        <v>15.9</v>
      </c>
      <c r="AD1847" s="138">
        <v>15.9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107</v>
      </c>
      <c r="F1848" s="96" t="s">
        <v>113</v>
      </c>
      <c r="G1848" s="97">
        <v>46132</v>
      </c>
      <c r="H1848" s="98">
        <v>0.7290972222222222</v>
      </c>
      <c r="I1848" s="50">
        <v>166004804</v>
      </c>
      <c r="J1848" s="96" t="s">
        <v>157</v>
      </c>
      <c r="K1848" s="49" t="s">
        <v>1090</v>
      </c>
      <c r="L1848" s="39" t="s">
        <v>1091</v>
      </c>
      <c r="M1848" s="49" t="s">
        <v>792</v>
      </c>
      <c r="N1848" s="39" t="s">
        <v>348</v>
      </c>
      <c r="O1848" s="96" t="s">
        <v>1092</v>
      </c>
      <c r="P1848" s="49" t="s">
        <v>157</v>
      </c>
      <c r="Q1848" s="96" t="s">
        <v>104</v>
      </c>
      <c r="R1848" s="52">
        <v>18.9</v>
      </c>
      <c r="S1848" s="52">
        <f>R1848-T1848</f>
        <v>16.875</v>
      </c>
      <c r="T1848" s="52">
        <f>R1848*U1848/(U1848+100)</f>
        <v>2.025</v>
      </c>
      <c r="U1848" s="50">
        <v>12</v>
      </c>
      <c r="V1848" s="53">
        <v>0</v>
      </c>
      <c r="W1848" s="147">
        <v>1</v>
      </c>
      <c r="X1848" s="148" t="s">
        <v>163</v>
      </c>
      <c r="Y1848" s="54">
        <f>R1848*W1848</f>
        <v>18.9</v>
      </c>
      <c r="Z1848" s="52">
        <f>S1848*W1848</f>
        <v>16.875</v>
      </c>
      <c r="AA1848" s="52">
        <f>T1848*W1848</f>
        <v>2.025</v>
      </c>
      <c r="AB1848" s="52">
        <f>V1848*W1848</f>
        <v>0</v>
      </c>
      <c r="AC1848" s="53">
        <f>(R1848+V1848)*W1848</f>
        <v>18.9</v>
      </c>
      <c r="AD1848" s="138">
        <v>18.9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107</v>
      </c>
      <c r="F1849" s="96" t="s">
        <v>113</v>
      </c>
      <c r="G1849" s="97">
        <v>46132</v>
      </c>
      <c r="H1849" s="98">
        <v>0.7290972222222222</v>
      </c>
      <c r="I1849" s="50">
        <v>166004804</v>
      </c>
      <c r="J1849" s="96" t="s">
        <v>157</v>
      </c>
      <c r="K1849" s="49" t="s">
        <v>1090</v>
      </c>
      <c r="L1849" s="39" t="s">
        <v>1091</v>
      </c>
      <c r="M1849" s="49" t="s">
        <v>792</v>
      </c>
      <c r="N1849" s="39" t="s">
        <v>348</v>
      </c>
      <c r="O1849" s="96" t="s">
        <v>1092</v>
      </c>
      <c r="P1849" s="49" t="s">
        <v>157</v>
      </c>
      <c r="Q1849" s="96" t="s">
        <v>104</v>
      </c>
      <c r="R1849" s="52">
        <v>18.9</v>
      </c>
      <c r="S1849" s="52">
        <f>R1849-T1849</f>
        <v>16.875</v>
      </c>
      <c r="T1849" s="52">
        <f>R1849*U1849/(U1849+100)</f>
        <v>2.025</v>
      </c>
      <c r="U1849" s="50">
        <v>12</v>
      </c>
      <c r="V1849" s="53">
        <v>0</v>
      </c>
      <c r="W1849" s="147">
        <v>1</v>
      </c>
      <c r="X1849" s="148" t="s">
        <v>163</v>
      </c>
      <c r="Y1849" s="54">
        <f>R1849*W1849</f>
        <v>18.9</v>
      </c>
      <c r="Z1849" s="52">
        <f>S1849*W1849</f>
        <v>16.875</v>
      </c>
      <c r="AA1849" s="52">
        <f>T1849*W1849</f>
        <v>2.025</v>
      </c>
      <c r="AB1849" s="52">
        <f>V1849*W1849</f>
        <v>0</v>
      </c>
      <c r="AC1849" s="53">
        <f>(R1849+V1849)*W1849</f>
        <v>18.9</v>
      </c>
      <c r="AD1849" s="138">
        <v>18.9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107</v>
      </c>
      <c r="F1850" s="96" t="s">
        <v>113</v>
      </c>
      <c r="G1850" s="97">
        <v>46132</v>
      </c>
      <c r="H1850" s="98">
        <v>0.7290972222222222</v>
      </c>
      <c r="I1850" s="50">
        <v>166004804</v>
      </c>
      <c r="J1850" s="96" t="s">
        <v>157</v>
      </c>
      <c r="K1850" s="49" t="s">
        <v>358</v>
      </c>
      <c r="L1850" s="39" t="s">
        <v>359</v>
      </c>
      <c r="M1850" s="49" t="s">
        <v>360</v>
      </c>
      <c r="N1850" s="39" t="s">
        <v>220</v>
      </c>
      <c r="O1850" s="96" t="s">
        <v>2711</v>
      </c>
      <c r="P1850" s="49" t="s">
        <v>157</v>
      </c>
      <c r="Q1850" s="96" t="s">
        <v>104</v>
      </c>
      <c r="R1850" s="52">
        <v>11.4</v>
      </c>
      <c r="S1850" s="52">
        <f>R1850-T1850</f>
        <v>9.421487603305785</v>
      </c>
      <c r="T1850" s="52">
        <f>R1850*U1850/(U1850+100)</f>
        <v>1.9785123966942149</v>
      </c>
      <c r="U1850" s="50">
        <v>21</v>
      </c>
      <c r="V1850" s="53">
        <v>0</v>
      </c>
      <c r="W1850" s="147">
        <v>1</v>
      </c>
      <c r="X1850" s="148" t="s">
        <v>163</v>
      </c>
      <c r="Y1850" s="54">
        <f>R1850*W1850</f>
        <v>11.4</v>
      </c>
      <c r="Z1850" s="52">
        <f>S1850*W1850</f>
        <v>9.421487603305785</v>
      </c>
      <c r="AA1850" s="52">
        <f>T1850*W1850</f>
        <v>1.9785123966942149</v>
      </c>
      <c r="AB1850" s="52">
        <f>V1850*W1850</f>
        <v>0</v>
      </c>
      <c r="AC1850" s="53">
        <f>(R1850+V1850)*W1850</f>
        <v>11.4</v>
      </c>
      <c r="AD1850" s="138">
        <v>11.4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107</v>
      </c>
      <c r="F1851" s="96" t="s">
        <v>113</v>
      </c>
      <c r="G1851" s="97">
        <v>46132</v>
      </c>
      <c r="H1851" s="98">
        <v>0.7290972222222222</v>
      </c>
      <c r="I1851" s="50">
        <v>166004804</v>
      </c>
      <c r="J1851" s="96" t="s">
        <v>157</v>
      </c>
      <c r="K1851" s="49" t="s">
        <v>868</v>
      </c>
      <c r="L1851" s="39" t="s">
        <v>869</v>
      </c>
      <c r="M1851" s="49" t="s">
        <v>360</v>
      </c>
      <c r="N1851" s="39" t="s">
        <v>220</v>
      </c>
      <c r="O1851" s="96" t="s">
        <v>2857</v>
      </c>
      <c r="P1851" s="49" t="s">
        <v>157</v>
      </c>
      <c r="Q1851" s="96" t="s">
        <v>104</v>
      </c>
      <c r="R1851" s="52">
        <v>11.4</v>
      </c>
      <c r="S1851" s="52">
        <f>R1851-T1851</f>
        <v>9.421487603305785</v>
      </c>
      <c r="T1851" s="52">
        <f>R1851*U1851/(U1851+100)</f>
        <v>1.9785123966942149</v>
      </c>
      <c r="U1851" s="50">
        <v>21</v>
      </c>
      <c r="V1851" s="53">
        <v>0</v>
      </c>
      <c r="W1851" s="147">
        <v>1</v>
      </c>
      <c r="X1851" s="148" t="s">
        <v>163</v>
      </c>
      <c r="Y1851" s="54">
        <f>R1851*W1851</f>
        <v>11.4</v>
      </c>
      <c r="Z1851" s="52">
        <f>S1851*W1851</f>
        <v>9.421487603305785</v>
      </c>
      <c r="AA1851" s="52">
        <f>T1851*W1851</f>
        <v>1.9785123966942149</v>
      </c>
      <c r="AB1851" s="52">
        <f>V1851*W1851</f>
        <v>0</v>
      </c>
      <c r="AC1851" s="53">
        <f>(R1851+V1851)*W1851</f>
        <v>11.4</v>
      </c>
      <c r="AD1851" s="138">
        <v>11.4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107</v>
      </c>
      <c r="F1852" s="96" t="s">
        <v>113</v>
      </c>
      <c r="G1852" s="97">
        <v>46132</v>
      </c>
      <c r="H1852" s="98">
        <v>0.7290972222222222</v>
      </c>
      <c r="I1852" s="50">
        <v>166004804</v>
      </c>
      <c r="J1852" s="96" t="s">
        <v>157</v>
      </c>
      <c r="K1852" s="49" t="s">
        <v>517</v>
      </c>
      <c r="L1852" s="39" t="s">
        <v>518</v>
      </c>
      <c r="M1852" s="49" t="s">
        <v>214</v>
      </c>
      <c r="N1852" s="39" t="s">
        <v>273</v>
      </c>
      <c r="O1852" s="96" t="s">
        <v>1111</v>
      </c>
      <c r="P1852" s="49" t="s">
        <v>157</v>
      </c>
      <c r="Q1852" s="96" t="s">
        <v>104</v>
      </c>
      <c r="R1852" s="52">
        <v>15.9</v>
      </c>
      <c r="S1852" s="52">
        <f>R1852-T1852</f>
        <v>14.196428571428571</v>
      </c>
      <c r="T1852" s="52">
        <f>R1852*U1852/(U1852+100)</f>
        <v>1.7035714285714287</v>
      </c>
      <c r="U1852" s="50">
        <v>12</v>
      </c>
      <c r="V1852" s="53">
        <v>0</v>
      </c>
      <c r="W1852" s="147">
        <v>2</v>
      </c>
      <c r="X1852" s="148" t="s">
        <v>163</v>
      </c>
      <c r="Y1852" s="54">
        <f>R1852*W1852</f>
        <v>31.8</v>
      </c>
      <c r="Z1852" s="52">
        <f>S1852*W1852</f>
        <v>28.392857142857142</v>
      </c>
      <c r="AA1852" s="52">
        <f>T1852*W1852</f>
        <v>3.4071428571428575</v>
      </c>
      <c r="AB1852" s="52">
        <f>V1852*W1852</f>
        <v>0</v>
      </c>
      <c r="AC1852" s="53">
        <f>(R1852+V1852)*W1852</f>
        <v>31.8</v>
      </c>
      <c r="AD1852" s="138">
        <v>15.9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107</v>
      </c>
      <c r="F1853" s="96" t="s">
        <v>113</v>
      </c>
      <c r="G1853" s="97">
        <v>46132</v>
      </c>
      <c r="H1853" s="98">
        <v>0.7290972222222222</v>
      </c>
      <c r="I1853" s="50">
        <v>166004804</v>
      </c>
      <c r="J1853" s="96" t="s">
        <v>157</v>
      </c>
      <c r="K1853" s="49" t="s">
        <v>293</v>
      </c>
      <c r="L1853" s="39" t="s">
        <v>294</v>
      </c>
      <c r="M1853" s="49" t="s">
        <v>295</v>
      </c>
      <c r="N1853" s="39" t="s">
        <v>296</v>
      </c>
      <c r="O1853" s="96" t="s">
        <v>297</v>
      </c>
      <c r="P1853" s="49" t="s">
        <v>157</v>
      </c>
      <c r="Q1853" s="96" t="s">
        <v>104</v>
      </c>
      <c r="R1853" s="52">
        <v>2.9</v>
      </c>
      <c r="S1853" s="52">
        <f>R1853-T1853</f>
        <v>2.5892857142857144</v>
      </c>
      <c r="T1853" s="52">
        <f>R1853*U1853/(U1853+100)</f>
        <v>0.31071428571428567</v>
      </c>
      <c r="U1853" s="50">
        <v>12</v>
      </c>
      <c r="V1853" s="53">
        <v>0</v>
      </c>
      <c r="W1853" s="147">
        <v>6</v>
      </c>
      <c r="X1853" s="148" t="s">
        <v>163</v>
      </c>
      <c r="Y1853" s="54">
        <f>R1853*W1853</f>
        <v>17.4</v>
      </c>
      <c r="Z1853" s="52">
        <f>S1853*W1853</f>
        <v>15.535714285714286</v>
      </c>
      <c r="AA1853" s="52">
        <f>T1853*W1853</f>
        <v>1.8642857142857139</v>
      </c>
      <c r="AB1853" s="52">
        <f>V1853*W1853</f>
        <v>0</v>
      </c>
      <c r="AC1853" s="53">
        <f>(R1853+V1853)*W1853</f>
        <v>17.4</v>
      </c>
      <c r="AD1853" s="138">
        <v>2.9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107</v>
      </c>
      <c r="F1854" s="96" t="s">
        <v>113</v>
      </c>
      <c r="G1854" s="97">
        <v>46132</v>
      </c>
      <c r="H1854" s="98">
        <v>0.7301967592592593</v>
      </c>
      <c r="I1854" s="50">
        <v>166004805</v>
      </c>
      <c r="J1854" s="96" t="s">
        <v>157</v>
      </c>
      <c r="K1854" s="49" t="s">
        <v>1097</v>
      </c>
      <c r="L1854" s="39" t="s">
        <v>1098</v>
      </c>
      <c r="M1854" s="49" t="s">
        <v>444</v>
      </c>
      <c r="N1854" s="39" t="s">
        <v>228</v>
      </c>
      <c r="O1854" s="96" t="s">
        <v>1099</v>
      </c>
      <c r="P1854" s="49" t="s">
        <v>157</v>
      </c>
      <c r="Q1854" s="96" t="s">
        <v>104</v>
      </c>
      <c r="R1854" s="52">
        <v>17.9</v>
      </c>
      <c r="S1854" s="52">
        <f>R1854-T1854</f>
        <v>15.982142857142856</v>
      </c>
      <c r="T1854" s="52">
        <f>R1854*U1854/(U1854+100)</f>
        <v>1.9178571428571427</v>
      </c>
      <c r="U1854" s="50">
        <v>12</v>
      </c>
      <c r="V1854" s="53">
        <v>0</v>
      </c>
      <c r="W1854" s="147">
        <v>1</v>
      </c>
      <c r="X1854" s="148" t="s">
        <v>163</v>
      </c>
      <c r="Y1854" s="54">
        <f>R1854*W1854</f>
        <v>17.9</v>
      </c>
      <c r="Z1854" s="52">
        <f>S1854*W1854</f>
        <v>15.982142857142856</v>
      </c>
      <c r="AA1854" s="52">
        <f>T1854*W1854</f>
        <v>1.9178571428571427</v>
      </c>
      <c r="AB1854" s="52">
        <f>V1854*W1854</f>
        <v>0</v>
      </c>
      <c r="AC1854" s="53">
        <f>(R1854+V1854)*W1854</f>
        <v>17.9</v>
      </c>
      <c r="AD1854" s="138">
        <v>17.9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107</v>
      </c>
      <c r="F1855" s="96" t="s">
        <v>113</v>
      </c>
      <c r="G1855" s="97">
        <v>46132</v>
      </c>
      <c r="H1855" s="98">
        <v>0.7301967592592593</v>
      </c>
      <c r="I1855" s="50">
        <v>166004805</v>
      </c>
      <c r="J1855" s="96" t="s">
        <v>157</v>
      </c>
      <c r="K1855" s="49" t="s">
        <v>321</v>
      </c>
      <c r="L1855" s="39" t="s">
        <v>322</v>
      </c>
      <c r="M1855" s="49" t="s">
        <v>232</v>
      </c>
      <c r="N1855" s="39" t="s">
        <v>233</v>
      </c>
      <c r="O1855" s="96" t="s">
        <v>2927</v>
      </c>
      <c r="P1855" s="49" t="s">
        <v>157</v>
      </c>
      <c r="Q1855" s="96" t="s">
        <v>104</v>
      </c>
      <c r="R1855" s="52">
        <v>24.9</v>
      </c>
      <c r="S1855" s="52">
        <f>R1855-T1855</f>
        <v>20.578512396694215</v>
      </c>
      <c r="T1855" s="52">
        <f>R1855*U1855/(U1855+100)</f>
        <v>4.321487603305785</v>
      </c>
      <c r="U1855" s="50">
        <v>21</v>
      </c>
      <c r="V1855" s="53">
        <v>0</v>
      </c>
      <c r="W1855" s="147">
        <v>1</v>
      </c>
      <c r="X1855" s="148" t="s">
        <v>163</v>
      </c>
      <c r="Y1855" s="54">
        <f>R1855*W1855</f>
        <v>24.9</v>
      </c>
      <c r="Z1855" s="52">
        <f>S1855*W1855</f>
        <v>20.578512396694215</v>
      </c>
      <c r="AA1855" s="52">
        <f>T1855*W1855</f>
        <v>4.321487603305785</v>
      </c>
      <c r="AB1855" s="52">
        <f>V1855*W1855</f>
        <v>0</v>
      </c>
      <c r="AC1855" s="53">
        <f>(R1855+V1855)*W1855</f>
        <v>24.9</v>
      </c>
      <c r="AD1855" s="138">
        <v>24.9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107</v>
      </c>
      <c r="F1856" s="96" t="s">
        <v>113</v>
      </c>
      <c r="G1856" s="97">
        <v>46132</v>
      </c>
      <c r="H1856" s="98">
        <v>0.7301967592592593</v>
      </c>
      <c r="I1856" s="50">
        <v>166004805</v>
      </c>
      <c r="J1856" s="96" t="s">
        <v>157</v>
      </c>
      <c r="K1856" s="49" t="s">
        <v>655</v>
      </c>
      <c r="L1856" s="39" t="s">
        <v>656</v>
      </c>
      <c r="M1856" s="49" t="s">
        <v>190</v>
      </c>
      <c r="N1856" s="39" t="s">
        <v>532</v>
      </c>
      <c r="O1856" s="96" t="s">
        <v>657</v>
      </c>
      <c r="P1856" s="49" t="s">
        <v>157</v>
      </c>
      <c r="Q1856" s="96" t="s">
        <v>104</v>
      </c>
      <c r="R1856" s="52">
        <v>17.95</v>
      </c>
      <c r="S1856" s="52">
        <f>R1856-T1856</f>
        <v>16.026785714285715</v>
      </c>
      <c r="T1856" s="52">
        <f>R1856*U1856/(U1856+100)</f>
        <v>1.9232142857142855</v>
      </c>
      <c r="U1856" s="50">
        <v>12</v>
      </c>
      <c r="V1856" s="53">
        <v>0</v>
      </c>
      <c r="W1856" s="147">
        <v>1.426</v>
      </c>
      <c r="X1856" s="148" t="s">
        <v>193</v>
      </c>
      <c r="Y1856" s="54">
        <f>R1856*W1856</f>
        <v>25.5967</v>
      </c>
      <c r="Z1856" s="52">
        <f>S1856*W1856</f>
        <v>22.854196428571427</v>
      </c>
      <c r="AA1856" s="52">
        <f>T1856*W1856</f>
        <v>2.7425035714285713</v>
      </c>
      <c r="AB1856" s="52">
        <f>V1856*W1856</f>
        <v>0</v>
      </c>
      <c r="AC1856" s="53">
        <f>(R1856+V1856)*W1856</f>
        <v>25.5967</v>
      </c>
      <c r="AD1856" s="138">
        <v>17.95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107</v>
      </c>
      <c r="F1857" s="96" t="s">
        <v>113</v>
      </c>
      <c r="G1857" s="97">
        <v>46132</v>
      </c>
      <c r="H1857" s="98">
        <v>0.7301967592592593</v>
      </c>
      <c r="I1857" s="50">
        <v>166004805</v>
      </c>
      <c r="J1857" s="96" t="s">
        <v>157</v>
      </c>
      <c r="K1857" s="49" t="s">
        <v>1085</v>
      </c>
      <c r="L1857" s="39" t="s">
        <v>1086</v>
      </c>
      <c r="M1857" s="49" t="s">
        <v>1087</v>
      </c>
      <c r="N1857" s="39" t="s">
        <v>1088</v>
      </c>
      <c r="O1857" s="96" t="s">
        <v>1089</v>
      </c>
      <c r="P1857" s="49" t="s">
        <v>157</v>
      </c>
      <c r="Q1857" s="96" t="s">
        <v>104</v>
      </c>
      <c r="R1857" s="52">
        <v>163.03</v>
      </c>
      <c r="S1857" s="52">
        <f>R1857-T1857</f>
        <v>145.5625</v>
      </c>
      <c r="T1857" s="52">
        <f>R1857*U1857/(U1857+100)</f>
        <v>17.4675</v>
      </c>
      <c r="U1857" s="50">
        <v>12</v>
      </c>
      <c r="V1857" s="53">
        <v>0</v>
      </c>
      <c r="W1857" s="147">
        <v>1</v>
      </c>
      <c r="X1857" s="148" t="s">
        <v>193</v>
      </c>
      <c r="Y1857" s="54">
        <f>R1857*W1857</f>
        <v>163.03</v>
      </c>
      <c r="Z1857" s="52">
        <f>S1857*W1857</f>
        <v>145.5625</v>
      </c>
      <c r="AA1857" s="52">
        <f>T1857*W1857</f>
        <v>17.4675</v>
      </c>
      <c r="AB1857" s="52">
        <f>V1857*W1857</f>
        <v>0</v>
      </c>
      <c r="AC1857" s="53">
        <f>(R1857+V1857)*W1857</f>
        <v>163.03</v>
      </c>
      <c r="AD1857" s="138">
        <v>232.9</v>
      </c>
      <c r="AE1857" s="137">
        <v>69.87</v>
      </c>
      <c r="AF1857" s="139">
        <v>69.87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107</v>
      </c>
      <c r="F1858" s="96" t="s">
        <v>113</v>
      </c>
      <c r="G1858" s="97">
        <v>46132</v>
      </c>
      <c r="H1858" s="98">
        <v>0.7303587962962963</v>
      </c>
      <c r="I1858" s="50">
        <v>166004806</v>
      </c>
      <c r="J1858" s="96" t="s">
        <v>157</v>
      </c>
      <c r="K1858" s="49" t="s">
        <v>293</v>
      </c>
      <c r="L1858" s="39" t="s">
        <v>294</v>
      </c>
      <c r="M1858" s="49" t="s">
        <v>295</v>
      </c>
      <c r="N1858" s="39" t="s">
        <v>296</v>
      </c>
      <c r="O1858" s="96" t="s">
        <v>297</v>
      </c>
      <c r="P1858" s="49" t="s">
        <v>157</v>
      </c>
      <c r="Q1858" s="96" t="s">
        <v>104</v>
      </c>
      <c r="R1858" s="52">
        <v>2.9</v>
      </c>
      <c r="S1858" s="52">
        <f>R1858-T1858</f>
        <v>2.5892857142857144</v>
      </c>
      <c r="T1858" s="52">
        <f>R1858*U1858/(U1858+100)</f>
        <v>0.31071428571428567</v>
      </c>
      <c r="U1858" s="50">
        <v>12</v>
      </c>
      <c r="V1858" s="53">
        <v>0</v>
      </c>
      <c r="W1858" s="147">
        <v>2</v>
      </c>
      <c r="X1858" s="148" t="s">
        <v>163</v>
      </c>
      <c r="Y1858" s="54">
        <f>R1858*W1858</f>
        <v>5.8</v>
      </c>
      <c r="Z1858" s="52">
        <f>S1858*W1858</f>
        <v>5.178571428571429</v>
      </c>
      <c r="AA1858" s="52">
        <f>T1858*W1858</f>
        <v>0.6214285714285713</v>
      </c>
      <c r="AB1858" s="52">
        <f>V1858*W1858</f>
        <v>0</v>
      </c>
      <c r="AC1858" s="53">
        <f>(R1858+V1858)*W1858</f>
        <v>5.8</v>
      </c>
      <c r="AD1858" s="138">
        <v>2.9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107</v>
      </c>
      <c r="F1859" s="96" t="s">
        <v>113</v>
      </c>
      <c r="G1859" s="97">
        <v>46132</v>
      </c>
      <c r="H1859" s="98">
        <v>0.7308564814814815</v>
      </c>
      <c r="I1859" s="50">
        <v>166004807</v>
      </c>
      <c r="J1859" s="96" t="s">
        <v>157</v>
      </c>
      <c r="K1859" s="49" t="s">
        <v>2026</v>
      </c>
      <c r="L1859" s="39" t="s">
        <v>2027</v>
      </c>
      <c r="M1859" s="49" t="s">
        <v>893</v>
      </c>
      <c r="N1859" s="39" t="s">
        <v>202</v>
      </c>
      <c r="O1859" s="96" t="s">
        <v>2028</v>
      </c>
      <c r="P1859" s="49" t="s">
        <v>157</v>
      </c>
      <c r="Q1859" s="96" t="s">
        <v>104</v>
      </c>
      <c r="R1859" s="52">
        <v>17.9</v>
      </c>
      <c r="S1859" s="52">
        <f>R1859-T1859</f>
        <v>15.982142857142856</v>
      </c>
      <c r="T1859" s="52">
        <f>R1859*U1859/(U1859+100)</f>
        <v>1.9178571428571427</v>
      </c>
      <c r="U1859" s="50">
        <v>12</v>
      </c>
      <c r="V1859" s="53">
        <v>0</v>
      </c>
      <c r="W1859" s="147">
        <v>1</v>
      </c>
      <c r="X1859" s="148" t="s">
        <v>163</v>
      </c>
      <c r="Y1859" s="54">
        <f>R1859*W1859</f>
        <v>17.9</v>
      </c>
      <c r="Z1859" s="52">
        <f>S1859*W1859</f>
        <v>15.982142857142856</v>
      </c>
      <c r="AA1859" s="52">
        <f>T1859*W1859</f>
        <v>1.9178571428571427</v>
      </c>
      <c r="AB1859" s="52">
        <f>V1859*W1859</f>
        <v>0</v>
      </c>
      <c r="AC1859" s="53">
        <f>(R1859+V1859)*W1859</f>
        <v>17.9</v>
      </c>
      <c r="AD1859" s="138">
        <v>17.9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107</v>
      </c>
      <c r="F1860" s="96" t="s">
        <v>113</v>
      </c>
      <c r="G1860" s="97">
        <v>46132</v>
      </c>
      <c r="H1860" s="98">
        <v>0.7308564814814815</v>
      </c>
      <c r="I1860" s="50">
        <v>166004807</v>
      </c>
      <c r="J1860" s="96" t="s">
        <v>157</v>
      </c>
      <c r="K1860" s="49" t="s">
        <v>2026</v>
      </c>
      <c r="L1860" s="39" t="s">
        <v>2027</v>
      </c>
      <c r="M1860" s="49" t="s">
        <v>893</v>
      </c>
      <c r="N1860" s="39" t="s">
        <v>202</v>
      </c>
      <c r="O1860" s="96" t="s">
        <v>2028</v>
      </c>
      <c r="P1860" s="49" t="s">
        <v>157</v>
      </c>
      <c r="Q1860" s="96" t="s">
        <v>104</v>
      </c>
      <c r="R1860" s="52">
        <v>17.9</v>
      </c>
      <c r="S1860" s="52">
        <f>R1860-T1860</f>
        <v>15.982142857142856</v>
      </c>
      <c r="T1860" s="52">
        <f>R1860*U1860/(U1860+100)</f>
        <v>1.9178571428571427</v>
      </c>
      <c r="U1860" s="50">
        <v>12</v>
      </c>
      <c r="V1860" s="53">
        <v>0</v>
      </c>
      <c r="W1860" s="147">
        <v>1</v>
      </c>
      <c r="X1860" s="148" t="s">
        <v>163</v>
      </c>
      <c r="Y1860" s="54">
        <f>R1860*W1860</f>
        <v>17.9</v>
      </c>
      <c r="Z1860" s="52">
        <f>S1860*W1860</f>
        <v>15.982142857142856</v>
      </c>
      <c r="AA1860" s="52">
        <f>T1860*W1860</f>
        <v>1.9178571428571427</v>
      </c>
      <c r="AB1860" s="52">
        <f>V1860*W1860</f>
        <v>0</v>
      </c>
      <c r="AC1860" s="53">
        <f>(R1860+V1860)*W1860</f>
        <v>17.9</v>
      </c>
      <c r="AD1860" s="138">
        <v>17.9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107</v>
      </c>
      <c r="F1861" s="96" t="s">
        <v>113</v>
      </c>
      <c r="G1861" s="97">
        <v>46132</v>
      </c>
      <c r="H1861" s="98">
        <v>0.7308564814814815</v>
      </c>
      <c r="I1861" s="50">
        <v>166004807</v>
      </c>
      <c r="J1861" s="96" t="s">
        <v>157</v>
      </c>
      <c r="K1861" s="49" t="s">
        <v>2928</v>
      </c>
      <c r="L1861" s="39" t="s">
        <v>2929</v>
      </c>
      <c r="M1861" s="49" t="s">
        <v>214</v>
      </c>
      <c r="N1861" s="39" t="s">
        <v>2930</v>
      </c>
      <c r="O1861" s="96" t="s">
        <v>2931</v>
      </c>
      <c r="P1861" s="49" t="s">
        <v>157</v>
      </c>
      <c r="Q1861" s="96" t="s">
        <v>104</v>
      </c>
      <c r="R1861" s="52">
        <v>52.9</v>
      </c>
      <c r="S1861" s="52">
        <f>R1861-T1861</f>
        <v>47.232142857142854</v>
      </c>
      <c r="T1861" s="52">
        <f>R1861*U1861/(U1861+100)</f>
        <v>5.667857142857143</v>
      </c>
      <c r="U1861" s="50">
        <v>12</v>
      </c>
      <c r="V1861" s="53">
        <v>0</v>
      </c>
      <c r="W1861" s="147">
        <v>1</v>
      </c>
      <c r="X1861" s="148" t="s">
        <v>163</v>
      </c>
      <c r="Y1861" s="54">
        <f>R1861*W1861</f>
        <v>52.9</v>
      </c>
      <c r="Z1861" s="52">
        <f>S1861*W1861</f>
        <v>47.232142857142854</v>
      </c>
      <c r="AA1861" s="52">
        <f>T1861*W1861</f>
        <v>5.667857142857143</v>
      </c>
      <c r="AB1861" s="52">
        <f>V1861*W1861</f>
        <v>0</v>
      </c>
      <c r="AC1861" s="53">
        <f>(R1861+V1861)*W1861</f>
        <v>52.9</v>
      </c>
      <c r="AD1861" s="138">
        <v>52.9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107</v>
      </c>
      <c r="F1862" s="96" t="s">
        <v>113</v>
      </c>
      <c r="G1862" s="97">
        <v>46132</v>
      </c>
      <c r="H1862" s="98">
        <v>0.7308564814814815</v>
      </c>
      <c r="I1862" s="50">
        <v>166004807</v>
      </c>
      <c r="J1862" s="96" t="s">
        <v>157</v>
      </c>
      <c r="K1862" s="49" t="s">
        <v>942</v>
      </c>
      <c r="L1862" s="39"/>
      <c r="M1862" s="49" t="s">
        <v>295</v>
      </c>
      <c r="N1862" s="39" t="s">
        <v>433</v>
      </c>
      <c r="O1862" s="96" t="s">
        <v>1332</v>
      </c>
      <c r="P1862" s="49" t="s">
        <v>235</v>
      </c>
      <c r="Q1862" s="96" t="s">
        <v>944</v>
      </c>
      <c r="R1862" s="52">
        <v>9.9</v>
      </c>
      <c r="S1862" s="52">
        <f>R1862-T1862</f>
        <v>8.839285714285715</v>
      </c>
      <c r="T1862" s="52">
        <f>R1862*U1862/(U1862+100)</f>
        <v>1.0607142857142857</v>
      </c>
      <c r="U1862" s="50">
        <v>12</v>
      </c>
      <c r="V1862" s="53">
        <v>0</v>
      </c>
      <c r="W1862" s="147">
        <v>1</v>
      </c>
      <c r="X1862" s="148" t="s">
        <v>945</v>
      </c>
      <c r="Y1862" s="54">
        <f>R1862*W1862</f>
        <v>9.9</v>
      </c>
      <c r="Z1862" s="52">
        <f>S1862*W1862</f>
        <v>8.839285714285715</v>
      </c>
      <c r="AA1862" s="52">
        <f>T1862*W1862</f>
        <v>1.0607142857142857</v>
      </c>
      <c r="AB1862" s="52">
        <f>V1862*W1862</f>
        <v>0</v>
      </c>
      <c r="AC1862" s="53">
        <f>(R1862+V1862)*W1862</f>
        <v>9.9</v>
      </c>
      <c r="AD1862" s="138">
        <v>9.9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107</v>
      </c>
      <c r="F1863" s="96" t="s">
        <v>113</v>
      </c>
      <c r="G1863" s="97">
        <v>46132</v>
      </c>
      <c r="H1863" s="98">
        <v>0.7317592592592592</v>
      </c>
      <c r="I1863" s="50">
        <v>166004808</v>
      </c>
      <c r="J1863" s="96" t="s">
        <v>157</v>
      </c>
      <c r="K1863" s="49" t="s">
        <v>2646</v>
      </c>
      <c r="L1863" s="39" t="s">
        <v>2647</v>
      </c>
      <c r="M1863" s="49" t="s">
        <v>823</v>
      </c>
      <c r="N1863" s="39" t="s">
        <v>1890</v>
      </c>
      <c r="O1863" s="96" t="s">
        <v>2648</v>
      </c>
      <c r="P1863" s="49" t="s">
        <v>157</v>
      </c>
      <c r="Q1863" s="96" t="s">
        <v>104</v>
      </c>
      <c r="R1863" s="52">
        <v>19.9</v>
      </c>
      <c r="S1863" s="52">
        <f>R1863-T1863</f>
        <v>17.767857142857142</v>
      </c>
      <c r="T1863" s="52">
        <f>R1863*U1863/(U1863+100)</f>
        <v>2.132142857142857</v>
      </c>
      <c r="U1863" s="50">
        <v>12</v>
      </c>
      <c r="V1863" s="53">
        <v>0</v>
      </c>
      <c r="W1863" s="147">
        <v>1</v>
      </c>
      <c r="X1863" s="148" t="s">
        <v>163</v>
      </c>
      <c r="Y1863" s="54">
        <f>R1863*W1863</f>
        <v>19.9</v>
      </c>
      <c r="Z1863" s="52">
        <f>S1863*W1863</f>
        <v>17.767857142857142</v>
      </c>
      <c r="AA1863" s="52">
        <f>T1863*W1863</f>
        <v>2.132142857142857</v>
      </c>
      <c r="AB1863" s="52">
        <f>V1863*W1863</f>
        <v>0</v>
      </c>
      <c r="AC1863" s="53">
        <f>(R1863+V1863)*W1863</f>
        <v>19.9</v>
      </c>
      <c r="AD1863" s="138">
        <v>19.9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107</v>
      </c>
      <c r="F1864" s="96" t="s">
        <v>113</v>
      </c>
      <c r="G1864" s="97">
        <v>46132</v>
      </c>
      <c r="H1864" s="98">
        <v>0.7317592592592592</v>
      </c>
      <c r="I1864" s="50">
        <v>166004808</v>
      </c>
      <c r="J1864" s="96" t="s">
        <v>157</v>
      </c>
      <c r="K1864" s="49" t="s">
        <v>1888</v>
      </c>
      <c r="L1864" s="39" t="s">
        <v>1889</v>
      </c>
      <c r="M1864" s="49" t="s">
        <v>823</v>
      </c>
      <c r="N1864" s="39" t="s">
        <v>1890</v>
      </c>
      <c r="O1864" s="96" t="s">
        <v>1891</v>
      </c>
      <c r="P1864" s="49" t="s">
        <v>157</v>
      </c>
      <c r="Q1864" s="96" t="s">
        <v>104</v>
      </c>
      <c r="R1864" s="52">
        <v>23.9</v>
      </c>
      <c r="S1864" s="52">
        <f>R1864-T1864</f>
        <v>21.33928571428571</v>
      </c>
      <c r="T1864" s="52">
        <f>R1864*U1864/(U1864+100)</f>
        <v>2.5607142857142855</v>
      </c>
      <c r="U1864" s="50">
        <v>12</v>
      </c>
      <c r="V1864" s="53">
        <v>0</v>
      </c>
      <c r="W1864" s="147">
        <v>1</v>
      </c>
      <c r="X1864" s="148" t="s">
        <v>163</v>
      </c>
      <c r="Y1864" s="54">
        <f>R1864*W1864</f>
        <v>23.9</v>
      </c>
      <c r="Z1864" s="52">
        <f>S1864*W1864</f>
        <v>21.33928571428571</v>
      </c>
      <c r="AA1864" s="52">
        <f>T1864*W1864</f>
        <v>2.5607142857142855</v>
      </c>
      <c r="AB1864" s="52">
        <f>V1864*W1864</f>
        <v>0</v>
      </c>
      <c r="AC1864" s="53">
        <f>(R1864+V1864)*W1864</f>
        <v>23.9</v>
      </c>
      <c r="AD1864" s="138">
        <v>23.9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107</v>
      </c>
      <c r="F1865" s="96" t="s">
        <v>113</v>
      </c>
      <c r="G1865" s="97">
        <v>46132</v>
      </c>
      <c r="H1865" s="98">
        <v>0.7317592592592592</v>
      </c>
      <c r="I1865" s="50">
        <v>166004808</v>
      </c>
      <c r="J1865" s="96" t="s">
        <v>157</v>
      </c>
      <c r="K1865" s="49" t="s">
        <v>898</v>
      </c>
      <c r="L1865" s="39" t="s">
        <v>899</v>
      </c>
      <c r="M1865" s="49" t="s">
        <v>201</v>
      </c>
      <c r="N1865" s="39" t="s">
        <v>202</v>
      </c>
      <c r="O1865" s="96" t="s">
        <v>2932</v>
      </c>
      <c r="P1865" s="49" t="s">
        <v>235</v>
      </c>
      <c r="Q1865" s="96" t="s">
        <v>236</v>
      </c>
      <c r="R1865" s="52">
        <v>19.9</v>
      </c>
      <c r="S1865" s="52">
        <f>R1865-T1865</f>
        <v>17.767857142857142</v>
      </c>
      <c r="T1865" s="52">
        <f>R1865*U1865/(U1865+100)</f>
        <v>2.132142857142857</v>
      </c>
      <c r="U1865" s="50">
        <v>12</v>
      </c>
      <c r="V1865" s="53">
        <v>0</v>
      </c>
      <c r="W1865" s="147">
        <v>1</v>
      </c>
      <c r="X1865" s="148" t="s">
        <v>163</v>
      </c>
      <c r="Y1865" s="54">
        <f>R1865*W1865</f>
        <v>19.9</v>
      </c>
      <c r="Z1865" s="52">
        <f>S1865*W1865</f>
        <v>17.767857142857142</v>
      </c>
      <c r="AA1865" s="52">
        <f>T1865*W1865</f>
        <v>2.132142857142857</v>
      </c>
      <c r="AB1865" s="52">
        <f>V1865*W1865</f>
        <v>0</v>
      </c>
      <c r="AC1865" s="53">
        <f>(R1865+V1865)*W1865</f>
        <v>19.9</v>
      </c>
      <c r="AD1865" s="138">
        <v>19.9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107</v>
      </c>
      <c r="F1866" s="96" t="s">
        <v>113</v>
      </c>
      <c r="G1866" s="97">
        <v>46132</v>
      </c>
      <c r="H1866" s="98">
        <v>0.7317592592592592</v>
      </c>
      <c r="I1866" s="50">
        <v>166004808</v>
      </c>
      <c r="J1866" s="96" t="s">
        <v>157</v>
      </c>
      <c r="K1866" s="49" t="s">
        <v>898</v>
      </c>
      <c r="L1866" s="39" t="s">
        <v>899</v>
      </c>
      <c r="M1866" s="49" t="s">
        <v>201</v>
      </c>
      <c r="N1866" s="39" t="s">
        <v>202</v>
      </c>
      <c r="O1866" s="96" t="s">
        <v>2932</v>
      </c>
      <c r="P1866" s="49" t="s">
        <v>235</v>
      </c>
      <c r="Q1866" s="96" t="s">
        <v>236</v>
      </c>
      <c r="R1866" s="52">
        <v>19.9</v>
      </c>
      <c r="S1866" s="52">
        <f>R1866-T1866</f>
        <v>17.767857142857142</v>
      </c>
      <c r="T1866" s="52">
        <f>R1866*U1866/(U1866+100)</f>
        <v>2.132142857142857</v>
      </c>
      <c r="U1866" s="50">
        <v>12</v>
      </c>
      <c r="V1866" s="53">
        <v>0</v>
      </c>
      <c r="W1866" s="147">
        <v>1</v>
      </c>
      <c r="X1866" s="148" t="s">
        <v>163</v>
      </c>
      <c r="Y1866" s="54">
        <f>R1866*W1866</f>
        <v>19.9</v>
      </c>
      <c r="Z1866" s="52">
        <f>S1866*W1866</f>
        <v>17.767857142857142</v>
      </c>
      <c r="AA1866" s="52">
        <f>T1866*W1866</f>
        <v>2.132142857142857</v>
      </c>
      <c r="AB1866" s="52">
        <f>V1866*W1866</f>
        <v>0</v>
      </c>
      <c r="AC1866" s="53">
        <f>(R1866+V1866)*W1866</f>
        <v>19.9</v>
      </c>
      <c r="AD1866" s="138">
        <v>19.9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107</v>
      </c>
      <c r="F1867" s="96" t="s">
        <v>113</v>
      </c>
      <c r="G1867" s="97">
        <v>46132</v>
      </c>
      <c r="H1867" s="98">
        <v>0.7317592592592592</v>
      </c>
      <c r="I1867" s="50">
        <v>166004808</v>
      </c>
      <c r="J1867" s="96" t="s">
        <v>157</v>
      </c>
      <c r="K1867" s="49" t="s">
        <v>507</v>
      </c>
      <c r="L1867" s="39" t="s">
        <v>508</v>
      </c>
      <c r="M1867" s="49" t="s">
        <v>509</v>
      </c>
      <c r="N1867" s="39" t="s">
        <v>256</v>
      </c>
      <c r="O1867" s="96" t="s">
        <v>1024</v>
      </c>
      <c r="P1867" s="49" t="s">
        <v>235</v>
      </c>
      <c r="Q1867" s="96" t="s">
        <v>236</v>
      </c>
      <c r="R1867" s="52">
        <v>15.9</v>
      </c>
      <c r="S1867" s="52">
        <f>R1867-T1867</f>
        <v>13.140495867768596</v>
      </c>
      <c r="T1867" s="52">
        <f>R1867*U1867/(U1867+100)</f>
        <v>2.759504132231405</v>
      </c>
      <c r="U1867" s="50">
        <v>21</v>
      </c>
      <c r="V1867" s="53">
        <v>0</v>
      </c>
      <c r="W1867" s="147">
        <v>2</v>
      </c>
      <c r="X1867" s="148" t="s">
        <v>163</v>
      </c>
      <c r="Y1867" s="54">
        <f>R1867*W1867</f>
        <v>31.8</v>
      </c>
      <c r="Z1867" s="52">
        <f>S1867*W1867</f>
        <v>26.280991735537192</v>
      </c>
      <c r="AA1867" s="52">
        <f>T1867*W1867</f>
        <v>5.51900826446281</v>
      </c>
      <c r="AB1867" s="52">
        <f>V1867*W1867</f>
        <v>0</v>
      </c>
      <c r="AC1867" s="53">
        <f>(R1867+V1867)*W1867</f>
        <v>31.8</v>
      </c>
      <c r="AD1867" s="138">
        <v>15.9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107</v>
      </c>
      <c r="F1868" s="96" t="s">
        <v>113</v>
      </c>
      <c r="G1868" s="97">
        <v>46132</v>
      </c>
      <c r="H1868" s="98">
        <v>0.7587731481481481</v>
      </c>
      <c r="I1868" s="50">
        <v>166004809</v>
      </c>
      <c r="J1868" s="96" t="s">
        <v>157</v>
      </c>
      <c r="K1868" s="49" t="s">
        <v>1724</v>
      </c>
      <c r="L1868" s="39" t="s">
        <v>1725</v>
      </c>
      <c r="M1868" s="49" t="s">
        <v>185</v>
      </c>
      <c r="N1868" s="39" t="s">
        <v>264</v>
      </c>
      <c r="O1868" s="96" t="s">
        <v>1726</v>
      </c>
      <c r="P1868" s="49" t="s">
        <v>157</v>
      </c>
      <c r="Q1868" s="96" t="s">
        <v>104</v>
      </c>
      <c r="R1868" s="52">
        <v>29.9</v>
      </c>
      <c r="S1868" s="52">
        <f>R1868-T1868</f>
        <v>26.69642857142857</v>
      </c>
      <c r="T1868" s="52">
        <f>R1868*U1868/(U1868+100)</f>
        <v>3.2035714285714283</v>
      </c>
      <c r="U1868" s="50">
        <v>12</v>
      </c>
      <c r="V1868" s="53">
        <v>0</v>
      </c>
      <c r="W1868" s="147">
        <v>1</v>
      </c>
      <c r="X1868" s="148" t="s">
        <v>163</v>
      </c>
      <c r="Y1868" s="54">
        <f>R1868*W1868</f>
        <v>29.9</v>
      </c>
      <c r="Z1868" s="52">
        <f>S1868*W1868</f>
        <v>26.69642857142857</v>
      </c>
      <c r="AA1868" s="52">
        <f>T1868*W1868</f>
        <v>3.2035714285714283</v>
      </c>
      <c r="AB1868" s="52">
        <f>V1868*W1868</f>
        <v>0</v>
      </c>
      <c r="AC1868" s="53">
        <f>(R1868+V1868)*W1868</f>
        <v>29.9</v>
      </c>
      <c r="AD1868" s="138">
        <v>29.9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107</v>
      </c>
      <c r="F1869" s="96" t="s">
        <v>113</v>
      </c>
      <c r="G1869" s="97">
        <v>46132</v>
      </c>
      <c r="H1869" s="98">
        <v>0.7587731481481481</v>
      </c>
      <c r="I1869" s="50">
        <v>166004809</v>
      </c>
      <c r="J1869" s="96" t="s">
        <v>157</v>
      </c>
      <c r="K1869" s="49" t="s">
        <v>2933</v>
      </c>
      <c r="L1869" s="39" t="s">
        <v>2934</v>
      </c>
      <c r="M1869" s="49" t="s">
        <v>413</v>
      </c>
      <c r="N1869" s="39" t="s">
        <v>414</v>
      </c>
      <c r="O1869" s="96" t="s">
        <v>2935</v>
      </c>
      <c r="P1869" s="49" t="s">
        <v>157</v>
      </c>
      <c r="Q1869" s="96" t="s">
        <v>104</v>
      </c>
      <c r="R1869" s="52">
        <v>12.4</v>
      </c>
      <c r="S1869" s="52">
        <f>R1869-T1869</f>
        <v>11.071428571428571</v>
      </c>
      <c r="T1869" s="52">
        <f>R1869*U1869/(U1869+100)</f>
        <v>1.3285714285714287</v>
      </c>
      <c r="U1869" s="50">
        <v>12</v>
      </c>
      <c r="V1869" s="53">
        <v>0</v>
      </c>
      <c r="W1869" s="147">
        <v>1</v>
      </c>
      <c r="X1869" s="148" t="s">
        <v>163</v>
      </c>
      <c r="Y1869" s="54">
        <f>R1869*W1869</f>
        <v>12.4</v>
      </c>
      <c r="Z1869" s="52">
        <f>S1869*W1869</f>
        <v>11.071428571428571</v>
      </c>
      <c r="AA1869" s="52">
        <f>T1869*W1869</f>
        <v>1.3285714285714287</v>
      </c>
      <c r="AB1869" s="52">
        <f>V1869*W1869</f>
        <v>0</v>
      </c>
      <c r="AC1869" s="53">
        <f>(R1869+V1869)*W1869</f>
        <v>12.4</v>
      </c>
      <c r="AD1869" s="138">
        <v>12.4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107</v>
      </c>
      <c r="F1870" s="96" t="s">
        <v>113</v>
      </c>
      <c r="G1870" s="97">
        <v>46132</v>
      </c>
      <c r="H1870" s="98">
        <v>0.7587731481481481</v>
      </c>
      <c r="I1870" s="50">
        <v>166004809</v>
      </c>
      <c r="J1870" s="96" t="s">
        <v>157</v>
      </c>
      <c r="K1870" s="49" t="s">
        <v>2933</v>
      </c>
      <c r="L1870" s="39" t="s">
        <v>2934</v>
      </c>
      <c r="M1870" s="49" t="s">
        <v>413</v>
      </c>
      <c r="N1870" s="39" t="s">
        <v>414</v>
      </c>
      <c r="O1870" s="96" t="s">
        <v>2935</v>
      </c>
      <c r="P1870" s="49" t="s">
        <v>157</v>
      </c>
      <c r="Q1870" s="96" t="s">
        <v>104</v>
      </c>
      <c r="R1870" s="52">
        <v>12.4</v>
      </c>
      <c r="S1870" s="52">
        <f>R1870-T1870</f>
        <v>11.071428571428571</v>
      </c>
      <c r="T1870" s="52">
        <f>R1870*U1870/(U1870+100)</f>
        <v>1.3285714285714287</v>
      </c>
      <c r="U1870" s="50">
        <v>12</v>
      </c>
      <c r="V1870" s="53">
        <v>0</v>
      </c>
      <c r="W1870" s="147">
        <v>1</v>
      </c>
      <c r="X1870" s="148" t="s">
        <v>163</v>
      </c>
      <c r="Y1870" s="54">
        <f>R1870*W1870</f>
        <v>12.4</v>
      </c>
      <c r="Z1870" s="52">
        <f>S1870*W1870</f>
        <v>11.071428571428571</v>
      </c>
      <c r="AA1870" s="52">
        <f>T1870*W1870</f>
        <v>1.3285714285714287</v>
      </c>
      <c r="AB1870" s="52">
        <f>V1870*W1870</f>
        <v>0</v>
      </c>
      <c r="AC1870" s="53">
        <f>(R1870+V1870)*W1870</f>
        <v>12.4</v>
      </c>
      <c r="AD1870" s="138">
        <v>12.4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107</v>
      </c>
      <c r="F1871" s="96" t="s">
        <v>113</v>
      </c>
      <c r="G1871" s="97">
        <v>46132</v>
      </c>
      <c r="H1871" s="98">
        <v>0.7587731481481481</v>
      </c>
      <c r="I1871" s="50">
        <v>166004809</v>
      </c>
      <c r="J1871" s="96" t="s">
        <v>157</v>
      </c>
      <c r="K1871" s="49" t="s">
        <v>411</v>
      </c>
      <c r="L1871" s="39" t="s">
        <v>412</v>
      </c>
      <c r="M1871" s="49" t="s">
        <v>413</v>
      </c>
      <c r="N1871" s="39" t="s">
        <v>414</v>
      </c>
      <c r="O1871" s="96" t="s">
        <v>2936</v>
      </c>
      <c r="P1871" s="49" t="s">
        <v>157</v>
      </c>
      <c r="Q1871" s="96" t="s">
        <v>104</v>
      </c>
      <c r="R1871" s="52">
        <v>12.4</v>
      </c>
      <c r="S1871" s="52">
        <f>R1871-T1871</f>
        <v>11.071428571428571</v>
      </c>
      <c r="T1871" s="52">
        <f>R1871*U1871/(U1871+100)</f>
        <v>1.3285714285714287</v>
      </c>
      <c r="U1871" s="50">
        <v>12</v>
      </c>
      <c r="V1871" s="53">
        <v>0</v>
      </c>
      <c r="W1871" s="147">
        <v>1</v>
      </c>
      <c r="X1871" s="148" t="s">
        <v>163</v>
      </c>
      <c r="Y1871" s="54">
        <f>R1871*W1871</f>
        <v>12.4</v>
      </c>
      <c r="Z1871" s="52">
        <f>S1871*W1871</f>
        <v>11.071428571428571</v>
      </c>
      <c r="AA1871" s="52">
        <f>T1871*W1871</f>
        <v>1.3285714285714287</v>
      </c>
      <c r="AB1871" s="52">
        <f>V1871*W1871</f>
        <v>0</v>
      </c>
      <c r="AC1871" s="53">
        <f>(R1871+V1871)*W1871</f>
        <v>12.4</v>
      </c>
      <c r="AD1871" s="138">
        <v>12.4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107</v>
      </c>
      <c r="F1872" s="96" t="s">
        <v>113</v>
      </c>
      <c r="G1872" s="97">
        <v>46132</v>
      </c>
      <c r="H1872" s="98">
        <v>0.7587731481481481</v>
      </c>
      <c r="I1872" s="50">
        <v>166004809</v>
      </c>
      <c r="J1872" s="96" t="s">
        <v>157</v>
      </c>
      <c r="K1872" s="49" t="s">
        <v>411</v>
      </c>
      <c r="L1872" s="39" t="s">
        <v>412</v>
      </c>
      <c r="M1872" s="49" t="s">
        <v>413</v>
      </c>
      <c r="N1872" s="39" t="s">
        <v>414</v>
      </c>
      <c r="O1872" s="96" t="s">
        <v>2936</v>
      </c>
      <c r="P1872" s="49" t="s">
        <v>157</v>
      </c>
      <c r="Q1872" s="96" t="s">
        <v>104</v>
      </c>
      <c r="R1872" s="52">
        <v>12.4</v>
      </c>
      <c r="S1872" s="52">
        <f>R1872-T1872</f>
        <v>11.071428571428571</v>
      </c>
      <c r="T1872" s="52">
        <f>R1872*U1872/(U1872+100)</f>
        <v>1.3285714285714287</v>
      </c>
      <c r="U1872" s="50">
        <v>12</v>
      </c>
      <c r="V1872" s="53">
        <v>0</v>
      </c>
      <c r="W1872" s="147">
        <v>1</v>
      </c>
      <c r="X1872" s="148" t="s">
        <v>163</v>
      </c>
      <c r="Y1872" s="54">
        <f>R1872*W1872</f>
        <v>12.4</v>
      </c>
      <c r="Z1872" s="52">
        <f>S1872*W1872</f>
        <v>11.071428571428571</v>
      </c>
      <c r="AA1872" s="52">
        <f>T1872*W1872</f>
        <v>1.3285714285714287</v>
      </c>
      <c r="AB1872" s="52">
        <f>V1872*W1872</f>
        <v>0</v>
      </c>
      <c r="AC1872" s="53">
        <f>(R1872+V1872)*W1872</f>
        <v>12.4</v>
      </c>
      <c r="AD1872" s="138">
        <v>12.4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107</v>
      </c>
      <c r="F1873" s="96" t="s">
        <v>113</v>
      </c>
      <c r="G1873" s="97">
        <v>46132</v>
      </c>
      <c r="H1873" s="98">
        <v>0.7587731481481481</v>
      </c>
      <c r="I1873" s="50">
        <v>166004809</v>
      </c>
      <c r="J1873" s="96" t="s">
        <v>157</v>
      </c>
      <c r="K1873" s="49" t="s">
        <v>967</v>
      </c>
      <c r="L1873" s="39" t="s">
        <v>968</v>
      </c>
      <c r="M1873" s="49" t="s">
        <v>444</v>
      </c>
      <c r="N1873" s="39" t="s">
        <v>445</v>
      </c>
      <c r="O1873" s="96" t="s">
        <v>981</v>
      </c>
      <c r="P1873" s="49" t="s">
        <v>157</v>
      </c>
      <c r="Q1873" s="96" t="s">
        <v>104</v>
      </c>
      <c r="R1873" s="52">
        <v>16.9</v>
      </c>
      <c r="S1873" s="52">
        <f>R1873-T1873</f>
        <v>15.089285714285714</v>
      </c>
      <c r="T1873" s="52">
        <f>R1873*U1873/(U1873+100)</f>
        <v>1.8107142857142855</v>
      </c>
      <c r="U1873" s="50">
        <v>12</v>
      </c>
      <c r="V1873" s="53">
        <v>0</v>
      </c>
      <c r="W1873" s="147">
        <v>1</v>
      </c>
      <c r="X1873" s="148" t="s">
        <v>163</v>
      </c>
      <c r="Y1873" s="54">
        <f>R1873*W1873</f>
        <v>16.9</v>
      </c>
      <c r="Z1873" s="52">
        <f>S1873*W1873</f>
        <v>15.089285714285714</v>
      </c>
      <c r="AA1873" s="52">
        <f>T1873*W1873</f>
        <v>1.8107142857142855</v>
      </c>
      <c r="AB1873" s="52">
        <f>V1873*W1873</f>
        <v>0</v>
      </c>
      <c r="AC1873" s="53">
        <f>(R1873+V1873)*W1873</f>
        <v>16.9</v>
      </c>
      <c r="AD1873" s="138">
        <v>16.9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107</v>
      </c>
      <c r="F1874" s="96" t="s">
        <v>113</v>
      </c>
      <c r="G1874" s="97">
        <v>46132</v>
      </c>
      <c r="H1874" s="98">
        <v>0.7587731481481481</v>
      </c>
      <c r="I1874" s="50">
        <v>166004809</v>
      </c>
      <c r="J1874" s="96" t="s">
        <v>157</v>
      </c>
      <c r="K1874" s="49" t="s">
        <v>2304</v>
      </c>
      <c r="L1874" s="39" t="s">
        <v>2305</v>
      </c>
      <c r="M1874" s="49" t="s">
        <v>823</v>
      </c>
      <c r="N1874" s="39" t="s">
        <v>609</v>
      </c>
      <c r="O1874" s="96" t="s">
        <v>2306</v>
      </c>
      <c r="P1874" s="49" t="s">
        <v>157</v>
      </c>
      <c r="Q1874" s="96" t="s">
        <v>104</v>
      </c>
      <c r="R1874" s="52">
        <v>8.33</v>
      </c>
      <c r="S1874" s="52">
        <f>R1874-T1874</f>
        <v>7.4375</v>
      </c>
      <c r="T1874" s="52">
        <f>R1874*U1874/(U1874+100)</f>
        <v>0.8925000000000001</v>
      </c>
      <c r="U1874" s="50">
        <v>12</v>
      </c>
      <c r="V1874" s="53">
        <v>0</v>
      </c>
      <c r="W1874" s="147">
        <v>1</v>
      </c>
      <c r="X1874" s="148" t="s">
        <v>163</v>
      </c>
      <c r="Y1874" s="54">
        <f>R1874*W1874</f>
        <v>8.33</v>
      </c>
      <c r="Z1874" s="52">
        <f>S1874*W1874</f>
        <v>7.4375</v>
      </c>
      <c r="AA1874" s="52">
        <f>T1874*W1874</f>
        <v>0.8925000000000001</v>
      </c>
      <c r="AB1874" s="52">
        <f>V1874*W1874</f>
        <v>0</v>
      </c>
      <c r="AC1874" s="53">
        <f>(R1874+V1874)*W1874</f>
        <v>8.33</v>
      </c>
      <c r="AD1874" s="138">
        <v>11.9</v>
      </c>
      <c r="AE1874" s="137">
        <v>3.57</v>
      </c>
      <c r="AF1874" s="139">
        <v>3.57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107</v>
      </c>
      <c r="F1875" s="96" t="s">
        <v>113</v>
      </c>
      <c r="G1875" s="97">
        <v>46132</v>
      </c>
      <c r="H1875" s="98">
        <v>0.7587731481481481</v>
      </c>
      <c r="I1875" s="50">
        <v>166004809</v>
      </c>
      <c r="J1875" s="96" t="s">
        <v>157</v>
      </c>
      <c r="K1875" s="49" t="s">
        <v>2304</v>
      </c>
      <c r="L1875" s="39" t="s">
        <v>2305</v>
      </c>
      <c r="M1875" s="49" t="s">
        <v>823</v>
      </c>
      <c r="N1875" s="39" t="s">
        <v>609</v>
      </c>
      <c r="O1875" s="96" t="s">
        <v>2306</v>
      </c>
      <c r="P1875" s="49" t="s">
        <v>157</v>
      </c>
      <c r="Q1875" s="96" t="s">
        <v>104</v>
      </c>
      <c r="R1875" s="52">
        <v>8.33</v>
      </c>
      <c r="S1875" s="52">
        <f>R1875-T1875</f>
        <v>7.4375</v>
      </c>
      <c r="T1875" s="52">
        <f>R1875*U1875/(U1875+100)</f>
        <v>0.8925000000000001</v>
      </c>
      <c r="U1875" s="50">
        <v>12</v>
      </c>
      <c r="V1875" s="53">
        <v>0</v>
      </c>
      <c r="W1875" s="147">
        <v>1</v>
      </c>
      <c r="X1875" s="148" t="s">
        <v>163</v>
      </c>
      <c r="Y1875" s="54">
        <f>R1875*W1875</f>
        <v>8.33</v>
      </c>
      <c r="Z1875" s="52">
        <f>S1875*W1875</f>
        <v>7.4375</v>
      </c>
      <c r="AA1875" s="52">
        <f>T1875*W1875</f>
        <v>0.8925000000000001</v>
      </c>
      <c r="AB1875" s="52">
        <f>V1875*W1875</f>
        <v>0</v>
      </c>
      <c r="AC1875" s="53">
        <f>(R1875+V1875)*W1875</f>
        <v>8.33</v>
      </c>
      <c r="AD1875" s="138">
        <v>11.9</v>
      </c>
      <c r="AE1875" s="137">
        <v>3.57</v>
      </c>
      <c r="AF1875" s="139">
        <v>3.57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107</v>
      </c>
      <c r="F1876" s="96" t="s">
        <v>113</v>
      </c>
      <c r="G1876" s="97">
        <v>46132</v>
      </c>
      <c r="H1876" s="98">
        <v>0.7587731481481481</v>
      </c>
      <c r="I1876" s="50">
        <v>166004809</v>
      </c>
      <c r="J1876" s="96" t="s">
        <v>157</v>
      </c>
      <c r="K1876" s="49" t="s">
        <v>1852</v>
      </c>
      <c r="L1876" s="39" t="s">
        <v>1853</v>
      </c>
      <c r="M1876" s="49" t="s">
        <v>232</v>
      </c>
      <c r="N1876" s="39" t="s">
        <v>233</v>
      </c>
      <c r="O1876" s="96" t="s">
        <v>1854</v>
      </c>
      <c r="P1876" s="49" t="s">
        <v>157</v>
      </c>
      <c r="Q1876" s="96" t="s">
        <v>104</v>
      </c>
      <c r="R1876" s="52">
        <v>22.9</v>
      </c>
      <c r="S1876" s="52">
        <f>R1876-T1876</f>
        <v>18.925619834710744</v>
      </c>
      <c r="T1876" s="52">
        <f>R1876*U1876/(U1876+100)</f>
        <v>3.974380165289256</v>
      </c>
      <c r="U1876" s="50">
        <v>21</v>
      </c>
      <c r="V1876" s="53">
        <v>0</v>
      </c>
      <c r="W1876" s="147">
        <v>1</v>
      </c>
      <c r="X1876" s="148" t="s">
        <v>163</v>
      </c>
      <c r="Y1876" s="54">
        <f>R1876*W1876</f>
        <v>22.9</v>
      </c>
      <c r="Z1876" s="52">
        <f>S1876*W1876</f>
        <v>18.925619834710744</v>
      </c>
      <c r="AA1876" s="52">
        <f>T1876*W1876</f>
        <v>3.974380165289256</v>
      </c>
      <c r="AB1876" s="52">
        <f>V1876*W1876</f>
        <v>0</v>
      </c>
      <c r="AC1876" s="53">
        <f>(R1876+V1876)*W1876</f>
        <v>22.9</v>
      </c>
      <c r="AD1876" s="138">
        <v>22.9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107</v>
      </c>
      <c r="F1877" s="96" t="s">
        <v>113</v>
      </c>
      <c r="G1877" s="97">
        <v>46132</v>
      </c>
      <c r="H1877" s="98">
        <v>0.7587731481481481</v>
      </c>
      <c r="I1877" s="50">
        <v>166004809</v>
      </c>
      <c r="J1877" s="96" t="s">
        <v>157</v>
      </c>
      <c r="K1877" s="49" t="s">
        <v>2145</v>
      </c>
      <c r="L1877" s="39" t="s">
        <v>2146</v>
      </c>
      <c r="M1877" s="49" t="s">
        <v>709</v>
      </c>
      <c r="N1877" s="39" t="s">
        <v>319</v>
      </c>
      <c r="O1877" s="96" t="s">
        <v>2147</v>
      </c>
      <c r="P1877" s="49" t="s">
        <v>235</v>
      </c>
      <c r="Q1877" s="96" t="s">
        <v>236</v>
      </c>
      <c r="R1877" s="52">
        <v>149</v>
      </c>
      <c r="S1877" s="52">
        <f>R1877-T1877</f>
        <v>133.03571428571428</v>
      </c>
      <c r="T1877" s="52">
        <f>R1877*U1877/(U1877+100)</f>
        <v>15.964285714285714</v>
      </c>
      <c r="U1877" s="50">
        <v>12</v>
      </c>
      <c r="V1877" s="53">
        <v>0</v>
      </c>
      <c r="W1877" s="147">
        <v>0.262</v>
      </c>
      <c r="X1877" s="148" t="s">
        <v>193</v>
      </c>
      <c r="Y1877" s="54">
        <f>R1877*W1877</f>
        <v>39.038000000000004</v>
      </c>
      <c r="Z1877" s="52">
        <f>S1877*W1877</f>
        <v>34.855357142857144</v>
      </c>
      <c r="AA1877" s="52">
        <f>T1877*W1877</f>
        <v>4.1826428571428576</v>
      </c>
      <c r="AB1877" s="52">
        <f>V1877*W1877</f>
        <v>0</v>
      </c>
      <c r="AC1877" s="53">
        <f>(R1877+V1877)*W1877</f>
        <v>39.038000000000004</v>
      </c>
      <c r="AD1877" s="138">
        <v>149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107</v>
      </c>
      <c r="F1878" s="96" t="s">
        <v>113</v>
      </c>
      <c r="G1878" s="97">
        <v>46132</v>
      </c>
      <c r="H1878" s="98">
        <v>0.7591782407407407</v>
      </c>
      <c r="I1878" s="50">
        <v>166004810</v>
      </c>
      <c r="J1878" s="96" t="s">
        <v>157</v>
      </c>
      <c r="K1878" s="49" t="s">
        <v>2937</v>
      </c>
      <c r="L1878" s="39" t="s">
        <v>2938</v>
      </c>
      <c r="M1878" s="49" t="s">
        <v>282</v>
      </c>
      <c r="N1878" s="39" t="s">
        <v>609</v>
      </c>
      <c r="O1878" s="96" t="s">
        <v>2939</v>
      </c>
      <c r="P1878" s="49" t="s">
        <v>157</v>
      </c>
      <c r="Q1878" s="96" t="s">
        <v>104</v>
      </c>
      <c r="R1878" s="52">
        <v>8.33</v>
      </c>
      <c r="S1878" s="52">
        <f>R1878-T1878</f>
        <v>7.4375</v>
      </c>
      <c r="T1878" s="52">
        <f>R1878*U1878/(U1878+100)</f>
        <v>0.8925000000000001</v>
      </c>
      <c r="U1878" s="50">
        <v>12</v>
      </c>
      <c r="V1878" s="53">
        <v>0</v>
      </c>
      <c r="W1878" s="147">
        <v>1</v>
      </c>
      <c r="X1878" s="148" t="s">
        <v>163</v>
      </c>
      <c r="Y1878" s="54">
        <f>R1878*W1878</f>
        <v>8.33</v>
      </c>
      <c r="Z1878" s="52">
        <f>S1878*W1878</f>
        <v>7.4375</v>
      </c>
      <c r="AA1878" s="52">
        <f>T1878*W1878</f>
        <v>0.8925000000000001</v>
      </c>
      <c r="AB1878" s="52">
        <f>V1878*W1878</f>
        <v>0</v>
      </c>
      <c r="AC1878" s="53">
        <f>(R1878+V1878)*W1878</f>
        <v>8.33</v>
      </c>
      <c r="AD1878" s="138">
        <v>11.9</v>
      </c>
      <c r="AE1878" s="137">
        <v>3.57</v>
      </c>
      <c r="AF1878" s="139">
        <v>3.57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107</v>
      </c>
      <c r="F1879" s="96" t="s">
        <v>113</v>
      </c>
      <c r="G1879" s="97">
        <v>46132</v>
      </c>
      <c r="H1879" s="98">
        <v>0.7591782407407407</v>
      </c>
      <c r="I1879" s="50">
        <v>166004810</v>
      </c>
      <c r="J1879" s="96" t="s">
        <v>157</v>
      </c>
      <c r="K1879" s="49" t="s">
        <v>2940</v>
      </c>
      <c r="L1879" s="39" t="s">
        <v>2941</v>
      </c>
      <c r="M1879" s="49" t="s">
        <v>403</v>
      </c>
      <c r="N1879" s="39" t="s">
        <v>1732</v>
      </c>
      <c r="O1879" s="96" t="s">
        <v>2942</v>
      </c>
      <c r="P1879" s="49" t="s">
        <v>157</v>
      </c>
      <c r="Q1879" s="96" t="s">
        <v>104</v>
      </c>
      <c r="R1879" s="52">
        <v>277.9</v>
      </c>
      <c r="S1879" s="52">
        <f>R1879-T1879</f>
        <v>248.12499999999997</v>
      </c>
      <c r="T1879" s="52">
        <f>R1879*U1879/(U1879+100)</f>
        <v>29.775</v>
      </c>
      <c r="U1879" s="50">
        <v>12</v>
      </c>
      <c r="V1879" s="53">
        <v>0</v>
      </c>
      <c r="W1879" s="147">
        <v>0.162</v>
      </c>
      <c r="X1879" s="148" t="s">
        <v>193</v>
      </c>
      <c r="Y1879" s="54">
        <f>R1879*W1879</f>
        <v>45.0198</v>
      </c>
      <c r="Z1879" s="52">
        <f>S1879*W1879</f>
        <v>40.19625</v>
      </c>
      <c r="AA1879" s="52">
        <f>T1879*W1879</f>
        <v>4.82355</v>
      </c>
      <c r="AB1879" s="52">
        <f>V1879*W1879</f>
        <v>0</v>
      </c>
      <c r="AC1879" s="53">
        <f>(R1879+V1879)*W1879</f>
        <v>45.0198</v>
      </c>
      <c r="AD1879" s="138">
        <v>277.9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107</v>
      </c>
      <c r="F1880" s="96" t="s">
        <v>113</v>
      </c>
      <c r="G1880" s="97">
        <v>46132</v>
      </c>
      <c r="H1880" s="98">
        <v>0.7591782407407407</v>
      </c>
      <c r="I1880" s="50">
        <v>166004810</v>
      </c>
      <c r="J1880" s="96" t="s">
        <v>157</v>
      </c>
      <c r="K1880" s="49" t="s">
        <v>2035</v>
      </c>
      <c r="L1880" s="39" t="s">
        <v>2036</v>
      </c>
      <c r="M1880" s="49" t="s">
        <v>403</v>
      </c>
      <c r="N1880" s="39" t="s">
        <v>1732</v>
      </c>
      <c r="O1880" s="96" t="s">
        <v>2037</v>
      </c>
      <c r="P1880" s="49" t="s">
        <v>157</v>
      </c>
      <c r="Q1880" s="96" t="s">
        <v>104</v>
      </c>
      <c r="R1880" s="52">
        <v>184.9</v>
      </c>
      <c r="S1880" s="52">
        <f>R1880-T1880</f>
        <v>165.08928571428572</v>
      </c>
      <c r="T1880" s="52">
        <f>R1880*U1880/(U1880+100)</f>
        <v>19.810714285714287</v>
      </c>
      <c r="U1880" s="50">
        <v>12</v>
      </c>
      <c r="V1880" s="53">
        <v>0</v>
      </c>
      <c r="W1880" s="147">
        <v>0.182</v>
      </c>
      <c r="X1880" s="148" t="s">
        <v>193</v>
      </c>
      <c r="Y1880" s="54">
        <f>R1880*W1880</f>
        <v>33.6518</v>
      </c>
      <c r="Z1880" s="52">
        <f>S1880*W1880</f>
        <v>30.04625</v>
      </c>
      <c r="AA1880" s="52">
        <f>T1880*W1880</f>
        <v>3.60555</v>
      </c>
      <c r="AB1880" s="52">
        <f>V1880*W1880</f>
        <v>0</v>
      </c>
      <c r="AC1880" s="53">
        <f>(R1880+V1880)*W1880</f>
        <v>33.6518</v>
      </c>
      <c r="AD1880" s="138">
        <v>184.9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107</v>
      </c>
      <c r="F1881" s="96" t="s">
        <v>113</v>
      </c>
      <c r="G1881" s="97">
        <v>46132</v>
      </c>
      <c r="H1881" s="98">
        <v>0.7596296296296297</v>
      </c>
      <c r="I1881" s="50">
        <v>166004811</v>
      </c>
      <c r="J1881" s="96" t="s">
        <v>157</v>
      </c>
      <c r="K1881" s="49" t="s">
        <v>1112</v>
      </c>
      <c r="L1881" s="39" t="s">
        <v>1113</v>
      </c>
      <c r="M1881" s="49" t="s">
        <v>792</v>
      </c>
      <c r="N1881" s="39" t="s">
        <v>793</v>
      </c>
      <c r="O1881" s="96" t="s">
        <v>1114</v>
      </c>
      <c r="P1881" s="49" t="s">
        <v>157</v>
      </c>
      <c r="Q1881" s="96" t="s">
        <v>104</v>
      </c>
      <c r="R1881" s="52">
        <v>16.9</v>
      </c>
      <c r="S1881" s="52">
        <f>R1881-T1881</f>
        <v>15.089285714285714</v>
      </c>
      <c r="T1881" s="52">
        <f>R1881*U1881/(U1881+100)</f>
        <v>1.8107142857142855</v>
      </c>
      <c r="U1881" s="50">
        <v>12</v>
      </c>
      <c r="V1881" s="53">
        <v>0</v>
      </c>
      <c r="W1881" s="147">
        <v>1</v>
      </c>
      <c r="X1881" s="148" t="s">
        <v>163</v>
      </c>
      <c r="Y1881" s="54">
        <f>R1881*W1881</f>
        <v>16.9</v>
      </c>
      <c r="Z1881" s="52">
        <f>S1881*W1881</f>
        <v>15.089285714285714</v>
      </c>
      <c r="AA1881" s="52">
        <f>T1881*W1881</f>
        <v>1.8107142857142855</v>
      </c>
      <c r="AB1881" s="52">
        <f>V1881*W1881</f>
        <v>0</v>
      </c>
      <c r="AC1881" s="53">
        <f>(R1881+V1881)*W1881</f>
        <v>16.9</v>
      </c>
      <c r="AD1881" s="138">
        <v>16.9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107</v>
      </c>
      <c r="F1882" s="96" t="s">
        <v>113</v>
      </c>
      <c r="G1882" s="97">
        <v>46132</v>
      </c>
      <c r="H1882" s="98">
        <v>0.7596296296296297</v>
      </c>
      <c r="I1882" s="50">
        <v>166004811</v>
      </c>
      <c r="J1882" s="96" t="s">
        <v>157</v>
      </c>
      <c r="K1882" s="49" t="s">
        <v>390</v>
      </c>
      <c r="L1882" s="39" t="s">
        <v>391</v>
      </c>
      <c r="M1882" s="49" t="s">
        <v>214</v>
      </c>
      <c r="N1882" s="39" t="s">
        <v>273</v>
      </c>
      <c r="O1882" s="96" t="s">
        <v>1110</v>
      </c>
      <c r="P1882" s="49" t="s">
        <v>157</v>
      </c>
      <c r="Q1882" s="96" t="s">
        <v>104</v>
      </c>
      <c r="R1882" s="52">
        <v>15.9</v>
      </c>
      <c r="S1882" s="52">
        <f>R1882-T1882</f>
        <v>14.196428571428571</v>
      </c>
      <c r="T1882" s="52">
        <f>R1882*U1882/(U1882+100)</f>
        <v>1.7035714285714287</v>
      </c>
      <c r="U1882" s="50">
        <v>12</v>
      </c>
      <c r="V1882" s="53">
        <v>0</v>
      </c>
      <c r="W1882" s="147">
        <v>2</v>
      </c>
      <c r="X1882" s="148" t="s">
        <v>163</v>
      </c>
      <c r="Y1882" s="54">
        <f>R1882*W1882</f>
        <v>31.8</v>
      </c>
      <c r="Z1882" s="52">
        <f>S1882*W1882</f>
        <v>28.392857142857142</v>
      </c>
      <c r="AA1882" s="52">
        <f>T1882*W1882</f>
        <v>3.4071428571428575</v>
      </c>
      <c r="AB1882" s="52">
        <f>V1882*W1882</f>
        <v>0</v>
      </c>
      <c r="AC1882" s="53">
        <f>(R1882+V1882)*W1882</f>
        <v>31.8</v>
      </c>
      <c r="AD1882" s="138">
        <v>15.9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107</v>
      </c>
      <c r="F1883" s="96" t="s">
        <v>113</v>
      </c>
      <c r="G1883" s="97">
        <v>46132</v>
      </c>
      <c r="H1883" s="98">
        <v>0.7599652777777778</v>
      </c>
      <c r="I1883" s="50">
        <v>166004812</v>
      </c>
      <c r="J1883" s="96" t="s">
        <v>157</v>
      </c>
      <c r="K1883" s="49" t="s">
        <v>2525</v>
      </c>
      <c r="L1883" s="39" t="s">
        <v>2526</v>
      </c>
      <c r="M1883" s="49" t="s">
        <v>1095</v>
      </c>
      <c r="N1883" s="39" t="s">
        <v>793</v>
      </c>
      <c r="O1883" s="96" t="s">
        <v>2527</v>
      </c>
      <c r="P1883" s="49" t="s">
        <v>157</v>
      </c>
      <c r="Q1883" s="96" t="s">
        <v>104</v>
      </c>
      <c r="R1883" s="52">
        <v>2.5</v>
      </c>
      <c r="S1883" s="52">
        <f>R1883-T1883</f>
        <v>2.232142857142857</v>
      </c>
      <c r="T1883" s="52">
        <f>R1883*U1883/(U1883+100)</f>
        <v>0.26785714285714285</v>
      </c>
      <c r="U1883" s="50">
        <v>12</v>
      </c>
      <c r="V1883" s="53">
        <v>0</v>
      </c>
      <c r="W1883" s="147">
        <v>4</v>
      </c>
      <c r="X1883" s="148" t="s">
        <v>163</v>
      </c>
      <c r="Y1883" s="54">
        <f>R1883*W1883</f>
        <v>10</v>
      </c>
      <c r="Z1883" s="52">
        <f>S1883*W1883</f>
        <v>8.928571428571429</v>
      </c>
      <c r="AA1883" s="52">
        <f>T1883*W1883</f>
        <v>1.0714285714285714</v>
      </c>
      <c r="AB1883" s="52">
        <f>V1883*W1883</f>
        <v>0</v>
      </c>
      <c r="AC1883" s="53">
        <f>(R1883+V1883)*W1883</f>
        <v>10</v>
      </c>
      <c r="AD1883" s="138">
        <v>2.5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107</v>
      </c>
      <c r="F1884" s="96" t="s">
        <v>113</v>
      </c>
      <c r="G1884" s="97">
        <v>46132</v>
      </c>
      <c r="H1884" s="98">
        <v>0.7599652777777778</v>
      </c>
      <c r="I1884" s="50">
        <v>166004812</v>
      </c>
      <c r="J1884" s="96" t="s">
        <v>157</v>
      </c>
      <c r="K1884" s="49" t="s">
        <v>967</v>
      </c>
      <c r="L1884" s="39" t="s">
        <v>968</v>
      </c>
      <c r="M1884" s="49" t="s">
        <v>444</v>
      </c>
      <c r="N1884" s="39" t="s">
        <v>445</v>
      </c>
      <c r="O1884" s="96" t="s">
        <v>981</v>
      </c>
      <c r="P1884" s="49" t="s">
        <v>157</v>
      </c>
      <c r="Q1884" s="96" t="s">
        <v>104</v>
      </c>
      <c r="R1884" s="52">
        <v>16.9</v>
      </c>
      <c r="S1884" s="52">
        <f>R1884-T1884</f>
        <v>15.089285714285714</v>
      </c>
      <c r="T1884" s="52">
        <f>R1884*U1884/(U1884+100)</f>
        <v>1.8107142857142855</v>
      </c>
      <c r="U1884" s="50">
        <v>12</v>
      </c>
      <c r="V1884" s="53">
        <v>0</v>
      </c>
      <c r="W1884" s="147">
        <v>1</v>
      </c>
      <c r="X1884" s="148" t="s">
        <v>163</v>
      </c>
      <c r="Y1884" s="54">
        <f>R1884*W1884</f>
        <v>16.9</v>
      </c>
      <c r="Z1884" s="52">
        <f>S1884*W1884</f>
        <v>15.089285714285714</v>
      </c>
      <c r="AA1884" s="52">
        <f>T1884*W1884</f>
        <v>1.8107142857142855</v>
      </c>
      <c r="AB1884" s="52">
        <f>V1884*W1884</f>
        <v>0</v>
      </c>
      <c r="AC1884" s="53">
        <f>(R1884+V1884)*W1884</f>
        <v>16.9</v>
      </c>
      <c r="AD1884" s="138">
        <v>16.9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107</v>
      </c>
      <c r="F1885" s="96" t="s">
        <v>113</v>
      </c>
      <c r="G1885" s="97">
        <v>46132</v>
      </c>
      <c r="H1885" s="98">
        <v>0.7599652777777778</v>
      </c>
      <c r="I1885" s="50">
        <v>166004812</v>
      </c>
      <c r="J1885" s="96" t="s">
        <v>157</v>
      </c>
      <c r="K1885" s="49" t="s">
        <v>967</v>
      </c>
      <c r="L1885" s="39" t="s">
        <v>968</v>
      </c>
      <c r="M1885" s="49" t="s">
        <v>444</v>
      </c>
      <c r="N1885" s="39" t="s">
        <v>445</v>
      </c>
      <c r="O1885" s="96" t="s">
        <v>981</v>
      </c>
      <c r="P1885" s="49" t="s">
        <v>157</v>
      </c>
      <c r="Q1885" s="96" t="s">
        <v>104</v>
      </c>
      <c r="R1885" s="52">
        <v>16.9</v>
      </c>
      <c r="S1885" s="52">
        <f>R1885-T1885</f>
        <v>15.089285714285714</v>
      </c>
      <c r="T1885" s="52">
        <f>R1885*U1885/(U1885+100)</f>
        <v>1.8107142857142855</v>
      </c>
      <c r="U1885" s="50">
        <v>12</v>
      </c>
      <c r="V1885" s="53">
        <v>0</v>
      </c>
      <c r="W1885" s="147">
        <v>1</v>
      </c>
      <c r="X1885" s="148" t="s">
        <v>163</v>
      </c>
      <c r="Y1885" s="54">
        <f>R1885*W1885</f>
        <v>16.9</v>
      </c>
      <c r="Z1885" s="52">
        <f>S1885*W1885</f>
        <v>15.089285714285714</v>
      </c>
      <c r="AA1885" s="52">
        <f>T1885*W1885</f>
        <v>1.8107142857142855</v>
      </c>
      <c r="AB1885" s="52">
        <f>V1885*W1885</f>
        <v>0</v>
      </c>
      <c r="AC1885" s="53">
        <f>(R1885+V1885)*W1885</f>
        <v>16.9</v>
      </c>
      <c r="AD1885" s="138">
        <v>16.9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107</v>
      </c>
      <c r="F1886" s="96" t="s">
        <v>113</v>
      </c>
      <c r="G1886" s="97">
        <v>46132</v>
      </c>
      <c r="H1886" s="98">
        <v>0.7605439814814815</v>
      </c>
      <c r="I1886" s="50">
        <v>166004813</v>
      </c>
      <c r="J1886" s="96" t="s">
        <v>157</v>
      </c>
      <c r="K1886" s="49" t="s">
        <v>1826</v>
      </c>
      <c r="L1886" s="39" t="s">
        <v>1827</v>
      </c>
      <c r="M1886" s="49" t="s">
        <v>429</v>
      </c>
      <c r="N1886" s="39" t="s">
        <v>239</v>
      </c>
      <c r="O1886" s="96" t="s">
        <v>1828</v>
      </c>
      <c r="P1886" s="49" t="s">
        <v>157</v>
      </c>
      <c r="Q1886" s="96" t="s">
        <v>104</v>
      </c>
      <c r="R1886" s="52">
        <v>11.4</v>
      </c>
      <c r="S1886" s="52">
        <f>R1886-T1886</f>
        <v>10.178571428571429</v>
      </c>
      <c r="T1886" s="52">
        <f>R1886*U1886/(U1886+100)</f>
        <v>1.2214285714285715</v>
      </c>
      <c r="U1886" s="50">
        <v>12</v>
      </c>
      <c r="V1886" s="53">
        <v>0</v>
      </c>
      <c r="W1886" s="147">
        <v>1</v>
      </c>
      <c r="X1886" s="148" t="s">
        <v>163</v>
      </c>
      <c r="Y1886" s="54">
        <f>R1886*W1886</f>
        <v>11.4</v>
      </c>
      <c r="Z1886" s="52">
        <f>S1886*W1886</f>
        <v>10.178571428571429</v>
      </c>
      <c r="AA1886" s="52">
        <f>T1886*W1886</f>
        <v>1.2214285714285715</v>
      </c>
      <c r="AB1886" s="52">
        <f>V1886*W1886</f>
        <v>0</v>
      </c>
      <c r="AC1886" s="53">
        <f>(R1886+V1886)*W1886</f>
        <v>11.4</v>
      </c>
      <c r="AD1886" s="138">
        <v>11.4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107</v>
      </c>
      <c r="F1887" s="96" t="s">
        <v>113</v>
      </c>
      <c r="G1887" s="97">
        <v>46132</v>
      </c>
      <c r="H1887" s="98">
        <v>0.7605439814814815</v>
      </c>
      <c r="I1887" s="50">
        <v>166004813</v>
      </c>
      <c r="J1887" s="96" t="s">
        <v>157</v>
      </c>
      <c r="K1887" s="49" t="s">
        <v>2943</v>
      </c>
      <c r="L1887" s="39" t="s">
        <v>2944</v>
      </c>
      <c r="M1887" s="49" t="s">
        <v>341</v>
      </c>
      <c r="N1887" s="39" t="s">
        <v>167</v>
      </c>
      <c r="O1887" s="96" t="s">
        <v>2945</v>
      </c>
      <c r="P1887" s="49" t="s">
        <v>157</v>
      </c>
      <c r="Q1887" s="96" t="s">
        <v>104</v>
      </c>
      <c r="R1887" s="52">
        <v>19.9</v>
      </c>
      <c r="S1887" s="52">
        <f>R1887-T1887</f>
        <v>16.446280991735534</v>
      </c>
      <c r="T1887" s="52">
        <f>R1887*U1887/(U1887+100)</f>
        <v>3.4537190082644624</v>
      </c>
      <c r="U1887" s="50">
        <v>21</v>
      </c>
      <c r="V1887" s="53">
        <v>0</v>
      </c>
      <c r="W1887" s="147">
        <v>1</v>
      </c>
      <c r="X1887" s="148" t="s">
        <v>163</v>
      </c>
      <c r="Y1887" s="54">
        <f>R1887*W1887</f>
        <v>19.9</v>
      </c>
      <c r="Z1887" s="52">
        <f>S1887*W1887</f>
        <v>16.446280991735534</v>
      </c>
      <c r="AA1887" s="52">
        <f>T1887*W1887</f>
        <v>3.4537190082644624</v>
      </c>
      <c r="AB1887" s="52">
        <f>V1887*W1887</f>
        <v>0</v>
      </c>
      <c r="AC1887" s="53">
        <f>(R1887+V1887)*W1887</f>
        <v>19.9</v>
      </c>
      <c r="AD1887" s="138">
        <v>19.9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107</v>
      </c>
      <c r="F1888" s="96" t="s">
        <v>113</v>
      </c>
      <c r="G1888" s="97">
        <v>46132</v>
      </c>
      <c r="H1888" s="98">
        <v>0.7605439814814815</v>
      </c>
      <c r="I1888" s="50">
        <v>166004813</v>
      </c>
      <c r="J1888" s="96" t="s">
        <v>157</v>
      </c>
      <c r="K1888" s="49" t="s">
        <v>2946</v>
      </c>
      <c r="L1888" s="39" t="s">
        <v>2947</v>
      </c>
      <c r="M1888" s="49" t="s">
        <v>341</v>
      </c>
      <c r="N1888" s="39" t="s">
        <v>167</v>
      </c>
      <c r="O1888" s="96" t="s">
        <v>2948</v>
      </c>
      <c r="P1888" s="49" t="s">
        <v>157</v>
      </c>
      <c r="Q1888" s="96" t="s">
        <v>104</v>
      </c>
      <c r="R1888" s="52">
        <v>19.9</v>
      </c>
      <c r="S1888" s="52">
        <f>R1888-T1888</f>
        <v>16.446280991735534</v>
      </c>
      <c r="T1888" s="52">
        <f>R1888*U1888/(U1888+100)</f>
        <v>3.4537190082644624</v>
      </c>
      <c r="U1888" s="50">
        <v>21</v>
      </c>
      <c r="V1888" s="53">
        <v>0</v>
      </c>
      <c r="W1888" s="147">
        <v>1</v>
      </c>
      <c r="X1888" s="148" t="s">
        <v>163</v>
      </c>
      <c r="Y1888" s="54">
        <f>R1888*W1888</f>
        <v>19.9</v>
      </c>
      <c r="Z1888" s="52">
        <f>S1888*W1888</f>
        <v>16.446280991735534</v>
      </c>
      <c r="AA1888" s="52">
        <f>T1888*W1888</f>
        <v>3.4537190082644624</v>
      </c>
      <c r="AB1888" s="52">
        <f>V1888*W1888</f>
        <v>0</v>
      </c>
      <c r="AC1888" s="53">
        <f>(R1888+V1888)*W1888</f>
        <v>19.9</v>
      </c>
      <c r="AD1888" s="138">
        <v>19.9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107</v>
      </c>
      <c r="F1889" s="96" t="s">
        <v>113</v>
      </c>
      <c r="G1889" s="97">
        <v>46132</v>
      </c>
      <c r="H1889" s="98">
        <v>0.7605439814814815</v>
      </c>
      <c r="I1889" s="50">
        <v>166004813</v>
      </c>
      <c r="J1889" s="96" t="s">
        <v>157</v>
      </c>
      <c r="K1889" s="49" t="s">
        <v>1430</v>
      </c>
      <c r="L1889" s="39" t="s">
        <v>1431</v>
      </c>
      <c r="M1889" s="49" t="s">
        <v>232</v>
      </c>
      <c r="N1889" s="39" t="s">
        <v>233</v>
      </c>
      <c r="O1889" s="96" t="s">
        <v>1432</v>
      </c>
      <c r="P1889" s="49" t="s">
        <v>235</v>
      </c>
      <c r="Q1889" s="96" t="s">
        <v>236</v>
      </c>
      <c r="R1889" s="52">
        <v>24.9</v>
      </c>
      <c r="S1889" s="52">
        <f>R1889-T1889</f>
        <v>20.578512396694215</v>
      </c>
      <c r="T1889" s="52">
        <f>R1889*U1889/(U1889+100)</f>
        <v>4.321487603305785</v>
      </c>
      <c r="U1889" s="50">
        <v>21</v>
      </c>
      <c r="V1889" s="53">
        <v>0</v>
      </c>
      <c r="W1889" s="147">
        <v>1</v>
      </c>
      <c r="X1889" s="148" t="s">
        <v>163</v>
      </c>
      <c r="Y1889" s="54">
        <f>R1889*W1889</f>
        <v>24.9</v>
      </c>
      <c r="Z1889" s="52">
        <f>S1889*W1889</f>
        <v>20.578512396694215</v>
      </c>
      <c r="AA1889" s="52">
        <f>T1889*W1889</f>
        <v>4.321487603305785</v>
      </c>
      <c r="AB1889" s="52">
        <f>V1889*W1889</f>
        <v>0</v>
      </c>
      <c r="AC1889" s="53">
        <f>(R1889+V1889)*W1889</f>
        <v>24.9</v>
      </c>
      <c r="AD1889" s="138">
        <v>24.9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107</v>
      </c>
      <c r="F1890" s="96" t="s">
        <v>113</v>
      </c>
      <c r="G1890" s="97">
        <v>46132</v>
      </c>
      <c r="H1890" s="98">
        <v>0.7605439814814815</v>
      </c>
      <c r="I1890" s="50">
        <v>166004813</v>
      </c>
      <c r="J1890" s="96" t="s">
        <v>157</v>
      </c>
      <c r="K1890" s="49" t="s">
        <v>1430</v>
      </c>
      <c r="L1890" s="39" t="s">
        <v>1431</v>
      </c>
      <c r="M1890" s="49" t="s">
        <v>232</v>
      </c>
      <c r="N1890" s="39" t="s">
        <v>233</v>
      </c>
      <c r="O1890" s="96" t="s">
        <v>1432</v>
      </c>
      <c r="P1890" s="49" t="s">
        <v>235</v>
      </c>
      <c r="Q1890" s="96" t="s">
        <v>236</v>
      </c>
      <c r="R1890" s="52">
        <v>24.9</v>
      </c>
      <c r="S1890" s="52">
        <f>R1890-T1890</f>
        <v>20.578512396694215</v>
      </c>
      <c r="T1890" s="52">
        <f>R1890*U1890/(U1890+100)</f>
        <v>4.321487603305785</v>
      </c>
      <c r="U1890" s="50">
        <v>21</v>
      </c>
      <c r="V1890" s="53">
        <v>0</v>
      </c>
      <c r="W1890" s="147">
        <v>1</v>
      </c>
      <c r="X1890" s="148" t="s">
        <v>163</v>
      </c>
      <c r="Y1890" s="54">
        <f>R1890*W1890</f>
        <v>24.9</v>
      </c>
      <c r="Z1890" s="52">
        <f>S1890*W1890</f>
        <v>20.578512396694215</v>
      </c>
      <c r="AA1890" s="52">
        <f>T1890*W1890</f>
        <v>4.321487603305785</v>
      </c>
      <c r="AB1890" s="52">
        <f>V1890*W1890</f>
        <v>0</v>
      </c>
      <c r="AC1890" s="53">
        <f>(R1890+V1890)*W1890</f>
        <v>24.9</v>
      </c>
      <c r="AD1890" s="138">
        <v>24.9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107</v>
      </c>
      <c r="F1891" s="96" t="s">
        <v>113</v>
      </c>
      <c r="G1891" s="97">
        <v>46132</v>
      </c>
      <c r="H1891" s="98">
        <v>0.7605439814814815</v>
      </c>
      <c r="I1891" s="50">
        <v>166004813</v>
      </c>
      <c r="J1891" s="96" t="s">
        <v>157</v>
      </c>
      <c r="K1891" s="49" t="s">
        <v>183</v>
      </c>
      <c r="L1891" s="39" t="s">
        <v>184</v>
      </c>
      <c r="M1891" s="49" t="s">
        <v>185</v>
      </c>
      <c r="N1891" s="39" t="s">
        <v>186</v>
      </c>
      <c r="O1891" s="96" t="s">
        <v>988</v>
      </c>
      <c r="P1891" s="49" t="s">
        <v>157</v>
      </c>
      <c r="Q1891" s="96" t="s">
        <v>104</v>
      </c>
      <c r="R1891" s="52">
        <v>1.9</v>
      </c>
      <c r="S1891" s="52">
        <f>R1891-T1891</f>
        <v>1.5702479338842974</v>
      </c>
      <c r="T1891" s="52">
        <f>R1891*U1891/(U1891+100)</f>
        <v>0.32975206611570246</v>
      </c>
      <c r="U1891" s="50">
        <v>21</v>
      </c>
      <c r="V1891" s="53">
        <v>0</v>
      </c>
      <c r="W1891" s="147">
        <v>1</v>
      </c>
      <c r="X1891" s="148" t="s">
        <v>163</v>
      </c>
      <c r="Y1891" s="54">
        <f>R1891*W1891</f>
        <v>1.9</v>
      </c>
      <c r="Z1891" s="52">
        <f>S1891*W1891</f>
        <v>1.5702479338842974</v>
      </c>
      <c r="AA1891" s="52">
        <f>T1891*W1891</f>
        <v>0.32975206611570246</v>
      </c>
      <c r="AB1891" s="52">
        <f>V1891*W1891</f>
        <v>0</v>
      </c>
      <c r="AC1891" s="53">
        <f>(R1891+V1891)*W1891</f>
        <v>1.9</v>
      </c>
      <c r="AD1891" s="138">
        <v>1.9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107</v>
      </c>
      <c r="F1892" s="96" t="s">
        <v>113</v>
      </c>
      <c r="G1892" s="97">
        <v>46132</v>
      </c>
      <c r="H1892" s="98">
        <v>0.7605439814814815</v>
      </c>
      <c r="I1892" s="50">
        <v>166004813</v>
      </c>
      <c r="J1892" s="96" t="s">
        <v>157</v>
      </c>
      <c r="K1892" s="49" t="s">
        <v>183</v>
      </c>
      <c r="L1892" s="39" t="s">
        <v>184</v>
      </c>
      <c r="M1892" s="49" t="s">
        <v>185</v>
      </c>
      <c r="N1892" s="39" t="s">
        <v>186</v>
      </c>
      <c r="O1892" s="96" t="s">
        <v>988</v>
      </c>
      <c r="P1892" s="49" t="s">
        <v>157</v>
      </c>
      <c r="Q1892" s="96" t="s">
        <v>104</v>
      </c>
      <c r="R1892" s="52">
        <v>1.9</v>
      </c>
      <c r="S1892" s="52">
        <f>R1892-T1892</f>
        <v>1.5702479338842974</v>
      </c>
      <c r="T1892" s="52">
        <f>R1892*U1892/(U1892+100)</f>
        <v>0.32975206611570246</v>
      </c>
      <c r="U1892" s="50">
        <v>21</v>
      </c>
      <c r="V1892" s="53">
        <v>0</v>
      </c>
      <c r="W1892" s="147">
        <v>1</v>
      </c>
      <c r="X1892" s="148" t="s">
        <v>163</v>
      </c>
      <c r="Y1892" s="54">
        <f>R1892*W1892</f>
        <v>1.9</v>
      </c>
      <c r="Z1892" s="52">
        <f>S1892*W1892</f>
        <v>1.5702479338842974</v>
      </c>
      <c r="AA1892" s="52">
        <f>T1892*W1892</f>
        <v>0.32975206611570246</v>
      </c>
      <c r="AB1892" s="52">
        <f>V1892*W1892</f>
        <v>0</v>
      </c>
      <c r="AC1892" s="53">
        <f>(R1892+V1892)*W1892</f>
        <v>1.9</v>
      </c>
      <c r="AD1892" s="138">
        <v>1.9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107</v>
      </c>
      <c r="F1893" s="96" t="s">
        <v>113</v>
      </c>
      <c r="G1893" s="97">
        <v>46132</v>
      </c>
      <c r="H1893" s="98">
        <v>0.7605439814814815</v>
      </c>
      <c r="I1893" s="50">
        <v>166004813</v>
      </c>
      <c r="J1893" s="96" t="s">
        <v>157</v>
      </c>
      <c r="K1893" s="49" t="s">
        <v>1133</v>
      </c>
      <c r="L1893" s="39" t="s">
        <v>1134</v>
      </c>
      <c r="M1893" s="49" t="s">
        <v>649</v>
      </c>
      <c r="N1893" s="39" t="s">
        <v>440</v>
      </c>
      <c r="O1893" s="96" t="s">
        <v>1135</v>
      </c>
      <c r="P1893" s="49" t="s">
        <v>157</v>
      </c>
      <c r="Q1893" s="96" t="s">
        <v>104</v>
      </c>
      <c r="R1893" s="52">
        <v>125.93</v>
      </c>
      <c r="S1893" s="52">
        <f>R1893-T1893</f>
        <v>112.4375</v>
      </c>
      <c r="T1893" s="52">
        <f>R1893*U1893/(U1893+100)</f>
        <v>13.492500000000001</v>
      </c>
      <c r="U1893" s="50">
        <v>12</v>
      </c>
      <c r="V1893" s="53">
        <v>0</v>
      </c>
      <c r="W1893" s="147">
        <v>0.198</v>
      </c>
      <c r="X1893" s="148" t="s">
        <v>193</v>
      </c>
      <c r="Y1893" s="54">
        <f>R1893*W1893</f>
        <v>24.934140000000003</v>
      </c>
      <c r="Z1893" s="52">
        <f>S1893*W1893</f>
        <v>22.262625</v>
      </c>
      <c r="AA1893" s="52">
        <f>T1893*W1893</f>
        <v>2.6715150000000003</v>
      </c>
      <c r="AB1893" s="52">
        <f>V1893*W1893</f>
        <v>0</v>
      </c>
      <c r="AC1893" s="53">
        <f>(R1893+V1893)*W1893</f>
        <v>24.934140000000003</v>
      </c>
      <c r="AD1893" s="138">
        <v>179.9</v>
      </c>
      <c r="AE1893" s="137">
        <v>53.97</v>
      </c>
      <c r="AF1893" s="139">
        <v>10.6861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107</v>
      </c>
      <c r="F1894" s="96" t="s">
        <v>113</v>
      </c>
      <c r="G1894" s="97">
        <v>46132</v>
      </c>
      <c r="H1894" s="98">
        <v>0.7605439814814815</v>
      </c>
      <c r="I1894" s="50">
        <v>166004813</v>
      </c>
      <c r="J1894" s="96" t="s">
        <v>157</v>
      </c>
      <c r="K1894" s="49" t="s">
        <v>293</v>
      </c>
      <c r="L1894" s="39" t="s">
        <v>294</v>
      </c>
      <c r="M1894" s="49" t="s">
        <v>295</v>
      </c>
      <c r="N1894" s="39" t="s">
        <v>296</v>
      </c>
      <c r="O1894" s="96" t="s">
        <v>297</v>
      </c>
      <c r="P1894" s="49" t="s">
        <v>157</v>
      </c>
      <c r="Q1894" s="96" t="s">
        <v>104</v>
      </c>
      <c r="R1894" s="52">
        <v>2.9</v>
      </c>
      <c r="S1894" s="52">
        <f>R1894-T1894</f>
        <v>2.5892857142857144</v>
      </c>
      <c r="T1894" s="52">
        <f>R1894*U1894/(U1894+100)</f>
        <v>0.31071428571428567</v>
      </c>
      <c r="U1894" s="50">
        <v>12</v>
      </c>
      <c r="V1894" s="53">
        <v>0</v>
      </c>
      <c r="W1894" s="147">
        <v>8</v>
      </c>
      <c r="X1894" s="148" t="s">
        <v>163</v>
      </c>
      <c r="Y1894" s="54">
        <f>R1894*W1894</f>
        <v>23.2</v>
      </c>
      <c r="Z1894" s="52">
        <f>S1894*W1894</f>
        <v>20.714285714285715</v>
      </c>
      <c r="AA1894" s="52">
        <f>T1894*W1894</f>
        <v>2.4857142857142853</v>
      </c>
      <c r="AB1894" s="52">
        <f>V1894*W1894</f>
        <v>0</v>
      </c>
      <c r="AC1894" s="53">
        <f>(R1894+V1894)*W1894</f>
        <v>23.2</v>
      </c>
      <c r="AD1894" s="138">
        <v>2.9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107</v>
      </c>
      <c r="F1895" s="96" t="s">
        <v>113</v>
      </c>
      <c r="G1895" s="97">
        <v>46132</v>
      </c>
      <c r="H1895" s="98">
        <v>0.7608564814814814</v>
      </c>
      <c r="I1895" s="50">
        <v>166004814</v>
      </c>
      <c r="J1895" s="96" t="s">
        <v>157</v>
      </c>
      <c r="K1895" s="49" t="s">
        <v>423</v>
      </c>
      <c r="L1895" s="39" t="s">
        <v>424</v>
      </c>
      <c r="M1895" s="49" t="s">
        <v>425</v>
      </c>
      <c r="N1895" s="39" t="s">
        <v>172</v>
      </c>
      <c r="O1895" s="96" t="s">
        <v>1202</v>
      </c>
      <c r="P1895" s="49" t="s">
        <v>157</v>
      </c>
      <c r="Q1895" s="96" t="s">
        <v>104</v>
      </c>
      <c r="R1895" s="52">
        <v>15.9</v>
      </c>
      <c r="S1895" s="52">
        <f>R1895-T1895</f>
        <v>14.196428571428571</v>
      </c>
      <c r="T1895" s="52">
        <f>R1895*U1895/(U1895+100)</f>
        <v>1.7035714285714287</v>
      </c>
      <c r="U1895" s="50">
        <v>12</v>
      </c>
      <c r="V1895" s="53">
        <v>0</v>
      </c>
      <c r="W1895" s="147">
        <v>1</v>
      </c>
      <c r="X1895" s="148" t="s">
        <v>163</v>
      </c>
      <c r="Y1895" s="54">
        <f>R1895*W1895</f>
        <v>15.9</v>
      </c>
      <c r="Z1895" s="52">
        <f>S1895*W1895</f>
        <v>14.196428571428571</v>
      </c>
      <c r="AA1895" s="52">
        <f>T1895*W1895</f>
        <v>1.7035714285714287</v>
      </c>
      <c r="AB1895" s="52">
        <f>V1895*W1895</f>
        <v>0</v>
      </c>
      <c r="AC1895" s="53">
        <f>(R1895+V1895)*W1895</f>
        <v>15.9</v>
      </c>
      <c r="AD1895" s="138">
        <v>15.9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107</v>
      </c>
      <c r="F1896" s="96" t="s">
        <v>113</v>
      </c>
      <c r="G1896" s="97">
        <v>46132</v>
      </c>
      <c r="H1896" s="98">
        <v>0.7608564814814814</v>
      </c>
      <c r="I1896" s="50">
        <v>166004814</v>
      </c>
      <c r="J1896" s="96" t="s">
        <v>157</v>
      </c>
      <c r="K1896" s="49" t="s">
        <v>303</v>
      </c>
      <c r="L1896" s="39" t="s">
        <v>304</v>
      </c>
      <c r="M1896" s="49" t="s">
        <v>214</v>
      </c>
      <c r="N1896" s="39" t="s">
        <v>296</v>
      </c>
      <c r="O1896" s="96" t="s">
        <v>305</v>
      </c>
      <c r="P1896" s="49" t="s">
        <v>157</v>
      </c>
      <c r="Q1896" s="96" t="s">
        <v>104</v>
      </c>
      <c r="R1896" s="52">
        <v>11.9</v>
      </c>
      <c r="S1896" s="52">
        <f>R1896-T1896</f>
        <v>10.625</v>
      </c>
      <c r="T1896" s="52">
        <f>R1896*U1896/(U1896+100)</f>
        <v>1.2750000000000001</v>
      </c>
      <c r="U1896" s="50">
        <v>12</v>
      </c>
      <c r="V1896" s="53">
        <v>0</v>
      </c>
      <c r="W1896" s="147">
        <v>1</v>
      </c>
      <c r="X1896" s="148" t="s">
        <v>163</v>
      </c>
      <c r="Y1896" s="54">
        <f>R1896*W1896</f>
        <v>11.9</v>
      </c>
      <c r="Z1896" s="52">
        <f>S1896*W1896</f>
        <v>10.625</v>
      </c>
      <c r="AA1896" s="52">
        <f>T1896*W1896</f>
        <v>1.2750000000000001</v>
      </c>
      <c r="AB1896" s="52">
        <f>V1896*W1896</f>
        <v>0</v>
      </c>
      <c r="AC1896" s="53">
        <f>(R1896+V1896)*W1896</f>
        <v>11.9</v>
      </c>
      <c r="AD1896" s="138">
        <v>11.9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107</v>
      </c>
      <c r="F1897" s="96" t="s">
        <v>113</v>
      </c>
      <c r="G1897" s="97">
        <v>46132</v>
      </c>
      <c r="H1897" s="98">
        <v>0.7638888888888888</v>
      </c>
      <c r="I1897" s="50">
        <v>166004815</v>
      </c>
      <c r="J1897" s="96" t="s">
        <v>157</v>
      </c>
      <c r="K1897" s="49" t="s">
        <v>2949</v>
      </c>
      <c r="L1897" s="39" t="s">
        <v>2950</v>
      </c>
      <c r="M1897" s="49" t="s">
        <v>1252</v>
      </c>
      <c r="N1897" s="39" t="s">
        <v>747</v>
      </c>
      <c r="O1897" s="96" t="s">
        <v>2951</v>
      </c>
      <c r="P1897" s="49" t="s">
        <v>157</v>
      </c>
      <c r="Q1897" s="96" t="s">
        <v>104</v>
      </c>
      <c r="R1897" s="52">
        <v>13.9</v>
      </c>
      <c r="S1897" s="52">
        <f>R1897-T1897</f>
        <v>12.410714285714286</v>
      </c>
      <c r="T1897" s="52">
        <f>R1897*U1897/(U1897+100)</f>
        <v>1.4892857142857143</v>
      </c>
      <c r="U1897" s="50">
        <v>12</v>
      </c>
      <c r="V1897" s="53">
        <v>0</v>
      </c>
      <c r="W1897" s="147">
        <v>1</v>
      </c>
      <c r="X1897" s="148" t="s">
        <v>163</v>
      </c>
      <c r="Y1897" s="54">
        <f>R1897*W1897</f>
        <v>13.9</v>
      </c>
      <c r="Z1897" s="52">
        <f>S1897*W1897</f>
        <v>12.410714285714286</v>
      </c>
      <c r="AA1897" s="52">
        <f>T1897*W1897</f>
        <v>1.4892857142857143</v>
      </c>
      <c r="AB1897" s="52">
        <f>V1897*W1897</f>
        <v>0</v>
      </c>
      <c r="AC1897" s="53">
        <f>(R1897+V1897)*W1897</f>
        <v>13.9</v>
      </c>
      <c r="AD1897" s="138">
        <v>13.9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107</v>
      </c>
      <c r="F1898" s="96" t="s">
        <v>113</v>
      </c>
      <c r="G1898" s="97">
        <v>46132</v>
      </c>
      <c r="H1898" s="98">
        <v>0.7638888888888888</v>
      </c>
      <c r="I1898" s="50">
        <v>166004815</v>
      </c>
      <c r="J1898" s="96" t="s">
        <v>157</v>
      </c>
      <c r="K1898" s="49" t="s">
        <v>2949</v>
      </c>
      <c r="L1898" s="39" t="s">
        <v>2950</v>
      </c>
      <c r="M1898" s="49" t="s">
        <v>1252</v>
      </c>
      <c r="N1898" s="39" t="s">
        <v>747</v>
      </c>
      <c r="O1898" s="96" t="s">
        <v>2951</v>
      </c>
      <c r="P1898" s="49" t="s">
        <v>157</v>
      </c>
      <c r="Q1898" s="96" t="s">
        <v>104</v>
      </c>
      <c r="R1898" s="52">
        <v>13.9</v>
      </c>
      <c r="S1898" s="52">
        <f>R1898-T1898</f>
        <v>12.410714285714286</v>
      </c>
      <c r="T1898" s="52">
        <f>R1898*U1898/(U1898+100)</f>
        <v>1.4892857142857143</v>
      </c>
      <c r="U1898" s="50">
        <v>12</v>
      </c>
      <c r="V1898" s="53">
        <v>0</v>
      </c>
      <c r="W1898" s="147">
        <v>1</v>
      </c>
      <c r="X1898" s="148" t="s">
        <v>163</v>
      </c>
      <c r="Y1898" s="54">
        <f>R1898*W1898</f>
        <v>13.9</v>
      </c>
      <c r="Z1898" s="52">
        <f>S1898*W1898</f>
        <v>12.410714285714286</v>
      </c>
      <c r="AA1898" s="52">
        <f>T1898*W1898</f>
        <v>1.4892857142857143</v>
      </c>
      <c r="AB1898" s="52">
        <f>V1898*W1898</f>
        <v>0</v>
      </c>
      <c r="AC1898" s="53">
        <f>(R1898+V1898)*W1898</f>
        <v>13.9</v>
      </c>
      <c r="AD1898" s="138">
        <v>13.9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107</v>
      </c>
      <c r="F1899" s="96" t="s">
        <v>113</v>
      </c>
      <c r="G1899" s="97">
        <v>46132</v>
      </c>
      <c r="H1899" s="98">
        <v>0.7638888888888888</v>
      </c>
      <c r="I1899" s="50">
        <v>166004815</v>
      </c>
      <c r="J1899" s="96" t="s">
        <v>157</v>
      </c>
      <c r="K1899" s="49" t="s">
        <v>2952</v>
      </c>
      <c r="L1899" s="39" t="s">
        <v>2953</v>
      </c>
      <c r="M1899" s="49" t="s">
        <v>812</v>
      </c>
      <c r="N1899" s="39" t="s">
        <v>513</v>
      </c>
      <c r="O1899" s="96" t="s">
        <v>2954</v>
      </c>
      <c r="P1899" s="49" t="s">
        <v>157</v>
      </c>
      <c r="Q1899" s="96" t="s">
        <v>104</v>
      </c>
      <c r="R1899" s="52">
        <v>13.9</v>
      </c>
      <c r="S1899" s="52">
        <f>R1899-T1899</f>
        <v>12.410714285714286</v>
      </c>
      <c r="T1899" s="52">
        <f>R1899*U1899/(U1899+100)</f>
        <v>1.4892857142857143</v>
      </c>
      <c r="U1899" s="50">
        <v>12</v>
      </c>
      <c r="V1899" s="53">
        <v>0</v>
      </c>
      <c r="W1899" s="147">
        <v>1</v>
      </c>
      <c r="X1899" s="148" t="s">
        <v>163</v>
      </c>
      <c r="Y1899" s="54">
        <f>R1899*W1899</f>
        <v>13.9</v>
      </c>
      <c r="Z1899" s="52">
        <f>S1899*W1899</f>
        <v>12.410714285714286</v>
      </c>
      <c r="AA1899" s="52">
        <f>T1899*W1899</f>
        <v>1.4892857142857143</v>
      </c>
      <c r="AB1899" s="52">
        <f>V1899*W1899</f>
        <v>0</v>
      </c>
      <c r="AC1899" s="53">
        <f>(R1899+V1899)*W1899</f>
        <v>13.9</v>
      </c>
      <c r="AD1899" s="138">
        <v>13.9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107</v>
      </c>
      <c r="F1900" s="96" t="s">
        <v>113</v>
      </c>
      <c r="G1900" s="97">
        <v>46132</v>
      </c>
      <c r="H1900" s="98">
        <v>0.7638888888888888</v>
      </c>
      <c r="I1900" s="50">
        <v>166004815</v>
      </c>
      <c r="J1900" s="96" t="s">
        <v>157</v>
      </c>
      <c r="K1900" s="49" t="s">
        <v>2955</v>
      </c>
      <c r="L1900" s="39" t="s">
        <v>2956</v>
      </c>
      <c r="M1900" s="49" t="s">
        <v>2018</v>
      </c>
      <c r="N1900" s="39" t="s">
        <v>1949</v>
      </c>
      <c r="O1900" s="96" t="s">
        <v>2957</v>
      </c>
      <c r="P1900" s="49" t="s">
        <v>157</v>
      </c>
      <c r="Q1900" s="96" t="s">
        <v>104</v>
      </c>
      <c r="R1900" s="52">
        <v>33.9</v>
      </c>
      <c r="S1900" s="52">
        <f>R1900-T1900</f>
        <v>30.267857142857142</v>
      </c>
      <c r="T1900" s="52">
        <f>R1900*U1900/(U1900+100)</f>
        <v>3.6321428571428567</v>
      </c>
      <c r="U1900" s="50">
        <v>12</v>
      </c>
      <c r="V1900" s="53">
        <v>0</v>
      </c>
      <c r="W1900" s="147">
        <v>1</v>
      </c>
      <c r="X1900" s="148" t="s">
        <v>163</v>
      </c>
      <c r="Y1900" s="54">
        <f>R1900*W1900</f>
        <v>33.9</v>
      </c>
      <c r="Z1900" s="52">
        <f>S1900*W1900</f>
        <v>30.267857142857142</v>
      </c>
      <c r="AA1900" s="52">
        <f>T1900*W1900</f>
        <v>3.6321428571428567</v>
      </c>
      <c r="AB1900" s="52">
        <f>V1900*W1900</f>
        <v>0</v>
      </c>
      <c r="AC1900" s="53">
        <f>(R1900+V1900)*W1900</f>
        <v>33.9</v>
      </c>
      <c r="AD1900" s="138">
        <v>33.9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107</v>
      </c>
      <c r="F1901" s="96" t="s">
        <v>113</v>
      </c>
      <c r="G1901" s="97">
        <v>46132</v>
      </c>
      <c r="H1901" s="98">
        <v>0.7638888888888888</v>
      </c>
      <c r="I1901" s="50">
        <v>166004815</v>
      </c>
      <c r="J1901" s="96" t="s">
        <v>157</v>
      </c>
      <c r="K1901" s="49" t="s">
        <v>2958</v>
      </c>
      <c r="L1901" s="39" t="s">
        <v>2959</v>
      </c>
      <c r="M1901" s="49" t="s">
        <v>2137</v>
      </c>
      <c r="N1901" s="39" t="s">
        <v>2093</v>
      </c>
      <c r="O1901" s="96" t="s">
        <v>2960</v>
      </c>
      <c r="P1901" s="49" t="s">
        <v>157</v>
      </c>
      <c r="Q1901" s="96" t="s">
        <v>104</v>
      </c>
      <c r="R1901" s="52">
        <v>23.9</v>
      </c>
      <c r="S1901" s="52">
        <f>R1901-T1901</f>
        <v>21.33928571428571</v>
      </c>
      <c r="T1901" s="52">
        <f>R1901*U1901/(U1901+100)</f>
        <v>2.5607142857142855</v>
      </c>
      <c r="U1901" s="50">
        <v>12</v>
      </c>
      <c r="V1901" s="53">
        <v>0</v>
      </c>
      <c r="W1901" s="147">
        <v>1</v>
      </c>
      <c r="X1901" s="148" t="s">
        <v>163</v>
      </c>
      <c r="Y1901" s="54">
        <f>R1901*W1901</f>
        <v>23.9</v>
      </c>
      <c r="Z1901" s="52">
        <f>S1901*W1901</f>
        <v>21.33928571428571</v>
      </c>
      <c r="AA1901" s="52">
        <f>T1901*W1901</f>
        <v>2.5607142857142855</v>
      </c>
      <c r="AB1901" s="52">
        <f>V1901*W1901</f>
        <v>0</v>
      </c>
      <c r="AC1901" s="53">
        <f>(R1901+V1901)*W1901</f>
        <v>23.9</v>
      </c>
      <c r="AD1901" s="138">
        <v>23.9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107</v>
      </c>
      <c r="F1902" s="96" t="s">
        <v>113</v>
      </c>
      <c r="G1902" s="97">
        <v>46132</v>
      </c>
      <c r="H1902" s="98">
        <v>0.7638888888888888</v>
      </c>
      <c r="I1902" s="50">
        <v>166004815</v>
      </c>
      <c r="J1902" s="96" t="s">
        <v>157</v>
      </c>
      <c r="K1902" s="49" t="s">
        <v>1426</v>
      </c>
      <c r="L1902" s="39" t="s">
        <v>1427</v>
      </c>
      <c r="M1902" s="49" t="s">
        <v>1428</v>
      </c>
      <c r="N1902" s="39" t="s">
        <v>609</v>
      </c>
      <c r="O1902" s="96" t="s">
        <v>1429</v>
      </c>
      <c r="P1902" s="49" t="s">
        <v>157</v>
      </c>
      <c r="Q1902" s="96" t="s">
        <v>104</v>
      </c>
      <c r="R1902" s="52">
        <v>22.9</v>
      </c>
      <c r="S1902" s="52">
        <f>R1902-T1902</f>
        <v>20.44642857142857</v>
      </c>
      <c r="T1902" s="52">
        <f>R1902*U1902/(U1902+100)</f>
        <v>2.4535714285714283</v>
      </c>
      <c r="U1902" s="50">
        <v>12</v>
      </c>
      <c r="V1902" s="53">
        <v>0</v>
      </c>
      <c r="W1902" s="147">
        <v>1</v>
      </c>
      <c r="X1902" s="148" t="s">
        <v>163</v>
      </c>
      <c r="Y1902" s="54">
        <f>R1902*W1902</f>
        <v>22.9</v>
      </c>
      <c r="Z1902" s="52">
        <f>S1902*W1902</f>
        <v>20.44642857142857</v>
      </c>
      <c r="AA1902" s="52">
        <f>T1902*W1902</f>
        <v>2.4535714285714283</v>
      </c>
      <c r="AB1902" s="52">
        <f>V1902*W1902</f>
        <v>0</v>
      </c>
      <c r="AC1902" s="53">
        <f>(R1902+V1902)*W1902</f>
        <v>22.9</v>
      </c>
      <c r="AD1902" s="138">
        <v>22.9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107</v>
      </c>
      <c r="F1903" s="96" t="s">
        <v>113</v>
      </c>
      <c r="G1903" s="97">
        <v>46132</v>
      </c>
      <c r="H1903" s="98">
        <v>0.7638888888888888</v>
      </c>
      <c r="I1903" s="50">
        <v>166004815</v>
      </c>
      <c r="J1903" s="96" t="s">
        <v>157</v>
      </c>
      <c r="K1903" s="49" t="s">
        <v>329</v>
      </c>
      <c r="L1903" s="39" t="s">
        <v>330</v>
      </c>
      <c r="M1903" s="49" t="s">
        <v>185</v>
      </c>
      <c r="N1903" s="39" t="s">
        <v>331</v>
      </c>
      <c r="O1903" s="96" t="s">
        <v>1640</v>
      </c>
      <c r="P1903" s="49" t="s">
        <v>157</v>
      </c>
      <c r="Q1903" s="96" t="s">
        <v>104</v>
      </c>
      <c r="R1903" s="52">
        <v>34.93</v>
      </c>
      <c r="S1903" s="52">
        <f>R1903-T1903</f>
        <v>31.1875</v>
      </c>
      <c r="T1903" s="52">
        <f>R1903*U1903/(U1903+100)</f>
        <v>3.7424999999999997</v>
      </c>
      <c r="U1903" s="50">
        <v>12</v>
      </c>
      <c r="V1903" s="53">
        <v>0</v>
      </c>
      <c r="W1903" s="147">
        <v>1</v>
      </c>
      <c r="X1903" s="148" t="s">
        <v>163</v>
      </c>
      <c r="Y1903" s="54">
        <f>R1903*W1903</f>
        <v>34.93</v>
      </c>
      <c r="Z1903" s="52">
        <f>S1903*W1903</f>
        <v>31.1875</v>
      </c>
      <c r="AA1903" s="52">
        <f>T1903*W1903</f>
        <v>3.7424999999999997</v>
      </c>
      <c r="AB1903" s="52">
        <f>V1903*W1903</f>
        <v>0</v>
      </c>
      <c r="AC1903" s="53">
        <f>(R1903+V1903)*W1903</f>
        <v>34.93</v>
      </c>
      <c r="AD1903" s="138">
        <v>49.9</v>
      </c>
      <c r="AE1903" s="137">
        <v>14.97</v>
      </c>
      <c r="AF1903" s="139">
        <v>14.97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107</v>
      </c>
      <c r="F1904" s="96" t="s">
        <v>113</v>
      </c>
      <c r="G1904" s="97">
        <v>46132</v>
      </c>
      <c r="H1904" s="98">
        <v>0.7638888888888888</v>
      </c>
      <c r="I1904" s="50">
        <v>166004815</v>
      </c>
      <c r="J1904" s="96" t="s">
        <v>157</v>
      </c>
      <c r="K1904" s="49" t="s">
        <v>329</v>
      </c>
      <c r="L1904" s="39" t="s">
        <v>330</v>
      </c>
      <c r="M1904" s="49" t="s">
        <v>185</v>
      </c>
      <c r="N1904" s="39" t="s">
        <v>331</v>
      </c>
      <c r="O1904" s="96" t="s">
        <v>1640</v>
      </c>
      <c r="P1904" s="49" t="s">
        <v>157</v>
      </c>
      <c r="Q1904" s="96" t="s">
        <v>104</v>
      </c>
      <c r="R1904" s="52">
        <v>34.93</v>
      </c>
      <c r="S1904" s="52">
        <f>R1904-T1904</f>
        <v>31.1875</v>
      </c>
      <c r="T1904" s="52">
        <f>R1904*U1904/(U1904+100)</f>
        <v>3.7424999999999997</v>
      </c>
      <c r="U1904" s="50">
        <v>12</v>
      </c>
      <c r="V1904" s="53">
        <v>0</v>
      </c>
      <c r="W1904" s="147">
        <v>1</v>
      </c>
      <c r="X1904" s="148" t="s">
        <v>163</v>
      </c>
      <c r="Y1904" s="54">
        <f>R1904*W1904</f>
        <v>34.93</v>
      </c>
      <c r="Z1904" s="52">
        <f>S1904*W1904</f>
        <v>31.1875</v>
      </c>
      <c r="AA1904" s="52">
        <f>T1904*W1904</f>
        <v>3.7424999999999997</v>
      </c>
      <c r="AB1904" s="52">
        <f>V1904*W1904</f>
        <v>0</v>
      </c>
      <c r="AC1904" s="53">
        <f>(R1904+V1904)*W1904</f>
        <v>34.93</v>
      </c>
      <c r="AD1904" s="138">
        <v>49.9</v>
      </c>
      <c r="AE1904" s="137">
        <v>14.97</v>
      </c>
      <c r="AF1904" s="139">
        <v>14.97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107</v>
      </c>
      <c r="F1905" s="96" t="s">
        <v>113</v>
      </c>
      <c r="G1905" s="97">
        <v>46132</v>
      </c>
      <c r="H1905" s="98">
        <v>0.7638888888888888</v>
      </c>
      <c r="I1905" s="50">
        <v>166004815</v>
      </c>
      <c r="J1905" s="96" t="s">
        <v>157</v>
      </c>
      <c r="K1905" s="49" t="s">
        <v>2563</v>
      </c>
      <c r="L1905" s="39" t="s">
        <v>2564</v>
      </c>
      <c r="M1905" s="49" t="s">
        <v>2565</v>
      </c>
      <c r="N1905" s="39" t="s">
        <v>1785</v>
      </c>
      <c r="O1905" s="96" t="s">
        <v>2566</v>
      </c>
      <c r="P1905" s="49" t="s">
        <v>157</v>
      </c>
      <c r="Q1905" s="96" t="s">
        <v>104</v>
      </c>
      <c r="R1905" s="52">
        <v>10.4</v>
      </c>
      <c r="S1905" s="52">
        <f>R1905-T1905</f>
        <v>9.285714285714286</v>
      </c>
      <c r="T1905" s="52">
        <f>R1905*U1905/(U1905+100)</f>
        <v>1.1142857142857143</v>
      </c>
      <c r="U1905" s="50">
        <v>12</v>
      </c>
      <c r="V1905" s="53">
        <v>0</v>
      </c>
      <c r="W1905" s="147">
        <v>1</v>
      </c>
      <c r="X1905" s="148" t="s">
        <v>163</v>
      </c>
      <c r="Y1905" s="54">
        <f>R1905*W1905</f>
        <v>10.4</v>
      </c>
      <c r="Z1905" s="52">
        <f>S1905*W1905</f>
        <v>9.285714285714286</v>
      </c>
      <c r="AA1905" s="52">
        <f>T1905*W1905</f>
        <v>1.1142857142857143</v>
      </c>
      <c r="AB1905" s="52">
        <f>V1905*W1905</f>
        <v>0</v>
      </c>
      <c r="AC1905" s="53">
        <f>(R1905+V1905)*W1905</f>
        <v>10.4</v>
      </c>
      <c r="AD1905" s="138">
        <v>10.4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107</v>
      </c>
      <c r="F1906" s="96" t="s">
        <v>113</v>
      </c>
      <c r="G1906" s="97">
        <v>46132</v>
      </c>
      <c r="H1906" s="98">
        <v>0.7638888888888888</v>
      </c>
      <c r="I1906" s="50">
        <v>166004815</v>
      </c>
      <c r="J1906" s="96" t="s">
        <v>157</v>
      </c>
      <c r="K1906" s="49" t="s">
        <v>2563</v>
      </c>
      <c r="L1906" s="39" t="s">
        <v>2564</v>
      </c>
      <c r="M1906" s="49" t="s">
        <v>2565</v>
      </c>
      <c r="N1906" s="39" t="s">
        <v>1785</v>
      </c>
      <c r="O1906" s="96" t="s">
        <v>2566</v>
      </c>
      <c r="P1906" s="49" t="s">
        <v>157</v>
      </c>
      <c r="Q1906" s="96" t="s">
        <v>104</v>
      </c>
      <c r="R1906" s="52">
        <v>10.4</v>
      </c>
      <c r="S1906" s="52">
        <f>R1906-T1906</f>
        <v>9.285714285714286</v>
      </c>
      <c r="T1906" s="52">
        <f>R1906*U1906/(U1906+100)</f>
        <v>1.1142857142857143</v>
      </c>
      <c r="U1906" s="50">
        <v>12</v>
      </c>
      <c r="V1906" s="53">
        <v>0</v>
      </c>
      <c r="W1906" s="147">
        <v>1</v>
      </c>
      <c r="X1906" s="148" t="s">
        <v>163</v>
      </c>
      <c r="Y1906" s="54">
        <f>R1906*W1906</f>
        <v>10.4</v>
      </c>
      <c r="Z1906" s="52">
        <f>S1906*W1906</f>
        <v>9.285714285714286</v>
      </c>
      <c r="AA1906" s="52">
        <f>T1906*W1906</f>
        <v>1.1142857142857143</v>
      </c>
      <c r="AB1906" s="52">
        <f>V1906*W1906</f>
        <v>0</v>
      </c>
      <c r="AC1906" s="53">
        <f>(R1906+V1906)*W1906</f>
        <v>10.4</v>
      </c>
      <c r="AD1906" s="138">
        <v>10.4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107</v>
      </c>
      <c r="F1907" s="96" t="s">
        <v>113</v>
      </c>
      <c r="G1907" s="97">
        <v>46132</v>
      </c>
      <c r="H1907" s="98">
        <v>0.7638888888888888</v>
      </c>
      <c r="I1907" s="50">
        <v>166004815</v>
      </c>
      <c r="J1907" s="96" t="s">
        <v>157</v>
      </c>
      <c r="K1907" s="49" t="s">
        <v>2961</v>
      </c>
      <c r="L1907" s="39" t="s">
        <v>2962</v>
      </c>
      <c r="M1907" s="49" t="s">
        <v>214</v>
      </c>
      <c r="N1907" s="39" t="s">
        <v>1595</v>
      </c>
      <c r="O1907" s="96" t="s">
        <v>2963</v>
      </c>
      <c r="P1907" s="49" t="s">
        <v>157</v>
      </c>
      <c r="Q1907" s="96" t="s">
        <v>104</v>
      </c>
      <c r="R1907" s="52">
        <v>29.9</v>
      </c>
      <c r="S1907" s="52">
        <f>R1907-T1907</f>
        <v>26.69642857142857</v>
      </c>
      <c r="T1907" s="52">
        <f>R1907*U1907/(U1907+100)</f>
        <v>3.2035714285714283</v>
      </c>
      <c r="U1907" s="50">
        <v>12</v>
      </c>
      <c r="V1907" s="53">
        <v>0</v>
      </c>
      <c r="W1907" s="147">
        <v>1</v>
      </c>
      <c r="X1907" s="148" t="s">
        <v>163</v>
      </c>
      <c r="Y1907" s="54">
        <f>R1907*W1907</f>
        <v>29.9</v>
      </c>
      <c r="Z1907" s="52">
        <f>S1907*W1907</f>
        <v>26.69642857142857</v>
      </c>
      <c r="AA1907" s="52">
        <f>T1907*W1907</f>
        <v>3.2035714285714283</v>
      </c>
      <c r="AB1907" s="52">
        <f>V1907*W1907</f>
        <v>0</v>
      </c>
      <c r="AC1907" s="53">
        <f>(R1907+V1907)*W1907</f>
        <v>29.9</v>
      </c>
      <c r="AD1907" s="138">
        <v>29.9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107</v>
      </c>
      <c r="F1908" s="96" t="s">
        <v>113</v>
      </c>
      <c r="G1908" s="97">
        <v>46132</v>
      </c>
      <c r="H1908" s="98">
        <v>0.7638888888888888</v>
      </c>
      <c r="I1908" s="50">
        <v>166004815</v>
      </c>
      <c r="J1908" s="96" t="s">
        <v>157</v>
      </c>
      <c r="K1908" s="49" t="s">
        <v>2964</v>
      </c>
      <c r="L1908" s="39" t="s">
        <v>2965</v>
      </c>
      <c r="M1908" s="49" t="s">
        <v>214</v>
      </c>
      <c r="N1908" s="39" t="s">
        <v>1595</v>
      </c>
      <c r="O1908" s="96" t="s">
        <v>2966</v>
      </c>
      <c r="P1908" s="49" t="s">
        <v>157</v>
      </c>
      <c r="Q1908" s="96" t="s">
        <v>104</v>
      </c>
      <c r="R1908" s="52">
        <v>32.9</v>
      </c>
      <c r="S1908" s="52">
        <f>R1908-T1908</f>
        <v>29.375</v>
      </c>
      <c r="T1908" s="52">
        <f>R1908*U1908/(U1908+100)</f>
        <v>3.5249999999999995</v>
      </c>
      <c r="U1908" s="50">
        <v>12</v>
      </c>
      <c r="V1908" s="53">
        <v>0</v>
      </c>
      <c r="W1908" s="147">
        <v>1</v>
      </c>
      <c r="X1908" s="148" t="s">
        <v>163</v>
      </c>
      <c r="Y1908" s="54">
        <f>R1908*W1908</f>
        <v>32.9</v>
      </c>
      <c r="Z1908" s="52">
        <f>S1908*W1908</f>
        <v>29.375</v>
      </c>
      <c r="AA1908" s="52">
        <f>T1908*W1908</f>
        <v>3.5249999999999995</v>
      </c>
      <c r="AB1908" s="52">
        <f>V1908*W1908</f>
        <v>0</v>
      </c>
      <c r="AC1908" s="53">
        <f>(R1908+V1908)*W1908</f>
        <v>32.9</v>
      </c>
      <c r="AD1908" s="138">
        <v>32.9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107</v>
      </c>
      <c r="F1909" s="96" t="s">
        <v>113</v>
      </c>
      <c r="G1909" s="97">
        <v>46132</v>
      </c>
      <c r="H1909" s="98">
        <v>0.7638888888888888</v>
      </c>
      <c r="I1909" s="50">
        <v>166004815</v>
      </c>
      <c r="J1909" s="96" t="s">
        <v>157</v>
      </c>
      <c r="K1909" s="49" t="s">
        <v>2967</v>
      </c>
      <c r="L1909" s="39" t="s">
        <v>2968</v>
      </c>
      <c r="M1909" s="49" t="s">
        <v>1193</v>
      </c>
      <c r="N1909" s="39" t="s">
        <v>2969</v>
      </c>
      <c r="O1909" s="96" t="s">
        <v>2970</v>
      </c>
      <c r="P1909" s="49" t="s">
        <v>157</v>
      </c>
      <c r="Q1909" s="96" t="s">
        <v>104</v>
      </c>
      <c r="R1909" s="52">
        <v>59.9</v>
      </c>
      <c r="S1909" s="52">
        <f>R1909-T1909</f>
        <v>53.482142857142854</v>
      </c>
      <c r="T1909" s="52">
        <f>R1909*U1909/(U1909+100)</f>
        <v>6.417857142857143</v>
      </c>
      <c r="U1909" s="50">
        <v>12</v>
      </c>
      <c r="V1909" s="53">
        <v>0</v>
      </c>
      <c r="W1909" s="147">
        <v>1</v>
      </c>
      <c r="X1909" s="148" t="s">
        <v>163</v>
      </c>
      <c r="Y1909" s="54">
        <f>R1909*W1909</f>
        <v>59.9</v>
      </c>
      <c r="Z1909" s="52">
        <f>S1909*W1909</f>
        <v>53.482142857142854</v>
      </c>
      <c r="AA1909" s="52">
        <f>T1909*W1909</f>
        <v>6.417857142857143</v>
      </c>
      <c r="AB1909" s="52">
        <f>V1909*W1909</f>
        <v>0</v>
      </c>
      <c r="AC1909" s="53">
        <f>(R1909+V1909)*W1909</f>
        <v>59.9</v>
      </c>
      <c r="AD1909" s="138">
        <v>59.9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107</v>
      </c>
      <c r="F1910" s="96" t="s">
        <v>113</v>
      </c>
      <c r="G1910" s="97">
        <v>46132</v>
      </c>
      <c r="H1910" s="98">
        <v>0.7638888888888888</v>
      </c>
      <c r="I1910" s="50">
        <v>166004815</v>
      </c>
      <c r="J1910" s="96" t="s">
        <v>157</v>
      </c>
      <c r="K1910" s="49" t="s">
        <v>183</v>
      </c>
      <c r="L1910" s="39" t="s">
        <v>184</v>
      </c>
      <c r="M1910" s="49" t="s">
        <v>185</v>
      </c>
      <c r="N1910" s="39" t="s">
        <v>186</v>
      </c>
      <c r="O1910" s="96" t="s">
        <v>988</v>
      </c>
      <c r="P1910" s="49" t="s">
        <v>157</v>
      </c>
      <c r="Q1910" s="96" t="s">
        <v>104</v>
      </c>
      <c r="R1910" s="52">
        <v>1.9</v>
      </c>
      <c r="S1910" s="52">
        <f>R1910-T1910</f>
        <v>1.5702479338842974</v>
      </c>
      <c r="T1910" s="52">
        <f>R1910*U1910/(U1910+100)</f>
        <v>0.32975206611570246</v>
      </c>
      <c r="U1910" s="50">
        <v>21</v>
      </c>
      <c r="V1910" s="53">
        <v>0</v>
      </c>
      <c r="W1910" s="147">
        <v>1</v>
      </c>
      <c r="X1910" s="148" t="s">
        <v>163</v>
      </c>
      <c r="Y1910" s="54">
        <f>R1910*W1910</f>
        <v>1.9</v>
      </c>
      <c r="Z1910" s="52">
        <f>S1910*W1910</f>
        <v>1.5702479338842974</v>
      </c>
      <c r="AA1910" s="52">
        <f>T1910*W1910</f>
        <v>0.32975206611570246</v>
      </c>
      <c r="AB1910" s="52">
        <f>V1910*W1910</f>
        <v>0</v>
      </c>
      <c r="AC1910" s="53">
        <f>(R1910+V1910)*W1910</f>
        <v>1.9</v>
      </c>
      <c r="AD1910" s="138">
        <v>1.9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107</v>
      </c>
      <c r="F1911" s="96" t="s">
        <v>113</v>
      </c>
      <c r="G1911" s="97">
        <v>46132</v>
      </c>
      <c r="H1911" s="98">
        <v>0.7638888888888888</v>
      </c>
      <c r="I1911" s="50">
        <v>166004815</v>
      </c>
      <c r="J1911" s="96" t="s">
        <v>157</v>
      </c>
      <c r="K1911" s="49" t="s">
        <v>183</v>
      </c>
      <c r="L1911" s="39" t="s">
        <v>184</v>
      </c>
      <c r="M1911" s="49" t="s">
        <v>185</v>
      </c>
      <c r="N1911" s="39" t="s">
        <v>186</v>
      </c>
      <c r="O1911" s="96" t="s">
        <v>988</v>
      </c>
      <c r="P1911" s="49" t="s">
        <v>157</v>
      </c>
      <c r="Q1911" s="96" t="s">
        <v>104</v>
      </c>
      <c r="R1911" s="52">
        <v>1.9</v>
      </c>
      <c r="S1911" s="52">
        <f>R1911-T1911</f>
        <v>1.5702479338842974</v>
      </c>
      <c r="T1911" s="52">
        <f>R1911*U1911/(U1911+100)</f>
        <v>0.32975206611570246</v>
      </c>
      <c r="U1911" s="50">
        <v>21</v>
      </c>
      <c r="V1911" s="53">
        <v>0</v>
      </c>
      <c r="W1911" s="147">
        <v>1</v>
      </c>
      <c r="X1911" s="148" t="s">
        <v>163</v>
      </c>
      <c r="Y1911" s="54">
        <f>R1911*W1911</f>
        <v>1.9</v>
      </c>
      <c r="Z1911" s="52">
        <f>S1911*W1911</f>
        <v>1.5702479338842974</v>
      </c>
      <c r="AA1911" s="52">
        <f>T1911*W1911</f>
        <v>0.32975206611570246</v>
      </c>
      <c r="AB1911" s="52">
        <f>V1911*W1911</f>
        <v>0</v>
      </c>
      <c r="AC1911" s="53">
        <f>(R1911+V1911)*W1911</f>
        <v>1.9</v>
      </c>
      <c r="AD1911" s="138">
        <v>1.9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107</v>
      </c>
      <c r="F1912" s="96" t="s">
        <v>113</v>
      </c>
      <c r="G1912" s="97">
        <v>46132</v>
      </c>
      <c r="H1912" s="98">
        <v>0.7638888888888888</v>
      </c>
      <c r="I1912" s="50">
        <v>166004815</v>
      </c>
      <c r="J1912" s="96" t="s">
        <v>157</v>
      </c>
      <c r="K1912" s="49" t="s">
        <v>655</v>
      </c>
      <c r="L1912" s="39" t="s">
        <v>656</v>
      </c>
      <c r="M1912" s="49" t="s">
        <v>190</v>
      </c>
      <c r="N1912" s="39" t="s">
        <v>532</v>
      </c>
      <c r="O1912" s="96" t="s">
        <v>657</v>
      </c>
      <c r="P1912" s="49" t="s">
        <v>157</v>
      </c>
      <c r="Q1912" s="96" t="s">
        <v>104</v>
      </c>
      <c r="R1912" s="52">
        <v>17.95</v>
      </c>
      <c r="S1912" s="52">
        <f>R1912-T1912</f>
        <v>16.026785714285715</v>
      </c>
      <c r="T1912" s="52">
        <f>R1912*U1912/(U1912+100)</f>
        <v>1.9232142857142855</v>
      </c>
      <c r="U1912" s="50">
        <v>12</v>
      </c>
      <c r="V1912" s="53">
        <v>0</v>
      </c>
      <c r="W1912" s="147">
        <v>1.006</v>
      </c>
      <c r="X1912" s="148" t="s">
        <v>193</v>
      </c>
      <c r="Y1912" s="54">
        <f>R1912*W1912</f>
        <v>18.0577</v>
      </c>
      <c r="Z1912" s="52">
        <f>S1912*W1912</f>
        <v>16.12294642857143</v>
      </c>
      <c r="AA1912" s="52">
        <f>T1912*W1912</f>
        <v>1.9347535714285713</v>
      </c>
      <c r="AB1912" s="52">
        <f>V1912*W1912</f>
        <v>0</v>
      </c>
      <c r="AC1912" s="53">
        <f>(R1912+V1912)*W1912</f>
        <v>18.0577</v>
      </c>
      <c r="AD1912" s="138">
        <v>17.95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107</v>
      </c>
      <c r="F1913" s="96" t="s">
        <v>113</v>
      </c>
      <c r="G1913" s="97">
        <v>46132</v>
      </c>
      <c r="H1913" s="98">
        <v>0.7638888888888888</v>
      </c>
      <c r="I1913" s="50">
        <v>166004815</v>
      </c>
      <c r="J1913" s="96" t="s">
        <v>157</v>
      </c>
      <c r="K1913" s="49" t="s">
        <v>2852</v>
      </c>
      <c r="L1913" s="39" t="s">
        <v>104</v>
      </c>
      <c r="M1913" s="49" t="s">
        <v>190</v>
      </c>
      <c r="N1913" s="39" t="s">
        <v>462</v>
      </c>
      <c r="O1913" s="96" t="s">
        <v>2853</v>
      </c>
      <c r="P1913" s="49" t="s">
        <v>157</v>
      </c>
      <c r="Q1913" s="96" t="s">
        <v>104</v>
      </c>
      <c r="R1913" s="52">
        <v>16.9</v>
      </c>
      <c r="S1913" s="52">
        <f>R1913-T1913</f>
        <v>15.089285714285714</v>
      </c>
      <c r="T1913" s="52">
        <f>R1913*U1913/(U1913+100)</f>
        <v>1.8107142857142855</v>
      </c>
      <c r="U1913" s="50">
        <v>12</v>
      </c>
      <c r="V1913" s="53">
        <v>0</v>
      </c>
      <c r="W1913" s="147">
        <v>1</v>
      </c>
      <c r="X1913" s="148" t="s">
        <v>163</v>
      </c>
      <c r="Y1913" s="54">
        <f>R1913*W1913</f>
        <v>16.9</v>
      </c>
      <c r="Z1913" s="52">
        <f>S1913*W1913</f>
        <v>15.089285714285714</v>
      </c>
      <c r="AA1913" s="52">
        <f>T1913*W1913</f>
        <v>1.8107142857142855</v>
      </c>
      <c r="AB1913" s="52">
        <f>V1913*W1913</f>
        <v>0</v>
      </c>
      <c r="AC1913" s="53">
        <f>(R1913+V1913)*W1913</f>
        <v>16.9</v>
      </c>
      <c r="AD1913" s="138">
        <v>16.9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107</v>
      </c>
      <c r="F1914" s="96" t="s">
        <v>113</v>
      </c>
      <c r="G1914" s="97">
        <v>46132</v>
      </c>
      <c r="H1914" s="98">
        <v>0.7638888888888888</v>
      </c>
      <c r="I1914" s="50">
        <v>166004815</v>
      </c>
      <c r="J1914" s="96" t="s">
        <v>157</v>
      </c>
      <c r="K1914" s="49" t="s">
        <v>459</v>
      </c>
      <c r="L1914" s="39" t="s">
        <v>460</v>
      </c>
      <c r="M1914" s="49" t="s">
        <v>461</v>
      </c>
      <c r="N1914" s="39" t="s">
        <v>462</v>
      </c>
      <c r="O1914" s="96" t="s">
        <v>2971</v>
      </c>
      <c r="P1914" s="49" t="s">
        <v>157</v>
      </c>
      <c r="Q1914" s="96" t="s">
        <v>104</v>
      </c>
      <c r="R1914" s="52">
        <v>49.9</v>
      </c>
      <c r="S1914" s="52">
        <f>R1914-T1914</f>
        <v>44.55357142857143</v>
      </c>
      <c r="T1914" s="52">
        <f>R1914*U1914/(U1914+100)</f>
        <v>5.346428571428571</v>
      </c>
      <c r="U1914" s="50">
        <v>12</v>
      </c>
      <c r="V1914" s="53">
        <v>0</v>
      </c>
      <c r="W1914" s="147">
        <v>1</v>
      </c>
      <c r="X1914" s="148" t="s">
        <v>163</v>
      </c>
      <c r="Y1914" s="54">
        <f>R1914*W1914</f>
        <v>49.9</v>
      </c>
      <c r="Z1914" s="52">
        <f>S1914*W1914</f>
        <v>44.55357142857143</v>
      </c>
      <c r="AA1914" s="52">
        <f>T1914*W1914</f>
        <v>5.346428571428571</v>
      </c>
      <c r="AB1914" s="52">
        <f>V1914*W1914</f>
        <v>0</v>
      </c>
      <c r="AC1914" s="53">
        <f>(R1914+V1914)*W1914</f>
        <v>49.9</v>
      </c>
      <c r="AD1914" s="138">
        <v>49.9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107</v>
      </c>
      <c r="F1915" s="96" t="s">
        <v>113</v>
      </c>
      <c r="G1915" s="97">
        <v>46132</v>
      </c>
      <c r="H1915" s="98">
        <v>0.7638888888888888</v>
      </c>
      <c r="I1915" s="50">
        <v>166004815</v>
      </c>
      <c r="J1915" s="96" t="s">
        <v>157</v>
      </c>
      <c r="K1915" s="49" t="s">
        <v>2916</v>
      </c>
      <c r="L1915" s="39" t="s">
        <v>2917</v>
      </c>
      <c r="M1915" s="49" t="s">
        <v>1193</v>
      </c>
      <c r="N1915" s="39" t="s">
        <v>1194</v>
      </c>
      <c r="O1915" s="96" t="s">
        <v>2918</v>
      </c>
      <c r="P1915" s="49" t="s">
        <v>157</v>
      </c>
      <c r="Q1915" s="96" t="s">
        <v>104</v>
      </c>
      <c r="R1915" s="52">
        <v>39.9</v>
      </c>
      <c r="S1915" s="52">
        <f>R1915-T1915</f>
        <v>35.625</v>
      </c>
      <c r="T1915" s="52">
        <f>R1915*U1915/(U1915+100)</f>
        <v>4.2749999999999995</v>
      </c>
      <c r="U1915" s="50">
        <v>12</v>
      </c>
      <c r="V1915" s="53">
        <v>0</v>
      </c>
      <c r="W1915" s="147">
        <v>1</v>
      </c>
      <c r="X1915" s="148" t="s">
        <v>163</v>
      </c>
      <c r="Y1915" s="54">
        <f>R1915*W1915</f>
        <v>39.9</v>
      </c>
      <c r="Z1915" s="52">
        <f>S1915*W1915</f>
        <v>35.625</v>
      </c>
      <c r="AA1915" s="52">
        <f>T1915*W1915</f>
        <v>4.2749999999999995</v>
      </c>
      <c r="AB1915" s="52">
        <f>V1915*W1915</f>
        <v>0</v>
      </c>
      <c r="AC1915" s="53">
        <f>(R1915+V1915)*W1915</f>
        <v>39.9</v>
      </c>
      <c r="AD1915" s="138">
        <v>39.9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107</v>
      </c>
      <c r="F1916" s="96" t="s">
        <v>113</v>
      </c>
      <c r="G1916" s="97">
        <v>46132</v>
      </c>
      <c r="H1916" s="98">
        <v>0.7638888888888888</v>
      </c>
      <c r="I1916" s="50">
        <v>166004815</v>
      </c>
      <c r="J1916" s="96" t="s">
        <v>157</v>
      </c>
      <c r="K1916" s="49" t="s">
        <v>2972</v>
      </c>
      <c r="L1916" s="39" t="s">
        <v>2973</v>
      </c>
      <c r="M1916" s="49" t="s">
        <v>2974</v>
      </c>
      <c r="N1916" s="39" t="s">
        <v>191</v>
      </c>
      <c r="O1916" s="96" t="s">
        <v>2975</v>
      </c>
      <c r="P1916" s="49" t="s">
        <v>157</v>
      </c>
      <c r="Q1916" s="96" t="s">
        <v>104</v>
      </c>
      <c r="R1916" s="52">
        <v>34.93</v>
      </c>
      <c r="S1916" s="52">
        <f>R1916-T1916</f>
        <v>31.1875</v>
      </c>
      <c r="T1916" s="52">
        <f>R1916*U1916/(U1916+100)</f>
        <v>3.7424999999999997</v>
      </c>
      <c r="U1916" s="50">
        <v>12</v>
      </c>
      <c r="V1916" s="53">
        <v>0</v>
      </c>
      <c r="W1916" s="147">
        <v>0.278</v>
      </c>
      <c r="X1916" s="148" t="s">
        <v>410</v>
      </c>
      <c r="Y1916" s="54">
        <f>R1916*W1916</f>
        <v>9.71054</v>
      </c>
      <c r="Z1916" s="52">
        <f>S1916*W1916</f>
        <v>8.670125</v>
      </c>
      <c r="AA1916" s="52">
        <f>T1916*W1916</f>
        <v>1.040415</v>
      </c>
      <c r="AB1916" s="52">
        <f>V1916*W1916</f>
        <v>0</v>
      </c>
      <c r="AC1916" s="53">
        <f>(R1916+V1916)*W1916</f>
        <v>9.71054</v>
      </c>
      <c r="AD1916" s="138">
        <v>49.9</v>
      </c>
      <c r="AE1916" s="137">
        <v>14.97</v>
      </c>
      <c r="AF1916" s="139">
        <v>4.1617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107</v>
      </c>
      <c r="F1917" s="96" t="s">
        <v>113</v>
      </c>
      <c r="G1917" s="97">
        <v>46132</v>
      </c>
      <c r="H1917" s="98">
        <v>0.7650347222222222</v>
      </c>
      <c r="I1917" s="50">
        <v>166004816</v>
      </c>
      <c r="J1917" s="96" t="s">
        <v>157</v>
      </c>
      <c r="K1917" s="49" t="s">
        <v>2952</v>
      </c>
      <c r="L1917" s="39" t="s">
        <v>2953</v>
      </c>
      <c r="M1917" s="49" t="s">
        <v>812</v>
      </c>
      <c r="N1917" s="39" t="s">
        <v>513</v>
      </c>
      <c r="O1917" s="96" t="s">
        <v>2954</v>
      </c>
      <c r="P1917" s="49" t="s">
        <v>157</v>
      </c>
      <c r="Q1917" s="96" t="s">
        <v>104</v>
      </c>
      <c r="R1917" s="52">
        <v>13.9</v>
      </c>
      <c r="S1917" s="52">
        <f>R1917-T1917</f>
        <v>12.410714285714286</v>
      </c>
      <c r="T1917" s="52">
        <f>R1917*U1917/(U1917+100)</f>
        <v>1.4892857142857143</v>
      </c>
      <c r="U1917" s="50">
        <v>12</v>
      </c>
      <c r="V1917" s="53">
        <v>0</v>
      </c>
      <c r="W1917" s="147">
        <v>1</v>
      </c>
      <c r="X1917" s="148" t="s">
        <v>163</v>
      </c>
      <c r="Y1917" s="54">
        <f>R1917*W1917</f>
        <v>13.9</v>
      </c>
      <c r="Z1917" s="52">
        <f>S1917*W1917</f>
        <v>12.410714285714286</v>
      </c>
      <c r="AA1917" s="52">
        <f>T1917*W1917</f>
        <v>1.4892857142857143</v>
      </c>
      <c r="AB1917" s="52">
        <f>V1917*W1917</f>
        <v>0</v>
      </c>
      <c r="AC1917" s="53">
        <f>(R1917+V1917)*W1917</f>
        <v>13.9</v>
      </c>
      <c r="AD1917" s="138">
        <v>13.9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107</v>
      </c>
      <c r="F1918" s="96" t="s">
        <v>113</v>
      </c>
      <c r="G1918" s="97">
        <v>46132</v>
      </c>
      <c r="H1918" s="98">
        <v>0.7650347222222222</v>
      </c>
      <c r="I1918" s="50">
        <v>166004816</v>
      </c>
      <c r="J1918" s="96" t="s">
        <v>157</v>
      </c>
      <c r="K1918" s="49" t="s">
        <v>2976</v>
      </c>
      <c r="L1918" s="39" t="s">
        <v>2977</v>
      </c>
      <c r="M1918" s="49" t="s">
        <v>2137</v>
      </c>
      <c r="N1918" s="39" t="s">
        <v>1518</v>
      </c>
      <c r="O1918" s="96" t="s">
        <v>2978</v>
      </c>
      <c r="P1918" s="49" t="s">
        <v>157</v>
      </c>
      <c r="Q1918" s="96" t="s">
        <v>104</v>
      </c>
      <c r="R1918" s="52">
        <v>19.9</v>
      </c>
      <c r="S1918" s="52">
        <f>R1918-T1918</f>
        <v>17.767857142857142</v>
      </c>
      <c r="T1918" s="52">
        <f>R1918*U1918/(U1918+100)</f>
        <v>2.132142857142857</v>
      </c>
      <c r="U1918" s="50">
        <v>12</v>
      </c>
      <c r="V1918" s="53">
        <v>0</v>
      </c>
      <c r="W1918" s="147">
        <v>1</v>
      </c>
      <c r="X1918" s="148" t="s">
        <v>163</v>
      </c>
      <c r="Y1918" s="54">
        <f>R1918*W1918</f>
        <v>19.9</v>
      </c>
      <c r="Z1918" s="52">
        <f>S1918*W1918</f>
        <v>17.767857142857142</v>
      </c>
      <c r="AA1918" s="52">
        <f>T1918*W1918</f>
        <v>2.132142857142857</v>
      </c>
      <c r="AB1918" s="52">
        <f>V1918*W1918</f>
        <v>0</v>
      </c>
      <c r="AC1918" s="53">
        <f>(R1918+V1918)*W1918</f>
        <v>19.9</v>
      </c>
      <c r="AD1918" s="138">
        <v>19.9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107</v>
      </c>
      <c r="F1919" s="96" t="s">
        <v>113</v>
      </c>
      <c r="G1919" s="97">
        <v>46132</v>
      </c>
      <c r="H1919" s="98">
        <v>0.7650347222222222</v>
      </c>
      <c r="I1919" s="50">
        <v>166004816</v>
      </c>
      <c r="J1919" s="96" t="s">
        <v>157</v>
      </c>
      <c r="K1919" s="49" t="s">
        <v>2979</v>
      </c>
      <c r="L1919" s="39" t="s">
        <v>2980</v>
      </c>
      <c r="M1919" s="49" t="s">
        <v>678</v>
      </c>
      <c r="N1919" s="39" t="s">
        <v>319</v>
      </c>
      <c r="O1919" s="96" t="s">
        <v>2981</v>
      </c>
      <c r="P1919" s="49" t="s">
        <v>157</v>
      </c>
      <c r="Q1919" s="96" t="s">
        <v>104</v>
      </c>
      <c r="R1919" s="52">
        <v>27.9</v>
      </c>
      <c r="S1919" s="52">
        <f>R1919-T1919</f>
        <v>24.910714285714285</v>
      </c>
      <c r="T1919" s="52">
        <f>R1919*U1919/(U1919+100)</f>
        <v>2.989285714285714</v>
      </c>
      <c r="U1919" s="50">
        <v>12</v>
      </c>
      <c r="V1919" s="53">
        <v>0</v>
      </c>
      <c r="W1919" s="147">
        <v>1</v>
      </c>
      <c r="X1919" s="148" t="s">
        <v>163</v>
      </c>
      <c r="Y1919" s="54">
        <f>R1919*W1919</f>
        <v>27.9</v>
      </c>
      <c r="Z1919" s="52">
        <f>S1919*W1919</f>
        <v>24.910714285714285</v>
      </c>
      <c r="AA1919" s="52">
        <f>T1919*W1919</f>
        <v>2.989285714285714</v>
      </c>
      <c r="AB1919" s="52">
        <f>V1919*W1919</f>
        <v>0</v>
      </c>
      <c r="AC1919" s="53">
        <f>(R1919+V1919)*W1919</f>
        <v>27.9</v>
      </c>
      <c r="AD1919" s="138">
        <v>27.9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107</v>
      </c>
      <c r="F1920" s="96" t="s">
        <v>113</v>
      </c>
      <c r="G1920" s="97">
        <v>46132</v>
      </c>
      <c r="H1920" s="98">
        <v>0.7650347222222222</v>
      </c>
      <c r="I1920" s="50">
        <v>166004816</v>
      </c>
      <c r="J1920" s="96" t="s">
        <v>157</v>
      </c>
      <c r="K1920" s="49" t="s">
        <v>2982</v>
      </c>
      <c r="L1920" s="39" t="s">
        <v>2983</v>
      </c>
      <c r="M1920" s="49" t="s">
        <v>2847</v>
      </c>
      <c r="N1920" s="39" t="s">
        <v>228</v>
      </c>
      <c r="O1920" s="96" t="s">
        <v>2984</v>
      </c>
      <c r="P1920" s="49" t="s">
        <v>157</v>
      </c>
      <c r="Q1920" s="96" t="s">
        <v>104</v>
      </c>
      <c r="R1920" s="52">
        <v>37.9</v>
      </c>
      <c r="S1920" s="52">
        <f>R1920-T1920</f>
        <v>33.839285714285715</v>
      </c>
      <c r="T1920" s="52">
        <f>R1920*U1920/(U1920+100)</f>
        <v>4.060714285714285</v>
      </c>
      <c r="U1920" s="50">
        <v>12</v>
      </c>
      <c r="V1920" s="53">
        <v>0</v>
      </c>
      <c r="W1920" s="147">
        <v>1</v>
      </c>
      <c r="X1920" s="148" t="s">
        <v>163</v>
      </c>
      <c r="Y1920" s="54">
        <f>R1920*W1920</f>
        <v>37.9</v>
      </c>
      <c r="Z1920" s="52">
        <f>S1920*W1920</f>
        <v>33.839285714285715</v>
      </c>
      <c r="AA1920" s="52">
        <f>T1920*W1920</f>
        <v>4.060714285714285</v>
      </c>
      <c r="AB1920" s="52">
        <f>V1920*W1920</f>
        <v>0</v>
      </c>
      <c r="AC1920" s="53">
        <f>(R1920+V1920)*W1920</f>
        <v>37.9</v>
      </c>
      <c r="AD1920" s="138">
        <v>37.9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107</v>
      </c>
      <c r="F1921" s="96" t="s">
        <v>113</v>
      </c>
      <c r="G1921" s="97">
        <v>46132</v>
      </c>
      <c r="H1921" s="98">
        <v>0.7650347222222222</v>
      </c>
      <c r="I1921" s="50">
        <v>166004816</v>
      </c>
      <c r="J1921" s="96" t="s">
        <v>157</v>
      </c>
      <c r="K1921" s="49" t="s">
        <v>949</v>
      </c>
      <c r="L1921" s="39" t="s">
        <v>950</v>
      </c>
      <c r="M1921" s="49" t="s">
        <v>185</v>
      </c>
      <c r="N1921" s="39" t="s">
        <v>874</v>
      </c>
      <c r="O1921" s="96" t="s">
        <v>1296</v>
      </c>
      <c r="P1921" s="49" t="s">
        <v>157</v>
      </c>
      <c r="Q1921" s="96" t="s">
        <v>104</v>
      </c>
      <c r="R1921" s="52">
        <v>24.9</v>
      </c>
      <c r="S1921" s="52">
        <f>R1921-T1921</f>
        <v>22.232142857142858</v>
      </c>
      <c r="T1921" s="52">
        <f>R1921*U1921/(U1921+100)</f>
        <v>2.6678571428571423</v>
      </c>
      <c r="U1921" s="50">
        <v>12</v>
      </c>
      <c r="V1921" s="53">
        <v>0</v>
      </c>
      <c r="W1921" s="147">
        <v>1</v>
      </c>
      <c r="X1921" s="148" t="s">
        <v>163</v>
      </c>
      <c r="Y1921" s="54">
        <f>R1921*W1921</f>
        <v>24.9</v>
      </c>
      <c r="Z1921" s="52">
        <f>S1921*W1921</f>
        <v>22.232142857142858</v>
      </c>
      <c r="AA1921" s="52">
        <f>T1921*W1921</f>
        <v>2.6678571428571423</v>
      </c>
      <c r="AB1921" s="52">
        <f>V1921*W1921</f>
        <v>0</v>
      </c>
      <c r="AC1921" s="53">
        <f>(R1921+V1921)*W1921</f>
        <v>24.9</v>
      </c>
      <c r="AD1921" s="138">
        <v>24.9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107</v>
      </c>
      <c r="F1922" s="96" t="s">
        <v>113</v>
      </c>
      <c r="G1922" s="97">
        <v>46132</v>
      </c>
      <c r="H1922" s="98">
        <v>0.7650347222222222</v>
      </c>
      <c r="I1922" s="50">
        <v>166004816</v>
      </c>
      <c r="J1922" s="96" t="s">
        <v>157</v>
      </c>
      <c r="K1922" s="49" t="s">
        <v>329</v>
      </c>
      <c r="L1922" s="39" t="s">
        <v>330</v>
      </c>
      <c r="M1922" s="49" t="s">
        <v>185</v>
      </c>
      <c r="N1922" s="39" t="s">
        <v>331</v>
      </c>
      <c r="O1922" s="96" t="s">
        <v>1640</v>
      </c>
      <c r="P1922" s="49" t="s">
        <v>157</v>
      </c>
      <c r="Q1922" s="96" t="s">
        <v>104</v>
      </c>
      <c r="R1922" s="52">
        <v>34.93</v>
      </c>
      <c r="S1922" s="52">
        <f>R1922-T1922</f>
        <v>31.1875</v>
      </c>
      <c r="T1922" s="52">
        <f>R1922*U1922/(U1922+100)</f>
        <v>3.7424999999999997</v>
      </c>
      <c r="U1922" s="50">
        <v>12</v>
      </c>
      <c r="V1922" s="53">
        <v>0</v>
      </c>
      <c r="W1922" s="147">
        <v>1</v>
      </c>
      <c r="X1922" s="148" t="s">
        <v>163</v>
      </c>
      <c r="Y1922" s="54">
        <f>R1922*W1922</f>
        <v>34.93</v>
      </c>
      <c r="Z1922" s="52">
        <f>S1922*W1922</f>
        <v>31.1875</v>
      </c>
      <c r="AA1922" s="52">
        <f>T1922*W1922</f>
        <v>3.7424999999999997</v>
      </c>
      <c r="AB1922" s="52">
        <f>V1922*W1922</f>
        <v>0</v>
      </c>
      <c r="AC1922" s="53">
        <f>(R1922+V1922)*W1922</f>
        <v>34.93</v>
      </c>
      <c r="AD1922" s="138">
        <v>49.9</v>
      </c>
      <c r="AE1922" s="137">
        <v>14.97</v>
      </c>
      <c r="AF1922" s="139">
        <v>14.97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107</v>
      </c>
      <c r="F1923" s="96" t="s">
        <v>113</v>
      </c>
      <c r="G1923" s="97">
        <v>46132</v>
      </c>
      <c r="H1923" s="98">
        <v>0.7650347222222222</v>
      </c>
      <c r="I1923" s="50">
        <v>166004816</v>
      </c>
      <c r="J1923" s="96" t="s">
        <v>157</v>
      </c>
      <c r="K1923" s="49" t="s">
        <v>183</v>
      </c>
      <c r="L1923" s="39" t="s">
        <v>184</v>
      </c>
      <c r="M1923" s="49" t="s">
        <v>185</v>
      </c>
      <c r="N1923" s="39" t="s">
        <v>186</v>
      </c>
      <c r="O1923" s="96" t="s">
        <v>988</v>
      </c>
      <c r="P1923" s="49" t="s">
        <v>157</v>
      </c>
      <c r="Q1923" s="96" t="s">
        <v>104</v>
      </c>
      <c r="R1923" s="52">
        <v>1.9</v>
      </c>
      <c r="S1923" s="52">
        <f>R1923-T1923</f>
        <v>1.5702479338842974</v>
      </c>
      <c r="T1923" s="52">
        <f>R1923*U1923/(U1923+100)</f>
        <v>0.32975206611570246</v>
      </c>
      <c r="U1923" s="50">
        <v>21</v>
      </c>
      <c r="V1923" s="53">
        <v>0</v>
      </c>
      <c r="W1923" s="147">
        <v>1</v>
      </c>
      <c r="X1923" s="148" t="s">
        <v>163</v>
      </c>
      <c r="Y1923" s="54">
        <f>R1923*W1923</f>
        <v>1.9</v>
      </c>
      <c r="Z1923" s="52">
        <f>S1923*W1923</f>
        <v>1.5702479338842974</v>
      </c>
      <c r="AA1923" s="52">
        <f>T1923*W1923</f>
        <v>0.32975206611570246</v>
      </c>
      <c r="AB1923" s="52">
        <f>V1923*W1923</f>
        <v>0</v>
      </c>
      <c r="AC1923" s="53">
        <f>(R1923+V1923)*W1923</f>
        <v>1.9</v>
      </c>
      <c r="AD1923" s="138">
        <v>1.9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107</v>
      </c>
      <c r="F1924" s="96" t="s">
        <v>113</v>
      </c>
      <c r="G1924" s="97">
        <v>46132</v>
      </c>
      <c r="H1924" s="98">
        <v>0.7650347222222222</v>
      </c>
      <c r="I1924" s="50">
        <v>166004816</v>
      </c>
      <c r="J1924" s="96" t="s">
        <v>157</v>
      </c>
      <c r="K1924" s="49" t="s">
        <v>1865</v>
      </c>
      <c r="L1924" s="39" t="s">
        <v>1866</v>
      </c>
      <c r="M1924" s="49" t="s">
        <v>190</v>
      </c>
      <c r="N1924" s="39" t="s">
        <v>191</v>
      </c>
      <c r="O1924" s="96" t="s">
        <v>1867</v>
      </c>
      <c r="P1924" s="49" t="s">
        <v>157</v>
      </c>
      <c r="Q1924" s="96" t="s">
        <v>104</v>
      </c>
      <c r="R1924" s="52">
        <v>14.9</v>
      </c>
      <c r="S1924" s="52">
        <f>R1924-T1924</f>
        <v>13.303571428571429</v>
      </c>
      <c r="T1924" s="52">
        <f>R1924*U1924/(U1924+100)</f>
        <v>1.5964285714285715</v>
      </c>
      <c r="U1924" s="50">
        <v>12</v>
      </c>
      <c r="V1924" s="53">
        <v>0</v>
      </c>
      <c r="W1924" s="147">
        <v>0.462</v>
      </c>
      <c r="X1924" s="148" t="s">
        <v>193</v>
      </c>
      <c r="Y1924" s="54">
        <f>R1924*W1924</f>
        <v>6.883800000000001</v>
      </c>
      <c r="Z1924" s="52">
        <f>S1924*W1924</f>
        <v>6.14625</v>
      </c>
      <c r="AA1924" s="52">
        <f>T1924*W1924</f>
        <v>0.73755</v>
      </c>
      <c r="AB1924" s="52">
        <f>V1924*W1924</f>
        <v>0</v>
      </c>
      <c r="AC1924" s="53">
        <f>(R1924+V1924)*W1924</f>
        <v>6.883800000000001</v>
      </c>
      <c r="AD1924" s="138">
        <v>14.9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107</v>
      </c>
      <c r="F1925" s="96" t="s">
        <v>113</v>
      </c>
      <c r="G1925" s="97">
        <v>46132</v>
      </c>
      <c r="H1925" s="98">
        <v>0.7658333333333334</v>
      </c>
      <c r="I1925" s="50">
        <v>166004817</v>
      </c>
      <c r="J1925" s="96" t="s">
        <v>157</v>
      </c>
      <c r="K1925" s="49" t="s">
        <v>2617</v>
      </c>
      <c r="L1925" s="39" t="s">
        <v>2618</v>
      </c>
      <c r="M1925" s="49" t="s">
        <v>2619</v>
      </c>
      <c r="N1925" s="39" t="s">
        <v>747</v>
      </c>
      <c r="O1925" s="96" t="s">
        <v>2620</v>
      </c>
      <c r="P1925" s="49" t="s">
        <v>157</v>
      </c>
      <c r="Q1925" s="96" t="s">
        <v>104</v>
      </c>
      <c r="R1925" s="52">
        <v>19.9</v>
      </c>
      <c r="S1925" s="52">
        <f>R1925-T1925</f>
        <v>17.767857142857142</v>
      </c>
      <c r="T1925" s="52">
        <f>R1925*U1925/(U1925+100)</f>
        <v>2.132142857142857</v>
      </c>
      <c r="U1925" s="50">
        <v>12</v>
      </c>
      <c r="V1925" s="53">
        <v>0</v>
      </c>
      <c r="W1925" s="147">
        <v>1</v>
      </c>
      <c r="X1925" s="148" t="s">
        <v>163</v>
      </c>
      <c r="Y1925" s="54">
        <f>R1925*W1925</f>
        <v>19.9</v>
      </c>
      <c r="Z1925" s="52">
        <f>S1925*W1925</f>
        <v>17.767857142857142</v>
      </c>
      <c r="AA1925" s="52">
        <f>T1925*W1925</f>
        <v>2.132142857142857</v>
      </c>
      <c r="AB1925" s="52">
        <f>V1925*W1925</f>
        <v>0</v>
      </c>
      <c r="AC1925" s="53">
        <f>(R1925+V1925)*W1925</f>
        <v>19.9</v>
      </c>
      <c r="AD1925" s="138">
        <v>19.9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107</v>
      </c>
      <c r="F1926" s="96" t="s">
        <v>113</v>
      </c>
      <c r="G1926" s="97">
        <v>46132</v>
      </c>
      <c r="H1926" s="98">
        <v>0.7658333333333334</v>
      </c>
      <c r="I1926" s="50">
        <v>166004817</v>
      </c>
      <c r="J1926" s="96" t="s">
        <v>157</v>
      </c>
      <c r="K1926" s="49" t="s">
        <v>293</v>
      </c>
      <c r="L1926" s="39" t="s">
        <v>294</v>
      </c>
      <c r="M1926" s="49" t="s">
        <v>295</v>
      </c>
      <c r="N1926" s="39" t="s">
        <v>296</v>
      </c>
      <c r="O1926" s="96" t="s">
        <v>297</v>
      </c>
      <c r="P1926" s="49" t="s">
        <v>157</v>
      </c>
      <c r="Q1926" s="96" t="s">
        <v>104</v>
      </c>
      <c r="R1926" s="52">
        <v>2.9</v>
      </c>
      <c r="S1926" s="52">
        <f>R1926-T1926</f>
        <v>2.5892857142857144</v>
      </c>
      <c r="T1926" s="52">
        <f>R1926*U1926/(U1926+100)</f>
        <v>0.31071428571428567</v>
      </c>
      <c r="U1926" s="50">
        <v>12</v>
      </c>
      <c r="V1926" s="53">
        <v>0</v>
      </c>
      <c r="W1926" s="147">
        <v>2</v>
      </c>
      <c r="X1926" s="148" t="s">
        <v>163</v>
      </c>
      <c r="Y1926" s="54">
        <f>R1926*W1926</f>
        <v>5.8</v>
      </c>
      <c r="Z1926" s="52">
        <f>S1926*W1926</f>
        <v>5.178571428571429</v>
      </c>
      <c r="AA1926" s="52">
        <f>T1926*W1926</f>
        <v>0.6214285714285713</v>
      </c>
      <c r="AB1926" s="52">
        <f>V1926*W1926</f>
        <v>0</v>
      </c>
      <c r="AC1926" s="53">
        <f>(R1926+V1926)*W1926</f>
        <v>5.8</v>
      </c>
      <c r="AD1926" s="138">
        <v>2.9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107</v>
      </c>
      <c r="F1927" s="96" t="s">
        <v>113</v>
      </c>
      <c r="G1927" s="97">
        <v>46132</v>
      </c>
      <c r="H1927" s="98">
        <v>0.7661226851851852</v>
      </c>
      <c r="I1927" s="50">
        <v>166004818</v>
      </c>
      <c r="J1927" s="96" t="s">
        <v>157</v>
      </c>
      <c r="K1927" s="49" t="s">
        <v>800</v>
      </c>
      <c r="L1927" s="39" t="s">
        <v>801</v>
      </c>
      <c r="M1927" s="49" t="s">
        <v>185</v>
      </c>
      <c r="N1927" s="39" t="s">
        <v>244</v>
      </c>
      <c r="O1927" s="96" t="s">
        <v>1693</v>
      </c>
      <c r="P1927" s="49" t="s">
        <v>157</v>
      </c>
      <c r="Q1927" s="96" t="s">
        <v>104</v>
      </c>
      <c r="R1927" s="52">
        <v>13.4</v>
      </c>
      <c r="S1927" s="52">
        <f>R1927-T1927</f>
        <v>11.964285714285715</v>
      </c>
      <c r="T1927" s="52">
        <f>R1927*U1927/(U1927+100)</f>
        <v>1.4357142857142857</v>
      </c>
      <c r="U1927" s="50">
        <v>12</v>
      </c>
      <c r="V1927" s="53">
        <v>0</v>
      </c>
      <c r="W1927" s="147">
        <v>1</v>
      </c>
      <c r="X1927" s="148" t="s">
        <v>163</v>
      </c>
      <c r="Y1927" s="54">
        <f>R1927*W1927</f>
        <v>13.4</v>
      </c>
      <c r="Z1927" s="52">
        <f>S1927*W1927</f>
        <v>11.964285714285715</v>
      </c>
      <c r="AA1927" s="52">
        <f>T1927*W1927</f>
        <v>1.4357142857142857</v>
      </c>
      <c r="AB1927" s="52">
        <f>V1927*W1927</f>
        <v>0</v>
      </c>
      <c r="AC1927" s="53">
        <f>(R1927+V1927)*W1927</f>
        <v>13.4</v>
      </c>
      <c r="AD1927" s="138">
        <v>13.4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107</v>
      </c>
      <c r="F1928" s="96" t="s">
        <v>113</v>
      </c>
      <c r="G1928" s="97">
        <v>46132</v>
      </c>
      <c r="H1928" s="98">
        <v>0.7666319444444445</v>
      </c>
      <c r="I1928" s="50">
        <v>166004819</v>
      </c>
      <c r="J1928" s="96" t="s">
        <v>157</v>
      </c>
      <c r="K1928" s="49" t="s">
        <v>2985</v>
      </c>
      <c r="L1928" s="39" t="s">
        <v>2986</v>
      </c>
      <c r="M1928" s="49" t="s">
        <v>1721</v>
      </c>
      <c r="N1928" s="39" t="s">
        <v>314</v>
      </c>
      <c r="O1928" s="96" t="s">
        <v>2987</v>
      </c>
      <c r="P1928" s="49" t="s">
        <v>157</v>
      </c>
      <c r="Q1928" s="96" t="s">
        <v>104</v>
      </c>
      <c r="R1928" s="52">
        <v>121.9</v>
      </c>
      <c r="S1928" s="52">
        <f>R1928-T1928</f>
        <v>108.83928571428572</v>
      </c>
      <c r="T1928" s="52">
        <f>R1928*U1928/(U1928+100)</f>
        <v>13.060714285714287</v>
      </c>
      <c r="U1928" s="50">
        <v>12</v>
      </c>
      <c r="V1928" s="53">
        <v>0</v>
      </c>
      <c r="W1928" s="147">
        <v>1</v>
      </c>
      <c r="X1928" s="148" t="s">
        <v>163</v>
      </c>
      <c r="Y1928" s="54">
        <f>R1928*W1928</f>
        <v>121.9</v>
      </c>
      <c r="Z1928" s="52">
        <f>S1928*W1928</f>
        <v>108.83928571428572</v>
      </c>
      <c r="AA1928" s="52">
        <f>T1928*W1928</f>
        <v>13.060714285714287</v>
      </c>
      <c r="AB1928" s="52">
        <f>V1928*W1928</f>
        <v>0</v>
      </c>
      <c r="AC1928" s="53">
        <f>(R1928+V1928)*W1928</f>
        <v>121.9</v>
      </c>
      <c r="AD1928" s="138">
        <v>121.9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107</v>
      </c>
      <c r="F1929" s="96" t="s">
        <v>113</v>
      </c>
      <c r="G1929" s="97">
        <v>46132</v>
      </c>
      <c r="H1929" s="98">
        <v>0.7666319444444445</v>
      </c>
      <c r="I1929" s="50">
        <v>166004819</v>
      </c>
      <c r="J1929" s="96" t="s">
        <v>157</v>
      </c>
      <c r="K1929" s="49" t="s">
        <v>2075</v>
      </c>
      <c r="L1929" s="39" t="s">
        <v>2076</v>
      </c>
      <c r="M1929" s="49" t="s">
        <v>1525</v>
      </c>
      <c r="N1929" s="39" t="s">
        <v>1230</v>
      </c>
      <c r="O1929" s="96" t="s">
        <v>2077</v>
      </c>
      <c r="P1929" s="49" t="s">
        <v>157</v>
      </c>
      <c r="Q1929" s="96" t="s">
        <v>104</v>
      </c>
      <c r="R1929" s="52">
        <v>19.9</v>
      </c>
      <c r="S1929" s="52">
        <f>R1929-T1929</f>
        <v>17.767857142857142</v>
      </c>
      <c r="T1929" s="52">
        <f>R1929*U1929/(U1929+100)</f>
        <v>2.132142857142857</v>
      </c>
      <c r="U1929" s="50">
        <v>12</v>
      </c>
      <c r="V1929" s="53">
        <v>0</v>
      </c>
      <c r="W1929" s="147">
        <v>1</v>
      </c>
      <c r="X1929" s="148" t="s">
        <v>163</v>
      </c>
      <c r="Y1929" s="54">
        <f>R1929*W1929</f>
        <v>19.9</v>
      </c>
      <c r="Z1929" s="52">
        <f>S1929*W1929</f>
        <v>17.767857142857142</v>
      </c>
      <c r="AA1929" s="52">
        <f>T1929*W1929</f>
        <v>2.132142857142857</v>
      </c>
      <c r="AB1929" s="52">
        <f>V1929*W1929</f>
        <v>0</v>
      </c>
      <c r="AC1929" s="53">
        <f>(R1929+V1929)*W1929</f>
        <v>19.9</v>
      </c>
      <c r="AD1929" s="138">
        <v>19.9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107</v>
      </c>
      <c r="F1930" s="96" t="s">
        <v>113</v>
      </c>
      <c r="G1930" s="97">
        <v>46132</v>
      </c>
      <c r="H1930" s="98">
        <v>0.7666319444444445</v>
      </c>
      <c r="I1930" s="50">
        <v>166004819</v>
      </c>
      <c r="J1930" s="96" t="s">
        <v>157</v>
      </c>
      <c r="K1930" s="49" t="s">
        <v>1852</v>
      </c>
      <c r="L1930" s="39" t="s">
        <v>1853</v>
      </c>
      <c r="M1930" s="49" t="s">
        <v>232</v>
      </c>
      <c r="N1930" s="39" t="s">
        <v>233</v>
      </c>
      <c r="O1930" s="96" t="s">
        <v>1854</v>
      </c>
      <c r="P1930" s="49" t="s">
        <v>157</v>
      </c>
      <c r="Q1930" s="96" t="s">
        <v>104</v>
      </c>
      <c r="R1930" s="52">
        <v>22.9</v>
      </c>
      <c r="S1930" s="52">
        <f>R1930-T1930</f>
        <v>18.925619834710744</v>
      </c>
      <c r="T1930" s="52">
        <f>R1930*U1930/(U1930+100)</f>
        <v>3.974380165289256</v>
      </c>
      <c r="U1930" s="50">
        <v>21</v>
      </c>
      <c r="V1930" s="53">
        <v>0</v>
      </c>
      <c r="W1930" s="147">
        <v>1</v>
      </c>
      <c r="X1930" s="148" t="s">
        <v>163</v>
      </c>
      <c r="Y1930" s="54">
        <f>R1930*W1930</f>
        <v>22.9</v>
      </c>
      <c r="Z1930" s="52">
        <f>S1930*W1930</f>
        <v>18.925619834710744</v>
      </c>
      <c r="AA1930" s="52">
        <f>T1930*W1930</f>
        <v>3.974380165289256</v>
      </c>
      <c r="AB1930" s="52">
        <f>V1930*W1930</f>
        <v>0</v>
      </c>
      <c r="AC1930" s="53">
        <f>(R1930+V1930)*W1930</f>
        <v>22.9</v>
      </c>
      <c r="AD1930" s="138">
        <v>22.9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107</v>
      </c>
      <c r="F1931" s="96" t="s">
        <v>113</v>
      </c>
      <c r="G1931" s="97">
        <v>46132</v>
      </c>
      <c r="H1931" s="98">
        <v>0.7666319444444445</v>
      </c>
      <c r="I1931" s="50">
        <v>166004819</v>
      </c>
      <c r="J1931" s="96" t="s">
        <v>157</v>
      </c>
      <c r="K1931" s="49" t="s">
        <v>2988</v>
      </c>
      <c r="L1931" s="39" t="s">
        <v>2989</v>
      </c>
      <c r="M1931" s="49" t="s">
        <v>862</v>
      </c>
      <c r="N1931" s="39" t="s">
        <v>863</v>
      </c>
      <c r="O1931" s="96" t="s">
        <v>2990</v>
      </c>
      <c r="P1931" s="49" t="s">
        <v>157</v>
      </c>
      <c r="Q1931" s="96" t="s">
        <v>104</v>
      </c>
      <c r="R1931" s="52">
        <v>162</v>
      </c>
      <c r="S1931" s="52">
        <f>R1931-T1931</f>
        <v>133.88429752066116</v>
      </c>
      <c r="T1931" s="52">
        <f>R1931*U1931/(U1931+100)</f>
        <v>28.115702479338843</v>
      </c>
      <c r="U1931" s="50">
        <v>21</v>
      </c>
      <c r="V1931" s="53">
        <v>0</v>
      </c>
      <c r="W1931" s="147">
        <v>1</v>
      </c>
      <c r="X1931" s="148" t="s">
        <v>163</v>
      </c>
      <c r="Y1931" s="54">
        <f>R1931*W1931</f>
        <v>162</v>
      </c>
      <c r="Z1931" s="52">
        <f>S1931*W1931</f>
        <v>133.88429752066116</v>
      </c>
      <c r="AA1931" s="52">
        <f>T1931*W1931</f>
        <v>28.115702479338843</v>
      </c>
      <c r="AB1931" s="52">
        <f>V1931*W1931</f>
        <v>0</v>
      </c>
      <c r="AC1931" s="53">
        <f>(R1931+V1931)*W1931</f>
        <v>162</v>
      </c>
      <c r="AD1931" s="138">
        <v>162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107</v>
      </c>
      <c r="F1932" s="96" t="s">
        <v>113</v>
      </c>
      <c r="G1932" s="97">
        <v>46132</v>
      </c>
      <c r="H1932" s="98">
        <v>0.7666319444444445</v>
      </c>
      <c r="I1932" s="50">
        <v>166004819</v>
      </c>
      <c r="J1932" s="96" t="s">
        <v>157</v>
      </c>
      <c r="K1932" s="49" t="s">
        <v>2988</v>
      </c>
      <c r="L1932" s="39" t="s">
        <v>2989</v>
      </c>
      <c r="M1932" s="49" t="s">
        <v>862</v>
      </c>
      <c r="N1932" s="39" t="s">
        <v>863</v>
      </c>
      <c r="O1932" s="96" t="s">
        <v>2990</v>
      </c>
      <c r="P1932" s="49" t="s">
        <v>157</v>
      </c>
      <c r="Q1932" s="96" t="s">
        <v>104</v>
      </c>
      <c r="R1932" s="52">
        <v>162</v>
      </c>
      <c r="S1932" s="52">
        <f>R1932-T1932</f>
        <v>133.88429752066116</v>
      </c>
      <c r="T1932" s="52">
        <f>R1932*U1932/(U1932+100)</f>
        <v>28.115702479338843</v>
      </c>
      <c r="U1932" s="50">
        <v>21</v>
      </c>
      <c r="V1932" s="53">
        <v>0</v>
      </c>
      <c r="W1932" s="147">
        <v>1</v>
      </c>
      <c r="X1932" s="148" t="s">
        <v>163</v>
      </c>
      <c r="Y1932" s="54">
        <f>R1932*W1932</f>
        <v>162</v>
      </c>
      <c r="Z1932" s="52">
        <f>S1932*W1932</f>
        <v>133.88429752066116</v>
      </c>
      <c r="AA1932" s="52">
        <f>T1932*W1932</f>
        <v>28.115702479338843</v>
      </c>
      <c r="AB1932" s="52">
        <f>V1932*W1932</f>
        <v>0</v>
      </c>
      <c r="AC1932" s="53">
        <f>(R1932+V1932)*W1932</f>
        <v>162</v>
      </c>
      <c r="AD1932" s="138">
        <v>162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107</v>
      </c>
      <c r="F1933" s="96" t="s">
        <v>113</v>
      </c>
      <c r="G1933" s="97">
        <v>46132</v>
      </c>
      <c r="H1933" s="98">
        <v>0.7692013888888889</v>
      </c>
      <c r="I1933" s="50">
        <v>166004820</v>
      </c>
      <c r="J1933" s="96" t="s">
        <v>157</v>
      </c>
      <c r="K1933" s="49" t="s">
        <v>507</v>
      </c>
      <c r="L1933" s="39" t="s">
        <v>508</v>
      </c>
      <c r="M1933" s="49" t="s">
        <v>509</v>
      </c>
      <c r="N1933" s="39" t="s">
        <v>256</v>
      </c>
      <c r="O1933" s="96" t="s">
        <v>1024</v>
      </c>
      <c r="P1933" s="49" t="s">
        <v>235</v>
      </c>
      <c r="Q1933" s="96" t="s">
        <v>236</v>
      </c>
      <c r="R1933" s="52">
        <v>15.9</v>
      </c>
      <c r="S1933" s="52">
        <f>R1933-T1933</f>
        <v>13.140495867768596</v>
      </c>
      <c r="T1933" s="52">
        <f>R1933*U1933/(U1933+100)</f>
        <v>2.759504132231405</v>
      </c>
      <c r="U1933" s="50">
        <v>21</v>
      </c>
      <c r="V1933" s="53">
        <v>0</v>
      </c>
      <c r="W1933" s="147">
        <v>12</v>
      </c>
      <c r="X1933" s="148" t="s">
        <v>163</v>
      </c>
      <c r="Y1933" s="54">
        <f>R1933*W1933</f>
        <v>190.8</v>
      </c>
      <c r="Z1933" s="52">
        <f>S1933*W1933</f>
        <v>157.68595041322317</v>
      </c>
      <c r="AA1933" s="52">
        <f>T1933*W1933</f>
        <v>33.11404958677686</v>
      </c>
      <c r="AB1933" s="52">
        <f>V1933*W1933</f>
        <v>0</v>
      </c>
      <c r="AC1933" s="53">
        <f>(R1933+V1933)*W1933</f>
        <v>190.8</v>
      </c>
      <c r="AD1933" s="138">
        <v>15.9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107</v>
      </c>
      <c r="F1934" s="96" t="s">
        <v>113</v>
      </c>
      <c r="G1934" s="97">
        <v>46132</v>
      </c>
      <c r="H1934" s="98">
        <v>0.7692013888888889</v>
      </c>
      <c r="I1934" s="50">
        <v>166004820</v>
      </c>
      <c r="J1934" s="96" t="s">
        <v>157</v>
      </c>
      <c r="K1934" s="49" t="s">
        <v>2314</v>
      </c>
      <c r="L1934" s="39" t="s">
        <v>2315</v>
      </c>
      <c r="M1934" s="49"/>
      <c r="N1934" s="39" t="s">
        <v>2316</v>
      </c>
      <c r="O1934" s="96" t="s">
        <v>2317</v>
      </c>
      <c r="P1934" s="49" t="s">
        <v>157</v>
      </c>
      <c r="Q1934" s="96" t="s">
        <v>104</v>
      </c>
      <c r="R1934" s="52">
        <v>0</v>
      </c>
      <c r="S1934" s="52">
        <f>R1934-T1934</f>
        <v>0</v>
      </c>
      <c r="T1934" s="52">
        <f>R1934*U1934/(U1934+100)</f>
        <v>0</v>
      </c>
      <c r="U1934" s="50">
        <v>0</v>
      </c>
      <c r="V1934" s="53">
        <v>-3</v>
      </c>
      <c r="W1934" s="147">
        <v>15</v>
      </c>
      <c r="X1934" s="148" t="s">
        <v>945</v>
      </c>
      <c r="Y1934" s="54">
        <f>R1934*W1934</f>
        <v>0</v>
      </c>
      <c r="Z1934" s="52">
        <f>S1934*W1934</f>
        <v>0</v>
      </c>
      <c r="AA1934" s="52">
        <f>T1934*W1934</f>
        <v>0</v>
      </c>
      <c r="AB1934" s="52">
        <f>V1934*W1934</f>
        <v>-45</v>
      </c>
      <c r="AC1934" s="53">
        <f>(R1934+V1934)*W1934</f>
        <v>-45</v>
      </c>
      <c r="AD1934" s="138">
        <v>0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107</v>
      </c>
      <c r="F1935" s="96" t="s">
        <v>113</v>
      </c>
      <c r="G1935" s="97">
        <v>46132</v>
      </c>
      <c r="H1935" s="98">
        <v>0.7733796296296296</v>
      </c>
      <c r="I1935" s="50">
        <v>166004821</v>
      </c>
      <c r="J1935" s="96" t="s">
        <v>157</v>
      </c>
      <c r="K1935" s="49" t="s">
        <v>2528</v>
      </c>
      <c r="L1935" s="39" t="s">
        <v>2529</v>
      </c>
      <c r="M1935" s="49" t="s">
        <v>185</v>
      </c>
      <c r="N1935" s="39" t="s">
        <v>264</v>
      </c>
      <c r="O1935" s="96" t="s">
        <v>2530</v>
      </c>
      <c r="P1935" s="49" t="s">
        <v>157</v>
      </c>
      <c r="Q1935" s="96" t="s">
        <v>104</v>
      </c>
      <c r="R1935" s="52">
        <v>31.9</v>
      </c>
      <c r="S1935" s="52">
        <f>R1935-T1935</f>
        <v>28.482142857142858</v>
      </c>
      <c r="T1935" s="52">
        <f>R1935*U1935/(U1935+100)</f>
        <v>3.4178571428571423</v>
      </c>
      <c r="U1935" s="50">
        <v>12</v>
      </c>
      <c r="V1935" s="53">
        <v>0</v>
      </c>
      <c r="W1935" s="147">
        <v>1</v>
      </c>
      <c r="X1935" s="148" t="s">
        <v>163</v>
      </c>
      <c r="Y1935" s="54">
        <f>R1935*W1935</f>
        <v>31.9</v>
      </c>
      <c r="Z1935" s="52">
        <f>S1935*W1935</f>
        <v>28.482142857142858</v>
      </c>
      <c r="AA1935" s="52">
        <f>T1935*W1935</f>
        <v>3.4178571428571423</v>
      </c>
      <c r="AB1935" s="52">
        <f>V1935*W1935</f>
        <v>0</v>
      </c>
      <c r="AC1935" s="53">
        <f>(R1935+V1935)*W1935</f>
        <v>31.9</v>
      </c>
      <c r="AD1935" s="138">
        <v>31.9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107</v>
      </c>
      <c r="F1936" s="96" t="s">
        <v>113</v>
      </c>
      <c r="G1936" s="97">
        <v>46132</v>
      </c>
      <c r="H1936" s="98">
        <v>0.7733796296296296</v>
      </c>
      <c r="I1936" s="50">
        <v>166004821</v>
      </c>
      <c r="J1936" s="96" t="s">
        <v>157</v>
      </c>
      <c r="K1936" s="49" t="s">
        <v>2991</v>
      </c>
      <c r="L1936" s="39" t="s">
        <v>2992</v>
      </c>
      <c r="M1936" s="49" t="s">
        <v>812</v>
      </c>
      <c r="N1936" s="39" t="s">
        <v>513</v>
      </c>
      <c r="O1936" s="96" t="s">
        <v>2993</v>
      </c>
      <c r="P1936" s="49" t="s">
        <v>157</v>
      </c>
      <c r="Q1936" s="96" t="s">
        <v>104</v>
      </c>
      <c r="R1936" s="52">
        <v>15.9</v>
      </c>
      <c r="S1936" s="52">
        <f>R1936-T1936</f>
        <v>14.196428571428571</v>
      </c>
      <c r="T1936" s="52">
        <f>R1936*U1936/(U1936+100)</f>
        <v>1.7035714285714287</v>
      </c>
      <c r="U1936" s="50">
        <v>12</v>
      </c>
      <c r="V1936" s="53">
        <v>0</v>
      </c>
      <c r="W1936" s="147">
        <v>1</v>
      </c>
      <c r="X1936" s="148" t="s">
        <v>163</v>
      </c>
      <c r="Y1936" s="54">
        <f>R1936*W1936</f>
        <v>15.9</v>
      </c>
      <c r="Z1936" s="52">
        <f>S1936*W1936</f>
        <v>14.196428571428571</v>
      </c>
      <c r="AA1936" s="52">
        <f>T1936*W1936</f>
        <v>1.7035714285714287</v>
      </c>
      <c r="AB1936" s="52">
        <f>V1936*W1936</f>
        <v>0</v>
      </c>
      <c r="AC1936" s="53">
        <f>(R1936+V1936)*W1936</f>
        <v>15.9</v>
      </c>
      <c r="AD1936" s="138">
        <v>15.9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107</v>
      </c>
      <c r="F1937" s="96" t="s">
        <v>113</v>
      </c>
      <c r="G1937" s="97">
        <v>46132</v>
      </c>
      <c r="H1937" s="98">
        <v>0.7733796296296296</v>
      </c>
      <c r="I1937" s="50">
        <v>166004821</v>
      </c>
      <c r="J1937" s="96" t="s">
        <v>157</v>
      </c>
      <c r="K1937" s="49" t="s">
        <v>2994</v>
      </c>
      <c r="L1937" s="39" t="s">
        <v>2995</v>
      </c>
      <c r="M1937" s="49" t="s">
        <v>608</v>
      </c>
      <c r="N1937" s="39" t="s">
        <v>609</v>
      </c>
      <c r="O1937" s="96" t="s">
        <v>2996</v>
      </c>
      <c r="P1937" s="49" t="s">
        <v>235</v>
      </c>
      <c r="Q1937" s="96" t="s">
        <v>236</v>
      </c>
      <c r="R1937" s="52">
        <v>16.9</v>
      </c>
      <c r="S1937" s="52">
        <f>R1937-T1937</f>
        <v>15.089285714285714</v>
      </c>
      <c r="T1937" s="52">
        <f>R1937*U1937/(U1937+100)</f>
        <v>1.8107142857142855</v>
      </c>
      <c r="U1937" s="50">
        <v>12</v>
      </c>
      <c r="V1937" s="53">
        <v>0</v>
      </c>
      <c r="W1937" s="147">
        <v>1</v>
      </c>
      <c r="X1937" s="148" t="s">
        <v>163</v>
      </c>
      <c r="Y1937" s="54">
        <f>R1937*W1937</f>
        <v>16.9</v>
      </c>
      <c r="Z1937" s="52">
        <f>S1937*W1937</f>
        <v>15.089285714285714</v>
      </c>
      <c r="AA1937" s="52">
        <f>T1937*W1937</f>
        <v>1.8107142857142855</v>
      </c>
      <c r="AB1937" s="52">
        <f>V1937*W1937</f>
        <v>0</v>
      </c>
      <c r="AC1937" s="53">
        <f>(R1937+V1937)*W1937</f>
        <v>16.9</v>
      </c>
      <c r="AD1937" s="138">
        <v>16.9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107</v>
      </c>
      <c r="F1938" s="96" t="s">
        <v>113</v>
      </c>
      <c r="G1938" s="97">
        <v>46132</v>
      </c>
      <c r="H1938" s="98">
        <v>0.7733796296296296</v>
      </c>
      <c r="I1938" s="50">
        <v>166004821</v>
      </c>
      <c r="J1938" s="96" t="s">
        <v>157</v>
      </c>
      <c r="K1938" s="49" t="s">
        <v>324</v>
      </c>
      <c r="L1938" s="39" t="s">
        <v>325</v>
      </c>
      <c r="M1938" s="49" t="s">
        <v>326</v>
      </c>
      <c r="N1938" s="39" t="s">
        <v>327</v>
      </c>
      <c r="O1938" s="96" t="s">
        <v>2382</v>
      </c>
      <c r="P1938" s="49" t="s">
        <v>157</v>
      </c>
      <c r="Q1938" s="96" t="s">
        <v>104</v>
      </c>
      <c r="R1938" s="52">
        <v>8.4</v>
      </c>
      <c r="S1938" s="52">
        <f>R1938-T1938</f>
        <v>7.5</v>
      </c>
      <c r="T1938" s="52">
        <f>R1938*U1938/(U1938+100)</f>
        <v>0.9000000000000001</v>
      </c>
      <c r="U1938" s="50">
        <v>12</v>
      </c>
      <c r="V1938" s="53">
        <v>0</v>
      </c>
      <c r="W1938" s="147">
        <v>1</v>
      </c>
      <c r="X1938" s="148" t="s">
        <v>163</v>
      </c>
      <c r="Y1938" s="54">
        <f>R1938*W1938</f>
        <v>8.4</v>
      </c>
      <c r="Z1938" s="52">
        <f>S1938*W1938</f>
        <v>7.5</v>
      </c>
      <c r="AA1938" s="52">
        <f>T1938*W1938</f>
        <v>0.9000000000000001</v>
      </c>
      <c r="AB1938" s="52">
        <f>V1938*W1938</f>
        <v>0</v>
      </c>
      <c r="AC1938" s="53">
        <f>(R1938+V1938)*W1938</f>
        <v>8.4</v>
      </c>
      <c r="AD1938" s="138">
        <v>8.4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107</v>
      </c>
      <c r="F1939" s="96" t="s">
        <v>113</v>
      </c>
      <c r="G1939" s="97">
        <v>46132</v>
      </c>
      <c r="H1939" s="98">
        <v>0.7733796296296296</v>
      </c>
      <c r="I1939" s="50">
        <v>166004821</v>
      </c>
      <c r="J1939" s="96" t="s">
        <v>157</v>
      </c>
      <c r="K1939" s="49" t="s">
        <v>2997</v>
      </c>
      <c r="L1939" s="39" t="s">
        <v>2998</v>
      </c>
      <c r="M1939" s="49" t="s">
        <v>1205</v>
      </c>
      <c r="N1939" s="39" t="s">
        <v>490</v>
      </c>
      <c r="O1939" s="96" t="s">
        <v>2999</v>
      </c>
      <c r="P1939" s="49" t="s">
        <v>157</v>
      </c>
      <c r="Q1939" s="96" t="s">
        <v>104</v>
      </c>
      <c r="R1939" s="52">
        <v>35.9</v>
      </c>
      <c r="S1939" s="52">
        <f>R1939-T1939</f>
        <v>32.05357142857143</v>
      </c>
      <c r="T1939" s="52">
        <f>R1939*U1939/(U1939+100)</f>
        <v>3.846428571428571</v>
      </c>
      <c r="U1939" s="50">
        <v>12</v>
      </c>
      <c r="V1939" s="53">
        <v>0</v>
      </c>
      <c r="W1939" s="147">
        <v>1</v>
      </c>
      <c r="X1939" s="148" t="s">
        <v>163</v>
      </c>
      <c r="Y1939" s="54">
        <f>R1939*W1939</f>
        <v>35.9</v>
      </c>
      <c r="Z1939" s="52">
        <f>S1939*W1939</f>
        <v>32.05357142857143</v>
      </c>
      <c r="AA1939" s="52">
        <f>T1939*W1939</f>
        <v>3.846428571428571</v>
      </c>
      <c r="AB1939" s="52">
        <f>V1939*W1939</f>
        <v>0</v>
      </c>
      <c r="AC1939" s="53">
        <f>(R1939+V1939)*W1939</f>
        <v>35.9</v>
      </c>
      <c r="AD1939" s="138">
        <v>35.9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107</v>
      </c>
      <c r="F1940" s="96" t="s">
        <v>113</v>
      </c>
      <c r="G1940" s="97">
        <v>46132</v>
      </c>
      <c r="H1940" s="98">
        <v>0.7733796296296296</v>
      </c>
      <c r="I1940" s="50">
        <v>166004821</v>
      </c>
      <c r="J1940" s="96" t="s">
        <v>157</v>
      </c>
      <c r="K1940" s="49" t="s">
        <v>3000</v>
      </c>
      <c r="L1940" s="39" t="s">
        <v>3001</v>
      </c>
      <c r="M1940" s="49" t="s">
        <v>3002</v>
      </c>
      <c r="N1940" s="39" t="s">
        <v>1475</v>
      </c>
      <c r="O1940" s="96" t="s">
        <v>3003</v>
      </c>
      <c r="P1940" s="49" t="s">
        <v>157</v>
      </c>
      <c r="Q1940" s="96" t="s">
        <v>104</v>
      </c>
      <c r="R1940" s="52">
        <v>32.9</v>
      </c>
      <c r="S1940" s="52">
        <f>R1940-T1940</f>
        <v>29.375</v>
      </c>
      <c r="T1940" s="52">
        <f>R1940*U1940/(U1940+100)</f>
        <v>3.5249999999999995</v>
      </c>
      <c r="U1940" s="50">
        <v>12</v>
      </c>
      <c r="V1940" s="53">
        <v>0</v>
      </c>
      <c r="W1940" s="147">
        <v>1</v>
      </c>
      <c r="X1940" s="148" t="s">
        <v>163</v>
      </c>
      <c r="Y1940" s="54">
        <f>R1940*W1940</f>
        <v>32.9</v>
      </c>
      <c r="Z1940" s="52">
        <f>S1940*W1940</f>
        <v>29.375</v>
      </c>
      <c r="AA1940" s="52">
        <f>T1940*W1940</f>
        <v>3.5249999999999995</v>
      </c>
      <c r="AB1940" s="52">
        <f>V1940*W1940</f>
        <v>0</v>
      </c>
      <c r="AC1940" s="53">
        <f>(R1940+V1940)*W1940</f>
        <v>32.9</v>
      </c>
      <c r="AD1940" s="138">
        <v>32.9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107</v>
      </c>
      <c r="F1941" s="96" t="s">
        <v>113</v>
      </c>
      <c r="G1941" s="97">
        <v>46132</v>
      </c>
      <c r="H1941" s="98">
        <v>0.7733796296296296</v>
      </c>
      <c r="I1941" s="50">
        <v>166004821</v>
      </c>
      <c r="J1941" s="96" t="s">
        <v>157</v>
      </c>
      <c r="K1941" s="49" t="s">
        <v>2625</v>
      </c>
      <c r="L1941" s="39" t="s">
        <v>2626</v>
      </c>
      <c r="M1941" s="49" t="s">
        <v>255</v>
      </c>
      <c r="N1941" s="39" t="s">
        <v>256</v>
      </c>
      <c r="O1941" s="96" t="s">
        <v>2627</v>
      </c>
      <c r="P1941" s="49" t="s">
        <v>157</v>
      </c>
      <c r="Q1941" s="96" t="s">
        <v>104</v>
      </c>
      <c r="R1941" s="52">
        <v>23.9</v>
      </c>
      <c r="S1941" s="52">
        <f>R1941-T1941</f>
        <v>19.752066115702476</v>
      </c>
      <c r="T1941" s="52">
        <f>R1941*U1941/(U1941+100)</f>
        <v>4.147933884297521</v>
      </c>
      <c r="U1941" s="50">
        <v>21</v>
      </c>
      <c r="V1941" s="53">
        <v>0</v>
      </c>
      <c r="W1941" s="147">
        <v>1</v>
      </c>
      <c r="X1941" s="148" t="s">
        <v>163</v>
      </c>
      <c r="Y1941" s="54">
        <f>R1941*W1941</f>
        <v>23.9</v>
      </c>
      <c r="Z1941" s="52">
        <f>S1941*W1941</f>
        <v>19.752066115702476</v>
      </c>
      <c r="AA1941" s="52">
        <f>T1941*W1941</f>
        <v>4.147933884297521</v>
      </c>
      <c r="AB1941" s="52">
        <f>V1941*W1941</f>
        <v>0</v>
      </c>
      <c r="AC1941" s="53">
        <f>(R1941+V1941)*W1941</f>
        <v>23.9</v>
      </c>
      <c r="AD1941" s="138">
        <v>23.9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107</v>
      </c>
      <c r="F1942" s="96" t="s">
        <v>113</v>
      </c>
      <c r="G1942" s="97">
        <v>46132</v>
      </c>
      <c r="H1942" s="98">
        <v>0.7733796296296296</v>
      </c>
      <c r="I1942" s="50">
        <v>166004821</v>
      </c>
      <c r="J1942" s="96" t="s">
        <v>157</v>
      </c>
      <c r="K1942" s="49" t="s">
        <v>2625</v>
      </c>
      <c r="L1942" s="39" t="s">
        <v>2626</v>
      </c>
      <c r="M1942" s="49" t="s">
        <v>255</v>
      </c>
      <c r="N1942" s="39" t="s">
        <v>256</v>
      </c>
      <c r="O1942" s="96" t="s">
        <v>2627</v>
      </c>
      <c r="P1942" s="49" t="s">
        <v>157</v>
      </c>
      <c r="Q1942" s="96" t="s">
        <v>104</v>
      </c>
      <c r="R1942" s="52">
        <v>23.9</v>
      </c>
      <c r="S1942" s="52">
        <f>R1942-T1942</f>
        <v>19.752066115702476</v>
      </c>
      <c r="T1942" s="52">
        <f>R1942*U1942/(U1942+100)</f>
        <v>4.147933884297521</v>
      </c>
      <c r="U1942" s="50">
        <v>21</v>
      </c>
      <c r="V1942" s="53">
        <v>0</v>
      </c>
      <c r="W1942" s="147">
        <v>1</v>
      </c>
      <c r="X1942" s="148" t="s">
        <v>163</v>
      </c>
      <c r="Y1942" s="54">
        <f>R1942*W1942</f>
        <v>23.9</v>
      </c>
      <c r="Z1942" s="52">
        <f>S1942*W1942</f>
        <v>19.752066115702476</v>
      </c>
      <c r="AA1942" s="52">
        <f>T1942*W1942</f>
        <v>4.147933884297521</v>
      </c>
      <c r="AB1942" s="52">
        <f>V1942*W1942</f>
        <v>0</v>
      </c>
      <c r="AC1942" s="53">
        <f>(R1942+V1942)*W1942</f>
        <v>23.9</v>
      </c>
      <c r="AD1942" s="138">
        <v>23.9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107</v>
      </c>
      <c r="F1943" s="96" t="s">
        <v>113</v>
      </c>
      <c r="G1943" s="97">
        <v>46132</v>
      </c>
      <c r="H1943" s="98">
        <v>0.7733796296296296</v>
      </c>
      <c r="I1943" s="50">
        <v>166004821</v>
      </c>
      <c r="J1943" s="96" t="s">
        <v>157</v>
      </c>
      <c r="K1943" s="49" t="s">
        <v>1440</v>
      </c>
      <c r="L1943" s="39" t="s">
        <v>1441</v>
      </c>
      <c r="M1943" s="49" t="s">
        <v>190</v>
      </c>
      <c r="N1943" s="39" t="s">
        <v>191</v>
      </c>
      <c r="O1943" s="96" t="s">
        <v>1442</v>
      </c>
      <c r="P1943" s="49" t="s">
        <v>157</v>
      </c>
      <c r="Q1943" s="96" t="s">
        <v>104</v>
      </c>
      <c r="R1943" s="52">
        <v>8.9</v>
      </c>
      <c r="S1943" s="52">
        <f>R1943-T1943</f>
        <v>7.946428571428572</v>
      </c>
      <c r="T1943" s="52">
        <f>R1943*U1943/(U1943+100)</f>
        <v>0.9535714285714286</v>
      </c>
      <c r="U1943" s="50">
        <v>12</v>
      </c>
      <c r="V1943" s="53">
        <v>0</v>
      </c>
      <c r="W1943" s="147">
        <v>1.936</v>
      </c>
      <c r="X1943" s="148" t="s">
        <v>193</v>
      </c>
      <c r="Y1943" s="54">
        <f>R1943*W1943</f>
        <v>17.2304</v>
      </c>
      <c r="Z1943" s="52">
        <f>S1943*W1943</f>
        <v>15.384285714285715</v>
      </c>
      <c r="AA1943" s="52">
        <f>T1943*W1943</f>
        <v>1.8461142857142858</v>
      </c>
      <c r="AB1943" s="52">
        <f>V1943*W1943</f>
        <v>0</v>
      </c>
      <c r="AC1943" s="53">
        <f>(R1943+V1943)*W1943</f>
        <v>17.2304</v>
      </c>
      <c r="AD1943" s="138">
        <v>8.9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107</v>
      </c>
      <c r="F1944" s="96" t="s">
        <v>113</v>
      </c>
      <c r="G1944" s="97">
        <v>46132</v>
      </c>
      <c r="H1944" s="98">
        <v>0.7733796296296296</v>
      </c>
      <c r="I1944" s="50">
        <v>166004821</v>
      </c>
      <c r="J1944" s="96" t="s">
        <v>157</v>
      </c>
      <c r="K1944" s="49" t="s">
        <v>3004</v>
      </c>
      <c r="L1944" s="39" t="s">
        <v>3005</v>
      </c>
      <c r="M1944" s="49" t="s">
        <v>277</v>
      </c>
      <c r="N1944" s="39" t="s">
        <v>373</v>
      </c>
      <c r="O1944" s="96" t="s">
        <v>3006</v>
      </c>
      <c r="P1944" s="49" t="s">
        <v>157</v>
      </c>
      <c r="Q1944" s="96" t="s">
        <v>104</v>
      </c>
      <c r="R1944" s="52">
        <v>247.9</v>
      </c>
      <c r="S1944" s="52">
        <f>R1944-T1944</f>
        <v>221.33928571428572</v>
      </c>
      <c r="T1944" s="52">
        <f>R1944*U1944/(U1944+100)</f>
        <v>26.560714285714287</v>
      </c>
      <c r="U1944" s="50">
        <v>12</v>
      </c>
      <c r="V1944" s="53">
        <v>0</v>
      </c>
      <c r="W1944" s="147">
        <v>0.28</v>
      </c>
      <c r="X1944" s="148" t="s">
        <v>193</v>
      </c>
      <c r="Y1944" s="54">
        <f>R1944*W1944</f>
        <v>69.412</v>
      </c>
      <c r="Z1944" s="52">
        <f>S1944*W1944</f>
        <v>61.97500000000001</v>
      </c>
      <c r="AA1944" s="52">
        <f>T1944*W1944</f>
        <v>7.437000000000001</v>
      </c>
      <c r="AB1944" s="52">
        <f>V1944*W1944</f>
        <v>0</v>
      </c>
      <c r="AC1944" s="53">
        <f>(R1944+V1944)*W1944</f>
        <v>69.412</v>
      </c>
      <c r="AD1944" s="138">
        <v>247.9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107</v>
      </c>
      <c r="F1945" s="96" t="s">
        <v>113</v>
      </c>
      <c r="G1945" s="97">
        <v>46132</v>
      </c>
      <c r="H1945" s="98">
        <v>0.773912037037037</v>
      </c>
      <c r="I1945" s="50">
        <v>166004822</v>
      </c>
      <c r="J1945" s="96" t="s">
        <v>157</v>
      </c>
      <c r="K1945" s="49" t="s">
        <v>3007</v>
      </c>
      <c r="L1945" s="39" t="s">
        <v>3008</v>
      </c>
      <c r="M1945" s="49" t="s">
        <v>1153</v>
      </c>
      <c r="N1945" s="39" t="s">
        <v>505</v>
      </c>
      <c r="O1945" s="96" t="s">
        <v>3009</v>
      </c>
      <c r="P1945" s="49" t="s">
        <v>157</v>
      </c>
      <c r="Q1945" s="96" t="s">
        <v>104</v>
      </c>
      <c r="R1945" s="52">
        <v>37.9</v>
      </c>
      <c r="S1945" s="52">
        <f>R1945-T1945</f>
        <v>33.839285714285715</v>
      </c>
      <c r="T1945" s="52">
        <f>R1945*U1945/(U1945+100)</f>
        <v>4.060714285714285</v>
      </c>
      <c r="U1945" s="50">
        <v>12</v>
      </c>
      <c r="V1945" s="53">
        <v>0</v>
      </c>
      <c r="W1945" s="147">
        <v>1</v>
      </c>
      <c r="X1945" s="148" t="s">
        <v>163</v>
      </c>
      <c r="Y1945" s="54">
        <f>R1945*W1945</f>
        <v>37.9</v>
      </c>
      <c r="Z1945" s="52">
        <f>S1945*W1945</f>
        <v>33.839285714285715</v>
      </c>
      <c r="AA1945" s="52">
        <f>T1945*W1945</f>
        <v>4.060714285714285</v>
      </c>
      <c r="AB1945" s="52">
        <f>V1945*W1945</f>
        <v>0</v>
      </c>
      <c r="AC1945" s="53">
        <f>(R1945+V1945)*W1945</f>
        <v>37.9</v>
      </c>
      <c r="AD1945" s="138">
        <v>37.9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107</v>
      </c>
      <c r="F1946" s="96" t="s">
        <v>113</v>
      </c>
      <c r="G1946" s="97">
        <v>46132</v>
      </c>
      <c r="H1946" s="98">
        <v>0.773912037037037</v>
      </c>
      <c r="I1946" s="50">
        <v>166004822</v>
      </c>
      <c r="J1946" s="96" t="s">
        <v>157</v>
      </c>
      <c r="K1946" s="49" t="s">
        <v>3010</v>
      </c>
      <c r="L1946" s="39" t="s">
        <v>3011</v>
      </c>
      <c r="M1946" s="49" t="s">
        <v>792</v>
      </c>
      <c r="N1946" s="39" t="s">
        <v>404</v>
      </c>
      <c r="O1946" s="96" t="s">
        <v>3012</v>
      </c>
      <c r="P1946" s="49" t="s">
        <v>157</v>
      </c>
      <c r="Q1946" s="96" t="s">
        <v>104</v>
      </c>
      <c r="R1946" s="52">
        <v>16.9</v>
      </c>
      <c r="S1946" s="52">
        <f>R1946-T1946</f>
        <v>15.089285714285714</v>
      </c>
      <c r="T1946" s="52">
        <f>R1946*U1946/(U1946+100)</f>
        <v>1.8107142857142855</v>
      </c>
      <c r="U1946" s="50">
        <v>12</v>
      </c>
      <c r="V1946" s="53">
        <v>0</v>
      </c>
      <c r="W1946" s="147">
        <v>1</v>
      </c>
      <c r="X1946" s="148" t="s">
        <v>163</v>
      </c>
      <c r="Y1946" s="54">
        <f>R1946*W1946</f>
        <v>16.9</v>
      </c>
      <c r="Z1946" s="52">
        <f>S1946*W1946</f>
        <v>15.089285714285714</v>
      </c>
      <c r="AA1946" s="52">
        <f>T1946*W1946</f>
        <v>1.8107142857142855</v>
      </c>
      <c r="AB1946" s="52">
        <f>V1946*W1946</f>
        <v>0</v>
      </c>
      <c r="AC1946" s="53">
        <f>(R1946+V1946)*W1946</f>
        <v>16.9</v>
      </c>
      <c r="AD1946" s="138">
        <v>16.9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107</v>
      </c>
      <c r="F1947" s="96" t="s">
        <v>113</v>
      </c>
      <c r="G1947" s="97">
        <v>46132</v>
      </c>
      <c r="H1947" s="98">
        <v>0.773912037037037</v>
      </c>
      <c r="I1947" s="50">
        <v>166004822</v>
      </c>
      <c r="J1947" s="96" t="s">
        <v>157</v>
      </c>
      <c r="K1947" s="49" t="s">
        <v>3013</v>
      </c>
      <c r="L1947" s="39" t="s">
        <v>3014</v>
      </c>
      <c r="M1947" s="49" t="s">
        <v>547</v>
      </c>
      <c r="N1947" s="39" t="s">
        <v>548</v>
      </c>
      <c r="O1947" s="96" t="s">
        <v>3015</v>
      </c>
      <c r="P1947" s="49" t="s">
        <v>157</v>
      </c>
      <c r="Q1947" s="96" t="s">
        <v>104</v>
      </c>
      <c r="R1947" s="52">
        <v>18.9</v>
      </c>
      <c r="S1947" s="52">
        <f>R1947-T1947</f>
        <v>16.875</v>
      </c>
      <c r="T1947" s="52">
        <f>R1947*U1947/(U1947+100)</f>
        <v>2.025</v>
      </c>
      <c r="U1947" s="50">
        <v>12</v>
      </c>
      <c r="V1947" s="53">
        <v>0</v>
      </c>
      <c r="W1947" s="147">
        <v>1</v>
      </c>
      <c r="X1947" s="148" t="s">
        <v>163</v>
      </c>
      <c r="Y1947" s="54">
        <f>R1947*W1947</f>
        <v>18.9</v>
      </c>
      <c r="Z1947" s="52">
        <f>S1947*W1947</f>
        <v>16.875</v>
      </c>
      <c r="AA1947" s="52">
        <f>T1947*W1947</f>
        <v>2.025</v>
      </c>
      <c r="AB1947" s="52">
        <f>V1947*W1947</f>
        <v>0</v>
      </c>
      <c r="AC1947" s="53">
        <f>(R1947+V1947)*W1947</f>
        <v>18.9</v>
      </c>
      <c r="AD1947" s="138">
        <v>18.9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107</v>
      </c>
      <c r="F1948" s="96" t="s">
        <v>113</v>
      </c>
      <c r="G1948" s="97">
        <v>46132</v>
      </c>
      <c r="H1948" s="98">
        <v>0.7741203703703704</v>
      </c>
      <c r="I1948" s="50">
        <v>166004823</v>
      </c>
      <c r="J1948" s="96" t="s">
        <v>157</v>
      </c>
      <c r="K1948" s="49" t="s">
        <v>3016</v>
      </c>
      <c r="L1948" s="39" t="s">
        <v>3017</v>
      </c>
      <c r="M1948" s="49" t="s">
        <v>862</v>
      </c>
      <c r="N1948" s="39" t="s">
        <v>863</v>
      </c>
      <c r="O1948" s="96" t="s">
        <v>3018</v>
      </c>
      <c r="P1948" s="49" t="s">
        <v>157</v>
      </c>
      <c r="Q1948" s="96" t="s">
        <v>104</v>
      </c>
      <c r="R1948" s="52">
        <v>161</v>
      </c>
      <c r="S1948" s="52">
        <f>R1948-T1948</f>
        <v>133.05785123966942</v>
      </c>
      <c r="T1948" s="52">
        <f>R1948*U1948/(U1948+100)</f>
        <v>27.94214876033058</v>
      </c>
      <c r="U1948" s="50">
        <v>21</v>
      </c>
      <c r="V1948" s="53">
        <v>0</v>
      </c>
      <c r="W1948" s="147">
        <v>1</v>
      </c>
      <c r="X1948" s="148" t="s">
        <v>163</v>
      </c>
      <c r="Y1948" s="54">
        <f>R1948*W1948</f>
        <v>161</v>
      </c>
      <c r="Z1948" s="52">
        <f>S1948*W1948</f>
        <v>133.05785123966942</v>
      </c>
      <c r="AA1948" s="52">
        <f>T1948*W1948</f>
        <v>27.94214876033058</v>
      </c>
      <c r="AB1948" s="52">
        <f>V1948*W1948</f>
        <v>0</v>
      </c>
      <c r="AC1948" s="53">
        <f>(R1948+V1948)*W1948</f>
        <v>161</v>
      </c>
      <c r="AD1948" s="138">
        <v>161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107</v>
      </c>
      <c r="F1949" s="96" t="s">
        <v>113</v>
      </c>
      <c r="G1949" s="97">
        <v>46132</v>
      </c>
      <c r="H1949" s="98">
        <v>0.7743518518518518</v>
      </c>
      <c r="I1949" s="50">
        <v>166004824</v>
      </c>
      <c r="J1949" s="96" t="s">
        <v>157</v>
      </c>
      <c r="K1949" s="49" t="s">
        <v>2988</v>
      </c>
      <c r="L1949" s="39" t="s">
        <v>2989</v>
      </c>
      <c r="M1949" s="49" t="s">
        <v>862</v>
      </c>
      <c r="N1949" s="39" t="s">
        <v>863</v>
      </c>
      <c r="O1949" s="96" t="s">
        <v>2990</v>
      </c>
      <c r="P1949" s="49" t="s">
        <v>157</v>
      </c>
      <c r="Q1949" s="96" t="s">
        <v>104</v>
      </c>
      <c r="R1949" s="52">
        <v>162</v>
      </c>
      <c r="S1949" s="52">
        <f>R1949-T1949</f>
        <v>133.88429752066116</v>
      </c>
      <c r="T1949" s="52">
        <f>R1949*U1949/(U1949+100)</f>
        <v>28.115702479338843</v>
      </c>
      <c r="U1949" s="50">
        <v>21</v>
      </c>
      <c r="V1949" s="53">
        <v>0</v>
      </c>
      <c r="W1949" s="147">
        <v>1</v>
      </c>
      <c r="X1949" s="148" t="s">
        <v>163</v>
      </c>
      <c r="Y1949" s="54">
        <f>R1949*W1949</f>
        <v>162</v>
      </c>
      <c r="Z1949" s="52">
        <f>S1949*W1949</f>
        <v>133.88429752066116</v>
      </c>
      <c r="AA1949" s="52">
        <f>T1949*W1949</f>
        <v>28.115702479338843</v>
      </c>
      <c r="AB1949" s="52">
        <f>V1949*W1949</f>
        <v>0</v>
      </c>
      <c r="AC1949" s="53">
        <f>(R1949+V1949)*W1949</f>
        <v>162</v>
      </c>
      <c r="AD1949" s="138">
        <v>162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107</v>
      </c>
      <c r="F1950" s="96" t="s">
        <v>113</v>
      </c>
      <c r="G1950" s="97">
        <v>46132</v>
      </c>
      <c r="H1950" s="98">
        <v>0.7752083333333334</v>
      </c>
      <c r="I1950" s="50">
        <v>166004825</v>
      </c>
      <c r="J1950" s="96" t="s">
        <v>157</v>
      </c>
      <c r="K1950" s="49" t="s">
        <v>2228</v>
      </c>
      <c r="L1950" s="39" t="s">
        <v>2229</v>
      </c>
      <c r="M1950" s="49" t="s">
        <v>196</v>
      </c>
      <c r="N1950" s="39" t="s">
        <v>197</v>
      </c>
      <c r="O1950" s="96" t="s">
        <v>2230</v>
      </c>
      <c r="P1950" s="49" t="s">
        <v>157</v>
      </c>
      <c r="Q1950" s="96" t="s">
        <v>104</v>
      </c>
      <c r="R1950" s="52">
        <v>6.9</v>
      </c>
      <c r="S1950" s="52">
        <f>R1950-T1950</f>
        <v>6.160714285714286</v>
      </c>
      <c r="T1950" s="52">
        <f>R1950*U1950/(U1950+100)</f>
        <v>0.7392857142857144</v>
      </c>
      <c r="U1950" s="50">
        <v>12</v>
      </c>
      <c r="V1950" s="53">
        <v>0</v>
      </c>
      <c r="W1950" s="147">
        <v>1</v>
      </c>
      <c r="X1950" s="148" t="s">
        <v>163</v>
      </c>
      <c r="Y1950" s="54">
        <f>R1950*W1950</f>
        <v>6.9</v>
      </c>
      <c r="Z1950" s="52">
        <f>S1950*W1950</f>
        <v>6.160714285714286</v>
      </c>
      <c r="AA1950" s="52">
        <f>T1950*W1950</f>
        <v>0.7392857142857144</v>
      </c>
      <c r="AB1950" s="52">
        <f>V1950*W1950</f>
        <v>0</v>
      </c>
      <c r="AC1950" s="53">
        <f>(R1950+V1950)*W1950</f>
        <v>6.9</v>
      </c>
      <c r="AD1950" s="138">
        <v>6.9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107</v>
      </c>
      <c r="F1951" s="96" t="s">
        <v>113</v>
      </c>
      <c r="G1951" s="97">
        <v>46132</v>
      </c>
      <c r="H1951" s="98">
        <v>0.7752083333333334</v>
      </c>
      <c r="I1951" s="50">
        <v>166004825</v>
      </c>
      <c r="J1951" s="96" t="s">
        <v>157</v>
      </c>
      <c r="K1951" s="49" t="s">
        <v>2228</v>
      </c>
      <c r="L1951" s="39" t="s">
        <v>2229</v>
      </c>
      <c r="M1951" s="49" t="s">
        <v>196</v>
      </c>
      <c r="N1951" s="39" t="s">
        <v>197</v>
      </c>
      <c r="O1951" s="96" t="s">
        <v>2230</v>
      </c>
      <c r="P1951" s="49" t="s">
        <v>157</v>
      </c>
      <c r="Q1951" s="96" t="s">
        <v>104</v>
      </c>
      <c r="R1951" s="52">
        <v>6.9</v>
      </c>
      <c r="S1951" s="52">
        <f>R1951-T1951</f>
        <v>6.160714285714286</v>
      </c>
      <c r="T1951" s="52">
        <f>R1951*U1951/(U1951+100)</f>
        <v>0.7392857142857144</v>
      </c>
      <c r="U1951" s="50">
        <v>12</v>
      </c>
      <c r="V1951" s="53">
        <v>0</v>
      </c>
      <c r="W1951" s="147">
        <v>1</v>
      </c>
      <c r="X1951" s="148" t="s">
        <v>163</v>
      </c>
      <c r="Y1951" s="54">
        <f>R1951*W1951</f>
        <v>6.9</v>
      </c>
      <c r="Z1951" s="52">
        <f>S1951*W1951</f>
        <v>6.160714285714286</v>
      </c>
      <c r="AA1951" s="52">
        <f>T1951*W1951</f>
        <v>0.7392857142857144</v>
      </c>
      <c r="AB1951" s="52">
        <f>V1951*W1951</f>
        <v>0</v>
      </c>
      <c r="AC1951" s="53">
        <f>(R1951+V1951)*W1951</f>
        <v>6.9</v>
      </c>
      <c r="AD1951" s="138">
        <v>6.9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107</v>
      </c>
      <c r="F1952" s="96" t="s">
        <v>113</v>
      </c>
      <c r="G1952" s="97">
        <v>46132</v>
      </c>
      <c r="H1952" s="98">
        <v>0.7752083333333334</v>
      </c>
      <c r="I1952" s="50">
        <v>166004825</v>
      </c>
      <c r="J1952" s="96" t="s">
        <v>157</v>
      </c>
      <c r="K1952" s="49" t="s">
        <v>1620</v>
      </c>
      <c r="L1952" s="39" t="s">
        <v>1621</v>
      </c>
      <c r="M1952" s="49" t="s">
        <v>527</v>
      </c>
      <c r="N1952" s="39" t="s">
        <v>1622</v>
      </c>
      <c r="O1952" s="96" t="s">
        <v>1623</v>
      </c>
      <c r="P1952" s="49" t="s">
        <v>235</v>
      </c>
      <c r="Q1952" s="96" t="s">
        <v>236</v>
      </c>
      <c r="R1952" s="52">
        <v>24.9</v>
      </c>
      <c r="S1952" s="52">
        <f>R1952-T1952</f>
        <v>22.232142857142858</v>
      </c>
      <c r="T1952" s="52">
        <f>R1952*U1952/(U1952+100)</f>
        <v>2.6678571428571423</v>
      </c>
      <c r="U1952" s="50">
        <v>12</v>
      </c>
      <c r="V1952" s="53">
        <v>0</v>
      </c>
      <c r="W1952" s="147">
        <v>1</v>
      </c>
      <c r="X1952" s="148" t="s">
        <v>163</v>
      </c>
      <c r="Y1952" s="54">
        <f>R1952*W1952</f>
        <v>24.9</v>
      </c>
      <c r="Z1952" s="52">
        <f>S1952*W1952</f>
        <v>22.232142857142858</v>
      </c>
      <c r="AA1952" s="52">
        <f>T1952*W1952</f>
        <v>2.6678571428571423</v>
      </c>
      <c r="AB1952" s="52">
        <f>V1952*W1952</f>
        <v>0</v>
      </c>
      <c r="AC1952" s="53">
        <f>(R1952+V1952)*W1952</f>
        <v>24.9</v>
      </c>
      <c r="AD1952" s="138">
        <v>24.9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107</v>
      </c>
      <c r="F1953" s="96" t="s">
        <v>113</v>
      </c>
      <c r="G1953" s="97">
        <v>46132</v>
      </c>
      <c r="H1953" s="98">
        <v>0.7752083333333334</v>
      </c>
      <c r="I1953" s="50">
        <v>166004825</v>
      </c>
      <c r="J1953" s="96" t="s">
        <v>157</v>
      </c>
      <c r="K1953" s="49" t="s">
        <v>1620</v>
      </c>
      <c r="L1953" s="39" t="s">
        <v>1621</v>
      </c>
      <c r="M1953" s="49" t="s">
        <v>527</v>
      </c>
      <c r="N1953" s="39" t="s">
        <v>1622</v>
      </c>
      <c r="O1953" s="96" t="s">
        <v>1623</v>
      </c>
      <c r="P1953" s="49" t="s">
        <v>235</v>
      </c>
      <c r="Q1953" s="96" t="s">
        <v>236</v>
      </c>
      <c r="R1953" s="52">
        <v>24.9</v>
      </c>
      <c r="S1953" s="52">
        <f>R1953-T1953</f>
        <v>22.232142857142858</v>
      </c>
      <c r="T1953" s="52">
        <f>R1953*U1953/(U1953+100)</f>
        <v>2.6678571428571423</v>
      </c>
      <c r="U1953" s="50">
        <v>12</v>
      </c>
      <c r="V1953" s="53">
        <v>0</v>
      </c>
      <c r="W1953" s="147">
        <v>1</v>
      </c>
      <c r="X1953" s="148" t="s">
        <v>163</v>
      </c>
      <c r="Y1953" s="54">
        <f>R1953*W1953</f>
        <v>24.9</v>
      </c>
      <c r="Z1953" s="52">
        <f>S1953*W1953</f>
        <v>22.232142857142858</v>
      </c>
      <c r="AA1953" s="52">
        <f>T1953*W1953</f>
        <v>2.6678571428571423</v>
      </c>
      <c r="AB1953" s="52">
        <f>V1953*W1953</f>
        <v>0</v>
      </c>
      <c r="AC1953" s="53">
        <f>(R1953+V1953)*W1953</f>
        <v>24.9</v>
      </c>
      <c r="AD1953" s="138">
        <v>24.9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107</v>
      </c>
      <c r="F1954" s="96" t="s">
        <v>113</v>
      </c>
      <c r="G1954" s="97">
        <v>46132</v>
      </c>
      <c r="H1954" s="98">
        <v>0.7752083333333334</v>
      </c>
      <c r="I1954" s="50">
        <v>166004825</v>
      </c>
      <c r="J1954" s="96" t="s">
        <v>157</v>
      </c>
      <c r="K1954" s="49" t="s">
        <v>2430</v>
      </c>
      <c r="L1954" s="39" t="s">
        <v>2431</v>
      </c>
      <c r="M1954" s="49" t="s">
        <v>1647</v>
      </c>
      <c r="N1954" s="39" t="s">
        <v>838</v>
      </c>
      <c r="O1954" s="96" t="s">
        <v>2432</v>
      </c>
      <c r="P1954" s="49" t="s">
        <v>157</v>
      </c>
      <c r="Q1954" s="96" t="s">
        <v>104</v>
      </c>
      <c r="R1954" s="52">
        <v>44.03</v>
      </c>
      <c r="S1954" s="52">
        <f>R1954-T1954</f>
        <v>39.3125</v>
      </c>
      <c r="T1954" s="52">
        <f>R1954*U1954/(U1954+100)</f>
        <v>4.7175</v>
      </c>
      <c r="U1954" s="50">
        <v>12</v>
      </c>
      <c r="V1954" s="53">
        <v>0</v>
      </c>
      <c r="W1954" s="147">
        <v>1</v>
      </c>
      <c r="X1954" s="148" t="s">
        <v>163</v>
      </c>
      <c r="Y1954" s="54">
        <f>R1954*W1954</f>
        <v>44.03</v>
      </c>
      <c r="Z1954" s="52">
        <f>S1954*W1954</f>
        <v>39.3125</v>
      </c>
      <c r="AA1954" s="52">
        <f>T1954*W1954</f>
        <v>4.7175</v>
      </c>
      <c r="AB1954" s="52">
        <f>V1954*W1954</f>
        <v>0</v>
      </c>
      <c r="AC1954" s="53">
        <f>(R1954+V1954)*W1954</f>
        <v>44.03</v>
      </c>
      <c r="AD1954" s="138">
        <v>62.9</v>
      </c>
      <c r="AE1954" s="137">
        <v>18.87</v>
      </c>
      <c r="AF1954" s="139">
        <v>18.87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107</v>
      </c>
      <c r="F1955" s="96" t="s">
        <v>113</v>
      </c>
      <c r="G1955" s="97">
        <v>46132</v>
      </c>
      <c r="H1955" s="98">
        <v>0.7752083333333334</v>
      </c>
      <c r="I1955" s="50">
        <v>166004825</v>
      </c>
      <c r="J1955" s="96" t="s">
        <v>157</v>
      </c>
      <c r="K1955" s="49" t="s">
        <v>3019</v>
      </c>
      <c r="L1955" s="39" t="s">
        <v>3020</v>
      </c>
      <c r="M1955" s="49" t="s">
        <v>1381</v>
      </c>
      <c r="N1955" s="39" t="s">
        <v>1377</v>
      </c>
      <c r="O1955" s="96" t="s">
        <v>3021</v>
      </c>
      <c r="P1955" s="49" t="s">
        <v>157</v>
      </c>
      <c r="Q1955" s="96" t="s">
        <v>104</v>
      </c>
      <c r="R1955" s="52">
        <v>21.9</v>
      </c>
      <c r="S1955" s="52">
        <f>R1955-T1955</f>
        <v>19.553571428571427</v>
      </c>
      <c r="T1955" s="52">
        <f>R1955*U1955/(U1955+100)</f>
        <v>2.346428571428571</v>
      </c>
      <c r="U1955" s="50">
        <v>12</v>
      </c>
      <c r="V1955" s="53">
        <v>0</v>
      </c>
      <c r="W1955" s="147">
        <v>1</v>
      </c>
      <c r="X1955" s="148" t="s">
        <v>163</v>
      </c>
      <c r="Y1955" s="54">
        <f>R1955*W1955</f>
        <v>21.9</v>
      </c>
      <c r="Z1955" s="52">
        <f>S1955*W1955</f>
        <v>19.553571428571427</v>
      </c>
      <c r="AA1955" s="52">
        <f>T1955*W1955</f>
        <v>2.346428571428571</v>
      </c>
      <c r="AB1955" s="52">
        <f>V1955*W1955</f>
        <v>0</v>
      </c>
      <c r="AC1955" s="53">
        <f>(R1955+V1955)*W1955</f>
        <v>21.9</v>
      </c>
      <c r="AD1955" s="138">
        <v>21.9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107</v>
      </c>
      <c r="F1956" s="96" t="s">
        <v>113</v>
      </c>
      <c r="G1956" s="97">
        <v>46132</v>
      </c>
      <c r="H1956" s="98">
        <v>0.7752083333333334</v>
      </c>
      <c r="I1956" s="50">
        <v>166004825</v>
      </c>
      <c r="J1956" s="96" t="s">
        <v>157</v>
      </c>
      <c r="K1956" s="49" t="s">
        <v>655</v>
      </c>
      <c r="L1956" s="39" t="s">
        <v>656</v>
      </c>
      <c r="M1956" s="49" t="s">
        <v>190</v>
      </c>
      <c r="N1956" s="39" t="s">
        <v>532</v>
      </c>
      <c r="O1956" s="96" t="s">
        <v>657</v>
      </c>
      <c r="P1956" s="49" t="s">
        <v>157</v>
      </c>
      <c r="Q1956" s="96" t="s">
        <v>104</v>
      </c>
      <c r="R1956" s="52">
        <v>17.95</v>
      </c>
      <c r="S1956" s="52">
        <f>R1956-T1956</f>
        <v>16.026785714285715</v>
      </c>
      <c r="T1956" s="52">
        <f>R1956*U1956/(U1956+100)</f>
        <v>1.9232142857142855</v>
      </c>
      <c r="U1956" s="50">
        <v>12</v>
      </c>
      <c r="V1956" s="53">
        <v>0</v>
      </c>
      <c r="W1956" s="147">
        <v>0.598</v>
      </c>
      <c r="X1956" s="148" t="s">
        <v>193</v>
      </c>
      <c r="Y1956" s="54">
        <f>R1956*W1956</f>
        <v>10.7341</v>
      </c>
      <c r="Z1956" s="52">
        <f>S1956*W1956</f>
        <v>9.584017857142857</v>
      </c>
      <c r="AA1956" s="52">
        <f>T1956*W1956</f>
        <v>1.1500821428571426</v>
      </c>
      <c r="AB1956" s="52">
        <f>V1956*W1956</f>
        <v>0</v>
      </c>
      <c r="AC1956" s="53">
        <f>(R1956+V1956)*W1956</f>
        <v>10.7341</v>
      </c>
      <c r="AD1956" s="138">
        <v>17.95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107</v>
      </c>
      <c r="F1957" s="96" t="s">
        <v>113</v>
      </c>
      <c r="G1957" s="97">
        <v>46132</v>
      </c>
      <c r="H1957" s="98">
        <v>0.7752083333333334</v>
      </c>
      <c r="I1957" s="50">
        <v>166004825</v>
      </c>
      <c r="J1957" s="96" t="s">
        <v>157</v>
      </c>
      <c r="K1957" s="49" t="s">
        <v>1531</v>
      </c>
      <c r="L1957" s="39"/>
      <c r="M1957" s="49" t="s">
        <v>295</v>
      </c>
      <c r="N1957" s="39" t="s">
        <v>433</v>
      </c>
      <c r="O1957" s="96" t="s">
        <v>1532</v>
      </c>
      <c r="P1957" s="49" t="s">
        <v>235</v>
      </c>
      <c r="Q1957" s="96" t="s">
        <v>1533</v>
      </c>
      <c r="R1957" s="52">
        <v>19.9</v>
      </c>
      <c r="S1957" s="52">
        <f>R1957-T1957</f>
        <v>17.767857142857142</v>
      </c>
      <c r="T1957" s="52">
        <f>R1957*U1957/(U1957+100)</f>
        <v>2.132142857142857</v>
      </c>
      <c r="U1957" s="50">
        <v>12</v>
      </c>
      <c r="V1957" s="53">
        <v>0</v>
      </c>
      <c r="W1957" s="147">
        <v>1</v>
      </c>
      <c r="X1957" s="148" t="s">
        <v>945</v>
      </c>
      <c r="Y1957" s="54">
        <f>R1957*W1957</f>
        <v>19.9</v>
      </c>
      <c r="Z1957" s="52">
        <f>S1957*W1957</f>
        <v>17.767857142857142</v>
      </c>
      <c r="AA1957" s="52">
        <f>T1957*W1957</f>
        <v>2.132142857142857</v>
      </c>
      <c r="AB1957" s="52">
        <f>V1957*W1957</f>
        <v>0</v>
      </c>
      <c r="AC1957" s="53">
        <f>(R1957+V1957)*W1957</f>
        <v>19.9</v>
      </c>
      <c r="AD1957" s="138">
        <v>19.9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107</v>
      </c>
      <c r="F1958" s="96" t="s">
        <v>113</v>
      </c>
      <c r="G1958" s="97">
        <v>46132</v>
      </c>
      <c r="H1958" s="98">
        <v>0.7765972222222223</v>
      </c>
      <c r="I1958" s="50">
        <v>166004826</v>
      </c>
      <c r="J1958" s="96" t="s">
        <v>157</v>
      </c>
      <c r="K1958" s="49" t="s">
        <v>3022</v>
      </c>
      <c r="L1958" s="39" t="s">
        <v>3023</v>
      </c>
      <c r="M1958" s="49" t="s">
        <v>972</v>
      </c>
      <c r="N1958" s="39" t="s">
        <v>256</v>
      </c>
      <c r="O1958" s="96" t="s">
        <v>3024</v>
      </c>
      <c r="P1958" s="49" t="s">
        <v>157</v>
      </c>
      <c r="Q1958" s="96" t="s">
        <v>104</v>
      </c>
      <c r="R1958" s="52">
        <v>21.9</v>
      </c>
      <c r="S1958" s="52">
        <f>R1958-T1958</f>
        <v>18.099173553719005</v>
      </c>
      <c r="T1958" s="52">
        <f>R1958*U1958/(U1958+100)</f>
        <v>3.8008264462809915</v>
      </c>
      <c r="U1958" s="50">
        <v>21</v>
      </c>
      <c r="V1958" s="53">
        <v>0</v>
      </c>
      <c r="W1958" s="147">
        <v>6</v>
      </c>
      <c r="X1958" s="148" t="s">
        <v>163</v>
      </c>
      <c r="Y1958" s="54">
        <f>R1958*W1958</f>
        <v>131.39999999999998</v>
      </c>
      <c r="Z1958" s="52">
        <f>S1958*W1958</f>
        <v>108.59504132231403</v>
      </c>
      <c r="AA1958" s="52">
        <f>T1958*W1958</f>
        <v>22.80495867768595</v>
      </c>
      <c r="AB1958" s="52">
        <f>V1958*W1958</f>
        <v>0</v>
      </c>
      <c r="AC1958" s="53">
        <f>(R1958+V1958)*W1958</f>
        <v>131.39999999999998</v>
      </c>
      <c r="AD1958" s="138">
        <v>21.9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107</v>
      </c>
      <c r="F1959" s="96" t="s">
        <v>113</v>
      </c>
      <c r="G1959" s="97">
        <v>46132</v>
      </c>
      <c r="H1959" s="98">
        <v>0.7771064814814815</v>
      </c>
      <c r="I1959" s="50">
        <v>166004827</v>
      </c>
      <c r="J1959" s="96" t="s">
        <v>157</v>
      </c>
      <c r="K1959" s="49" t="s">
        <v>1158</v>
      </c>
      <c r="L1959" s="39" t="s">
        <v>1159</v>
      </c>
      <c r="M1959" s="49" t="s">
        <v>862</v>
      </c>
      <c r="N1959" s="39" t="s">
        <v>863</v>
      </c>
      <c r="O1959" s="96" t="s">
        <v>1160</v>
      </c>
      <c r="P1959" s="49" t="s">
        <v>157</v>
      </c>
      <c r="Q1959" s="96" t="s">
        <v>104</v>
      </c>
      <c r="R1959" s="52">
        <v>149</v>
      </c>
      <c r="S1959" s="52">
        <f>R1959-T1959</f>
        <v>123.14049586776859</v>
      </c>
      <c r="T1959" s="52">
        <f>R1959*U1959/(U1959+100)</f>
        <v>25.859504132231404</v>
      </c>
      <c r="U1959" s="50">
        <v>21</v>
      </c>
      <c r="V1959" s="53">
        <v>0</v>
      </c>
      <c r="W1959" s="147">
        <v>1</v>
      </c>
      <c r="X1959" s="148" t="s">
        <v>163</v>
      </c>
      <c r="Y1959" s="54">
        <f>R1959*W1959</f>
        <v>149</v>
      </c>
      <c r="Z1959" s="52">
        <f>S1959*W1959</f>
        <v>123.14049586776859</v>
      </c>
      <c r="AA1959" s="52">
        <f>T1959*W1959</f>
        <v>25.859504132231404</v>
      </c>
      <c r="AB1959" s="52">
        <f>V1959*W1959</f>
        <v>0</v>
      </c>
      <c r="AC1959" s="53">
        <f>(R1959+V1959)*W1959</f>
        <v>149</v>
      </c>
      <c r="AD1959" s="138">
        <v>149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107</v>
      </c>
      <c r="F1960" s="96" t="s">
        <v>113</v>
      </c>
      <c r="G1960" s="97">
        <v>46132</v>
      </c>
      <c r="H1960" s="98">
        <v>0.7771064814814815</v>
      </c>
      <c r="I1960" s="50">
        <v>166004827</v>
      </c>
      <c r="J1960" s="96" t="s">
        <v>157</v>
      </c>
      <c r="K1960" s="49" t="s">
        <v>293</v>
      </c>
      <c r="L1960" s="39" t="s">
        <v>294</v>
      </c>
      <c r="M1960" s="49" t="s">
        <v>295</v>
      </c>
      <c r="N1960" s="39" t="s">
        <v>296</v>
      </c>
      <c r="O1960" s="96" t="s">
        <v>297</v>
      </c>
      <c r="P1960" s="49" t="s">
        <v>157</v>
      </c>
      <c r="Q1960" s="96" t="s">
        <v>104</v>
      </c>
      <c r="R1960" s="52">
        <v>2.9</v>
      </c>
      <c r="S1960" s="52">
        <f>R1960-T1960</f>
        <v>2.5892857142857144</v>
      </c>
      <c r="T1960" s="52">
        <f>R1960*U1960/(U1960+100)</f>
        <v>0.31071428571428567</v>
      </c>
      <c r="U1960" s="50">
        <v>12</v>
      </c>
      <c r="V1960" s="53">
        <v>0</v>
      </c>
      <c r="W1960" s="147">
        <v>5</v>
      </c>
      <c r="X1960" s="148" t="s">
        <v>163</v>
      </c>
      <c r="Y1960" s="54">
        <f>R1960*W1960</f>
        <v>14.5</v>
      </c>
      <c r="Z1960" s="52">
        <f>S1960*W1960</f>
        <v>12.946428571428573</v>
      </c>
      <c r="AA1960" s="52">
        <f>T1960*W1960</f>
        <v>1.5535714285714284</v>
      </c>
      <c r="AB1960" s="52">
        <f>V1960*W1960</f>
        <v>0</v>
      </c>
      <c r="AC1960" s="53">
        <f>(R1960+V1960)*W1960</f>
        <v>14.5</v>
      </c>
      <c r="AD1960" s="138">
        <v>2.9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107</v>
      </c>
      <c r="F1961" s="96" t="s">
        <v>113</v>
      </c>
      <c r="G1961" s="97">
        <v>46132</v>
      </c>
      <c r="H1961" s="98">
        <v>0.7780439814814815</v>
      </c>
      <c r="I1961" s="50">
        <v>166004828</v>
      </c>
      <c r="J1961" s="96" t="s">
        <v>157</v>
      </c>
      <c r="K1961" s="49" t="s">
        <v>303</v>
      </c>
      <c r="L1961" s="39" t="s">
        <v>304</v>
      </c>
      <c r="M1961" s="49" t="s">
        <v>214</v>
      </c>
      <c r="N1961" s="39" t="s">
        <v>296</v>
      </c>
      <c r="O1961" s="96" t="s">
        <v>305</v>
      </c>
      <c r="P1961" s="49" t="s">
        <v>157</v>
      </c>
      <c r="Q1961" s="96" t="s">
        <v>104</v>
      </c>
      <c r="R1961" s="52">
        <v>11.9</v>
      </c>
      <c r="S1961" s="52">
        <f>R1961-T1961</f>
        <v>10.625</v>
      </c>
      <c r="T1961" s="52">
        <f>R1961*U1961/(U1961+100)</f>
        <v>1.2750000000000001</v>
      </c>
      <c r="U1961" s="50">
        <v>12</v>
      </c>
      <c r="V1961" s="53">
        <v>0</v>
      </c>
      <c r="W1961" s="147">
        <v>2</v>
      </c>
      <c r="X1961" s="148" t="s">
        <v>163</v>
      </c>
      <c r="Y1961" s="54">
        <f>R1961*W1961</f>
        <v>23.8</v>
      </c>
      <c r="Z1961" s="52">
        <f>S1961*W1961</f>
        <v>21.25</v>
      </c>
      <c r="AA1961" s="52">
        <f>T1961*W1961</f>
        <v>2.5500000000000003</v>
      </c>
      <c r="AB1961" s="52">
        <f>V1961*W1961</f>
        <v>0</v>
      </c>
      <c r="AC1961" s="53">
        <f>(R1961+V1961)*W1961</f>
        <v>23.8</v>
      </c>
      <c r="AD1961" s="138">
        <v>11.9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107</v>
      </c>
      <c r="F1962" s="96" t="s">
        <v>113</v>
      </c>
      <c r="G1962" s="97">
        <v>46132</v>
      </c>
      <c r="H1962" s="98">
        <v>0.7780439814814815</v>
      </c>
      <c r="I1962" s="50">
        <v>166004828</v>
      </c>
      <c r="J1962" s="96" t="s">
        <v>157</v>
      </c>
      <c r="K1962" s="49" t="s">
        <v>1164</v>
      </c>
      <c r="L1962" s="39" t="s">
        <v>1165</v>
      </c>
      <c r="M1962" s="49" t="s">
        <v>277</v>
      </c>
      <c r="N1962" s="39" t="s">
        <v>408</v>
      </c>
      <c r="O1962" s="96" t="s">
        <v>1166</v>
      </c>
      <c r="P1962" s="49" t="s">
        <v>157</v>
      </c>
      <c r="Q1962" s="96" t="s">
        <v>104</v>
      </c>
      <c r="R1962" s="52">
        <v>159.9</v>
      </c>
      <c r="S1962" s="52">
        <f>R1962-T1962</f>
        <v>142.76785714285714</v>
      </c>
      <c r="T1962" s="52">
        <f>R1962*U1962/(U1962+100)</f>
        <v>17.13214285714286</v>
      </c>
      <c r="U1962" s="50">
        <v>12</v>
      </c>
      <c r="V1962" s="53">
        <v>0</v>
      </c>
      <c r="W1962" s="147">
        <v>0.238</v>
      </c>
      <c r="X1962" s="148" t="s">
        <v>410</v>
      </c>
      <c r="Y1962" s="54">
        <f>R1962*W1962</f>
        <v>38.0562</v>
      </c>
      <c r="Z1962" s="52">
        <f>S1962*W1962</f>
        <v>33.97875</v>
      </c>
      <c r="AA1962" s="52">
        <f>T1962*W1962</f>
        <v>4.077450000000001</v>
      </c>
      <c r="AB1962" s="52">
        <f>V1962*W1962</f>
        <v>0</v>
      </c>
      <c r="AC1962" s="53">
        <f>(R1962+V1962)*W1962</f>
        <v>38.0562</v>
      </c>
      <c r="AD1962" s="138">
        <v>159.9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107</v>
      </c>
      <c r="F1963" s="96" t="s">
        <v>113</v>
      </c>
      <c r="G1963" s="97">
        <v>46132</v>
      </c>
      <c r="H1963" s="98">
        <v>0.7784143518518518</v>
      </c>
      <c r="I1963" s="50">
        <v>166004829</v>
      </c>
      <c r="J1963" s="96" t="s">
        <v>157</v>
      </c>
      <c r="K1963" s="49" t="s">
        <v>598</v>
      </c>
      <c r="L1963" s="39" t="s">
        <v>599</v>
      </c>
      <c r="M1963" s="49" t="s">
        <v>600</v>
      </c>
      <c r="N1963" s="39" t="s">
        <v>601</v>
      </c>
      <c r="O1963" s="96" t="s">
        <v>1318</v>
      </c>
      <c r="P1963" s="49" t="s">
        <v>235</v>
      </c>
      <c r="Q1963" s="96" t="s">
        <v>236</v>
      </c>
      <c r="R1963" s="52">
        <v>29.9</v>
      </c>
      <c r="S1963" s="52">
        <f>R1963-T1963</f>
        <v>26.69642857142857</v>
      </c>
      <c r="T1963" s="52">
        <f>R1963*U1963/(U1963+100)</f>
        <v>3.2035714285714283</v>
      </c>
      <c r="U1963" s="50">
        <v>12</v>
      </c>
      <c r="V1963" s="53">
        <v>0</v>
      </c>
      <c r="W1963" s="147">
        <v>1</v>
      </c>
      <c r="X1963" s="148" t="s">
        <v>163</v>
      </c>
      <c r="Y1963" s="54">
        <f>R1963*W1963</f>
        <v>29.9</v>
      </c>
      <c r="Z1963" s="52">
        <f>S1963*W1963</f>
        <v>26.69642857142857</v>
      </c>
      <c r="AA1963" s="52">
        <f>T1963*W1963</f>
        <v>3.2035714285714283</v>
      </c>
      <c r="AB1963" s="52">
        <f>V1963*W1963</f>
        <v>0</v>
      </c>
      <c r="AC1963" s="53">
        <f>(R1963+V1963)*W1963</f>
        <v>29.9</v>
      </c>
      <c r="AD1963" s="138">
        <v>29.9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107</v>
      </c>
      <c r="F1964" s="96" t="s">
        <v>113</v>
      </c>
      <c r="G1964" s="97">
        <v>46132</v>
      </c>
      <c r="H1964" s="98">
        <v>0.7784143518518518</v>
      </c>
      <c r="I1964" s="50">
        <v>166004829</v>
      </c>
      <c r="J1964" s="96" t="s">
        <v>157</v>
      </c>
      <c r="K1964" s="49" t="s">
        <v>3025</v>
      </c>
      <c r="L1964" s="39" t="s">
        <v>3026</v>
      </c>
      <c r="M1964" s="49" t="s">
        <v>300</v>
      </c>
      <c r="N1964" s="39" t="s">
        <v>476</v>
      </c>
      <c r="O1964" s="96" t="s">
        <v>3027</v>
      </c>
      <c r="P1964" s="49" t="s">
        <v>157</v>
      </c>
      <c r="Q1964" s="96" t="s">
        <v>104</v>
      </c>
      <c r="R1964" s="52">
        <v>39.9</v>
      </c>
      <c r="S1964" s="52">
        <f>R1964-T1964</f>
        <v>35.625</v>
      </c>
      <c r="T1964" s="52">
        <f>R1964*U1964/(U1964+100)</f>
        <v>4.2749999999999995</v>
      </c>
      <c r="U1964" s="50">
        <v>12</v>
      </c>
      <c r="V1964" s="53">
        <v>0</v>
      </c>
      <c r="W1964" s="147">
        <v>1</v>
      </c>
      <c r="X1964" s="148" t="s">
        <v>163</v>
      </c>
      <c r="Y1964" s="54">
        <f>R1964*W1964</f>
        <v>39.9</v>
      </c>
      <c r="Z1964" s="52">
        <f>S1964*W1964</f>
        <v>35.625</v>
      </c>
      <c r="AA1964" s="52">
        <f>T1964*W1964</f>
        <v>4.2749999999999995</v>
      </c>
      <c r="AB1964" s="52">
        <f>V1964*W1964</f>
        <v>0</v>
      </c>
      <c r="AC1964" s="53">
        <f>(R1964+V1964)*W1964</f>
        <v>39.9</v>
      </c>
      <c r="AD1964" s="138">
        <v>39.9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107</v>
      </c>
      <c r="F1965" s="96" t="s">
        <v>113</v>
      </c>
      <c r="G1965" s="97">
        <v>46132</v>
      </c>
      <c r="H1965" s="98">
        <v>0.7784143518518518</v>
      </c>
      <c r="I1965" s="50">
        <v>166004829</v>
      </c>
      <c r="J1965" s="96" t="s">
        <v>157</v>
      </c>
      <c r="K1965" s="49" t="s">
        <v>3028</v>
      </c>
      <c r="L1965" s="39" t="s">
        <v>3029</v>
      </c>
      <c r="M1965" s="49" t="s">
        <v>1373</v>
      </c>
      <c r="N1965" s="39" t="s">
        <v>481</v>
      </c>
      <c r="O1965" s="96" t="s">
        <v>3030</v>
      </c>
      <c r="P1965" s="49" t="s">
        <v>157</v>
      </c>
      <c r="Q1965" s="96" t="s">
        <v>104</v>
      </c>
      <c r="R1965" s="52">
        <v>49.9</v>
      </c>
      <c r="S1965" s="52">
        <f>R1965-T1965</f>
        <v>44.55357142857143</v>
      </c>
      <c r="T1965" s="52">
        <f>R1965*U1965/(U1965+100)</f>
        <v>5.346428571428571</v>
      </c>
      <c r="U1965" s="50">
        <v>12</v>
      </c>
      <c r="V1965" s="53">
        <v>0</v>
      </c>
      <c r="W1965" s="147">
        <v>1</v>
      </c>
      <c r="X1965" s="148" t="s">
        <v>163</v>
      </c>
      <c r="Y1965" s="54">
        <f>R1965*W1965</f>
        <v>49.9</v>
      </c>
      <c r="Z1965" s="52">
        <f>S1965*W1965</f>
        <v>44.55357142857143</v>
      </c>
      <c r="AA1965" s="52">
        <f>T1965*W1965</f>
        <v>5.346428571428571</v>
      </c>
      <c r="AB1965" s="52">
        <f>V1965*W1965</f>
        <v>0</v>
      </c>
      <c r="AC1965" s="53">
        <f>(R1965+V1965)*W1965</f>
        <v>49.9</v>
      </c>
      <c r="AD1965" s="138">
        <v>49.9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107</v>
      </c>
      <c r="F1966" s="96" t="s">
        <v>113</v>
      </c>
      <c r="G1966" s="97">
        <v>46132</v>
      </c>
      <c r="H1966" s="98">
        <v>0.7813888888888889</v>
      </c>
      <c r="I1966" s="50">
        <v>166004830</v>
      </c>
      <c r="J1966" s="96" t="s">
        <v>157</v>
      </c>
      <c r="K1966" s="49" t="s">
        <v>3031</v>
      </c>
      <c r="L1966" s="39" t="s">
        <v>3032</v>
      </c>
      <c r="M1966" s="49" t="s">
        <v>1120</v>
      </c>
      <c r="N1966" s="39" t="s">
        <v>513</v>
      </c>
      <c r="O1966" s="96" t="s">
        <v>3033</v>
      </c>
      <c r="P1966" s="49" t="s">
        <v>157</v>
      </c>
      <c r="Q1966" s="96" t="s">
        <v>104</v>
      </c>
      <c r="R1966" s="52">
        <v>44.9</v>
      </c>
      <c r="S1966" s="52">
        <f>R1966-T1966</f>
        <v>40.089285714285715</v>
      </c>
      <c r="T1966" s="52">
        <f>R1966*U1966/(U1966+100)</f>
        <v>4.810714285714285</v>
      </c>
      <c r="U1966" s="50">
        <v>12</v>
      </c>
      <c r="V1966" s="53">
        <v>0</v>
      </c>
      <c r="W1966" s="147">
        <v>1</v>
      </c>
      <c r="X1966" s="148" t="s">
        <v>163</v>
      </c>
      <c r="Y1966" s="54">
        <f>R1966*W1966</f>
        <v>44.9</v>
      </c>
      <c r="Z1966" s="52">
        <f>S1966*W1966</f>
        <v>40.089285714285715</v>
      </c>
      <c r="AA1966" s="52">
        <f>T1966*W1966</f>
        <v>4.810714285714285</v>
      </c>
      <c r="AB1966" s="52">
        <f>V1966*W1966</f>
        <v>0</v>
      </c>
      <c r="AC1966" s="53">
        <f>(R1966+V1966)*W1966</f>
        <v>44.9</v>
      </c>
      <c r="AD1966" s="138">
        <v>44.9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107</v>
      </c>
      <c r="F1967" s="96" t="s">
        <v>113</v>
      </c>
      <c r="G1967" s="97">
        <v>46132</v>
      </c>
      <c r="H1967" s="98">
        <v>0.7813888888888889</v>
      </c>
      <c r="I1967" s="50">
        <v>166004830</v>
      </c>
      <c r="J1967" s="96" t="s">
        <v>157</v>
      </c>
      <c r="K1967" s="49" t="s">
        <v>946</v>
      </c>
      <c r="L1967" s="39" t="s">
        <v>947</v>
      </c>
      <c r="M1967" s="49" t="s">
        <v>318</v>
      </c>
      <c r="N1967" s="39" t="s">
        <v>319</v>
      </c>
      <c r="O1967" s="96" t="s">
        <v>1512</v>
      </c>
      <c r="P1967" s="49" t="s">
        <v>235</v>
      </c>
      <c r="Q1967" s="96" t="s">
        <v>236</v>
      </c>
      <c r="R1967" s="52">
        <v>16.9</v>
      </c>
      <c r="S1967" s="52">
        <f>R1967-T1967</f>
        <v>15.089285714285714</v>
      </c>
      <c r="T1967" s="52">
        <f>R1967*U1967/(U1967+100)</f>
        <v>1.8107142857142855</v>
      </c>
      <c r="U1967" s="50">
        <v>12</v>
      </c>
      <c r="V1967" s="53">
        <v>0</v>
      </c>
      <c r="W1967" s="147">
        <v>1</v>
      </c>
      <c r="X1967" s="148" t="s">
        <v>163</v>
      </c>
      <c r="Y1967" s="54">
        <f>R1967*W1967</f>
        <v>16.9</v>
      </c>
      <c r="Z1967" s="52">
        <f>S1967*W1967</f>
        <v>15.089285714285714</v>
      </c>
      <c r="AA1967" s="52">
        <f>T1967*W1967</f>
        <v>1.8107142857142855</v>
      </c>
      <c r="AB1967" s="52">
        <f>V1967*W1967</f>
        <v>0</v>
      </c>
      <c r="AC1967" s="53">
        <f>(R1967+V1967)*W1967</f>
        <v>16.9</v>
      </c>
      <c r="AD1967" s="138">
        <v>16.9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107</v>
      </c>
      <c r="F1968" s="96" t="s">
        <v>113</v>
      </c>
      <c r="G1968" s="97">
        <v>46132</v>
      </c>
      <c r="H1968" s="98">
        <v>0.7813888888888889</v>
      </c>
      <c r="I1968" s="50">
        <v>166004830</v>
      </c>
      <c r="J1968" s="96" t="s">
        <v>157</v>
      </c>
      <c r="K1968" s="49" t="s">
        <v>946</v>
      </c>
      <c r="L1968" s="39" t="s">
        <v>947</v>
      </c>
      <c r="M1968" s="49" t="s">
        <v>318</v>
      </c>
      <c r="N1968" s="39" t="s">
        <v>319</v>
      </c>
      <c r="O1968" s="96" t="s">
        <v>1512</v>
      </c>
      <c r="P1968" s="49" t="s">
        <v>235</v>
      </c>
      <c r="Q1968" s="96" t="s">
        <v>236</v>
      </c>
      <c r="R1968" s="52">
        <v>16.9</v>
      </c>
      <c r="S1968" s="52">
        <f>R1968-T1968</f>
        <v>15.089285714285714</v>
      </c>
      <c r="T1968" s="52">
        <f>R1968*U1968/(U1968+100)</f>
        <v>1.8107142857142855</v>
      </c>
      <c r="U1968" s="50">
        <v>12</v>
      </c>
      <c r="V1968" s="53">
        <v>0</v>
      </c>
      <c r="W1968" s="147">
        <v>1</v>
      </c>
      <c r="X1968" s="148" t="s">
        <v>163</v>
      </c>
      <c r="Y1968" s="54">
        <f>R1968*W1968</f>
        <v>16.9</v>
      </c>
      <c r="Z1968" s="52">
        <f>S1968*W1968</f>
        <v>15.089285714285714</v>
      </c>
      <c r="AA1968" s="52">
        <f>T1968*W1968</f>
        <v>1.8107142857142855</v>
      </c>
      <c r="AB1968" s="52">
        <f>V1968*W1968</f>
        <v>0</v>
      </c>
      <c r="AC1968" s="53">
        <f>(R1968+V1968)*W1968</f>
        <v>16.9</v>
      </c>
      <c r="AD1968" s="138">
        <v>16.9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107</v>
      </c>
      <c r="F1969" s="96" t="s">
        <v>113</v>
      </c>
      <c r="G1969" s="97">
        <v>46132</v>
      </c>
      <c r="H1969" s="98">
        <v>0.7813888888888889</v>
      </c>
      <c r="I1969" s="50">
        <v>166004830</v>
      </c>
      <c r="J1969" s="96" t="s">
        <v>157</v>
      </c>
      <c r="K1969" s="49" t="s">
        <v>1426</v>
      </c>
      <c r="L1969" s="39" t="s">
        <v>1427</v>
      </c>
      <c r="M1969" s="49" t="s">
        <v>1428</v>
      </c>
      <c r="N1969" s="39" t="s">
        <v>609</v>
      </c>
      <c r="O1969" s="96" t="s">
        <v>1429</v>
      </c>
      <c r="P1969" s="49" t="s">
        <v>157</v>
      </c>
      <c r="Q1969" s="96" t="s">
        <v>104</v>
      </c>
      <c r="R1969" s="52">
        <v>22.9</v>
      </c>
      <c r="S1969" s="52">
        <f>R1969-T1969</f>
        <v>20.44642857142857</v>
      </c>
      <c r="T1969" s="52">
        <f>R1969*U1969/(U1969+100)</f>
        <v>2.4535714285714283</v>
      </c>
      <c r="U1969" s="50">
        <v>12</v>
      </c>
      <c r="V1969" s="53">
        <v>0</v>
      </c>
      <c r="W1969" s="147">
        <v>1</v>
      </c>
      <c r="X1969" s="148" t="s">
        <v>163</v>
      </c>
      <c r="Y1969" s="54">
        <f>R1969*W1969</f>
        <v>22.9</v>
      </c>
      <c r="Z1969" s="52">
        <f>S1969*W1969</f>
        <v>20.44642857142857</v>
      </c>
      <c r="AA1969" s="52">
        <f>T1969*W1969</f>
        <v>2.4535714285714283</v>
      </c>
      <c r="AB1969" s="52">
        <f>V1969*W1969</f>
        <v>0</v>
      </c>
      <c r="AC1969" s="53">
        <f>(R1969+V1969)*W1969</f>
        <v>22.9</v>
      </c>
      <c r="AD1969" s="138">
        <v>22.9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107</v>
      </c>
      <c r="F1970" s="96" t="s">
        <v>113</v>
      </c>
      <c r="G1970" s="97">
        <v>46132</v>
      </c>
      <c r="H1970" s="98">
        <v>0.7813888888888889</v>
      </c>
      <c r="I1970" s="50">
        <v>166004830</v>
      </c>
      <c r="J1970" s="96" t="s">
        <v>157</v>
      </c>
      <c r="K1970" s="49" t="s">
        <v>3034</v>
      </c>
      <c r="L1970" s="39" t="s">
        <v>3035</v>
      </c>
      <c r="M1970" s="49" t="s">
        <v>185</v>
      </c>
      <c r="N1970" s="39" t="s">
        <v>319</v>
      </c>
      <c r="O1970" s="96" t="s">
        <v>3036</v>
      </c>
      <c r="P1970" s="49" t="s">
        <v>157</v>
      </c>
      <c r="Q1970" s="96" t="s">
        <v>104</v>
      </c>
      <c r="R1970" s="52">
        <v>29.9</v>
      </c>
      <c r="S1970" s="52">
        <f>R1970-T1970</f>
        <v>26.69642857142857</v>
      </c>
      <c r="T1970" s="52">
        <f>R1970*U1970/(U1970+100)</f>
        <v>3.2035714285714283</v>
      </c>
      <c r="U1970" s="50">
        <v>12</v>
      </c>
      <c r="V1970" s="53">
        <v>0</v>
      </c>
      <c r="W1970" s="147">
        <v>1</v>
      </c>
      <c r="X1970" s="148" t="s">
        <v>163</v>
      </c>
      <c r="Y1970" s="54">
        <f>R1970*W1970</f>
        <v>29.9</v>
      </c>
      <c r="Z1970" s="52">
        <f>S1970*W1970</f>
        <v>26.69642857142857</v>
      </c>
      <c r="AA1970" s="52">
        <f>T1970*W1970</f>
        <v>3.2035714285714283</v>
      </c>
      <c r="AB1970" s="52">
        <f>V1970*W1970</f>
        <v>0</v>
      </c>
      <c r="AC1970" s="53">
        <f>(R1970+V1970)*W1970</f>
        <v>29.9</v>
      </c>
      <c r="AD1970" s="138">
        <v>29.9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107</v>
      </c>
      <c r="F1971" s="96" t="s">
        <v>113</v>
      </c>
      <c r="G1971" s="97">
        <v>46132</v>
      </c>
      <c r="H1971" s="98">
        <v>0.7813888888888889</v>
      </c>
      <c r="I1971" s="50">
        <v>166004830</v>
      </c>
      <c r="J1971" s="96" t="s">
        <v>157</v>
      </c>
      <c r="K1971" s="49" t="s">
        <v>707</v>
      </c>
      <c r="L1971" s="39" t="s">
        <v>708</v>
      </c>
      <c r="M1971" s="49" t="s">
        <v>709</v>
      </c>
      <c r="N1971" s="39" t="s">
        <v>319</v>
      </c>
      <c r="O1971" s="96" t="s">
        <v>1504</v>
      </c>
      <c r="P1971" s="49" t="s">
        <v>235</v>
      </c>
      <c r="Q1971" s="96" t="s">
        <v>236</v>
      </c>
      <c r="R1971" s="52">
        <v>19.9</v>
      </c>
      <c r="S1971" s="52">
        <f>R1971-T1971</f>
        <v>17.767857142857142</v>
      </c>
      <c r="T1971" s="52">
        <f>R1971*U1971/(U1971+100)</f>
        <v>2.132142857142857</v>
      </c>
      <c r="U1971" s="50">
        <v>12</v>
      </c>
      <c r="V1971" s="53">
        <v>0</v>
      </c>
      <c r="W1971" s="147">
        <v>1</v>
      </c>
      <c r="X1971" s="148" t="s">
        <v>163</v>
      </c>
      <c r="Y1971" s="54">
        <f>R1971*W1971</f>
        <v>19.9</v>
      </c>
      <c r="Z1971" s="52">
        <f>S1971*W1971</f>
        <v>17.767857142857142</v>
      </c>
      <c r="AA1971" s="52">
        <f>T1971*W1971</f>
        <v>2.132142857142857</v>
      </c>
      <c r="AB1971" s="52">
        <f>V1971*W1971</f>
        <v>0</v>
      </c>
      <c r="AC1971" s="53">
        <f>(R1971+V1971)*W1971</f>
        <v>19.9</v>
      </c>
      <c r="AD1971" s="138">
        <v>19.9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107</v>
      </c>
      <c r="F1972" s="96" t="s">
        <v>113</v>
      </c>
      <c r="G1972" s="97">
        <v>46132</v>
      </c>
      <c r="H1972" s="98">
        <v>0.7813888888888889</v>
      </c>
      <c r="I1972" s="50">
        <v>166004830</v>
      </c>
      <c r="J1972" s="96" t="s">
        <v>157</v>
      </c>
      <c r="K1972" s="49" t="s">
        <v>707</v>
      </c>
      <c r="L1972" s="39" t="s">
        <v>708</v>
      </c>
      <c r="M1972" s="49" t="s">
        <v>709</v>
      </c>
      <c r="N1972" s="39" t="s">
        <v>319</v>
      </c>
      <c r="O1972" s="96" t="s">
        <v>1504</v>
      </c>
      <c r="P1972" s="49" t="s">
        <v>235</v>
      </c>
      <c r="Q1972" s="96" t="s">
        <v>236</v>
      </c>
      <c r="R1972" s="52">
        <v>19.9</v>
      </c>
      <c r="S1972" s="52">
        <f>R1972-T1972</f>
        <v>17.767857142857142</v>
      </c>
      <c r="T1972" s="52">
        <f>R1972*U1972/(U1972+100)</f>
        <v>2.132142857142857</v>
      </c>
      <c r="U1972" s="50">
        <v>12</v>
      </c>
      <c r="V1972" s="53">
        <v>0</v>
      </c>
      <c r="W1972" s="147">
        <v>1</v>
      </c>
      <c r="X1972" s="148" t="s">
        <v>163</v>
      </c>
      <c r="Y1972" s="54">
        <f>R1972*W1972</f>
        <v>19.9</v>
      </c>
      <c r="Z1972" s="52">
        <f>S1972*W1972</f>
        <v>17.767857142857142</v>
      </c>
      <c r="AA1972" s="52">
        <f>T1972*W1972</f>
        <v>2.132142857142857</v>
      </c>
      <c r="AB1972" s="52">
        <f>V1972*W1972</f>
        <v>0</v>
      </c>
      <c r="AC1972" s="53">
        <f>(R1972+V1972)*W1972</f>
        <v>19.9</v>
      </c>
      <c r="AD1972" s="138">
        <v>19.9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107</v>
      </c>
      <c r="F1973" s="96" t="s">
        <v>113</v>
      </c>
      <c r="G1973" s="97">
        <v>46132</v>
      </c>
      <c r="H1973" s="98">
        <v>0.7813888888888889</v>
      </c>
      <c r="I1973" s="50">
        <v>166004830</v>
      </c>
      <c r="J1973" s="96" t="s">
        <v>157</v>
      </c>
      <c r="K1973" s="49" t="s">
        <v>3037</v>
      </c>
      <c r="L1973" s="39" t="s">
        <v>3038</v>
      </c>
      <c r="M1973" s="49" t="s">
        <v>3002</v>
      </c>
      <c r="N1973" s="39" t="s">
        <v>1475</v>
      </c>
      <c r="O1973" s="96" t="s">
        <v>3039</v>
      </c>
      <c r="P1973" s="49" t="s">
        <v>157</v>
      </c>
      <c r="Q1973" s="96" t="s">
        <v>104</v>
      </c>
      <c r="R1973" s="52">
        <v>29.9</v>
      </c>
      <c r="S1973" s="52">
        <f>R1973-T1973</f>
        <v>26.69642857142857</v>
      </c>
      <c r="T1973" s="52">
        <f>R1973*U1973/(U1973+100)</f>
        <v>3.2035714285714283</v>
      </c>
      <c r="U1973" s="50">
        <v>12</v>
      </c>
      <c r="V1973" s="53">
        <v>0</v>
      </c>
      <c r="W1973" s="147">
        <v>1</v>
      </c>
      <c r="X1973" s="148" t="s">
        <v>163</v>
      </c>
      <c r="Y1973" s="54">
        <f>R1973*W1973</f>
        <v>29.9</v>
      </c>
      <c r="Z1973" s="52">
        <f>S1973*W1973</f>
        <v>26.69642857142857</v>
      </c>
      <c r="AA1973" s="52">
        <f>T1973*W1973</f>
        <v>3.2035714285714283</v>
      </c>
      <c r="AB1973" s="52">
        <f>V1973*W1973</f>
        <v>0</v>
      </c>
      <c r="AC1973" s="53">
        <f>(R1973+V1973)*W1973</f>
        <v>29.9</v>
      </c>
      <c r="AD1973" s="138">
        <v>29.9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107</v>
      </c>
      <c r="F1974" s="96" t="s">
        <v>113</v>
      </c>
      <c r="G1974" s="97">
        <v>46132</v>
      </c>
      <c r="H1974" s="98">
        <v>0.7813888888888889</v>
      </c>
      <c r="I1974" s="50">
        <v>166004830</v>
      </c>
      <c r="J1974" s="96" t="s">
        <v>157</v>
      </c>
      <c r="K1974" s="49" t="s">
        <v>1037</v>
      </c>
      <c r="L1974" s="39" t="s">
        <v>1038</v>
      </c>
      <c r="M1974" s="49" t="s">
        <v>185</v>
      </c>
      <c r="N1974" s="39" t="s">
        <v>433</v>
      </c>
      <c r="O1974" s="96" t="s">
        <v>1039</v>
      </c>
      <c r="P1974" s="49" t="s">
        <v>157</v>
      </c>
      <c r="Q1974" s="96" t="s">
        <v>104</v>
      </c>
      <c r="R1974" s="52">
        <v>29.9</v>
      </c>
      <c r="S1974" s="52">
        <f>R1974-T1974</f>
        <v>26.69642857142857</v>
      </c>
      <c r="T1974" s="52">
        <f>R1974*U1974/(U1974+100)</f>
        <v>3.2035714285714283</v>
      </c>
      <c r="U1974" s="50">
        <v>12</v>
      </c>
      <c r="V1974" s="53">
        <v>0</v>
      </c>
      <c r="W1974" s="147">
        <v>1</v>
      </c>
      <c r="X1974" s="148" t="s">
        <v>163</v>
      </c>
      <c r="Y1974" s="54">
        <f>R1974*W1974</f>
        <v>29.9</v>
      </c>
      <c r="Z1974" s="52">
        <f>S1974*W1974</f>
        <v>26.69642857142857</v>
      </c>
      <c r="AA1974" s="52">
        <f>T1974*W1974</f>
        <v>3.2035714285714283</v>
      </c>
      <c r="AB1974" s="52">
        <f>V1974*W1974</f>
        <v>0</v>
      </c>
      <c r="AC1974" s="53">
        <f>(R1974+V1974)*W1974</f>
        <v>29.9</v>
      </c>
      <c r="AD1974" s="138">
        <v>29.9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107</v>
      </c>
      <c r="F1975" s="96" t="s">
        <v>113</v>
      </c>
      <c r="G1975" s="97">
        <v>46132</v>
      </c>
      <c r="H1975" s="98">
        <v>0.7817013888888888</v>
      </c>
      <c r="I1975" s="50">
        <v>166004831</v>
      </c>
      <c r="J1975" s="96" t="s">
        <v>157</v>
      </c>
      <c r="K1975" s="49" t="s">
        <v>1112</v>
      </c>
      <c r="L1975" s="39" t="s">
        <v>1113</v>
      </c>
      <c r="M1975" s="49" t="s">
        <v>792</v>
      </c>
      <c r="N1975" s="39" t="s">
        <v>793</v>
      </c>
      <c r="O1975" s="96" t="s">
        <v>1114</v>
      </c>
      <c r="P1975" s="49" t="s">
        <v>157</v>
      </c>
      <c r="Q1975" s="96" t="s">
        <v>104</v>
      </c>
      <c r="R1975" s="52">
        <v>16.9</v>
      </c>
      <c r="S1975" s="52">
        <f>R1975-T1975</f>
        <v>15.089285714285714</v>
      </c>
      <c r="T1975" s="52">
        <f>R1975*U1975/(U1975+100)</f>
        <v>1.8107142857142855</v>
      </c>
      <c r="U1975" s="50">
        <v>12</v>
      </c>
      <c r="V1975" s="53">
        <v>0</v>
      </c>
      <c r="W1975" s="147">
        <v>1</v>
      </c>
      <c r="X1975" s="148" t="s">
        <v>163</v>
      </c>
      <c r="Y1975" s="54">
        <f>R1975*W1975</f>
        <v>16.9</v>
      </c>
      <c r="Z1975" s="52">
        <f>S1975*W1975</f>
        <v>15.089285714285714</v>
      </c>
      <c r="AA1975" s="52">
        <f>T1975*W1975</f>
        <v>1.8107142857142855</v>
      </c>
      <c r="AB1975" s="52">
        <f>V1975*W1975</f>
        <v>0</v>
      </c>
      <c r="AC1975" s="53">
        <f>(R1975+V1975)*W1975</f>
        <v>16.9</v>
      </c>
      <c r="AD1975" s="138">
        <v>16.9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107</v>
      </c>
      <c r="F1976" s="96" t="s">
        <v>113</v>
      </c>
      <c r="G1976" s="97">
        <v>46132</v>
      </c>
      <c r="H1976" s="98">
        <v>0.7817013888888888</v>
      </c>
      <c r="I1976" s="50">
        <v>166004831</v>
      </c>
      <c r="J1976" s="96" t="s">
        <v>157</v>
      </c>
      <c r="K1976" s="49" t="s">
        <v>1964</v>
      </c>
      <c r="L1976" s="39" t="s">
        <v>1965</v>
      </c>
      <c r="M1976" s="49" t="s">
        <v>730</v>
      </c>
      <c r="N1976" s="39" t="s">
        <v>731</v>
      </c>
      <c r="O1976" s="96" t="s">
        <v>1966</v>
      </c>
      <c r="P1976" s="49" t="s">
        <v>157</v>
      </c>
      <c r="Q1976" s="96" t="s">
        <v>104</v>
      </c>
      <c r="R1976" s="52">
        <v>114.9</v>
      </c>
      <c r="S1976" s="52">
        <f>R1976-T1976</f>
        <v>94.95867768595042</v>
      </c>
      <c r="T1976" s="52">
        <f>R1976*U1976/(U1976+100)</f>
        <v>19.941322314049586</v>
      </c>
      <c r="U1976" s="50">
        <v>21</v>
      </c>
      <c r="V1976" s="53">
        <v>0</v>
      </c>
      <c r="W1976" s="147">
        <v>1</v>
      </c>
      <c r="X1976" s="148" t="s">
        <v>163</v>
      </c>
      <c r="Y1976" s="54">
        <f>R1976*W1976</f>
        <v>114.9</v>
      </c>
      <c r="Z1976" s="52">
        <f>S1976*W1976</f>
        <v>94.95867768595042</v>
      </c>
      <c r="AA1976" s="52">
        <f>T1976*W1976</f>
        <v>19.941322314049586</v>
      </c>
      <c r="AB1976" s="52">
        <f>V1976*W1976</f>
        <v>0</v>
      </c>
      <c r="AC1976" s="53">
        <f>(R1976+V1976)*W1976</f>
        <v>114.9</v>
      </c>
      <c r="AD1976" s="138">
        <v>114.9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107</v>
      </c>
      <c r="F1977" s="96" t="s">
        <v>113</v>
      </c>
      <c r="G1977" s="97">
        <v>46132</v>
      </c>
      <c r="H1977" s="98">
        <v>0.7817013888888888</v>
      </c>
      <c r="I1977" s="50">
        <v>166004831</v>
      </c>
      <c r="J1977" s="96" t="s">
        <v>157</v>
      </c>
      <c r="K1977" s="49" t="s">
        <v>1964</v>
      </c>
      <c r="L1977" s="39" t="s">
        <v>1965</v>
      </c>
      <c r="M1977" s="49" t="s">
        <v>730</v>
      </c>
      <c r="N1977" s="39" t="s">
        <v>731</v>
      </c>
      <c r="O1977" s="96" t="s">
        <v>1966</v>
      </c>
      <c r="P1977" s="49" t="s">
        <v>157</v>
      </c>
      <c r="Q1977" s="96" t="s">
        <v>104</v>
      </c>
      <c r="R1977" s="52">
        <v>114.9</v>
      </c>
      <c r="S1977" s="52">
        <f>R1977-T1977</f>
        <v>94.95867768595042</v>
      </c>
      <c r="T1977" s="52">
        <f>R1977*U1977/(U1977+100)</f>
        <v>19.941322314049586</v>
      </c>
      <c r="U1977" s="50">
        <v>21</v>
      </c>
      <c r="V1977" s="53">
        <v>0</v>
      </c>
      <c r="W1977" s="147">
        <v>1</v>
      </c>
      <c r="X1977" s="148" t="s">
        <v>163</v>
      </c>
      <c r="Y1977" s="54">
        <f>R1977*W1977</f>
        <v>114.9</v>
      </c>
      <c r="Z1977" s="52">
        <f>S1977*W1977</f>
        <v>94.95867768595042</v>
      </c>
      <c r="AA1977" s="52">
        <f>T1977*W1977</f>
        <v>19.941322314049586</v>
      </c>
      <c r="AB1977" s="52">
        <f>V1977*W1977</f>
        <v>0</v>
      </c>
      <c r="AC1977" s="53">
        <f>(R1977+V1977)*W1977</f>
        <v>114.9</v>
      </c>
      <c r="AD1977" s="138">
        <v>114.9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107</v>
      </c>
      <c r="F1978" s="96" t="s">
        <v>113</v>
      </c>
      <c r="G1978" s="97">
        <v>46132</v>
      </c>
      <c r="H1978" s="98">
        <v>0.7817013888888888</v>
      </c>
      <c r="I1978" s="50">
        <v>166004831</v>
      </c>
      <c r="J1978" s="96" t="s">
        <v>157</v>
      </c>
      <c r="K1978" s="49" t="s">
        <v>3040</v>
      </c>
      <c r="L1978" s="39" t="s">
        <v>3041</v>
      </c>
      <c r="M1978" s="49" t="s">
        <v>730</v>
      </c>
      <c r="N1978" s="39" t="s">
        <v>731</v>
      </c>
      <c r="O1978" s="96" t="s">
        <v>3042</v>
      </c>
      <c r="P1978" s="49" t="s">
        <v>157</v>
      </c>
      <c r="Q1978" s="96" t="s">
        <v>104</v>
      </c>
      <c r="R1978" s="52">
        <v>114.9</v>
      </c>
      <c r="S1978" s="52">
        <f>R1978-T1978</f>
        <v>94.95867768595042</v>
      </c>
      <c r="T1978" s="52">
        <f>R1978*U1978/(U1978+100)</f>
        <v>19.941322314049586</v>
      </c>
      <c r="U1978" s="50">
        <v>21</v>
      </c>
      <c r="V1978" s="53">
        <v>0</v>
      </c>
      <c r="W1978" s="147">
        <v>1</v>
      </c>
      <c r="X1978" s="148" t="s">
        <v>163</v>
      </c>
      <c r="Y1978" s="54">
        <f>R1978*W1978</f>
        <v>114.9</v>
      </c>
      <c r="Z1978" s="52">
        <f>S1978*W1978</f>
        <v>94.95867768595042</v>
      </c>
      <c r="AA1978" s="52">
        <f>T1978*W1978</f>
        <v>19.941322314049586</v>
      </c>
      <c r="AB1978" s="52">
        <f>V1978*W1978</f>
        <v>0</v>
      </c>
      <c r="AC1978" s="53">
        <f>(R1978+V1978)*W1978</f>
        <v>114.9</v>
      </c>
      <c r="AD1978" s="138">
        <v>114.9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107</v>
      </c>
      <c r="F1979" s="96" t="s">
        <v>113</v>
      </c>
      <c r="G1979" s="97">
        <v>46132</v>
      </c>
      <c r="H1979" s="98">
        <v>0.7825578703703704</v>
      </c>
      <c r="I1979" s="50">
        <v>166004832</v>
      </c>
      <c r="J1979" s="96" t="s">
        <v>157</v>
      </c>
      <c r="K1979" s="49" t="s">
        <v>217</v>
      </c>
      <c r="L1979" s="39" t="s">
        <v>218</v>
      </c>
      <c r="M1979" s="49" t="s">
        <v>219</v>
      </c>
      <c r="N1979" s="39" t="s">
        <v>220</v>
      </c>
      <c r="O1979" s="96" t="s">
        <v>3043</v>
      </c>
      <c r="P1979" s="49" t="s">
        <v>157</v>
      </c>
      <c r="Q1979" s="96" t="s">
        <v>104</v>
      </c>
      <c r="R1979" s="52">
        <v>44.9</v>
      </c>
      <c r="S1979" s="52">
        <f>R1979-T1979</f>
        <v>37.107438016528924</v>
      </c>
      <c r="T1979" s="52">
        <f>R1979*U1979/(U1979+100)</f>
        <v>7.792561983471074</v>
      </c>
      <c r="U1979" s="50">
        <v>21</v>
      </c>
      <c r="V1979" s="53">
        <v>0</v>
      </c>
      <c r="W1979" s="147">
        <v>1</v>
      </c>
      <c r="X1979" s="148" t="s">
        <v>163</v>
      </c>
      <c r="Y1979" s="54">
        <f>R1979*W1979</f>
        <v>44.9</v>
      </c>
      <c r="Z1979" s="52">
        <f>S1979*W1979</f>
        <v>37.107438016528924</v>
      </c>
      <c r="AA1979" s="52">
        <f>T1979*W1979</f>
        <v>7.792561983471074</v>
      </c>
      <c r="AB1979" s="52">
        <f>V1979*W1979</f>
        <v>0</v>
      </c>
      <c r="AC1979" s="53">
        <f>(R1979+V1979)*W1979</f>
        <v>44.9</v>
      </c>
      <c r="AD1979" s="138">
        <v>44.9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107</v>
      </c>
      <c r="F1980" s="96" t="s">
        <v>113</v>
      </c>
      <c r="G1980" s="97">
        <v>46132</v>
      </c>
      <c r="H1980" s="98">
        <v>0.7825578703703704</v>
      </c>
      <c r="I1980" s="50">
        <v>166004832</v>
      </c>
      <c r="J1980" s="96" t="s">
        <v>157</v>
      </c>
      <c r="K1980" s="49" t="s">
        <v>3044</v>
      </c>
      <c r="L1980" s="39" t="s">
        <v>3045</v>
      </c>
      <c r="M1980" s="49" t="s">
        <v>3046</v>
      </c>
      <c r="N1980" s="39" t="s">
        <v>1131</v>
      </c>
      <c r="O1980" s="96" t="s">
        <v>3047</v>
      </c>
      <c r="P1980" s="49" t="s">
        <v>157</v>
      </c>
      <c r="Q1980" s="96" t="s">
        <v>104</v>
      </c>
      <c r="R1980" s="52">
        <v>97.9</v>
      </c>
      <c r="S1980" s="52">
        <f>R1980-T1980</f>
        <v>80.9090909090909</v>
      </c>
      <c r="T1980" s="52">
        <f>R1980*U1980/(U1980+100)</f>
        <v>16.990909090909092</v>
      </c>
      <c r="U1980" s="50">
        <v>21</v>
      </c>
      <c r="V1980" s="53">
        <v>0</v>
      </c>
      <c r="W1980" s="147">
        <v>1</v>
      </c>
      <c r="X1980" s="148" t="s">
        <v>163</v>
      </c>
      <c r="Y1980" s="54">
        <f>R1980*W1980</f>
        <v>97.9</v>
      </c>
      <c r="Z1980" s="52">
        <f>S1980*W1980</f>
        <v>80.9090909090909</v>
      </c>
      <c r="AA1980" s="52">
        <f>T1980*W1980</f>
        <v>16.990909090909092</v>
      </c>
      <c r="AB1980" s="52">
        <f>V1980*W1980</f>
        <v>0</v>
      </c>
      <c r="AC1980" s="53">
        <f>(R1980+V1980)*W1980</f>
        <v>97.9</v>
      </c>
      <c r="AD1980" s="138">
        <v>97.9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107</v>
      </c>
      <c r="F1981" s="96" t="s">
        <v>113</v>
      </c>
      <c r="G1981" s="97">
        <v>46132</v>
      </c>
      <c r="H1981" s="98">
        <v>0.783599537037037</v>
      </c>
      <c r="I1981" s="50">
        <v>166004833</v>
      </c>
      <c r="J1981" s="96" t="s">
        <v>157</v>
      </c>
      <c r="K1981" s="49" t="s">
        <v>1254</v>
      </c>
      <c r="L1981" s="39" t="s">
        <v>1255</v>
      </c>
      <c r="M1981" s="49" t="s">
        <v>185</v>
      </c>
      <c r="N1981" s="39" t="s">
        <v>264</v>
      </c>
      <c r="O1981" s="96" t="s">
        <v>1256</v>
      </c>
      <c r="P1981" s="49" t="s">
        <v>157</v>
      </c>
      <c r="Q1981" s="96" t="s">
        <v>104</v>
      </c>
      <c r="R1981" s="52">
        <v>29.9</v>
      </c>
      <c r="S1981" s="52">
        <f>R1981-T1981</f>
        <v>26.69642857142857</v>
      </c>
      <c r="T1981" s="52">
        <f>R1981*U1981/(U1981+100)</f>
        <v>3.2035714285714283</v>
      </c>
      <c r="U1981" s="50">
        <v>12</v>
      </c>
      <c r="V1981" s="53">
        <v>0</v>
      </c>
      <c r="W1981" s="147">
        <v>1</v>
      </c>
      <c r="X1981" s="148" t="s">
        <v>163</v>
      </c>
      <c r="Y1981" s="54">
        <f>R1981*W1981</f>
        <v>29.9</v>
      </c>
      <c r="Z1981" s="52">
        <f>S1981*W1981</f>
        <v>26.69642857142857</v>
      </c>
      <c r="AA1981" s="52">
        <f>T1981*W1981</f>
        <v>3.2035714285714283</v>
      </c>
      <c r="AB1981" s="52">
        <f>V1981*W1981</f>
        <v>0</v>
      </c>
      <c r="AC1981" s="53">
        <f>(R1981+V1981)*W1981</f>
        <v>29.9</v>
      </c>
      <c r="AD1981" s="138">
        <v>29.9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107</v>
      </c>
      <c r="F1982" s="96" t="s">
        <v>113</v>
      </c>
      <c r="G1982" s="97">
        <v>46132</v>
      </c>
      <c r="H1982" s="98">
        <v>0.783599537037037</v>
      </c>
      <c r="I1982" s="50">
        <v>166004833</v>
      </c>
      <c r="J1982" s="96" t="s">
        <v>157</v>
      </c>
      <c r="K1982" s="49" t="s">
        <v>1531</v>
      </c>
      <c r="L1982" s="39"/>
      <c r="M1982" s="49" t="s">
        <v>295</v>
      </c>
      <c r="N1982" s="39" t="s">
        <v>433</v>
      </c>
      <c r="O1982" s="96" t="s">
        <v>1532</v>
      </c>
      <c r="P1982" s="49" t="s">
        <v>235</v>
      </c>
      <c r="Q1982" s="96" t="s">
        <v>1533</v>
      </c>
      <c r="R1982" s="52">
        <v>19.9</v>
      </c>
      <c r="S1982" s="52">
        <f>R1982-T1982</f>
        <v>17.767857142857142</v>
      </c>
      <c r="T1982" s="52">
        <f>R1982*U1982/(U1982+100)</f>
        <v>2.132142857142857</v>
      </c>
      <c r="U1982" s="50">
        <v>12</v>
      </c>
      <c r="V1982" s="53">
        <v>0</v>
      </c>
      <c r="W1982" s="147">
        <v>1</v>
      </c>
      <c r="X1982" s="148" t="s">
        <v>945</v>
      </c>
      <c r="Y1982" s="54">
        <f>R1982*W1982</f>
        <v>19.9</v>
      </c>
      <c r="Z1982" s="52">
        <f>S1982*W1982</f>
        <v>17.767857142857142</v>
      </c>
      <c r="AA1982" s="52">
        <f>T1982*W1982</f>
        <v>2.132142857142857</v>
      </c>
      <c r="AB1982" s="52">
        <f>V1982*W1982</f>
        <v>0</v>
      </c>
      <c r="AC1982" s="53">
        <f>(R1982+V1982)*W1982</f>
        <v>19.9</v>
      </c>
      <c r="AD1982" s="138">
        <v>19.9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107</v>
      </c>
      <c r="F1983" s="96" t="s">
        <v>113</v>
      </c>
      <c r="G1983" s="97">
        <v>46132</v>
      </c>
      <c r="H1983" s="98">
        <v>0.7875810185185185</v>
      </c>
      <c r="I1983" s="50">
        <v>166004834</v>
      </c>
      <c r="J1983" s="96" t="s">
        <v>157</v>
      </c>
      <c r="K1983" s="49" t="s">
        <v>3048</v>
      </c>
      <c r="L1983" s="39" t="s">
        <v>3049</v>
      </c>
      <c r="M1983" s="49" t="s">
        <v>171</v>
      </c>
      <c r="N1983" s="39" t="s">
        <v>264</v>
      </c>
      <c r="O1983" s="96" t="s">
        <v>3050</v>
      </c>
      <c r="P1983" s="49" t="s">
        <v>157</v>
      </c>
      <c r="Q1983" s="96" t="s">
        <v>104</v>
      </c>
      <c r="R1983" s="52">
        <v>27.9</v>
      </c>
      <c r="S1983" s="52">
        <f>R1983-T1983</f>
        <v>24.910714285714285</v>
      </c>
      <c r="T1983" s="52">
        <f>R1983*U1983/(U1983+100)</f>
        <v>2.989285714285714</v>
      </c>
      <c r="U1983" s="50">
        <v>12</v>
      </c>
      <c r="V1983" s="53">
        <v>0</v>
      </c>
      <c r="W1983" s="147">
        <v>1</v>
      </c>
      <c r="X1983" s="148" t="s">
        <v>163</v>
      </c>
      <c r="Y1983" s="54">
        <f>R1983*W1983</f>
        <v>27.9</v>
      </c>
      <c r="Z1983" s="52">
        <f>S1983*W1983</f>
        <v>24.910714285714285</v>
      </c>
      <c r="AA1983" s="52">
        <f>T1983*W1983</f>
        <v>2.989285714285714</v>
      </c>
      <c r="AB1983" s="52">
        <f>V1983*W1983</f>
        <v>0</v>
      </c>
      <c r="AC1983" s="53">
        <f>(R1983+V1983)*W1983</f>
        <v>27.9</v>
      </c>
      <c r="AD1983" s="138">
        <v>27.9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107</v>
      </c>
      <c r="F1984" s="96" t="s">
        <v>113</v>
      </c>
      <c r="G1984" s="97">
        <v>46132</v>
      </c>
      <c r="H1984" s="98">
        <v>0.7875810185185185</v>
      </c>
      <c r="I1984" s="50">
        <v>166004834</v>
      </c>
      <c r="J1984" s="96" t="s">
        <v>157</v>
      </c>
      <c r="K1984" s="49" t="s">
        <v>1070</v>
      </c>
      <c r="L1984" s="39" t="s">
        <v>1071</v>
      </c>
      <c r="M1984" s="49" t="s">
        <v>429</v>
      </c>
      <c r="N1984" s="39" t="s">
        <v>239</v>
      </c>
      <c r="O1984" s="96" t="s">
        <v>1072</v>
      </c>
      <c r="P1984" s="49" t="s">
        <v>157</v>
      </c>
      <c r="Q1984" s="96" t="s">
        <v>104</v>
      </c>
      <c r="R1984" s="52">
        <v>14.4</v>
      </c>
      <c r="S1984" s="52">
        <f>R1984-T1984</f>
        <v>12.857142857142858</v>
      </c>
      <c r="T1984" s="52">
        <f>R1984*U1984/(U1984+100)</f>
        <v>1.542857142857143</v>
      </c>
      <c r="U1984" s="50">
        <v>12</v>
      </c>
      <c r="V1984" s="53">
        <v>0</v>
      </c>
      <c r="W1984" s="147">
        <v>1</v>
      </c>
      <c r="X1984" s="148" t="s">
        <v>163</v>
      </c>
      <c r="Y1984" s="54">
        <f>R1984*W1984</f>
        <v>14.4</v>
      </c>
      <c r="Z1984" s="52">
        <f>S1984*W1984</f>
        <v>12.857142857142858</v>
      </c>
      <c r="AA1984" s="52">
        <f>T1984*W1984</f>
        <v>1.542857142857143</v>
      </c>
      <c r="AB1984" s="52">
        <f>V1984*W1984</f>
        <v>0</v>
      </c>
      <c r="AC1984" s="53">
        <f>(R1984+V1984)*W1984</f>
        <v>14.4</v>
      </c>
      <c r="AD1984" s="138">
        <v>14.4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107</v>
      </c>
      <c r="F1985" s="96" t="s">
        <v>113</v>
      </c>
      <c r="G1985" s="97">
        <v>46132</v>
      </c>
      <c r="H1985" s="98">
        <v>0.7875810185185185</v>
      </c>
      <c r="I1985" s="50">
        <v>166004834</v>
      </c>
      <c r="J1985" s="96" t="s">
        <v>157</v>
      </c>
      <c r="K1985" s="49" t="s">
        <v>707</v>
      </c>
      <c r="L1985" s="39" t="s">
        <v>708</v>
      </c>
      <c r="M1985" s="49" t="s">
        <v>709</v>
      </c>
      <c r="N1985" s="39" t="s">
        <v>319</v>
      </c>
      <c r="O1985" s="96" t="s">
        <v>1504</v>
      </c>
      <c r="P1985" s="49" t="s">
        <v>235</v>
      </c>
      <c r="Q1985" s="96" t="s">
        <v>236</v>
      </c>
      <c r="R1985" s="52">
        <v>19.9</v>
      </c>
      <c r="S1985" s="52">
        <f>R1985-T1985</f>
        <v>17.767857142857142</v>
      </c>
      <c r="T1985" s="52">
        <f>R1985*U1985/(U1985+100)</f>
        <v>2.132142857142857</v>
      </c>
      <c r="U1985" s="50">
        <v>12</v>
      </c>
      <c r="V1985" s="53">
        <v>0</v>
      </c>
      <c r="W1985" s="147">
        <v>1</v>
      </c>
      <c r="X1985" s="148" t="s">
        <v>163</v>
      </c>
      <c r="Y1985" s="54">
        <f>R1985*W1985</f>
        <v>19.9</v>
      </c>
      <c r="Z1985" s="52">
        <f>S1985*W1985</f>
        <v>17.767857142857142</v>
      </c>
      <c r="AA1985" s="52">
        <f>T1985*W1985</f>
        <v>2.132142857142857</v>
      </c>
      <c r="AB1985" s="52">
        <f>V1985*W1985</f>
        <v>0</v>
      </c>
      <c r="AC1985" s="53">
        <f>(R1985+V1985)*W1985</f>
        <v>19.9</v>
      </c>
      <c r="AD1985" s="138">
        <v>19.9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107</v>
      </c>
      <c r="F1986" s="96" t="s">
        <v>113</v>
      </c>
      <c r="G1986" s="97">
        <v>46132</v>
      </c>
      <c r="H1986" s="98">
        <v>0.7875810185185185</v>
      </c>
      <c r="I1986" s="50">
        <v>166004834</v>
      </c>
      <c r="J1986" s="96" t="s">
        <v>157</v>
      </c>
      <c r="K1986" s="49" t="s">
        <v>507</v>
      </c>
      <c r="L1986" s="39" t="s">
        <v>508</v>
      </c>
      <c r="M1986" s="49" t="s">
        <v>509</v>
      </c>
      <c r="N1986" s="39" t="s">
        <v>256</v>
      </c>
      <c r="O1986" s="96" t="s">
        <v>1024</v>
      </c>
      <c r="P1986" s="49" t="s">
        <v>235</v>
      </c>
      <c r="Q1986" s="96" t="s">
        <v>236</v>
      </c>
      <c r="R1986" s="52">
        <v>15.9</v>
      </c>
      <c r="S1986" s="52">
        <f>R1986-T1986</f>
        <v>13.140495867768596</v>
      </c>
      <c r="T1986" s="52">
        <f>R1986*U1986/(U1986+100)</f>
        <v>2.759504132231405</v>
      </c>
      <c r="U1986" s="50">
        <v>21</v>
      </c>
      <c r="V1986" s="53">
        <v>0</v>
      </c>
      <c r="W1986" s="147">
        <v>1</v>
      </c>
      <c r="X1986" s="148" t="s">
        <v>163</v>
      </c>
      <c r="Y1986" s="54">
        <f>R1986*W1986</f>
        <v>15.9</v>
      </c>
      <c r="Z1986" s="52">
        <f>S1986*W1986</f>
        <v>13.140495867768596</v>
      </c>
      <c r="AA1986" s="52">
        <f>T1986*W1986</f>
        <v>2.759504132231405</v>
      </c>
      <c r="AB1986" s="52">
        <f>V1986*W1986</f>
        <v>0</v>
      </c>
      <c r="AC1986" s="53">
        <f>(R1986+V1986)*W1986</f>
        <v>15.9</v>
      </c>
      <c r="AD1986" s="138">
        <v>15.9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107</v>
      </c>
      <c r="F1987" s="96" t="s">
        <v>113</v>
      </c>
      <c r="G1987" s="97">
        <v>46132</v>
      </c>
      <c r="H1987" s="98">
        <v>0.7875810185185185</v>
      </c>
      <c r="I1987" s="50">
        <v>166004834</v>
      </c>
      <c r="J1987" s="96" t="s">
        <v>157</v>
      </c>
      <c r="K1987" s="49" t="s">
        <v>3051</v>
      </c>
      <c r="L1987" s="39" t="s">
        <v>3052</v>
      </c>
      <c r="M1987" s="49" t="s">
        <v>1452</v>
      </c>
      <c r="N1987" s="39" t="s">
        <v>3053</v>
      </c>
      <c r="O1987" s="96" t="s">
        <v>3054</v>
      </c>
      <c r="P1987" s="49" t="s">
        <v>157</v>
      </c>
      <c r="Q1987" s="96" t="s">
        <v>104</v>
      </c>
      <c r="R1987" s="52">
        <v>34.9</v>
      </c>
      <c r="S1987" s="52">
        <f>R1987-T1987</f>
        <v>28.84297520661157</v>
      </c>
      <c r="T1987" s="52">
        <f>R1987*U1987/(U1987+100)</f>
        <v>6.05702479338843</v>
      </c>
      <c r="U1987" s="50">
        <v>21</v>
      </c>
      <c r="V1987" s="53">
        <v>0</v>
      </c>
      <c r="W1987" s="147">
        <v>1</v>
      </c>
      <c r="X1987" s="148" t="s">
        <v>163</v>
      </c>
      <c r="Y1987" s="54">
        <f>R1987*W1987</f>
        <v>34.9</v>
      </c>
      <c r="Z1987" s="52">
        <f>S1987*W1987</f>
        <v>28.84297520661157</v>
      </c>
      <c r="AA1987" s="52">
        <f>T1987*W1987</f>
        <v>6.05702479338843</v>
      </c>
      <c r="AB1987" s="52">
        <f>V1987*W1987</f>
        <v>0</v>
      </c>
      <c r="AC1987" s="53">
        <f>(R1987+V1987)*W1987</f>
        <v>34.9</v>
      </c>
      <c r="AD1987" s="138">
        <v>34.9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107</v>
      </c>
      <c r="F1988" s="96" t="s">
        <v>113</v>
      </c>
      <c r="G1988" s="97">
        <v>46132</v>
      </c>
      <c r="H1988" s="98">
        <v>0.7875810185185185</v>
      </c>
      <c r="I1988" s="50">
        <v>166004834</v>
      </c>
      <c r="J1988" s="96" t="s">
        <v>157</v>
      </c>
      <c r="K1988" s="49" t="s">
        <v>2038</v>
      </c>
      <c r="L1988" s="39" t="s">
        <v>2039</v>
      </c>
      <c r="M1988" s="49" t="s">
        <v>2040</v>
      </c>
      <c r="N1988" s="39" t="s">
        <v>523</v>
      </c>
      <c r="O1988" s="96" t="s">
        <v>2041</v>
      </c>
      <c r="P1988" s="49" t="s">
        <v>157</v>
      </c>
      <c r="Q1988" s="96" t="s">
        <v>104</v>
      </c>
      <c r="R1988" s="52">
        <v>32.9</v>
      </c>
      <c r="S1988" s="52">
        <f>R1988-T1988</f>
        <v>29.375</v>
      </c>
      <c r="T1988" s="52">
        <f>R1988*U1988/(U1988+100)</f>
        <v>3.5249999999999995</v>
      </c>
      <c r="U1988" s="50">
        <v>12</v>
      </c>
      <c r="V1988" s="53">
        <v>0</v>
      </c>
      <c r="W1988" s="147">
        <v>1</v>
      </c>
      <c r="X1988" s="148" t="s">
        <v>163</v>
      </c>
      <c r="Y1988" s="54">
        <f>R1988*W1988</f>
        <v>32.9</v>
      </c>
      <c r="Z1988" s="52">
        <f>S1988*W1988</f>
        <v>29.375</v>
      </c>
      <c r="AA1988" s="52">
        <f>T1988*W1988</f>
        <v>3.5249999999999995</v>
      </c>
      <c r="AB1988" s="52">
        <f>V1988*W1988</f>
        <v>0</v>
      </c>
      <c r="AC1988" s="53">
        <f>(R1988+V1988)*W1988</f>
        <v>32.9</v>
      </c>
      <c r="AD1988" s="138">
        <v>32.9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107</v>
      </c>
      <c r="F1989" s="96" t="s">
        <v>113</v>
      </c>
      <c r="G1989" s="97">
        <v>46132</v>
      </c>
      <c r="H1989" s="98">
        <v>0.7881018518518519</v>
      </c>
      <c r="I1989" s="50">
        <v>166004835</v>
      </c>
      <c r="J1989" s="96" t="s">
        <v>157</v>
      </c>
      <c r="K1989" s="49" t="s">
        <v>1286</v>
      </c>
      <c r="L1989" s="39" t="s">
        <v>1287</v>
      </c>
      <c r="M1989" s="49" t="s">
        <v>171</v>
      </c>
      <c r="N1989" s="39" t="s">
        <v>264</v>
      </c>
      <c r="O1989" s="96" t="s">
        <v>1288</v>
      </c>
      <c r="P1989" s="49" t="s">
        <v>157</v>
      </c>
      <c r="Q1989" s="96" t="s">
        <v>104</v>
      </c>
      <c r="R1989" s="52">
        <v>27.9</v>
      </c>
      <c r="S1989" s="52">
        <f>R1989-T1989</f>
        <v>24.910714285714285</v>
      </c>
      <c r="T1989" s="52">
        <f>R1989*U1989/(U1989+100)</f>
        <v>2.989285714285714</v>
      </c>
      <c r="U1989" s="50">
        <v>12</v>
      </c>
      <c r="V1989" s="53">
        <v>0</v>
      </c>
      <c r="W1989" s="147">
        <v>1</v>
      </c>
      <c r="X1989" s="148" t="s">
        <v>163</v>
      </c>
      <c r="Y1989" s="54">
        <f>R1989*W1989</f>
        <v>27.9</v>
      </c>
      <c r="Z1989" s="52">
        <f>S1989*W1989</f>
        <v>24.910714285714285</v>
      </c>
      <c r="AA1989" s="52">
        <f>T1989*W1989</f>
        <v>2.989285714285714</v>
      </c>
      <c r="AB1989" s="52">
        <f>V1989*W1989</f>
        <v>0</v>
      </c>
      <c r="AC1989" s="53">
        <f>(R1989+V1989)*W1989</f>
        <v>27.9</v>
      </c>
      <c r="AD1989" s="138">
        <v>27.9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107</v>
      </c>
      <c r="F1990" s="96" t="s">
        <v>113</v>
      </c>
      <c r="G1990" s="97">
        <v>46132</v>
      </c>
      <c r="H1990" s="98">
        <v>0.7881018518518519</v>
      </c>
      <c r="I1990" s="50">
        <v>166004835</v>
      </c>
      <c r="J1990" s="96" t="s">
        <v>157</v>
      </c>
      <c r="K1990" s="49" t="s">
        <v>3055</v>
      </c>
      <c r="L1990" s="39" t="s">
        <v>3056</v>
      </c>
      <c r="M1990" s="49" t="s">
        <v>185</v>
      </c>
      <c r="N1990" s="39" t="s">
        <v>264</v>
      </c>
      <c r="O1990" s="96" t="s">
        <v>3057</v>
      </c>
      <c r="P1990" s="49" t="s">
        <v>157</v>
      </c>
      <c r="Q1990" s="96" t="s">
        <v>104</v>
      </c>
      <c r="R1990" s="52">
        <v>42.9</v>
      </c>
      <c r="S1990" s="52">
        <f>R1990-T1990</f>
        <v>38.30357142857143</v>
      </c>
      <c r="T1990" s="52">
        <f>R1990*U1990/(U1990+100)</f>
        <v>4.596428571428571</v>
      </c>
      <c r="U1990" s="50">
        <v>12</v>
      </c>
      <c r="V1990" s="53">
        <v>0</v>
      </c>
      <c r="W1990" s="147">
        <v>1</v>
      </c>
      <c r="X1990" s="148" t="s">
        <v>163</v>
      </c>
      <c r="Y1990" s="54">
        <f>R1990*W1990</f>
        <v>42.9</v>
      </c>
      <c r="Z1990" s="52">
        <f>S1990*W1990</f>
        <v>38.30357142857143</v>
      </c>
      <c r="AA1990" s="52">
        <f>T1990*W1990</f>
        <v>4.596428571428571</v>
      </c>
      <c r="AB1990" s="52">
        <f>V1990*W1990</f>
        <v>0</v>
      </c>
      <c r="AC1990" s="53">
        <f>(R1990+V1990)*W1990</f>
        <v>42.9</v>
      </c>
      <c r="AD1990" s="138">
        <v>42.9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107</v>
      </c>
      <c r="F1991" s="96" t="s">
        <v>113</v>
      </c>
      <c r="G1991" s="97">
        <v>46132</v>
      </c>
      <c r="H1991" s="98">
        <v>0.7884027777777778</v>
      </c>
      <c r="I1991" s="50">
        <v>166004836</v>
      </c>
      <c r="J1991" s="96" t="s">
        <v>157</v>
      </c>
      <c r="K1991" s="49" t="s">
        <v>2424</v>
      </c>
      <c r="L1991" s="39" t="s">
        <v>2425</v>
      </c>
      <c r="M1991" s="49" t="s">
        <v>277</v>
      </c>
      <c r="N1991" s="39" t="s">
        <v>408</v>
      </c>
      <c r="O1991" s="96" t="s">
        <v>2426</v>
      </c>
      <c r="P1991" s="49" t="s">
        <v>157</v>
      </c>
      <c r="Q1991" s="96" t="s">
        <v>104</v>
      </c>
      <c r="R1991" s="52">
        <v>227.9</v>
      </c>
      <c r="S1991" s="52">
        <f>R1991-T1991</f>
        <v>203.48214285714286</v>
      </c>
      <c r="T1991" s="52">
        <f>R1991*U1991/(U1991+100)</f>
        <v>24.417857142857144</v>
      </c>
      <c r="U1991" s="50">
        <v>12</v>
      </c>
      <c r="V1991" s="53">
        <v>0</v>
      </c>
      <c r="W1991" s="147">
        <v>0.182</v>
      </c>
      <c r="X1991" s="148" t="s">
        <v>410</v>
      </c>
      <c r="Y1991" s="54">
        <f>R1991*W1991</f>
        <v>41.4778</v>
      </c>
      <c r="Z1991" s="52">
        <f>S1991*W1991</f>
        <v>37.03375</v>
      </c>
      <c r="AA1991" s="52">
        <f>T1991*W1991</f>
        <v>4.44405</v>
      </c>
      <c r="AB1991" s="52">
        <f>V1991*W1991</f>
        <v>0</v>
      </c>
      <c r="AC1991" s="53">
        <f>(R1991+V1991)*W1991</f>
        <v>41.4778</v>
      </c>
      <c r="AD1991" s="138">
        <v>227.9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107</v>
      </c>
      <c r="F1992" s="96" t="s">
        <v>113</v>
      </c>
      <c r="G1992" s="97">
        <v>46132</v>
      </c>
      <c r="H1992" s="98">
        <v>0.7928009259259259</v>
      </c>
      <c r="I1992" s="50">
        <v>166004837</v>
      </c>
      <c r="J1992" s="96" t="s">
        <v>157</v>
      </c>
      <c r="K1992" s="49" t="s">
        <v>2055</v>
      </c>
      <c r="L1992" s="39" t="s">
        <v>2056</v>
      </c>
      <c r="M1992" s="49" t="s">
        <v>1466</v>
      </c>
      <c r="N1992" s="39" t="s">
        <v>1467</v>
      </c>
      <c r="O1992" s="96" t="s">
        <v>2057</v>
      </c>
      <c r="P1992" s="49" t="s">
        <v>157</v>
      </c>
      <c r="Q1992" s="96" t="s">
        <v>104</v>
      </c>
      <c r="R1992" s="52">
        <v>13.9</v>
      </c>
      <c r="S1992" s="52">
        <f>R1992-T1992</f>
        <v>12.410714285714286</v>
      </c>
      <c r="T1992" s="52">
        <f>R1992*U1992/(U1992+100)</f>
        <v>1.4892857142857143</v>
      </c>
      <c r="U1992" s="50">
        <v>12</v>
      </c>
      <c r="V1992" s="53">
        <v>0</v>
      </c>
      <c r="W1992" s="147">
        <v>1</v>
      </c>
      <c r="X1992" s="148" t="s">
        <v>163</v>
      </c>
      <c r="Y1992" s="54">
        <f>R1992*W1992</f>
        <v>13.9</v>
      </c>
      <c r="Z1992" s="52">
        <f>S1992*W1992</f>
        <v>12.410714285714286</v>
      </c>
      <c r="AA1992" s="52">
        <f>T1992*W1992</f>
        <v>1.4892857142857143</v>
      </c>
      <c r="AB1992" s="52">
        <f>V1992*W1992</f>
        <v>0</v>
      </c>
      <c r="AC1992" s="53">
        <f>(R1992+V1992)*W1992</f>
        <v>13.9</v>
      </c>
      <c r="AD1992" s="138">
        <v>13.9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107</v>
      </c>
      <c r="F1993" s="96" t="s">
        <v>113</v>
      </c>
      <c r="G1993" s="97">
        <v>46132</v>
      </c>
      <c r="H1993" s="98">
        <v>0.7928009259259259</v>
      </c>
      <c r="I1993" s="50">
        <v>166004837</v>
      </c>
      <c r="J1993" s="96" t="s">
        <v>157</v>
      </c>
      <c r="K1993" s="49" t="s">
        <v>2055</v>
      </c>
      <c r="L1993" s="39" t="s">
        <v>2056</v>
      </c>
      <c r="M1993" s="49" t="s">
        <v>1466</v>
      </c>
      <c r="N1993" s="39" t="s">
        <v>1467</v>
      </c>
      <c r="O1993" s="96" t="s">
        <v>2057</v>
      </c>
      <c r="P1993" s="49" t="s">
        <v>157</v>
      </c>
      <c r="Q1993" s="96" t="s">
        <v>104</v>
      </c>
      <c r="R1993" s="52">
        <v>13.9</v>
      </c>
      <c r="S1993" s="52">
        <f>R1993-T1993</f>
        <v>12.410714285714286</v>
      </c>
      <c r="T1993" s="52">
        <f>R1993*U1993/(U1993+100)</f>
        <v>1.4892857142857143</v>
      </c>
      <c r="U1993" s="50">
        <v>12</v>
      </c>
      <c r="V1993" s="53">
        <v>0</v>
      </c>
      <c r="W1993" s="147">
        <v>1</v>
      </c>
      <c r="X1993" s="148" t="s">
        <v>163</v>
      </c>
      <c r="Y1993" s="54">
        <f>R1993*W1993</f>
        <v>13.9</v>
      </c>
      <c r="Z1993" s="52">
        <f>S1993*W1993</f>
        <v>12.410714285714286</v>
      </c>
      <c r="AA1993" s="52">
        <f>T1993*W1993</f>
        <v>1.4892857142857143</v>
      </c>
      <c r="AB1993" s="52">
        <f>V1993*W1993</f>
        <v>0</v>
      </c>
      <c r="AC1993" s="53">
        <f>(R1993+V1993)*W1993</f>
        <v>13.9</v>
      </c>
      <c r="AD1993" s="138">
        <v>13.9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107</v>
      </c>
      <c r="F1994" s="96" t="s">
        <v>113</v>
      </c>
      <c r="G1994" s="97">
        <v>46132</v>
      </c>
      <c r="H1994" s="98">
        <v>0.7928009259259259</v>
      </c>
      <c r="I1994" s="50">
        <v>166004837</v>
      </c>
      <c r="J1994" s="96" t="s">
        <v>157</v>
      </c>
      <c r="K1994" s="49" t="s">
        <v>786</v>
      </c>
      <c r="L1994" s="39" t="s">
        <v>787</v>
      </c>
      <c r="M1994" s="49" t="s">
        <v>788</v>
      </c>
      <c r="N1994" s="39" t="s">
        <v>244</v>
      </c>
      <c r="O1994" s="96" t="s">
        <v>1545</v>
      </c>
      <c r="P1994" s="49" t="s">
        <v>157</v>
      </c>
      <c r="Q1994" s="96" t="s">
        <v>104</v>
      </c>
      <c r="R1994" s="52">
        <v>14.9</v>
      </c>
      <c r="S1994" s="52">
        <f>R1994-T1994</f>
        <v>13.303571428571429</v>
      </c>
      <c r="T1994" s="52">
        <f>R1994*U1994/(U1994+100)</f>
        <v>1.5964285714285715</v>
      </c>
      <c r="U1994" s="50">
        <v>12</v>
      </c>
      <c r="V1994" s="53">
        <v>0</v>
      </c>
      <c r="W1994" s="147">
        <v>1</v>
      </c>
      <c r="X1994" s="148" t="s">
        <v>163</v>
      </c>
      <c r="Y1994" s="54">
        <f>R1994*W1994</f>
        <v>14.9</v>
      </c>
      <c r="Z1994" s="52">
        <f>S1994*W1994</f>
        <v>13.303571428571429</v>
      </c>
      <c r="AA1994" s="52">
        <f>T1994*W1994</f>
        <v>1.5964285714285715</v>
      </c>
      <c r="AB1994" s="52">
        <f>V1994*W1994</f>
        <v>0</v>
      </c>
      <c r="AC1994" s="53">
        <f>(R1994+V1994)*W1994</f>
        <v>14.9</v>
      </c>
      <c r="AD1994" s="138">
        <v>14.9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107</v>
      </c>
      <c r="F1995" s="96" t="s">
        <v>113</v>
      </c>
      <c r="G1995" s="97">
        <v>46132</v>
      </c>
      <c r="H1995" s="98">
        <v>0.7928009259259259</v>
      </c>
      <c r="I1995" s="50">
        <v>166004837</v>
      </c>
      <c r="J1995" s="96" t="s">
        <v>157</v>
      </c>
      <c r="K1995" s="49" t="s">
        <v>786</v>
      </c>
      <c r="L1995" s="39" t="s">
        <v>787</v>
      </c>
      <c r="M1995" s="49" t="s">
        <v>788</v>
      </c>
      <c r="N1995" s="39" t="s">
        <v>244</v>
      </c>
      <c r="O1995" s="96" t="s">
        <v>1545</v>
      </c>
      <c r="P1995" s="49" t="s">
        <v>157</v>
      </c>
      <c r="Q1995" s="96" t="s">
        <v>104</v>
      </c>
      <c r="R1995" s="52">
        <v>14.9</v>
      </c>
      <c r="S1995" s="52">
        <f>R1995-T1995</f>
        <v>13.303571428571429</v>
      </c>
      <c r="T1995" s="52">
        <f>R1995*U1995/(U1995+100)</f>
        <v>1.5964285714285715</v>
      </c>
      <c r="U1995" s="50">
        <v>12</v>
      </c>
      <c r="V1995" s="53">
        <v>0</v>
      </c>
      <c r="W1995" s="147">
        <v>1</v>
      </c>
      <c r="X1995" s="148" t="s">
        <v>163</v>
      </c>
      <c r="Y1995" s="54">
        <f>R1995*W1995</f>
        <v>14.9</v>
      </c>
      <c r="Z1995" s="52">
        <f>S1995*W1995</f>
        <v>13.303571428571429</v>
      </c>
      <c r="AA1995" s="52">
        <f>T1995*W1995</f>
        <v>1.5964285714285715</v>
      </c>
      <c r="AB1995" s="52">
        <f>V1995*W1995</f>
        <v>0</v>
      </c>
      <c r="AC1995" s="53">
        <f>(R1995+V1995)*W1995</f>
        <v>14.9</v>
      </c>
      <c r="AD1995" s="138">
        <v>14.9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107</v>
      </c>
      <c r="F1996" s="96" t="s">
        <v>113</v>
      </c>
      <c r="G1996" s="97">
        <v>46132</v>
      </c>
      <c r="H1996" s="98">
        <v>0.7928009259259259</v>
      </c>
      <c r="I1996" s="50">
        <v>166004837</v>
      </c>
      <c r="J1996" s="96" t="s">
        <v>157</v>
      </c>
      <c r="K1996" s="49" t="s">
        <v>1823</v>
      </c>
      <c r="L1996" s="39" t="s">
        <v>1824</v>
      </c>
      <c r="M1996" s="49" t="s">
        <v>429</v>
      </c>
      <c r="N1996" s="39" t="s">
        <v>239</v>
      </c>
      <c r="O1996" s="96" t="s">
        <v>1825</v>
      </c>
      <c r="P1996" s="49" t="s">
        <v>157</v>
      </c>
      <c r="Q1996" s="96" t="s">
        <v>104</v>
      </c>
      <c r="R1996" s="52">
        <v>11.4</v>
      </c>
      <c r="S1996" s="52">
        <f>R1996-T1996</f>
        <v>10.178571428571429</v>
      </c>
      <c r="T1996" s="52">
        <f>R1996*U1996/(U1996+100)</f>
        <v>1.2214285714285715</v>
      </c>
      <c r="U1996" s="50">
        <v>12</v>
      </c>
      <c r="V1996" s="53">
        <v>0</v>
      </c>
      <c r="W1996" s="147">
        <v>1</v>
      </c>
      <c r="X1996" s="148" t="s">
        <v>163</v>
      </c>
      <c r="Y1996" s="54">
        <f>R1996*W1996</f>
        <v>11.4</v>
      </c>
      <c r="Z1996" s="52">
        <f>S1996*W1996</f>
        <v>10.178571428571429</v>
      </c>
      <c r="AA1996" s="52">
        <f>T1996*W1996</f>
        <v>1.2214285714285715</v>
      </c>
      <c r="AB1996" s="52">
        <f>V1996*W1996</f>
        <v>0</v>
      </c>
      <c r="AC1996" s="53">
        <f>(R1996+V1996)*W1996</f>
        <v>11.4</v>
      </c>
      <c r="AD1996" s="138">
        <v>11.4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107</v>
      </c>
      <c r="F1997" s="96" t="s">
        <v>113</v>
      </c>
      <c r="G1997" s="97">
        <v>46132</v>
      </c>
      <c r="H1997" s="98">
        <v>0.7928009259259259</v>
      </c>
      <c r="I1997" s="50">
        <v>166004837</v>
      </c>
      <c r="J1997" s="96" t="s">
        <v>157</v>
      </c>
      <c r="K1997" s="49" t="s">
        <v>1823</v>
      </c>
      <c r="L1997" s="39" t="s">
        <v>1824</v>
      </c>
      <c r="M1997" s="49" t="s">
        <v>429</v>
      </c>
      <c r="N1997" s="39" t="s">
        <v>239</v>
      </c>
      <c r="O1997" s="96" t="s">
        <v>1825</v>
      </c>
      <c r="P1997" s="49" t="s">
        <v>157</v>
      </c>
      <c r="Q1997" s="96" t="s">
        <v>104</v>
      </c>
      <c r="R1997" s="52">
        <v>11.4</v>
      </c>
      <c r="S1997" s="52">
        <f>R1997-T1997</f>
        <v>10.178571428571429</v>
      </c>
      <c r="T1997" s="52">
        <f>R1997*U1997/(U1997+100)</f>
        <v>1.2214285714285715</v>
      </c>
      <c r="U1997" s="50">
        <v>12</v>
      </c>
      <c r="V1997" s="53">
        <v>0</v>
      </c>
      <c r="W1997" s="147">
        <v>1</v>
      </c>
      <c r="X1997" s="148" t="s">
        <v>163</v>
      </c>
      <c r="Y1997" s="54">
        <f>R1997*W1997</f>
        <v>11.4</v>
      </c>
      <c r="Z1997" s="52">
        <f>S1997*W1997</f>
        <v>10.178571428571429</v>
      </c>
      <c r="AA1997" s="52">
        <f>T1997*W1997</f>
        <v>1.2214285714285715</v>
      </c>
      <c r="AB1997" s="52">
        <f>V1997*W1997</f>
        <v>0</v>
      </c>
      <c r="AC1997" s="53">
        <f>(R1997+V1997)*W1997</f>
        <v>11.4</v>
      </c>
      <c r="AD1997" s="138">
        <v>11.4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107</v>
      </c>
      <c r="F1998" s="96" t="s">
        <v>113</v>
      </c>
      <c r="G1998" s="97">
        <v>46132</v>
      </c>
      <c r="H1998" s="98">
        <v>0.7928009259259259</v>
      </c>
      <c r="I1998" s="50">
        <v>166004837</v>
      </c>
      <c r="J1998" s="96" t="s">
        <v>157</v>
      </c>
      <c r="K1998" s="49" t="s">
        <v>2058</v>
      </c>
      <c r="L1998" s="39" t="s">
        <v>2059</v>
      </c>
      <c r="M1998" s="49" t="s">
        <v>429</v>
      </c>
      <c r="N1998" s="39" t="s">
        <v>348</v>
      </c>
      <c r="O1998" s="96" t="s">
        <v>2060</v>
      </c>
      <c r="P1998" s="49" t="s">
        <v>235</v>
      </c>
      <c r="Q1998" s="96" t="s">
        <v>236</v>
      </c>
      <c r="R1998" s="52">
        <v>16.9</v>
      </c>
      <c r="S1998" s="52">
        <f>R1998-T1998</f>
        <v>15.089285714285714</v>
      </c>
      <c r="T1998" s="52">
        <f>R1998*U1998/(U1998+100)</f>
        <v>1.8107142857142855</v>
      </c>
      <c r="U1998" s="50">
        <v>12</v>
      </c>
      <c r="V1998" s="53">
        <v>0</v>
      </c>
      <c r="W1998" s="147">
        <v>1</v>
      </c>
      <c r="X1998" s="148" t="s">
        <v>163</v>
      </c>
      <c r="Y1998" s="54">
        <f>R1998*W1998</f>
        <v>16.9</v>
      </c>
      <c r="Z1998" s="52">
        <f>S1998*W1998</f>
        <v>15.089285714285714</v>
      </c>
      <c r="AA1998" s="52">
        <f>T1998*W1998</f>
        <v>1.8107142857142855</v>
      </c>
      <c r="AB1998" s="52">
        <f>V1998*W1998</f>
        <v>0</v>
      </c>
      <c r="AC1998" s="53">
        <f>(R1998+V1998)*W1998</f>
        <v>16.9</v>
      </c>
      <c r="AD1998" s="138">
        <v>16.9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107</v>
      </c>
      <c r="F1999" s="96" t="s">
        <v>113</v>
      </c>
      <c r="G1999" s="97">
        <v>46132</v>
      </c>
      <c r="H1999" s="98">
        <v>0.7928009259259259</v>
      </c>
      <c r="I1999" s="50">
        <v>166004837</v>
      </c>
      <c r="J1999" s="96" t="s">
        <v>157</v>
      </c>
      <c r="K1999" s="49" t="s">
        <v>692</v>
      </c>
      <c r="L1999" s="39" t="s">
        <v>693</v>
      </c>
      <c r="M1999" s="49" t="s">
        <v>429</v>
      </c>
      <c r="N1999" s="39" t="s">
        <v>348</v>
      </c>
      <c r="O1999" s="96" t="s">
        <v>694</v>
      </c>
      <c r="P1999" s="49" t="s">
        <v>235</v>
      </c>
      <c r="Q1999" s="96" t="s">
        <v>236</v>
      </c>
      <c r="R1999" s="52">
        <v>16.9</v>
      </c>
      <c r="S1999" s="52">
        <f>R1999-T1999</f>
        <v>15.089285714285714</v>
      </c>
      <c r="T1999" s="52">
        <f>R1999*U1999/(U1999+100)</f>
        <v>1.8107142857142855</v>
      </c>
      <c r="U1999" s="50">
        <v>12</v>
      </c>
      <c r="V1999" s="53">
        <v>0</v>
      </c>
      <c r="W1999" s="147">
        <v>1</v>
      </c>
      <c r="X1999" s="148" t="s">
        <v>163</v>
      </c>
      <c r="Y1999" s="54">
        <f>R1999*W1999</f>
        <v>16.9</v>
      </c>
      <c r="Z1999" s="52">
        <f>S1999*W1999</f>
        <v>15.089285714285714</v>
      </c>
      <c r="AA1999" s="52">
        <f>T1999*W1999</f>
        <v>1.8107142857142855</v>
      </c>
      <c r="AB1999" s="52">
        <f>V1999*W1999</f>
        <v>0</v>
      </c>
      <c r="AC1999" s="53">
        <f>(R1999+V1999)*W1999</f>
        <v>16.9</v>
      </c>
      <c r="AD1999" s="138">
        <v>16.9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107</v>
      </c>
      <c r="F2000" s="96" t="s">
        <v>113</v>
      </c>
      <c r="G2000" s="97">
        <v>46132</v>
      </c>
      <c r="H2000" s="98">
        <v>0.7928009259259259</v>
      </c>
      <c r="I2000" s="50">
        <v>166004837</v>
      </c>
      <c r="J2000" s="96" t="s">
        <v>157</v>
      </c>
      <c r="K2000" s="49" t="s">
        <v>3058</v>
      </c>
      <c r="L2000" s="39" t="s">
        <v>3059</v>
      </c>
      <c r="M2000" s="49" t="s">
        <v>282</v>
      </c>
      <c r="N2000" s="39" t="s">
        <v>609</v>
      </c>
      <c r="O2000" s="96" t="s">
        <v>3060</v>
      </c>
      <c r="P2000" s="49" t="s">
        <v>157</v>
      </c>
      <c r="Q2000" s="96" t="s">
        <v>104</v>
      </c>
      <c r="R2000" s="52">
        <v>11.83</v>
      </c>
      <c r="S2000" s="52">
        <f>R2000-T2000</f>
        <v>10.5625</v>
      </c>
      <c r="T2000" s="52">
        <f>R2000*U2000/(U2000+100)</f>
        <v>1.2675</v>
      </c>
      <c r="U2000" s="50">
        <v>12</v>
      </c>
      <c r="V2000" s="53">
        <v>0</v>
      </c>
      <c r="W2000" s="147">
        <v>2</v>
      </c>
      <c r="X2000" s="148" t="s">
        <v>163</v>
      </c>
      <c r="Y2000" s="54">
        <f>R2000*W2000</f>
        <v>23.66</v>
      </c>
      <c r="Z2000" s="52">
        <f>S2000*W2000</f>
        <v>21.125</v>
      </c>
      <c r="AA2000" s="52">
        <f>T2000*W2000</f>
        <v>2.535</v>
      </c>
      <c r="AB2000" s="52">
        <f>V2000*W2000</f>
        <v>0</v>
      </c>
      <c r="AC2000" s="53">
        <f>(R2000+V2000)*W2000</f>
        <v>23.66</v>
      </c>
      <c r="AD2000" s="138">
        <v>16.9</v>
      </c>
      <c r="AE2000" s="137">
        <v>5.07</v>
      </c>
      <c r="AF2000" s="139">
        <v>10.14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107</v>
      </c>
      <c r="F2001" s="96" t="s">
        <v>113</v>
      </c>
      <c r="G2001" s="97">
        <v>46132</v>
      </c>
      <c r="H2001" s="98">
        <v>0.7928009259259259</v>
      </c>
      <c r="I2001" s="50">
        <v>166004837</v>
      </c>
      <c r="J2001" s="96" t="s">
        <v>157</v>
      </c>
      <c r="K2001" s="49" t="s">
        <v>3061</v>
      </c>
      <c r="L2001" s="39" t="s">
        <v>3062</v>
      </c>
      <c r="M2001" s="49" t="s">
        <v>1445</v>
      </c>
      <c r="N2001" s="39" t="s">
        <v>874</v>
      </c>
      <c r="O2001" s="96" t="s">
        <v>3063</v>
      </c>
      <c r="P2001" s="49" t="s">
        <v>157</v>
      </c>
      <c r="Q2001" s="96" t="s">
        <v>104</v>
      </c>
      <c r="R2001" s="52">
        <v>35.9</v>
      </c>
      <c r="S2001" s="52">
        <f>R2001-T2001</f>
        <v>32.05357142857143</v>
      </c>
      <c r="T2001" s="52">
        <f>R2001*U2001/(U2001+100)</f>
        <v>3.846428571428571</v>
      </c>
      <c r="U2001" s="50">
        <v>12</v>
      </c>
      <c r="V2001" s="53">
        <v>0</v>
      </c>
      <c r="W2001" s="147">
        <v>1</v>
      </c>
      <c r="X2001" s="148" t="s">
        <v>163</v>
      </c>
      <c r="Y2001" s="54">
        <f>R2001*W2001</f>
        <v>35.9</v>
      </c>
      <c r="Z2001" s="52">
        <f>S2001*W2001</f>
        <v>32.05357142857143</v>
      </c>
      <c r="AA2001" s="52">
        <f>T2001*W2001</f>
        <v>3.846428571428571</v>
      </c>
      <c r="AB2001" s="52">
        <f>V2001*W2001</f>
        <v>0</v>
      </c>
      <c r="AC2001" s="53">
        <f>(R2001+V2001)*W2001</f>
        <v>35.9</v>
      </c>
      <c r="AD2001" s="138">
        <v>35.9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107</v>
      </c>
      <c r="F2002" s="96" t="s">
        <v>113</v>
      </c>
      <c r="G2002" s="97">
        <v>46132</v>
      </c>
      <c r="H2002" s="98">
        <v>0.7928009259259259</v>
      </c>
      <c r="I2002" s="50">
        <v>166004837</v>
      </c>
      <c r="J2002" s="96" t="s">
        <v>157</v>
      </c>
      <c r="K2002" s="49" t="s">
        <v>329</v>
      </c>
      <c r="L2002" s="39" t="s">
        <v>330</v>
      </c>
      <c r="M2002" s="49" t="s">
        <v>185</v>
      </c>
      <c r="N2002" s="39" t="s">
        <v>331</v>
      </c>
      <c r="O2002" s="96" t="s">
        <v>1640</v>
      </c>
      <c r="P2002" s="49" t="s">
        <v>157</v>
      </c>
      <c r="Q2002" s="96" t="s">
        <v>104</v>
      </c>
      <c r="R2002" s="52">
        <v>34.93</v>
      </c>
      <c r="S2002" s="52">
        <f>R2002-T2002</f>
        <v>31.1875</v>
      </c>
      <c r="T2002" s="52">
        <f>R2002*U2002/(U2002+100)</f>
        <v>3.7424999999999997</v>
      </c>
      <c r="U2002" s="50">
        <v>12</v>
      </c>
      <c r="V2002" s="53">
        <v>0</v>
      </c>
      <c r="W2002" s="147">
        <v>1</v>
      </c>
      <c r="X2002" s="148" t="s">
        <v>163</v>
      </c>
      <c r="Y2002" s="54">
        <f>R2002*W2002</f>
        <v>34.93</v>
      </c>
      <c r="Z2002" s="52">
        <f>S2002*W2002</f>
        <v>31.1875</v>
      </c>
      <c r="AA2002" s="52">
        <f>T2002*W2002</f>
        <v>3.7424999999999997</v>
      </c>
      <c r="AB2002" s="52">
        <f>V2002*W2002</f>
        <v>0</v>
      </c>
      <c r="AC2002" s="53">
        <f>(R2002+V2002)*W2002</f>
        <v>34.93</v>
      </c>
      <c r="AD2002" s="138">
        <v>49.9</v>
      </c>
      <c r="AE2002" s="137">
        <v>14.97</v>
      </c>
      <c r="AF2002" s="139">
        <v>14.97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107</v>
      </c>
      <c r="F2003" s="96" t="s">
        <v>113</v>
      </c>
      <c r="G2003" s="97">
        <v>46132</v>
      </c>
      <c r="H2003" s="98">
        <v>0.7928009259259259</v>
      </c>
      <c r="I2003" s="50">
        <v>166004837</v>
      </c>
      <c r="J2003" s="96" t="s">
        <v>157</v>
      </c>
      <c r="K2003" s="49" t="s">
        <v>3064</v>
      </c>
      <c r="L2003" s="39" t="s">
        <v>3065</v>
      </c>
      <c r="M2003" s="49" t="s">
        <v>1067</v>
      </c>
      <c r="N2003" s="39" t="s">
        <v>1068</v>
      </c>
      <c r="O2003" s="96" t="s">
        <v>3066</v>
      </c>
      <c r="P2003" s="49" t="s">
        <v>157</v>
      </c>
      <c r="Q2003" s="96" t="s">
        <v>104</v>
      </c>
      <c r="R2003" s="52">
        <v>52.9</v>
      </c>
      <c r="S2003" s="52">
        <f>R2003-T2003</f>
        <v>47.232142857142854</v>
      </c>
      <c r="T2003" s="52">
        <f>R2003*U2003/(U2003+100)</f>
        <v>5.667857142857143</v>
      </c>
      <c r="U2003" s="50">
        <v>12</v>
      </c>
      <c r="V2003" s="53">
        <v>0</v>
      </c>
      <c r="W2003" s="147">
        <v>1</v>
      </c>
      <c r="X2003" s="148" t="s">
        <v>163</v>
      </c>
      <c r="Y2003" s="54">
        <f>R2003*W2003</f>
        <v>52.9</v>
      </c>
      <c r="Z2003" s="52">
        <f>S2003*W2003</f>
        <v>47.232142857142854</v>
      </c>
      <c r="AA2003" s="52">
        <f>T2003*W2003</f>
        <v>5.667857142857143</v>
      </c>
      <c r="AB2003" s="52">
        <f>V2003*W2003</f>
        <v>0</v>
      </c>
      <c r="AC2003" s="53">
        <f>(R2003+V2003)*W2003</f>
        <v>52.9</v>
      </c>
      <c r="AD2003" s="138">
        <v>52.9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107</v>
      </c>
      <c r="F2004" s="96" t="s">
        <v>113</v>
      </c>
      <c r="G2004" s="97">
        <v>46132</v>
      </c>
      <c r="H2004" s="98">
        <v>0.7928009259259259</v>
      </c>
      <c r="I2004" s="50">
        <v>166004837</v>
      </c>
      <c r="J2004" s="96" t="s">
        <v>157</v>
      </c>
      <c r="K2004" s="49" t="s">
        <v>3067</v>
      </c>
      <c r="L2004" s="39" t="s">
        <v>3068</v>
      </c>
      <c r="M2004" s="49" t="s">
        <v>219</v>
      </c>
      <c r="N2004" s="39" t="s">
        <v>388</v>
      </c>
      <c r="O2004" s="96" t="s">
        <v>3069</v>
      </c>
      <c r="P2004" s="49" t="s">
        <v>157</v>
      </c>
      <c r="Q2004" s="96" t="s">
        <v>104</v>
      </c>
      <c r="R2004" s="52">
        <v>39.9</v>
      </c>
      <c r="S2004" s="52">
        <f>R2004-T2004</f>
        <v>32.97520661157024</v>
      </c>
      <c r="T2004" s="52">
        <f>R2004*U2004/(U2004+100)</f>
        <v>6.924793388429752</v>
      </c>
      <c r="U2004" s="50">
        <v>21</v>
      </c>
      <c r="V2004" s="53">
        <v>0</v>
      </c>
      <c r="W2004" s="147">
        <v>1</v>
      </c>
      <c r="X2004" s="148" t="s">
        <v>163</v>
      </c>
      <c r="Y2004" s="54">
        <f>R2004*W2004</f>
        <v>39.9</v>
      </c>
      <c r="Z2004" s="52">
        <f>S2004*W2004</f>
        <v>32.97520661157024</v>
      </c>
      <c r="AA2004" s="52">
        <f>T2004*W2004</f>
        <v>6.924793388429752</v>
      </c>
      <c r="AB2004" s="52">
        <f>V2004*W2004</f>
        <v>0</v>
      </c>
      <c r="AC2004" s="53">
        <f>(R2004+V2004)*W2004</f>
        <v>39.9</v>
      </c>
      <c r="AD2004" s="138">
        <v>39.9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107</v>
      </c>
      <c r="F2005" s="96" t="s">
        <v>113</v>
      </c>
      <c r="G2005" s="97">
        <v>46132</v>
      </c>
      <c r="H2005" s="98">
        <v>0.7928009259259259</v>
      </c>
      <c r="I2005" s="50">
        <v>166004837</v>
      </c>
      <c r="J2005" s="96" t="s">
        <v>157</v>
      </c>
      <c r="K2005" s="49" t="s">
        <v>1292</v>
      </c>
      <c r="L2005" s="39" t="s">
        <v>1293</v>
      </c>
      <c r="M2005" s="49" t="s">
        <v>954</v>
      </c>
      <c r="N2005" s="39" t="s">
        <v>233</v>
      </c>
      <c r="O2005" s="96" t="s">
        <v>1294</v>
      </c>
      <c r="P2005" s="49" t="s">
        <v>157</v>
      </c>
      <c r="Q2005" s="96" t="s">
        <v>104</v>
      </c>
      <c r="R2005" s="52">
        <v>19.9</v>
      </c>
      <c r="S2005" s="52">
        <f>R2005-T2005</f>
        <v>16.446280991735534</v>
      </c>
      <c r="T2005" s="52">
        <f>R2005*U2005/(U2005+100)</f>
        <v>3.4537190082644624</v>
      </c>
      <c r="U2005" s="50">
        <v>21</v>
      </c>
      <c r="V2005" s="53">
        <v>0</v>
      </c>
      <c r="W2005" s="147">
        <v>1</v>
      </c>
      <c r="X2005" s="148" t="s">
        <v>163</v>
      </c>
      <c r="Y2005" s="54">
        <f>R2005*W2005</f>
        <v>19.9</v>
      </c>
      <c r="Z2005" s="52">
        <f>S2005*W2005</f>
        <v>16.446280991735534</v>
      </c>
      <c r="AA2005" s="52">
        <f>T2005*W2005</f>
        <v>3.4537190082644624</v>
      </c>
      <c r="AB2005" s="52">
        <f>V2005*W2005</f>
        <v>0</v>
      </c>
      <c r="AC2005" s="53">
        <f>(R2005+V2005)*W2005</f>
        <v>19.9</v>
      </c>
      <c r="AD2005" s="138">
        <v>19.9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107</v>
      </c>
      <c r="F2006" s="96" t="s">
        <v>113</v>
      </c>
      <c r="G2006" s="97">
        <v>46132</v>
      </c>
      <c r="H2006" s="98">
        <v>0.7928009259259259</v>
      </c>
      <c r="I2006" s="50">
        <v>166004837</v>
      </c>
      <c r="J2006" s="96" t="s">
        <v>157</v>
      </c>
      <c r="K2006" s="49" t="s">
        <v>1865</v>
      </c>
      <c r="L2006" s="39" t="s">
        <v>1866</v>
      </c>
      <c r="M2006" s="49" t="s">
        <v>190</v>
      </c>
      <c r="N2006" s="39" t="s">
        <v>191</v>
      </c>
      <c r="O2006" s="96" t="s">
        <v>1867</v>
      </c>
      <c r="P2006" s="49" t="s">
        <v>157</v>
      </c>
      <c r="Q2006" s="96" t="s">
        <v>104</v>
      </c>
      <c r="R2006" s="52">
        <v>14.9</v>
      </c>
      <c r="S2006" s="52">
        <f>R2006-T2006</f>
        <v>13.303571428571429</v>
      </c>
      <c r="T2006" s="52">
        <f>R2006*U2006/(U2006+100)</f>
        <v>1.5964285714285715</v>
      </c>
      <c r="U2006" s="50">
        <v>12</v>
      </c>
      <c r="V2006" s="53">
        <v>0</v>
      </c>
      <c r="W2006" s="147">
        <v>0.4</v>
      </c>
      <c r="X2006" s="148" t="s">
        <v>193</v>
      </c>
      <c r="Y2006" s="54">
        <f>R2006*W2006</f>
        <v>5.960000000000001</v>
      </c>
      <c r="Z2006" s="52">
        <f>S2006*W2006</f>
        <v>5.321428571428572</v>
      </c>
      <c r="AA2006" s="52">
        <f>T2006*W2006</f>
        <v>0.6385714285714287</v>
      </c>
      <c r="AB2006" s="52">
        <f>V2006*W2006</f>
        <v>0</v>
      </c>
      <c r="AC2006" s="53">
        <f>(R2006+V2006)*W2006</f>
        <v>5.960000000000001</v>
      </c>
      <c r="AD2006" s="138">
        <v>14.9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107</v>
      </c>
      <c r="F2007" s="96" t="s">
        <v>113</v>
      </c>
      <c r="G2007" s="97">
        <v>46132</v>
      </c>
      <c r="H2007" s="98">
        <v>0.7928009259259259</v>
      </c>
      <c r="I2007" s="50">
        <v>166004837</v>
      </c>
      <c r="J2007" s="96" t="s">
        <v>157</v>
      </c>
      <c r="K2007" s="49" t="s">
        <v>390</v>
      </c>
      <c r="L2007" s="39" t="s">
        <v>391</v>
      </c>
      <c r="M2007" s="49" t="s">
        <v>214</v>
      </c>
      <c r="N2007" s="39" t="s">
        <v>273</v>
      </c>
      <c r="O2007" s="96" t="s">
        <v>1110</v>
      </c>
      <c r="P2007" s="49" t="s">
        <v>157</v>
      </c>
      <c r="Q2007" s="96" t="s">
        <v>104</v>
      </c>
      <c r="R2007" s="52">
        <v>15.9</v>
      </c>
      <c r="S2007" s="52">
        <f>R2007-T2007</f>
        <v>14.196428571428571</v>
      </c>
      <c r="T2007" s="52">
        <f>R2007*U2007/(U2007+100)</f>
        <v>1.7035714285714287</v>
      </c>
      <c r="U2007" s="50">
        <v>12</v>
      </c>
      <c r="V2007" s="53">
        <v>0</v>
      </c>
      <c r="W2007" s="147">
        <v>3</v>
      </c>
      <c r="X2007" s="148" t="s">
        <v>163</v>
      </c>
      <c r="Y2007" s="54">
        <f>R2007*W2007</f>
        <v>47.7</v>
      </c>
      <c r="Z2007" s="52">
        <f>S2007*W2007</f>
        <v>42.589285714285715</v>
      </c>
      <c r="AA2007" s="52">
        <f>T2007*W2007</f>
        <v>5.110714285714286</v>
      </c>
      <c r="AB2007" s="52">
        <f>V2007*W2007</f>
        <v>0</v>
      </c>
      <c r="AC2007" s="53">
        <f>(R2007+V2007)*W2007</f>
        <v>47.7</v>
      </c>
      <c r="AD2007" s="138">
        <v>15.9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107</v>
      </c>
      <c r="F2008" s="96" t="s">
        <v>113</v>
      </c>
      <c r="G2008" s="97">
        <v>46132</v>
      </c>
      <c r="H2008" s="98">
        <v>0.7928009259259259</v>
      </c>
      <c r="I2008" s="50">
        <v>166004837</v>
      </c>
      <c r="J2008" s="96" t="s">
        <v>157</v>
      </c>
      <c r="K2008" s="49" t="s">
        <v>1343</v>
      </c>
      <c r="L2008" s="39" t="s">
        <v>1344</v>
      </c>
      <c r="M2008" s="49" t="s">
        <v>522</v>
      </c>
      <c r="N2008" s="39" t="s">
        <v>440</v>
      </c>
      <c r="O2008" s="96" t="s">
        <v>1345</v>
      </c>
      <c r="P2008" s="49" t="s">
        <v>157</v>
      </c>
      <c r="Q2008" s="96" t="s">
        <v>104</v>
      </c>
      <c r="R2008" s="52">
        <v>199.9</v>
      </c>
      <c r="S2008" s="52">
        <f>R2008-T2008</f>
        <v>178.48214285714286</v>
      </c>
      <c r="T2008" s="52">
        <f>R2008*U2008/(U2008+100)</f>
        <v>21.417857142857144</v>
      </c>
      <c r="U2008" s="50">
        <v>12</v>
      </c>
      <c r="V2008" s="53">
        <v>0</v>
      </c>
      <c r="W2008" s="147">
        <v>0.202</v>
      </c>
      <c r="X2008" s="148" t="s">
        <v>193</v>
      </c>
      <c r="Y2008" s="54">
        <f>R2008*W2008</f>
        <v>40.3798</v>
      </c>
      <c r="Z2008" s="52">
        <f>S2008*W2008</f>
        <v>36.05339285714286</v>
      </c>
      <c r="AA2008" s="52">
        <f>T2008*W2008</f>
        <v>4.326407142857144</v>
      </c>
      <c r="AB2008" s="52">
        <f>V2008*W2008</f>
        <v>0</v>
      </c>
      <c r="AC2008" s="53">
        <f>(R2008+V2008)*W2008</f>
        <v>40.3798</v>
      </c>
      <c r="AD2008" s="138">
        <v>199.9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107</v>
      </c>
      <c r="F2009" s="96" t="s">
        <v>113</v>
      </c>
      <c r="G2009" s="97">
        <v>46132</v>
      </c>
      <c r="H2009" s="98">
        <v>0.7928009259259259</v>
      </c>
      <c r="I2009" s="50">
        <v>166004837</v>
      </c>
      <c r="J2009" s="96" t="s">
        <v>157</v>
      </c>
      <c r="K2009" s="49" t="s">
        <v>293</v>
      </c>
      <c r="L2009" s="39" t="s">
        <v>294</v>
      </c>
      <c r="M2009" s="49" t="s">
        <v>295</v>
      </c>
      <c r="N2009" s="39" t="s">
        <v>296</v>
      </c>
      <c r="O2009" s="96" t="s">
        <v>297</v>
      </c>
      <c r="P2009" s="49" t="s">
        <v>157</v>
      </c>
      <c r="Q2009" s="96" t="s">
        <v>104</v>
      </c>
      <c r="R2009" s="52">
        <v>2.9</v>
      </c>
      <c r="S2009" s="52">
        <f>R2009-T2009</f>
        <v>2.5892857142857144</v>
      </c>
      <c r="T2009" s="52">
        <f>R2009*U2009/(U2009+100)</f>
        <v>0.31071428571428567</v>
      </c>
      <c r="U2009" s="50">
        <v>12</v>
      </c>
      <c r="V2009" s="53">
        <v>0</v>
      </c>
      <c r="W2009" s="147">
        <v>3</v>
      </c>
      <c r="X2009" s="148" t="s">
        <v>163</v>
      </c>
      <c r="Y2009" s="54">
        <f>R2009*W2009</f>
        <v>8.7</v>
      </c>
      <c r="Z2009" s="52">
        <f>S2009*W2009</f>
        <v>7.767857142857143</v>
      </c>
      <c r="AA2009" s="52">
        <f>T2009*W2009</f>
        <v>0.9321428571428569</v>
      </c>
      <c r="AB2009" s="52">
        <f>V2009*W2009</f>
        <v>0</v>
      </c>
      <c r="AC2009" s="53">
        <f>(R2009+V2009)*W2009</f>
        <v>8.7</v>
      </c>
      <c r="AD2009" s="138">
        <v>2.9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107</v>
      </c>
      <c r="F2010" s="96" t="s">
        <v>113</v>
      </c>
      <c r="G2010" s="97">
        <v>46132</v>
      </c>
      <c r="H2010" s="98">
        <v>0.795</v>
      </c>
      <c r="I2010" s="50">
        <v>166004838</v>
      </c>
      <c r="J2010" s="96" t="s">
        <v>157</v>
      </c>
      <c r="K2010" s="49" t="s">
        <v>1852</v>
      </c>
      <c r="L2010" s="39" t="s">
        <v>1853</v>
      </c>
      <c r="M2010" s="49" t="s">
        <v>232</v>
      </c>
      <c r="N2010" s="39" t="s">
        <v>233</v>
      </c>
      <c r="O2010" s="96" t="s">
        <v>1854</v>
      </c>
      <c r="P2010" s="49" t="s">
        <v>157</v>
      </c>
      <c r="Q2010" s="96" t="s">
        <v>104</v>
      </c>
      <c r="R2010" s="52">
        <v>22.9</v>
      </c>
      <c r="S2010" s="52">
        <f>R2010-T2010</f>
        <v>18.925619834710744</v>
      </c>
      <c r="T2010" s="52">
        <f>R2010*U2010/(U2010+100)</f>
        <v>3.974380165289256</v>
      </c>
      <c r="U2010" s="50">
        <v>21</v>
      </c>
      <c r="V2010" s="53">
        <v>0</v>
      </c>
      <c r="W2010" s="147">
        <v>1</v>
      </c>
      <c r="X2010" s="148" t="s">
        <v>163</v>
      </c>
      <c r="Y2010" s="54">
        <f>R2010*W2010</f>
        <v>22.9</v>
      </c>
      <c r="Z2010" s="52">
        <f>S2010*W2010</f>
        <v>18.925619834710744</v>
      </c>
      <c r="AA2010" s="52">
        <f>T2010*W2010</f>
        <v>3.974380165289256</v>
      </c>
      <c r="AB2010" s="52">
        <f>V2010*W2010</f>
        <v>0</v>
      </c>
      <c r="AC2010" s="53">
        <f>(R2010+V2010)*W2010</f>
        <v>22.9</v>
      </c>
      <c r="AD2010" s="138">
        <v>22.9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107</v>
      </c>
      <c r="F2011" s="96" t="s">
        <v>113</v>
      </c>
      <c r="G2011" s="97">
        <v>46132</v>
      </c>
      <c r="H2011" s="98">
        <v>0.795</v>
      </c>
      <c r="I2011" s="50">
        <v>166004838</v>
      </c>
      <c r="J2011" s="96" t="s">
        <v>157</v>
      </c>
      <c r="K2011" s="49" t="s">
        <v>386</v>
      </c>
      <c r="L2011" s="39" t="s">
        <v>387</v>
      </c>
      <c r="M2011" s="49" t="s">
        <v>219</v>
      </c>
      <c r="N2011" s="39" t="s">
        <v>388</v>
      </c>
      <c r="O2011" s="96" t="s">
        <v>2780</v>
      </c>
      <c r="P2011" s="49" t="s">
        <v>157</v>
      </c>
      <c r="Q2011" s="96" t="s">
        <v>104</v>
      </c>
      <c r="R2011" s="52">
        <v>29.9</v>
      </c>
      <c r="S2011" s="52">
        <f>R2011-T2011</f>
        <v>24.710743801652892</v>
      </c>
      <c r="T2011" s="52">
        <f>R2011*U2011/(U2011+100)</f>
        <v>5.189256198347107</v>
      </c>
      <c r="U2011" s="50">
        <v>21</v>
      </c>
      <c r="V2011" s="53">
        <v>0</v>
      </c>
      <c r="W2011" s="147">
        <v>1</v>
      </c>
      <c r="X2011" s="148" t="s">
        <v>163</v>
      </c>
      <c r="Y2011" s="54">
        <f>R2011*W2011</f>
        <v>29.9</v>
      </c>
      <c r="Z2011" s="52">
        <f>S2011*W2011</f>
        <v>24.710743801652892</v>
      </c>
      <c r="AA2011" s="52">
        <f>T2011*W2011</f>
        <v>5.189256198347107</v>
      </c>
      <c r="AB2011" s="52">
        <f>V2011*W2011</f>
        <v>0</v>
      </c>
      <c r="AC2011" s="53">
        <f>(R2011+V2011)*W2011</f>
        <v>29.9</v>
      </c>
      <c r="AD2011" s="138">
        <v>29.9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107</v>
      </c>
      <c r="F2012" s="96" t="s">
        <v>113</v>
      </c>
      <c r="G2012" s="97">
        <v>46132</v>
      </c>
      <c r="H2012" s="98">
        <v>0.7969675925925926</v>
      </c>
      <c r="I2012" s="50">
        <v>166004839</v>
      </c>
      <c r="J2012" s="96" t="s">
        <v>157</v>
      </c>
      <c r="K2012" s="49" t="s">
        <v>3070</v>
      </c>
      <c r="L2012" s="39" t="s">
        <v>3071</v>
      </c>
      <c r="M2012" s="49" t="s">
        <v>255</v>
      </c>
      <c r="N2012" s="39" t="s">
        <v>256</v>
      </c>
      <c r="O2012" s="96" t="s">
        <v>3072</v>
      </c>
      <c r="P2012" s="49" t="s">
        <v>157</v>
      </c>
      <c r="Q2012" s="96" t="s">
        <v>104</v>
      </c>
      <c r="R2012" s="52">
        <v>29.9</v>
      </c>
      <c r="S2012" s="52">
        <f>R2012-T2012</f>
        <v>24.710743801652892</v>
      </c>
      <c r="T2012" s="52">
        <f>R2012*U2012/(U2012+100)</f>
        <v>5.189256198347107</v>
      </c>
      <c r="U2012" s="50">
        <v>21</v>
      </c>
      <c r="V2012" s="53">
        <v>3</v>
      </c>
      <c r="W2012" s="147">
        <v>1</v>
      </c>
      <c r="X2012" s="148" t="s">
        <v>163</v>
      </c>
      <c r="Y2012" s="54">
        <f>R2012*W2012</f>
        <v>29.9</v>
      </c>
      <c r="Z2012" s="52">
        <f>S2012*W2012</f>
        <v>24.710743801652892</v>
      </c>
      <c r="AA2012" s="52">
        <f>T2012*W2012</f>
        <v>5.189256198347107</v>
      </c>
      <c r="AB2012" s="52">
        <f>V2012*W2012</f>
        <v>3</v>
      </c>
      <c r="AC2012" s="53">
        <f>(R2012+V2012)*W2012</f>
        <v>32.9</v>
      </c>
      <c r="AD2012" s="138">
        <v>29.9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107</v>
      </c>
      <c r="F2013" s="96" t="s">
        <v>113</v>
      </c>
      <c r="G2013" s="97">
        <v>46132</v>
      </c>
      <c r="H2013" s="98">
        <v>0.7969675925925926</v>
      </c>
      <c r="I2013" s="50">
        <v>166004839</v>
      </c>
      <c r="J2013" s="96" t="s">
        <v>157</v>
      </c>
      <c r="K2013" s="49" t="s">
        <v>3073</v>
      </c>
      <c r="L2013" s="39" t="s">
        <v>3074</v>
      </c>
      <c r="M2013" s="49" t="s">
        <v>255</v>
      </c>
      <c r="N2013" s="39" t="s">
        <v>256</v>
      </c>
      <c r="O2013" s="96" t="s">
        <v>3075</v>
      </c>
      <c r="P2013" s="49" t="s">
        <v>157</v>
      </c>
      <c r="Q2013" s="96" t="s">
        <v>104</v>
      </c>
      <c r="R2013" s="52">
        <v>29.9</v>
      </c>
      <c r="S2013" s="52">
        <f>R2013-T2013</f>
        <v>24.710743801652892</v>
      </c>
      <c r="T2013" s="52">
        <f>R2013*U2013/(U2013+100)</f>
        <v>5.189256198347107</v>
      </c>
      <c r="U2013" s="50">
        <v>21</v>
      </c>
      <c r="V2013" s="53">
        <v>3</v>
      </c>
      <c r="W2013" s="147">
        <v>1</v>
      </c>
      <c r="X2013" s="148" t="s">
        <v>163</v>
      </c>
      <c r="Y2013" s="54">
        <f>R2013*W2013</f>
        <v>29.9</v>
      </c>
      <c r="Z2013" s="52">
        <f>S2013*W2013</f>
        <v>24.710743801652892</v>
      </c>
      <c r="AA2013" s="52">
        <f>T2013*W2013</f>
        <v>5.189256198347107</v>
      </c>
      <c r="AB2013" s="52">
        <f>V2013*W2013</f>
        <v>3</v>
      </c>
      <c r="AC2013" s="53">
        <f>(R2013+V2013)*W2013</f>
        <v>32.9</v>
      </c>
      <c r="AD2013" s="138">
        <v>29.9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107</v>
      </c>
      <c r="F2014" s="96" t="s">
        <v>113</v>
      </c>
      <c r="G2014" s="97">
        <v>46132</v>
      </c>
      <c r="H2014" s="98">
        <v>0.8003472222222222</v>
      </c>
      <c r="I2014" s="50">
        <v>166004840</v>
      </c>
      <c r="J2014" s="96" t="s">
        <v>157</v>
      </c>
      <c r="K2014" s="49" t="s">
        <v>311</v>
      </c>
      <c r="L2014" s="39" t="s">
        <v>312</v>
      </c>
      <c r="M2014" s="49" t="s">
        <v>313</v>
      </c>
      <c r="N2014" s="39" t="s">
        <v>314</v>
      </c>
      <c r="O2014" s="96" t="s">
        <v>3076</v>
      </c>
      <c r="P2014" s="49" t="s">
        <v>157</v>
      </c>
      <c r="Q2014" s="96" t="s">
        <v>104</v>
      </c>
      <c r="R2014" s="52">
        <v>45.9</v>
      </c>
      <c r="S2014" s="52">
        <f>R2014-T2014</f>
        <v>40.982142857142854</v>
      </c>
      <c r="T2014" s="52">
        <f>R2014*U2014/(U2014+100)</f>
        <v>4.917857142857143</v>
      </c>
      <c r="U2014" s="50">
        <v>12</v>
      </c>
      <c r="V2014" s="53">
        <v>0</v>
      </c>
      <c r="W2014" s="147">
        <v>1</v>
      </c>
      <c r="X2014" s="148" t="s">
        <v>163</v>
      </c>
      <c r="Y2014" s="54">
        <f>R2014*W2014</f>
        <v>45.9</v>
      </c>
      <c r="Z2014" s="52">
        <f>S2014*W2014</f>
        <v>40.982142857142854</v>
      </c>
      <c r="AA2014" s="52">
        <f>T2014*W2014</f>
        <v>4.917857142857143</v>
      </c>
      <c r="AB2014" s="52">
        <f>V2014*W2014</f>
        <v>0</v>
      </c>
      <c r="AC2014" s="53">
        <f>(R2014+V2014)*W2014</f>
        <v>45.9</v>
      </c>
      <c r="AD2014" s="138">
        <v>45.9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107</v>
      </c>
      <c r="F2015" s="96" t="s">
        <v>113</v>
      </c>
      <c r="G2015" s="97">
        <v>46132</v>
      </c>
      <c r="H2015" s="98">
        <v>0.801712962962963</v>
      </c>
      <c r="I2015" s="50">
        <v>166004841</v>
      </c>
      <c r="J2015" s="96" t="s">
        <v>157</v>
      </c>
      <c r="K2015" s="49" t="s">
        <v>1343</v>
      </c>
      <c r="L2015" s="39" t="s">
        <v>1344</v>
      </c>
      <c r="M2015" s="49" t="s">
        <v>522</v>
      </c>
      <c r="N2015" s="39" t="s">
        <v>440</v>
      </c>
      <c r="O2015" s="96" t="s">
        <v>1345</v>
      </c>
      <c r="P2015" s="49" t="s">
        <v>157</v>
      </c>
      <c r="Q2015" s="96" t="s">
        <v>104</v>
      </c>
      <c r="R2015" s="52">
        <v>199.9</v>
      </c>
      <c r="S2015" s="52">
        <f>R2015-T2015</f>
        <v>178.48214285714286</v>
      </c>
      <c r="T2015" s="52">
        <f>R2015*U2015/(U2015+100)</f>
        <v>21.417857142857144</v>
      </c>
      <c r="U2015" s="50">
        <v>12</v>
      </c>
      <c r="V2015" s="53">
        <v>0</v>
      </c>
      <c r="W2015" s="147">
        <v>0.098</v>
      </c>
      <c r="X2015" s="148" t="s">
        <v>193</v>
      </c>
      <c r="Y2015" s="54">
        <f>R2015*W2015</f>
        <v>19.590200000000003</v>
      </c>
      <c r="Z2015" s="52">
        <f>S2015*W2015</f>
        <v>17.49125</v>
      </c>
      <c r="AA2015" s="52">
        <f>T2015*W2015</f>
        <v>2.0989500000000003</v>
      </c>
      <c r="AB2015" s="52">
        <f>V2015*W2015</f>
        <v>0</v>
      </c>
      <c r="AC2015" s="53">
        <f>(R2015+V2015)*W2015</f>
        <v>19.590200000000003</v>
      </c>
      <c r="AD2015" s="138">
        <v>199.9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107</v>
      </c>
      <c r="F2016" s="96" t="s">
        <v>113</v>
      </c>
      <c r="G2016" s="97">
        <v>46132</v>
      </c>
      <c r="H2016" s="98">
        <v>0.801712962962963</v>
      </c>
      <c r="I2016" s="50">
        <v>166004841</v>
      </c>
      <c r="J2016" s="96" t="s">
        <v>157</v>
      </c>
      <c r="K2016" s="49" t="s">
        <v>293</v>
      </c>
      <c r="L2016" s="39" t="s">
        <v>294</v>
      </c>
      <c r="M2016" s="49" t="s">
        <v>295</v>
      </c>
      <c r="N2016" s="39" t="s">
        <v>296</v>
      </c>
      <c r="O2016" s="96" t="s">
        <v>297</v>
      </c>
      <c r="P2016" s="49" t="s">
        <v>157</v>
      </c>
      <c r="Q2016" s="96" t="s">
        <v>104</v>
      </c>
      <c r="R2016" s="52">
        <v>2.9</v>
      </c>
      <c r="S2016" s="52">
        <f>R2016-T2016</f>
        <v>2.5892857142857144</v>
      </c>
      <c r="T2016" s="52">
        <f>R2016*U2016/(U2016+100)</f>
        <v>0.31071428571428567</v>
      </c>
      <c r="U2016" s="50">
        <v>12</v>
      </c>
      <c r="V2016" s="53">
        <v>0</v>
      </c>
      <c r="W2016" s="147">
        <v>5</v>
      </c>
      <c r="X2016" s="148" t="s">
        <v>163</v>
      </c>
      <c r="Y2016" s="54">
        <f>R2016*W2016</f>
        <v>14.5</v>
      </c>
      <c r="Z2016" s="52">
        <f>S2016*W2016</f>
        <v>12.946428571428573</v>
      </c>
      <c r="AA2016" s="52">
        <f>T2016*W2016</f>
        <v>1.5535714285714284</v>
      </c>
      <c r="AB2016" s="52">
        <f>V2016*W2016</f>
        <v>0</v>
      </c>
      <c r="AC2016" s="53">
        <f>(R2016+V2016)*W2016</f>
        <v>14.5</v>
      </c>
      <c r="AD2016" s="138">
        <v>2.9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107</v>
      </c>
      <c r="F2017" s="96" t="s">
        <v>113</v>
      </c>
      <c r="G2017" s="97">
        <v>46132</v>
      </c>
      <c r="H2017" s="98">
        <v>0.8034143518518518</v>
      </c>
      <c r="I2017" s="50">
        <v>166004842</v>
      </c>
      <c r="J2017" s="96" t="s">
        <v>157</v>
      </c>
      <c r="K2017" s="49" t="s">
        <v>3077</v>
      </c>
      <c r="L2017" s="39" t="s">
        <v>3078</v>
      </c>
      <c r="M2017" s="49" t="s">
        <v>1252</v>
      </c>
      <c r="N2017" s="39" t="s">
        <v>264</v>
      </c>
      <c r="O2017" s="96" t="s">
        <v>3079</v>
      </c>
      <c r="P2017" s="49" t="s">
        <v>157</v>
      </c>
      <c r="Q2017" s="96" t="s">
        <v>104</v>
      </c>
      <c r="R2017" s="52">
        <v>19.9</v>
      </c>
      <c r="S2017" s="52">
        <f>R2017-T2017</f>
        <v>17.767857142857142</v>
      </c>
      <c r="T2017" s="52">
        <f>R2017*U2017/(U2017+100)</f>
        <v>2.132142857142857</v>
      </c>
      <c r="U2017" s="50">
        <v>12</v>
      </c>
      <c r="V2017" s="53">
        <v>0</v>
      </c>
      <c r="W2017" s="147">
        <v>1</v>
      </c>
      <c r="X2017" s="148" t="s">
        <v>163</v>
      </c>
      <c r="Y2017" s="54">
        <f>R2017*W2017</f>
        <v>19.9</v>
      </c>
      <c r="Z2017" s="52">
        <f>S2017*W2017</f>
        <v>17.767857142857142</v>
      </c>
      <c r="AA2017" s="52">
        <f>T2017*W2017</f>
        <v>2.132142857142857</v>
      </c>
      <c r="AB2017" s="52">
        <f>V2017*W2017</f>
        <v>0</v>
      </c>
      <c r="AC2017" s="53">
        <f>(R2017+V2017)*W2017</f>
        <v>19.9</v>
      </c>
      <c r="AD2017" s="138">
        <v>19.9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107</v>
      </c>
      <c r="F2018" s="96" t="s">
        <v>113</v>
      </c>
      <c r="G2018" s="97">
        <v>46132</v>
      </c>
      <c r="H2018" s="98">
        <v>0.8034143518518518</v>
      </c>
      <c r="I2018" s="50">
        <v>166004842</v>
      </c>
      <c r="J2018" s="96" t="s">
        <v>157</v>
      </c>
      <c r="K2018" s="49" t="s">
        <v>3080</v>
      </c>
      <c r="L2018" s="39" t="s">
        <v>3081</v>
      </c>
      <c r="M2018" s="49" t="s">
        <v>808</v>
      </c>
      <c r="N2018" s="39" t="s">
        <v>404</v>
      </c>
      <c r="O2018" s="96" t="s">
        <v>3082</v>
      </c>
      <c r="P2018" s="49" t="s">
        <v>157</v>
      </c>
      <c r="Q2018" s="96" t="s">
        <v>104</v>
      </c>
      <c r="R2018" s="52">
        <v>19.9</v>
      </c>
      <c r="S2018" s="52">
        <f>R2018-T2018</f>
        <v>17.767857142857142</v>
      </c>
      <c r="T2018" s="52">
        <f>R2018*U2018/(U2018+100)</f>
        <v>2.132142857142857</v>
      </c>
      <c r="U2018" s="50">
        <v>12</v>
      </c>
      <c r="V2018" s="53">
        <v>0</v>
      </c>
      <c r="W2018" s="147">
        <v>1</v>
      </c>
      <c r="X2018" s="148" t="s">
        <v>163</v>
      </c>
      <c r="Y2018" s="54">
        <f>R2018*W2018</f>
        <v>19.9</v>
      </c>
      <c r="Z2018" s="52">
        <f>S2018*W2018</f>
        <v>17.767857142857142</v>
      </c>
      <c r="AA2018" s="52">
        <f>T2018*W2018</f>
        <v>2.132142857142857</v>
      </c>
      <c r="AB2018" s="52">
        <f>V2018*W2018</f>
        <v>0</v>
      </c>
      <c r="AC2018" s="53">
        <f>(R2018+V2018)*W2018</f>
        <v>19.9</v>
      </c>
      <c r="AD2018" s="138">
        <v>19.9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107</v>
      </c>
      <c r="F2019" s="96" t="s">
        <v>113</v>
      </c>
      <c r="G2019" s="97">
        <v>46132</v>
      </c>
      <c r="H2019" s="98">
        <v>0.8099884259259259</v>
      </c>
      <c r="I2019" s="50">
        <v>166004843</v>
      </c>
      <c r="J2019" s="96" t="s">
        <v>157</v>
      </c>
      <c r="K2019" s="49" t="s">
        <v>3083</v>
      </c>
      <c r="L2019" s="39" t="s">
        <v>3084</v>
      </c>
      <c r="M2019" s="49" t="s">
        <v>830</v>
      </c>
      <c r="N2019" s="39" t="s">
        <v>264</v>
      </c>
      <c r="O2019" s="96" t="s">
        <v>3085</v>
      </c>
      <c r="P2019" s="49" t="s">
        <v>157</v>
      </c>
      <c r="Q2019" s="96" t="s">
        <v>104</v>
      </c>
      <c r="R2019" s="52">
        <v>49.9</v>
      </c>
      <c r="S2019" s="52">
        <f>R2019-T2019</f>
        <v>44.55357142857143</v>
      </c>
      <c r="T2019" s="52">
        <f>R2019*U2019/(U2019+100)</f>
        <v>5.346428571428571</v>
      </c>
      <c r="U2019" s="50">
        <v>12</v>
      </c>
      <c r="V2019" s="53">
        <v>0</v>
      </c>
      <c r="W2019" s="147">
        <v>1</v>
      </c>
      <c r="X2019" s="148" t="s">
        <v>163</v>
      </c>
      <c r="Y2019" s="54">
        <f>R2019*W2019</f>
        <v>49.9</v>
      </c>
      <c r="Z2019" s="52">
        <f>S2019*W2019</f>
        <v>44.55357142857143</v>
      </c>
      <c r="AA2019" s="52">
        <f>T2019*W2019</f>
        <v>5.346428571428571</v>
      </c>
      <c r="AB2019" s="52">
        <f>V2019*W2019</f>
        <v>0</v>
      </c>
      <c r="AC2019" s="53">
        <f>(R2019+V2019)*W2019</f>
        <v>49.9</v>
      </c>
      <c r="AD2019" s="138">
        <v>49.9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107</v>
      </c>
      <c r="F2020" s="96" t="s">
        <v>113</v>
      </c>
      <c r="G2020" s="97">
        <v>46132</v>
      </c>
      <c r="H2020" s="98">
        <v>0.8099884259259259</v>
      </c>
      <c r="I2020" s="50">
        <v>166004843</v>
      </c>
      <c r="J2020" s="96" t="s">
        <v>157</v>
      </c>
      <c r="K2020" s="49" t="s">
        <v>3086</v>
      </c>
      <c r="L2020" s="39" t="s">
        <v>3087</v>
      </c>
      <c r="M2020" s="49" t="s">
        <v>1153</v>
      </c>
      <c r="N2020" s="39" t="s">
        <v>239</v>
      </c>
      <c r="O2020" s="96" t="s">
        <v>3088</v>
      </c>
      <c r="P2020" s="49" t="s">
        <v>157</v>
      </c>
      <c r="Q2020" s="96" t="s">
        <v>104</v>
      </c>
      <c r="R2020" s="52">
        <v>29.9</v>
      </c>
      <c r="S2020" s="52">
        <f>R2020-T2020</f>
        <v>26.69642857142857</v>
      </c>
      <c r="T2020" s="52">
        <f>R2020*U2020/(U2020+100)</f>
        <v>3.2035714285714283</v>
      </c>
      <c r="U2020" s="50">
        <v>12</v>
      </c>
      <c r="V2020" s="53">
        <v>0</v>
      </c>
      <c r="W2020" s="147">
        <v>1</v>
      </c>
      <c r="X2020" s="148" t="s">
        <v>163</v>
      </c>
      <c r="Y2020" s="54">
        <f>R2020*W2020</f>
        <v>29.9</v>
      </c>
      <c r="Z2020" s="52">
        <f>S2020*W2020</f>
        <v>26.69642857142857</v>
      </c>
      <c r="AA2020" s="52">
        <f>T2020*W2020</f>
        <v>3.2035714285714283</v>
      </c>
      <c r="AB2020" s="52">
        <f>V2020*W2020</f>
        <v>0</v>
      </c>
      <c r="AC2020" s="53">
        <f>(R2020+V2020)*W2020</f>
        <v>29.9</v>
      </c>
      <c r="AD2020" s="138">
        <v>29.9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107</v>
      </c>
      <c r="F2021" s="96" t="s">
        <v>113</v>
      </c>
      <c r="G2021" s="97">
        <v>46132</v>
      </c>
      <c r="H2021" s="98">
        <v>0.8099884259259259</v>
      </c>
      <c r="I2021" s="50">
        <v>166004843</v>
      </c>
      <c r="J2021" s="96" t="s">
        <v>157</v>
      </c>
      <c r="K2021" s="49" t="s">
        <v>3089</v>
      </c>
      <c r="L2021" s="39" t="s">
        <v>3090</v>
      </c>
      <c r="M2021" s="49" t="s">
        <v>444</v>
      </c>
      <c r="N2021" s="39" t="s">
        <v>228</v>
      </c>
      <c r="O2021" s="96" t="s">
        <v>3091</v>
      </c>
      <c r="P2021" s="49" t="s">
        <v>157</v>
      </c>
      <c r="Q2021" s="96" t="s">
        <v>104</v>
      </c>
      <c r="R2021" s="52">
        <v>27.9</v>
      </c>
      <c r="S2021" s="52">
        <f>R2021-T2021</f>
        <v>24.910714285714285</v>
      </c>
      <c r="T2021" s="52">
        <f>R2021*U2021/(U2021+100)</f>
        <v>2.989285714285714</v>
      </c>
      <c r="U2021" s="50">
        <v>12</v>
      </c>
      <c r="V2021" s="53">
        <v>0</v>
      </c>
      <c r="W2021" s="147">
        <v>1</v>
      </c>
      <c r="X2021" s="148" t="s">
        <v>163</v>
      </c>
      <c r="Y2021" s="54">
        <f>R2021*W2021</f>
        <v>27.9</v>
      </c>
      <c r="Z2021" s="52">
        <f>S2021*W2021</f>
        <v>24.910714285714285</v>
      </c>
      <c r="AA2021" s="52">
        <f>T2021*W2021</f>
        <v>2.989285714285714</v>
      </c>
      <c r="AB2021" s="52">
        <f>V2021*W2021</f>
        <v>0</v>
      </c>
      <c r="AC2021" s="53">
        <f>(R2021+V2021)*W2021</f>
        <v>27.9</v>
      </c>
      <c r="AD2021" s="138">
        <v>27.9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107</v>
      </c>
      <c r="F2022" s="96" t="s">
        <v>113</v>
      </c>
      <c r="G2022" s="97">
        <v>46132</v>
      </c>
      <c r="H2022" s="98">
        <v>0.8099884259259259</v>
      </c>
      <c r="I2022" s="50">
        <v>166004843</v>
      </c>
      <c r="J2022" s="96" t="s">
        <v>157</v>
      </c>
      <c r="K2022" s="49" t="s">
        <v>758</v>
      </c>
      <c r="L2022" s="39" t="s">
        <v>759</v>
      </c>
      <c r="M2022" s="49" t="s">
        <v>201</v>
      </c>
      <c r="N2022" s="39" t="s">
        <v>202</v>
      </c>
      <c r="O2022" s="96" t="s">
        <v>1235</v>
      </c>
      <c r="P2022" s="49" t="s">
        <v>235</v>
      </c>
      <c r="Q2022" s="96" t="s">
        <v>236</v>
      </c>
      <c r="R2022" s="52">
        <v>19.9</v>
      </c>
      <c r="S2022" s="52">
        <f>R2022-T2022</f>
        <v>17.767857142857142</v>
      </c>
      <c r="T2022" s="52">
        <f>R2022*U2022/(U2022+100)</f>
        <v>2.132142857142857</v>
      </c>
      <c r="U2022" s="50">
        <v>12</v>
      </c>
      <c r="V2022" s="53">
        <v>0</v>
      </c>
      <c r="W2022" s="147">
        <v>1</v>
      </c>
      <c r="X2022" s="148" t="s">
        <v>163</v>
      </c>
      <c r="Y2022" s="54">
        <f>R2022*W2022</f>
        <v>19.9</v>
      </c>
      <c r="Z2022" s="52">
        <f>S2022*W2022</f>
        <v>17.767857142857142</v>
      </c>
      <c r="AA2022" s="52">
        <f>T2022*W2022</f>
        <v>2.132142857142857</v>
      </c>
      <c r="AB2022" s="52">
        <f>V2022*W2022</f>
        <v>0</v>
      </c>
      <c r="AC2022" s="53">
        <f>(R2022+V2022)*W2022</f>
        <v>19.9</v>
      </c>
      <c r="AD2022" s="138">
        <v>19.9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107</v>
      </c>
      <c r="F2023" s="96" t="s">
        <v>113</v>
      </c>
      <c r="G2023" s="97">
        <v>46132</v>
      </c>
      <c r="H2023" s="98">
        <v>0.8099884259259259</v>
      </c>
      <c r="I2023" s="50">
        <v>166004843</v>
      </c>
      <c r="J2023" s="96" t="s">
        <v>157</v>
      </c>
      <c r="K2023" s="49" t="s">
        <v>447</v>
      </c>
      <c r="L2023" s="39" t="s">
        <v>448</v>
      </c>
      <c r="M2023" s="49" t="s">
        <v>201</v>
      </c>
      <c r="N2023" s="39" t="s">
        <v>202</v>
      </c>
      <c r="O2023" s="96" t="s">
        <v>2367</v>
      </c>
      <c r="P2023" s="49" t="s">
        <v>235</v>
      </c>
      <c r="Q2023" s="96" t="s">
        <v>236</v>
      </c>
      <c r="R2023" s="52">
        <v>19.9</v>
      </c>
      <c r="S2023" s="52">
        <f>R2023-T2023</f>
        <v>17.767857142857142</v>
      </c>
      <c r="T2023" s="52">
        <f>R2023*U2023/(U2023+100)</f>
        <v>2.132142857142857</v>
      </c>
      <c r="U2023" s="50">
        <v>12</v>
      </c>
      <c r="V2023" s="53">
        <v>0</v>
      </c>
      <c r="W2023" s="147">
        <v>1</v>
      </c>
      <c r="X2023" s="148" t="s">
        <v>163</v>
      </c>
      <c r="Y2023" s="54">
        <f>R2023*W2023</f>
        <v>19.9</v>
      </c>
      <c r="Z2023" s="52">
        <f>S2023*W2023</f>
        <v>17.767857142857142</v>
      </c>
      <c r="AA2023" s="52">
        <f>T2023*W2023</f>
        <v>2.132142857142857</v>
      </c>
      <c r="AB2023" s="52">
        <f>V2023*W2023</f>
        <v>0</v>
      </c>
      <c r="AC2023" s="53">
        <f>(R2023+V2023)*W2023</f>
        <v>19.9</v>
      </c>
      <c r="AD2023" s="138">
        <v>19.9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107</v>
      </c>
      <c r="F2024" s="96" t="s">
        <v>113</v>
      </c>
      <c r="G2024" s="97">
        <v>46132</v>
      </c>
      <c r="H2024" s="98">
        <v>0.8099884259259259</v>
      </c>
      <c r="I2024" s="50">
        <v>166004843</v>
      </c>
      <c r="J2024" s="96" t="s">
        <v>157</v>
      </c>
      <c r="K2024" s="49" t="s">
        <v>199</v>
      </c>
      <c r="L2024" s="39" t="s">
        <v>200</v>
      </c>
      <c r="M2024" s="49" t="s">
        <v>201</v>
      </c>
      <c r="N2024" s="39" t="s">
        <v>202</v>
      </c>
      <c r="O2024" s="96" t="s">
        <v>1490</v>
      </c>
      <c r="P2024" s="49" t="s">
        <v>157</v>
      </c>
      <c r="Q2024" s="96" t="s">
        <v>104</v>
      </c>
      <c r="R2024" s="52">
        <v>11.9</v>
      </c>
      <c r="S2024" s="52">
        <f>R2024-T2024</f>
        <v>10.625</v>
      </c>
      <c r="T2024" s="52">
        <f>R2024*U2024/(U2024+100)</f>
        <v>1.2750000000000001</v>
      </c>
      <c r="U2024" s="50">
        <v>12</v>
      </c>
      <c r="V2024" s="53">
        <v>0</v>
      </c>
      <c r="W2024" s="147">
        <v>1</v>
      </c>
      <c r="X2024" s="148" t="s">
        <v>163</v>
      </c>
      <c r="Y2024" s="54">
        <f>R2024*W2024</f>
        <v>11.9</v>
      </c>
      <c r="Z2024" s="52">
        <f>S2024*W2024</f>
        <v>10.625</v>
      </c>
      <c r="AA2024" s="52">
        <f>T2024*W2024</f>
        <v>1.2750000000000001</v>
      </c>
      <c r="AB2024" s="52">
        <f>V2024*W2024</f>
        <v>0</v>
      </c>
      <c r="AC2024" s="53">
        <f>(R2024+V2024)*W2024</f>
        <v>11.9</v>
      </c>
      <c r="AD2024" s="138">
        <v>11.9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107</v>
      </c>
      <c r="F2025" s="96" t="s">
        <v>113</v>
      </c>
      <c r="G2025" s="97">
        <v>46132</v>
      </c>
      <c r="H2025" s="98">
        <v>0.8099884259259259</v>
      </c>
      <c r="I2025" s="50">
        <v>166004843</v>
      </c>
      <c r="J2025" s="96" t="s">
        <v>157</v>
      </c>
      <c r="K2025" s="49" t="s">
        <v>199</v>
      </c>
      <c r="L2025" s="39" t="s">
        <v>200</v>
      </c>
      <c r="M2025" s="49" t="s">
        <v>201</v>
      </c>
      <c r="N2025" s="39" t="s">
        <v>202</v>
      </c>
      <c r="O2025" s="96" t="s">
        <v>1490</v>
      </c>
      <c r="P2025" s="49" t="s">
        <v>157</v>
      </c>
      <c r="Q2025" s="96" t="s">
        <v>104</v>
      </c>
      <c r="R2025" s="52">
        <v>11.9</v>
      </c>
      <c r="S2025" s="52">
        <f>R2025-T2025</f>
        <v>10.625</v>
      </c>
      <c r="T2025" s="52">
        <f>R2025*U2025/(U2025+100)</f>
        <v>1.2750000000000001</v>
      </c>
      <c r="U2025" s="50">
        <v>12</v>
      </c>
      <c r="V2025" s="53">
        <v>0</v>
      </c>
      <c r="W2025" s="147">
        <v>1</v>
      </c>
      <c r="X2025" s="148" t="s">
        <v>163</v>
      </c>
      <c r="Y2025" s="54">
        <f>R2025*W2025</f>
        <v>11.9</v>
      </c>
      <c r="Z2025" s="52">
        <f>S2025*W2025</f>
        <v>10.625</v>
      </c>
      <c r="AA2025" s="52">
        <f>T2025*W2025</f>
        <v>1.2750000000000001</v>
      </c>
      <c r="AB2025" s="52">
        <f>V2025*W2025</f>
        <v>0</v>
      </c>
      <c r="AC2025" s="53">
        <f>(R2025+V2025)*W2025</f>
        <v>11.9</v>
      </c>
      <c r="AD2025" s="138">
        <v>11.9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107</v>
      </c>
      <c r="F2026" s="96" t="s">
        <v>113</v>
      </c>
      <c r="G2026" s="97">
        <v>46132</v>
      </c>
      <c r="H2026" s="98">
        <v>0.8099884259259259</v>
      </c>
      <c r="I2026" s="50">
        <v>166004843</v>
      </c>
      <c r="J2026" s="96" t="s">
        <v>157</v>
      </c>
      <c r="K2026" s="49" t="s">
        <v>199</v>
      </c>
      <c r="L2026" s="39" t="s">
        <v>200</v>
      </c>
      <c r="M2026" s="49" t="s">
        <v>201</v>
      </c>
      <c r="N2026" s="39" t="s">
        <v>202</v>
      </c>
      <c r="O2026" s="96" t="s">
        <v>1490</v>
      </c>
      <c r="P2026" s="49" t="s">
        <v>157</v>
      </c>
      <c r="Q2026" s="96" t="s">
        <v>104</v>
      </c>
      <c r="R2026" s="52">
        <v>11.9</v>
      </c>
      <c r="S2026" s="52">
        <f>R2026-T2026</f>
        <v>10.625</v>
      </c>
      <c r="T2026" s="52">
        <f>R2026*U2026/(U2026+100)</f>
        <v>1.2750000000000001</v>
      </c>
      <c r="U2026" s="50">
        <v>12</v>
      </c>
      <c r="V2026" s="53">
        <v>0</v>
      </c>
      <c r="W2026" s="147">
        <v>1</v>
      </c>
      <c r="X2026" s="148" t="s">
        <v>163</v>
      </c>
      <c r="Y2026" s="54">
        <f>R2026*W2026</f>
        <v>11.9</v>
      </c>
      <c r="Z2026" s="52">
        <f>S2026*W2026</f>
        <v>10.625</v>
      </c>
      <c r="AA2026" s="52">
        <f>T2026*W2026</f>
        <v>1.2750000000000001</v>
      </c>
      <c r="AB2026" s="52">
        <f>V2026*W2026</f>
        <v>0</v>
      </c>
      <c r="AC2026" s="53">
        <f>(R2026+V2026)*W2026</f>
        <v>11.9</v>
      </c>
      <c r="AD2026" s="138">
        <v>11.9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107</v>
      </c>
      <c r="F2027" s="96" t="s">
        <v>113</v>
      </c>
      <c r="G2027" s="97">
        <v>46132</v>
      </c>
      <c r="H2027" s="98">
        <v>0.8099884259259259</v>
      </c>
      <c r="I2027" s="50">
        <v>166004843</v>
      </c>
      <c r="J2027" s="96" t="s">
        <v>157</v>
      </c>
      <c r="K2027" s="49" t="s">
        <v>199</v>
      </c>
      <c r="L2027" s="39" t="s">
        <v>200</v>
      </c>
      <c r="M2027" s="49" t="s">
        <v>201</v>
      </c>
      <c r="N2027" s="39" t="s">
        <v>202</v>
      </c>
      <c r="O2027" s="96" t="s">
        <v>1490</v>
      </c>
      <c r="P2027" s="49" t="s">
        <v>157</v>
      </c>
      <c r="Q2027" s="96" t="s">
        <v>104</v>
      </c>
      <c r="R2027" s="52">
        <v>11.9</v>
      </c>
      <c r="S2027" s="52">
        <f>R2027-T2027</f>
        <v>10.625</v>
      </c>
      <c r="T2027" s="52">
        <f>R2027*U2027/(U2027+100)</f>
        <v>1.2750000000000001</v>
      </c>
      <c r="U2027" s="50">
        <v>12</v>
      </c>
      <c r="V2027" s="53">
        <v>0</v>
      </c>
      <c r="W2027" s="147">
        <v>1</v>
      </c>
      <c r="X2027" s="148" t="s">
        <v>163</v>
      </c>
      <c r="Y2027" s="54">
        <f>R2027*W2027</f>
        <v>11.9</v>
      </c>
      <c r="Z2027" s="52">
        <f>S2027*W2027</f>
        <v>10.625</v>
      </c>
      <c r="AA2027" s="52">
        <f>T2027*W2027</f>
        <v>1.2750000000000001</v>
      </c>
      <c r="AB2027" s="52">
        <f>V2027*W2027</f>
        <v>0</v>
      </c>
      <c r="AC2027" s="53">
        <f>(R2027+V2027)*W2027</f>
        <v>11.9</v>
      </c>
      <c r="AD2027" s="138">
        <v>11.9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107</v>
      </c>
      <c r="F2028" s="96" t="s">
        <v>113</v>
      </c>
      <c r="G2028" s="97">
        <v>46132</v>
      </c>
      <c r="H2028" s="98">
        <v>0.8099884259259259</v>
      </c>
      <c r="I2028" s="50">
        <v>166004843</v>
      </c>
      <c r="J2028" s="96" t="s">
        <v>157</v>
      </c>
      <c r="K2028" s="49" t="s">
        <v>204</v>
      </c>
      <c r="L2028" s="39" t="s">
        <v>205</v>
      </c>
      <c r="M2028" s="49" t="s">
        <v>201</v>
      </c>
      <c r="N2028" s="39" t="s">
        <v>202</v>
      </c>
      <c r="O2028" s="96" t="s">
        <v>3092</v>
      </c>
      <c r="P2028" s="49" t="s">
        <v>157</v>
      </c>
      <c r="Q2028" s="96" t="s">
        <v>104</v>
      </c>
      <c r="R2028" s="52">
        <v>11.9</v>
      </c>
      <c r="S2028" s="52">
        <f>R2028-T2028</f>
        <v>10.625</v>
      </c>
      <c r="T2028" s="52">
        <f>R2028*U2028/(U2028+100)</f>
        <v>1.2750000000000001</v>
      </c>
      <c r="U2028" s="50">
        <v>12</v>
      </c>
      <c r="V2028" s="53">
        <v>0</v>
      </c>
      <c r="W2028" s="147">
        <v>1</v>
      </c>
      <c r="X2028" s="148" t="s">
        <v>163</v>
      </c>
      <c r="Y2028" s="54">
        <f>R2028*W2028</f>
        <v>11.9</v>
      </c>
      <c r="Z2028" s="52">
        <f>S2028*W2028</f>
        <v>10.625</v>
      </c>
      <c r="AA2028" s="52">
        <f>T2028*W2028</f>
        <v>1.2750000000000001</v>
      </c>
      <c r="AB2028" s="52">
        <f>V2028*W2028</f>
        <v>0</v>
      </c>
      <c r="AC2028" s="53">
        <f>(R2028+V2028)*W2028</f>
        <v>11.9</v>
      </c>
      <c r="AD2028" s="138">
        <v>11.9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107</v>
      </c>
      <c r="F2029" s="96" t="s">
        <v>113</v>
      </c>
      <c r="G2029" s="97">
        <v>46132</v>
      </c>
      <c r="H2029" s="98">
        <v>0.8099884259259259</v>
      </c>
      <c r="I2029" s="50">
        <v>166004843</v>
      </c>
      <c r="J2029" s="96" t="s">
        <v>157</v>
      </c>
      <c r="K2029" s="49" t="s">
        <v>204</v>
      </c>
      <c r="L2029" s="39" t="s">
        <v>205</v>
      </c>
      <c r="M2029" s="49" t="s">
        <v>201</v>
      </c>
      <c r="N2029" s="39" t="s">
        <v>202</v>
      </c>
      <c r="O2029" s="96" t="s">
        <v>3092</v>
      </c>
      <c r="P2029" s="49" t="s">
        <v>157</v>
      </c>
      <c r="Q2029" s="96" t="s">
        <v>104</v>
      </c>
      <c r="R2029" s="52">
        <v>11.9</v>
      </c>
      <c r="S2029" s="52">
        <f>R2029-T2029</f>
        <v>10.625</v>
      </c>
      <c r="T2029" s="52">
        <f>R2029*U2029/(U2029+100)</f>
        <v>1.2750000000000001</v>
      </c>
      <c r="U2029" s="50">
        <v>12</v>
      </c>
      <c r="V2029" s="53">
        <v>0</v>
      </c>
      <c r="W2029" s="147">
        <v>1</v>
      </c>
      <c r="X2029" s="148" t="s">
        <v>163</v>
      </c>
      <c r="Y2029" s="54">
        <f>R2029*W2029</f>
        <v>11.9</v>
      </c>
      <c r="Z2029" s="52">
        <f>S2029*W2029</f>
        <v>10.625</v>
      </c>
      <c r="AA2029" s="52">
        <f>T2029*W2029</f>
        <v>1.2750000000000001</v>
      </c>
      <c r="AB2029" s="52">
        <f>V2029*W2029</f>
        <v>0</v>
      </c>
      <c r="AC2029" s="53">
        <f>(R2029+V2029)*W2029</f>
        <v>11.9</v>
      </c>
      <c r="AD2029" s="138">
        <v>11.9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107</v>
      </c>
      <c r="F2030" s="96" t="s">
        <v>113</v>
      </c>
      <c r="G2030" s="97">
        <v>46132</v>
      </c>
      <c r="H2030" s="98">
        <v>0.8099884259259259</v>
      </c>
      <c r="I2030" s="50">
        <v>166004843</v>
      </c>
      <c r="J2030" s="96" t="s">
        <v>157</v>
      </c>
      <c r="K2030" s="49" t="s">
        <v>204</v>
      </c>
      <c r="L2030" s="39" t="s">
        <v>205</v>
      </c>
      <c r="M2030" s="49" t="s">
        <v>201</v>
      </c>
      <c r="N2030" s="39" t="s">
        <v>202</v>
      </c>
      <c r="O2030" s="96" t="s">
        <v>3092</v>
      </c>
      <c r="P2030" s="49" t="s">
        <v>157</v>
      </c>
      <c r="Q2030" s="96" t="s">
        <v>104</v>
      </c>
      <c r="R2030" s="52">
        <v>11.9</v>
      </c>
      <c r="S2030" s="52">
        <f>R2030-T2030</f>
        <v>10.625</v>
      </c>
      <c r="T2030" s="52">
        <f>R2030*U2030/(U2030+100)</f>
        <v>1.2750000000000001</v>
      </c>
      <c r="U2030" s="50">
        <v>12</v>
      </c>
      <c r="V2030" s="53">
        <v>0</v>
      </c>
      <c r="W2030" s="147">
        <v>1</v>
      </c>
      <c r="X2030" s="148" t="s">
        <v>163</v>
      </c>
      <c r="Y2030" s="54">
        <f>R2030*W2030</f>
        <v>11.9</v>
      </c>
      <c r="Z2030" s="52">
        <f>S2030*W2030</f>
        <v>10.625</v>
      </c>
      <c r="AA2030" s="52">
        <f>T2030*W2030</f>
        <v>1.2750000000000001</v>
      </c>
      <c r="AB2030" s="52">
        <f>V2030*W2030</f>
        <v>0</v>
      </c>
      <c r="AC2030" s="53">
        <f>(R2030+V2030)*W2030</f>
        <v>11.9</v>
      </c>
      <c r="AD2030" s="138">
        <v>11.9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107</v>
      </c>
      <c r="F2031" s="96" t="s">
        <v>113</v>
      </c>
      <c r="G2031" s="97">
        <v>46132</v>
      </c>
      <c r="H2031" s="98">
        <v>0.8099884259259259</v>
      </c>
      <c r="I2031" s="50">
        <v>166004843</v>
      </c>
      <c r="J2031" s="96" t="s">
        <v>157</v>
      </c>
      <c r="K2031" s="49" t="s">
        <v>2222</v>
      </c>
      <c r="L2031" s="39" t="s">
        <v>2223</v>
      </c>
      <c r="M2031" s="49" t="s">
        <v>214</v>
      </c>
      <c r="N2031" s="39" t="s">
        <v>1643</v>
      </c>
      <c r="O2031" s="96" t="s">
        <v>2224</v>
      </c>
      <c r="P2031" s="49" t="s">
        <v>157</v>
      </c>
      <c r="Q2031" s="96" t="s">
        <v>104</v>
      </c>
      <c r="R2031" s="52">
        <v>29.9</v>
      </c>
      <c r="S2031" s="52">
        <f>R2031-T2031</f>
        <v>26.69642857142857</v>
      </c>
      <c r="T2031" s="52">
        <f>R2031*U2031/(U2031+100)</f>
        <v>3.2035714285714283</v>
      </c>
      <c r="U2031" s="50">
        <v>12</v>
      </c>
      <c r="V2031" s="53">
        <v>0</v>
      </c>
      <c r="W2031" s="147">
        <v>1</v>
      </c>
      <c r="X2031" s="148" t="s">
        <v>163</v>
      </c>
      <c r="Y2031" s="54">
        <f>R2031*W2031</f>
        <v>29.9</v>
      </c>
      <c r="Z2031" s="52">
        <f>S2031*W2031</f>
        <v>26.69642857142857</v>
      </c>
      <c r="AA2031" s="52">
        <f>T2031*W2031</f>
        <v>3.2035714285714283</v>
      </c>
      <c r="AB2031" s="52">
        <f>V2031*W2031</f>
        <v>0</v>
      </c>
      <c r="AC2031" s="53">
        <f>(R2031+V2031)*W2031</f>
        <v>29.9</v>
      </c>
      <c r="AD2031" s="138">
        <v>29.9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107</v>
      </c>
      <c r="F2032" s="96" t="s">
        <v>113</v>
      </c>
      <c r="G2032" s="97">
        <v>46132</v>
      </c>
      <c r="H2032" s="98">
        <v>0.8099884259259259</v>
      </c>
      <c r="I2032" s="50">
        <v>166004843</v>
      </c>
      <c r="J2032" s="96" t="s">
        <v>157</v>
      </c>
      <c r="K2032" s="49" t="s">
        <v>3093</v>
      </c>
      <c r="L2032" s="39" t="s">
        <v>3094</v>
      </c>
      <c r="M2032" s="49" t="s">
        <v>232</v>
      </c>
      <c r="N2032" s="39" t="s">
        <v>233</v>
      </c>
      <c r="O2032" s="96" t="s">
        <v>3095</v>
      </c>
      <c r="P2032" s="49" t="s">
        <v>157</v>
      </c>
      <c r="Q2032" s="96" t="s">
        <v>104</v>
      </c>
      <c r="R2032" s="52">
        <v>29.9</v>
      </c>
      <c r="S2032" s="52">
        <f>R2032-T2032</f>
        <v>24.710743801652892</v>
      </c>
      <c r="T2032" s="52">
        <f>R2032*U2032/(U2032+100)</f>
        <v>5.189256198347107</v>
      </c>
      <c r="U2032" s="50">
        <v>21</v>
      </c>
      <c r="V2032" s="53">
        <v>0</v>
      </c>
      <c r="W2032" s="147">
        <v>1</v>
      </c>
      <c r="X2032" s="148" t="s">
        <v>163</v>
      </c>
      <c r="Y2032" s="54">
        <f>R2032*W2032</f>
        <v>29.9</v>
      </c>
      <c r="Z2032" s="52">
        <f>S2032*W2032</f>
        <v>24.710743801652892</v>
      </c>
      <c r="AA2032" s="52">
        <f>T2032*W2032</f>
        <v>5.189256198347107</v>
      </c>
      <c r="AB2032" s="52">
        <f>V2032*W2032</f>
        <v>0</v>
      </c>
      <c r="AC2032" s="53">
        <f>(R2032+V2032)*W2032</f>
        <v>29.9</v>
      </c>
      <c r="AD2032" s="138">
        <v>29.9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107</v>
      </c>
      <c r="F2033" s="96" t="s">
        <v>113</v>
      </c>
      <c r="G2033" s="97">
        <v>46132</v>
      </c>
      <c r="H2033" s="98">
        <v>0.8099884259259259</v>
      </c>
      <c r="I2033" s="50">
        <v>166004843</v>
      </c>
      <c r="J2033" s="96" t="s">
        <v>157</v>
      </c>
      <c r="K2033" s="49" t="s">
        <v>3096</v>
      </c>
      <c r="L2033" s="39" t="s">
        <v>3097</v>
      </c>
      <c r="M2033" s="49" t="s">
        <v>341</v>
      </c>
      <c r="N2033" s="39" t="s">
        <v>167</v>
      </c>
      <c r="O2033" s="96" t="s">
        <v>3098</v>
      </c>
      <c r="P2033" s="49" t="s">
        <v>157</v>
      </c>
      <c r="Q2033" s="96" t="s">
        <v>104</v>
      </c>
      <c r="R2033" s="52">
        <v>23.9</v>
      </c>
      <c r="S2033" s="52">
        <f>R2033-T2033</f>
        <v>19.752066115702476</v>
      </c>
      <c r="T2033" s="52">
        <f>R2033*U2033/(U2033+100)</f>
        <v>4.147933884297521</v>
      </c>
      <c r="U2033" s="50">
        <v>21</v>
      </c>
      <c r="V2033" s="53">
        <v>0</v>
      </c>
      <c r="W2033" s="147">
        <v>1</v>
      </c>
      <c r="X2033" s="148" t="s">
        <v>163</v>
      </c>
      <c r="Y2033" s="54">
        <f>R2033*W2033</f>
        <v>23.9</v>
      </c>
      <c r="Z2033" s="52">
        <f>S2033*W2033</f>
        <v>19.752066115702476</v>
      </c>
      <c r="AA2033" s="52">
        <f>T2033*W2033</f>
        <v>4.147933884297521</v>
      </c>
      <c r="AB2033" s="52">
        <f>V2033*W2033</f>
        <v>0</v>
      </c>
      <c r="AC2033" s="53">
        <f>(R2033+V2033)*W2033</f>
        <v>23.9</v>
      </c>
      <c r="AD2033" s="138">
        <v>23.9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107</v>
      </c>
      <c r="F2034" s="96" t="s">
        <v>113</v>
      </c>
      <c r="G2034" s="97">
        <v>46132</v>
      </c>
      <c r="H2034" s="98">
        <v>0.8099884259259259</v>
      </c>
      <c r="I2034" s="50">
        <v>166004843</v>
      </c>
      <c r="J2034" s="96" t="s">
        <v>157</v>
      </c>
      <c r="K2034" s="49" t="s">
        <v>3099</v>
      </c>
      <c r="L2034" s="39" t="s">
        <v>3100</v>
      </c>
      <c r="M2034" s="49" t="s">
        <v>232</v>
      </c>
      <c r="N2034" s="39" t="s">
        <v>167</v>
      </c>
      <c r="O2034" s="96" t="s">
        <v>3101</v>
      </c>
      <c r="P2034" s="49" t="s">
        <v>157</v>
      </c>
      <c r="Q2034" s="96" t="s">
        <v>104</v>
      </c>
      <c r="R2034" s="52">
        <v>27.9</v>
      </c>
      <c r="S2034" s="52">
        <f>R2034-T2034</f>
        <v>23.05785123966942</v>
      </c>
      <c r="T2034" s="52">
        <f>R2034*U2034/(U2034+100)</f>
        <v>4.842148760330578</v>
      </c>
      <c r="U2034" s="50">
        <v>21</v>
      </c>
      <c r="V2034" s="53">
        <v>0</v>
      </c>
      <c r="W2034" s="147">
        <v>1</v>
      </c>
      <c r="X2034" s="148" t="s">
        <v>163</v>
      </c>
      <c r="Y2034" s="54">
        <f>R2034*W2034</f>
        <v>27.9</v>
      </c>
      <c r="Z2034" s="52">
        <f>S2034*W2034</f>
        <v>23.05785123966942</v>
      </c>
      <c r="AA2034" s="52">
        <f>T2034*W2034</f>
        <v>4.842148760330578</v>
      </c>
      <c r="AB2034" s="52">
        <f>V2034*W2034</f>
        <v>0</v>
      </c>
      <c r="AC2034" s="53">
        <f>(R2034+V2034)*W2034</f>
        <v>27.9</v>
      </c>
      <c r="AD2034" s="138">
        <v>27.9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107</v>
      </c>
      <c r="F2035" s="96" t="s">
        <v>113</v>
      </c>
      <c r="G2035" s="97">
        <v>46132</v>
      </c>
      <c r="H2035" s="98">
        <v>0.8099884259259259</v>
      </c>
      <c r="I2035" s="50">
        <v>166004843</v>
      </c>
      <c r="J2035" s="96" t="s">
        <v>157</v>
      </c>
      <c r="K2035" s="49" t="s">
        <v>1129</v>
      </c>
      <c r="L2035" s="39" t="s">
        <v>1130</v>
      </c>
      <c r="M2035" s="49" t="s">
        <v>185</v>
      </c>
      <c r="N2035" s="39" t="s">
        <v>1131</v>
      </c>
      <c r="O2035" s="96" t="s">
        <v>1132</v>
      </c>
      <c r="P2035" s="49" t="s">
        <v>157</v>
      </c>
      <c r="Q2035" s="96" t="s">
        <v>104</v>
      </c>
      <c r="R2035" s="52">
        <v>31.9</v>
      </c>
      <c r="S2035" s="52">
        <f>R2035-T2035</f>
        <v>26.363636363636363</v>
      </c>
      <c r="T2035" s="52">
        <f>R2035*U2035/(U2035+100)</f>
        <v>5.536363636363636</v>
      </c>
      <c r="U2035" s="50">
        <v>21</v>
      </c>
      <c r="V2035" s="53">
        <v>0</v>
      </c>
      <c r="W2035" s="147">
        <v>1</v>
      </c>
      <c r="X2035" s="148" t="s">
        <v>163</v>
      </c>
      <c r="Y2035" s="54">
        <f>R2035*W2035</f>
        <v>31.9</v>
      </c>
      <c r="Z2035" s="52">
        <f>S2035*W2035</f>
        <v>26.363636363636363</v>
      </c>
      <c r="AA2035" s="52">
        <f>T2035*W2035</f>
        <v>5.536363636363636</v>
      </c>
      <c r="AB2035" s="52">
        <f>V2035*W2035</f>
        <v>0</v>
      </c>
      <c r="AC2035" s="53">
        <f>(R2035+V2035)*W2035</f>
        <v>31.9</v>
      </c>
      <c r="AD2035" s="138">
        <v>31.9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107</v>
      </c>
      <c r="F2036" s="96" t="s">
        <v>113</v>
      </c>
      <c r="G2036" s="97">
        <v>46132</v>
      </c>
      <c r="H2036" s="98">
        <v>0.8099884259259259</v>
      </c>
      <c r="I2036" s="50">
        <v>166004843</v>
      </c>
      <c r="J2036" s="96" t="s">
        <v>157</v>
      </c>
      <c r="K2036" s="49" t="s">
        <v>651</v>
      </c>
      <c r="L2036" s="39" t="s">
        <v>652</v>
      </c>
      <c r="M2036" s="49" t="s">
        <v>185</v>
      </c>
      <c r="N2036" s="39" t="s">
        <v>653</v>
      </c>
      <c r="O2036" s="96" t="s">
        <v>2054</v>
      </c>
      <c r="P2036" s="49" t="s">
        <v>157</v>
      </c>
      <c r="Q2036" s="96" t="s">
        <v>104</v>
      </c>
      <c r="R2036" s="52">
        <v>69.9</v>
      </c>
      <c r="S2036" s="52">
        <f>R2036-T2036</f>
        <v>57.76859504132232</v>
      </c>
      <c r="T2036" s="52">
        <f>R2036*U2036/(U2036+100)</f>
        <v>12.131404958677686</v>
      </c>
      <c r="U2036" s="50">
        <v>21</v>
      </c>
      <c r="V2036" s="53">
        <v>0</v>
      </c>
      <c r="W2036" s="147">
        <v>1</v>
      </c>
      <c r="X2036" s="148" t="s">
        <v>163</v>
      </c>
      <c r="Y2036" s="54">
        <f>R2036*W2036</f>
        <v>69.9</v>
      </c>
      <c r="Z2036" s="52">
        <f>S2036*W2036</f>
        <v>57.76859504132232</v>
      </c>
      <c r="AA2036" s="52">
        <f>T2036*W2036</f>
        <v>12.131404958677686</v>
      </c>
      <c r="AB2036" s="52">
        <f>V2036*W2036</f>
        <v>0</v>
      </c>
      <c r="AC2036" s="53">
        <f>(R2036+V2036)*W2036</f>
        <v>69.9</v>
      </c>
      <c r="AD2036" s="138">
        <v>69.9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107</v>
      </c>
      <c r="F2037" s="96" t="s">
        <v>113</v>
      </c>
      <c r="G2037" s="97">
        <v>46132</v>
      </c>
      <c r="H2037" s="98">
        <v>0.8099884259259259</v>
      </c>
      <c r="I2037" s="50">
        <v>166004843</v>
      </c>
      <c r="J2037" s="96" t="s">
        <v>157</v>
      </c>
      <c r="K2037" s="49" t="s">
        <v>3102</v>
      </c>
      <c r="L2037" s="39" t="s">
        <v>3103</v>
      </c>
      <c r="M2037" s="49" t="s">
        <v>862</v>
      </c>
      <c r="N2037" s="39" t="s">
        <v>863</v>
      </c>
      <c r="O2037" s="96" t="s">
        <v>3104</v>
      </c>
      <c r="P2037" s="49" t="s">
        <v>157</v>
      </c>
      <c r="Q2037" s="96" t="s">
        <v>104</v>
      </c>
      <c r="R2037" s="52">
        <v>162</v>
      </c>
      <c r="S2037" s="52">
        <f>R2037-T2037</f>
        <v>133.88429752066116</v>
      </c>
      <c r="T2037" s="52">
        <f>R2037*U2037/(U2037+100)</f>
        <v>28.115702479338843</v>
      </c>
      <c r="U2037" s="50">
        <v>21</v>
      </c>
      <c r="V2037" s="53">
        <v>0</v>
      </c>
      <c r="W2037" s="147">
        <v>1</v>
      </c>
      <c r="X2037" s="148" t="s">
        <v>163</v>
      </c>
      <c r="Y2037" s="54">
        <f>R2037*W2037</f>
        <v>162</v>
      </c>
      <c r="Z2037" s="52">
        <f>S2037*W2037</f>
        <v>133.88429752066116</v>
      </c>
      <c r="AA2037" s="52">
        <f>T2037*W2037</f>
        <v>28.115702479338843</v>
      </c>
      <c r="AB2037" s="52">
        <f>V2037*W2037</f>
        <v>0</v>
      </c>
      <c r="AC2037" s="53">
        <f>(R2037+V2037)*W2037</f>
        <v>162</v>
      </c>
      <c r="AD2037" s="138">
        <v>162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107</v>
      </c>
      <c r="F2038" s="96" t="s">
        <v>113</v>
      </c>
      <c r="G2038" s="97">
        <v>46132</v>
      </c>
      <c r="H2038" s="98">
        <v>0.8099884259259259</v>
      </c>
      <c r="I2038" s="50">
        <v>166004843</v>
      </c>
      <c r="J2038" s="96" t="s">
        <v>157</v>
      </c>
      <c r="K2038" s="49" t="s">
        <v>183</v>
      </c>
      <c r="L2038" s="39" t="s">
        <v>184</v>
      </c>
      <c r="M2038" s="49" t="s">
        <v>185</v>
      </c>
      <c r="N2038" s="39" t="s">
        <v>186</v>
      </c>
      <c r="O2038" s="96" t="s">
        <v>988</v>
      </c>
      <c r="P2038" s="49" t="s">
        <v>157</v>
      </c>
      <c r="Q2038" s="96" t="s">
        <v>104</v>
      </c>
      <c r="R2038" s="52">
        <v>1.9</v>
      </c>
      <c r="S2038" s="52">
        <f>R2038-T2038</f>
        <v>1.5702479338842974</v>
      </c>
      <c r="T2038" s="52">
        <f>R2038*U2038/(U2038+100)</f>
        <v>0.32975206611570246</v>
      </c>
      <c r="U2038" s="50">
        <v>21</v>
      </c>
      <c r="V2038" s="53">
        <v>0</v>
      </c>
      <c r="W2038" s="147">
        <v>1</v>
      </c>
      <c r="X2038" s="148" t="s">
        <v>163</v>
      </c>
      <c r="Y2038" s="54">
        <f>R2038*W2038</f>
        <v>1.9</v>
      </c>
      <c r="Z2038" s="52">
        <f>S2038*W2038</f>
        <v>1.5702479338842974</v>
      </c>
      <c r="AA2038" s="52">
        <f>T2038*W2038</f>
        <v>0.32975206611570246</v>
      </c>
      <c r="AB2038" s="52">
        <f>V2038*W2038</f>
        <v>0</v>
      </c>
      <c r="AC2038" s="53">
        <f>(R2038+V2038)*W2038</f>
        <v>1.9</v>
      </c>
      <c r="AD2038" s="138">
        <v>1.9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107</v>
      </c>
      <c r="F2039" s="96" t="s">
        <v>113</v>
      </c>
      <c r="G2039" s="97">
        <v>46132</v>
      </c>
      <c r="H2039" s="98">
        <v>0.8099884259259259</v>
      </c>
      <c r="I2039" s="50">
        <v>166004843</v>
      </c>
      <c r="J2039" s="96" t="s">
        <v>157</v>
      </c>
      <c r="K2039" s="49" t="s">
        <v>3105</v>
      </c>
      <c r="L2039" s="39" t="s">
        <v>3106</v>
      </c>
      <c r="M2039" s="49" t="s">
        <v>277</v>
      </c>
      <c r="N2039" s="39" t="s">
        <v>490</v>
      </c>
      <c r="O2039" s="96" t="s">
        <v>3107</v>
      </c>
      <c r="P2039" s="49" t="s">
        <v>157</v>
      </c>
      <c r="Q2039" s="96" t="s">
        <v>104</v>
      </c>
      <c r="R2039" s="52">
        <v>41.9</v>
      </c>
      <c r="S2039" s="52">
        <f>R2039-T2039</f>
        <v>37.410714285714285</v>
      </c>
      <c r="T2039" s="52">
        <f>R2039*U2039/(U2039+100)</f>
        <v>4.489285714285714</v>
      </c>
      <c r="U2039" s="50">
        <v>12</v>
      </c>
      <c r="V2039" s="53">
        <v>0</v>
      </c>
      <c r="W2039" s="147">
        <v>1</v>
      </c>
      <c r="X2039" s="148" t="s">
        <v>163</v>
      </c>
      <c r="Y2039" s="54">
        <f>R2039*W2039</f>
        <v>41.9</v>
      </c>
      <c r="Z2039" s="52">
        <f>S2039*W2039</f>
        <v>37.410714285714285</v>
      </c>
      <c r="AA2039" s="52">
        <f>T2039*W2039</f>
        <v>4.489285714285714</v>
      </c>
      <c r="AB2039" s="52">
        <f>V2039*W2039</f>
        <v>0</v>
      </c>
      <c r="AC2039" s="53">
        <f>(R2039+V2039)*W2039</f>
        <v>41.9</v>
      </c>
      <c r="AD2039" s="138">
        <v>41.9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107</v>
      </c>
      <c r="F2040" s="96" t="s">
        <v>113</v>
      </c>
      <c r="G2040" s="97">
        <v>46132</v>
      </c>
      <c r="H2040" s="98">
        <v>0.8099884259259259</v>
      </c>
      <c r="I2040" s="50">
        <v>166004843</v>
      </c>
      <c r="J2040" s="96" t="s">
        <v>157</v>
      </c>
      <c r="K2040" s="49" t="s">
        <v>942</v>
      </c>
      <c r="L2040" s="39"/>
      <c r="M2040" s="49" t="s">
        <v>295</v>
      </c>
      <c r="N2040" s="39" t="s">
        <v>433</v>
      </c>
      <c r="O2040" s="96" t="s">
        <v>1332</v>
      </c>
      <c r="P2040" s="49" t="s">
        <v>235</v>
      </c>
      <c r="Q2040" s="96" t="s">
        <v>944</v>
      </c>
      <c r="R2040" s="52">
        <v>9.9</v>
      </c>
      <c r="S2040" s="52">
        <f>R2040-T2040</f>
        <v>8.839285714285715</v>
      </c>
      <c r="T2040" s="52">
        <f>R2040*U2040/(U2040+100)</f>
        <v>1.0607142857142857</v>
      </c>
      <c r="U2040" s="50">
        <v>12</v>
      </c>
      <c r="V2040" s="53">
        <v>0</v>
      </c>
      <c r="W2040" s="147">
        <v>1</v>
      </c>
      <c r="X2040" s="148" t="s">
        <v>945</v>
      </c>
      <c r="Y2040" s="54">
        <f>R2040*W2040</f>
        <v>9.9</v>
      </c>
      <c r="Z2040" s="52">
        <f>S2040*W2040</f>
        <v>8.839285714285715</v>
      </c>
      <c r="AA2040" s="52">
        <f>T2040*W2040</f>
        <v>1.0607142857142857</v>
      </c>
      <c r="AB2040" s="52">
        <f>V2040*W2040</f>
        <v>0</v>
      </c>
      <c r="AC2040" s="53">
        <f>(R2040+V2040)*W2040</f>
        <v>9.9</v>
      </c>
      <c r="AD2040" s="138">
        <v>9.9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107</v>
      </c>
      <c r="F2041" s="96" t="s">
        <v>113</v>
      </c>
      <c r="G2041" s="97">
        <v>46132</v>
      </c>
      <c r="H2041" s="98">
        <v>0.8105092592592592</v>
      </c>
      <c r="I2041" s="50">
        <v>166004844</v>
      </c>
      <c r="J2041" s="96" t="s">
        <v>157</v>
      </c>
      <c r="K2041" s="49" t="s">
        <v>507</v>
      </c>
      <c r="L2041" s="39" t="s">
        <v>508</v>
      </c>
      <c r="M2041" s="49" t="s">
        <v>509</v>
      </c>
      <c r="N2041" s="39" t="s">
        <v>256</v>
      </c>
      <c r="O2041" s="96" t="s">
        <v>1024</v>
      </c>
      <c r="P2041" s="49" t="s">
        <v>235</v>
      </c>
      <c r="Q2041" s="96" t="s">
        <v>236</v>
      </c>
      <c r="R2041" s="52">
        <v>15.9</v>
      </c>
      <c r="S2041" s="52">
        <f>R2041-T2041</f>
        <v>13.140495867768596</v>
      </c>
      <c r="T2041" s="52">
        <f>R2041*U2041/(U2041+100)</f>
        <v>2.759504132231405</v>
      </c>
      <c r="U2041" s="50">
        <v>21</v>
      </c>
      <c r="V2041" s="53">
        <v>0</v>
      </c>
      <c r="W2041" s="147">
        <v>1</v>
      </c>
      <c r="X2041" s="148" t="s">
        <v>163</v>
      </c>
      <c r="Y2041" s="54">
        <f>R2041*W2041</f>
        <v>15.9</v>
      </c>
      <c r="Z2041" s="52">
        <f>S2041*W2041</f>
        <v>13.140495867768596</v>
      </c>
      <c r="AA2041" s="52">
        <f>T2041*W2041</f>
        <v>2.759504132231405</v>
      </c>
      <c r="AB2041" s="52">
        <f>V2041*W2041</f>
        <v>0</v>
      </c>
      <c r="AC2041" s="53">
        <f>(R2041+V2041)*W2041</f>
        <v>15.9</v>
      </c>
      <c r="AD2041" s="138">
        <v>15.9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107</v>
      </c>
      <c r="F2042" s="96" t="s">
        <v>113</v>
      </c>
      <c r="G2042" s="97">
        <v>46132</v>
      </c>
      <c r="H2042" s="98">
        <v>0.8105092592592592</v>
      </c>
      <c r="I2042" s="50">
        <v>166004844</v>
      </c>
      <c r="J2042" s="96" t="s">
        <v>157</v>
      </c>
      <c r="K2042" s="49" t="s">
        <v>507</v>
      </c>
      <c r="L2042" s="39" t="s">
        <v>508</v>
      </c>
      <c r="M2042" s="49" t="s">
        <v>509</v>
      </c>
      <c r="N2042" s="39" t="s">
        <v>256</v>
      </c>
      <c r="O2042" s="96" t="s">
        <v>1024</v>
      </c>
      <c r="P2042" s="49" t="s">
        <v>235</v>
      </c>
      <c r="Q2042" s="96" t="s">
        <v>236</v>
      </c>
      <c r="R2042" s="52">
        <v>15.9</v>
      </c>
      <c r="S2042" s="52">
        <f>R2042-T2042</f>
        <v>13.140495867768596</v>
      </c>
      <c r="T2042" s="52">
        <f>R2042*U2042/(U2042+100)</f>
        <v>2.759504132231405</v>
      </c>
      <c r="U2042" s="50">
        <v>21</v>
      </c>
      <c r="V2042" s="53">
        <v>0</v>
      </c>
      <c r="W2042" s="147">
        <v>1</v>
      </c>
      <c r="X2042" s="148" t="s">
        <v>163</v>
      </c>
      <c r="Y2042" s="54">
        <f>R2042*W2042</f>
        <v>15.9</v>
      </c>
      <c r="Z2042" s="52">
        <f>S2042*W2042</f>
        <v>13.140495867768596</v>
      </c>
      <c r="AA2042" s="52">
        <f>T2042*W2042</f>
        <v>2.759504132231405</v>
      </c>
      <c r="AB2042" s="52">
        <f>V2042*W2042</f>
        <v>0</v>
      </c>
      <c r="AC2042" s="53">
        <f>(R2042+V2042)*W2042</f>
        <v>15.9</v>
      </c>
      <c r="AD2042" s="138">
        <v>15.9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107</v>
      </c>
      <c r="F2043" s="96" t="s">
        <v>113</v>
      </c>
      <c r="G2043" s="97">
        <v>46132</v>
      </c>
      <c r="H2043" s="98">
        <v>0.8105092592592592</v>
      </c>
      <c r="I2043" s="50">
        <v>166004844</v>
      </c>
      <c r="J2043" s="96" t="s">
        <v>157</v>
      </c>
      <c r="K2043" s="49" t="s">
        <v>711</v>
      </c>
      <c r="L2043" s="39" t="s">
        <v>712</v>
      </c>
      <c r="M2043" s="49" t="s">
        <v>190</v>
      </c>
      <c r="N2043" s="39" t="s">
        <v>532</v>
      </c>
      <c r="O2043" s="96" t="s">
        <v>713</v>
      </c>
      <c r="P2043" s="49" t="s">
        <v>235</v>
      </c>
      <c r="Q2043" s="96" t="s">
        <v>236</v>
      </c>
      <c r="R2043" s="52">
        <v>27.9</v>
      </c>
      <c r="S2043" s="52">
        <f>R2043-T2043</f>
        <v>24.910714285714285</v>
      </c>
      <c r="T2043" s="52">
        <f>R2043*U2043/(U2043+100)</f>
        <v>2.989285714285714</v>
      </c>
      <c r="U2043" s="50">
        <v>12</v>
      </c>
      <c r="V2043" s="53">
        <v>0</v>
      </c>
      <c r="W2043" s="147">
        <v>0.834</v>
      </c>
      <c r="X2043" s="148" t="s">
        <v>193</v>
      </c>
      <c r="Y2043" s="54">
        <f>R2043*W2043</f>
        <v>23.2686</v>
      </c>
      <c r="Z2043" s="52">
        <f>S2043*W2043</f>
        <v>20.775535714285713</v>
      </c>
      <c r="AA2043" s="52">
        <f>T2043*W2043</f>
        <v>2.493064285714285</v>
      </c>
      <c r="AB2043" s="52">
        <f>V2043*W2043</f>
        <v>0</v>
      </c>
      <c r="AC2043" s="53">
        <f>(R2043+V2043)*W2043</f>
        <v>23.2686</v>
      </c>
      <c r="AD2043" s="138">
        <v>27.9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107</v>
      </c>
      <c r="F2044" s="96" t="s">
        <v>113</v>
      </c>
      <c r="G2044" s="97">
        <v>46132</v>
      </c>
      <c r="H2044" s="98">
        <v>0.8136805555555555</v>
      </c>
      <c r="I2044" s="50">
        <v>166004845</v>
      </c>
      <c r="J2044" s="96" t="s">
        <v>157</v>
      </c>
      <c r="K2044" s="49" t="s">
        <v>3108</v>
      </c>
      <c r="L2044" s="39" t="s">
        <v>3109</v>
      </c>
      <c r="M2044" s="49" t="s">
        <v>171</v>
      </c>
      <c r="N2044" s="39" t="s">
        <v>404</v>
      </c>
      <c r="O2044" s="96" t="s">
        <v>3110</v>
      </c>
      <c r="P2044" s="49" t="s">
        <v>157</v>
      </c>
      <c r="Q2044" s="96" t="s">
        <v>104</v>
      </c>
      <c r="R2044" s="52">
        <v>19.9</v>
      </c>
      <c r="S2044" s="52">
        <f>R2044-T2044</f>
        <v>17.767857142857142</v>
      </c>
      <c r="T2044" s="52">
        <f>R2044*U2044/(U2044+100)</f>
        <v>2.132142857142857</v>
      </c>
      <c r="U2044" s="50">
        <v>12</v>
      </c>
      <c r="V2044" s="53">
        <v>0</v>
      </c>
      <c r="W2044" s="147">
        <v>1</v>
      </c>
      <c r="X2044" s="148" t="s">
        <v>163</v>
      </c>
      <c r="Y2044" s="54">
        <f>R2044*W2044</f>
        <v>19.9</v>
      </c>
      <c r="Z2044" s="52">
        <f>S2044*W2044</f>
        <v>17.767857142857142</v>
      </c>
      <c r="AA2044" s="52">
        <f>T2044*W2044</f>
        <v>2.132142857142857</v>
      </c>
      <c r="AB2044" s="52">
        <f>V2044*W2044</f>
        <v>0</v>
      </c>
      <c r="AC2044" s="53">
        <f>(R2044+V2044)*W2044</f>
        <v>19.9</v>
      </c>
      <c r="AD2044" s="138">
        <v>19.9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107</v>
      </c>
      <c r="F2045" s="96" t="s">
        <v>113</v>
      </c>
      <c r="G2045" s="97">
        <v>46132</v>
      </c>
      <c r="H2045" s="98">
        <v>0.8136805555555555</v>
      </c>
      <c r="I2045" s="50">
        <v>166004845</v>
      </c>
      <c r="J2045" s="96" t="s">
        <v>157</v>
      </c>
      <c r="K2045" s="49" t="s">
        <v>3111</v>
      </c>
      <c r="L2045" s="39" t="s">
        <v>3112</v>
      </c>
      <c r="M2045" s="49" t="s">
        <v>171</v>
      </c>
      <c r="N2045" s="39" t="s">
        <v>404</v>
      </c>
      <c r="O2045" s="96" t="s">
        <v>3113</v>
      </c>
      <c r="P2045" s="49" t="s">
        <v>157</v>
      </c>
      <c r="Q2045" s="96" t="s">
        <v>104</v>
      </c>
      <c r="R2045" s="52">
        <v>19.9</v>
      </c>
      <c r="S2045" s="52">
        <f>R2045-T2045</f>
        <v>17.767857142857142</v>
      </c>
      <c r="T2045" s="52">
        <f>R2045*U2045/(U2045+100)</f>
        <v>2.132142857142857</v>
      </c>
      <c r="U2045" s="50">
        <v>12</v>
      </c>
      <c r="V2045" s="53">
        <v>0</v>
      </c>
      <c r="W2045" s="147">
        <v>1</v>
      </c>
      <c r="X2045" s="148" t="s">
        <v>163</v>
      </c>
      <c r="Y2045" s="54">
        <f>R2045*W2045</f>
        <v>19.9</v>
      </c>
      <c r="Z2045" s="52">
        <f>S2045*W2045</f>
        <v>17.767857142857142</v>
      </c>
      <c r="AA2045" s="52">
        <f>T2045*W2045</f>
        <v>2.132142857142857</v>
      </c>
      <c r="AB2045" s="52">
        <f>V2045*W2045</f>
        <v>0</v>
      </c>
      <c r="AC2045" s="53">
        <f>(R2045+V2045)*W2045</f>
        <v>19.9</v>
      </c>
      <c r="AD2045" s="138">
        <v>19.9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107</v>
      </c>
      <c r="F2046" s="96" t="s">
        <v>113</v>
      </c>
      <c r="G2046" s="97">
        <v>46132</v>
      </c>
      <c r="H2046" s="98">
        <v>0.8136805555555555</v>
      </c>
      <c r="I2046" s="50">
        <v>166004845</v>
      </c>
      <c r="J2046" s="96" t="s">
        <v>157</v>
      </c>
      <c r="K2046" s="49" t="s">
        <v>3114</v>
      </c>
      <c r="L2046" s="39" t="s">
        <v>3115</v>
      </c>
      <c r="M2046" s="49" t="s">
        <v>3116</v>
      </c>
      <c r="N2046" s="39" t="s">
        <v>576</v>
      </c>
      <c r="O2046" s="96" t="s">
        <v>3117</v>
      </c>
      <c r="P2046" s="49" t="s">
        <v>157</v>
      </c>
      <c r="Q2046" s="96" t="s">
        <v>104</v>
      </c>
      <c r="R2046" s="52">
        <v>44.9</v>
      </c>
      <c r="S2046" s="52">
        <f>R2046-T2046</f>
        <v>40.089285714285715</v>
      </c>
      <c r="T2046" s="52">
        <f>R2046*U2046/(U2046+100)</f>
        <v>4.810714285714285</v>
      </c>
      <c r="U2046" s="50">
        <v>12</v>
      </c>
      <c r="V2046" s="53">
        <v>0</v>
      </c>
      <c r="W2046" s="147">
        <v>1</v>
      </c>
      <c r="X2046" s="148" t="s">
        <v>163</v>
      </c>
      <c r="Y2046" s="54">
        <f>R2046*W2046</f>
        <v>44.9</v>
      </c>
      <c r="Z2046" s="52">
        <f>S2046*W2046</f>
        <v>40.089285714285715</v>
      </c>
      <c r="AA2046" s="52">
        <f>T2046*W2046</f>
        <v>4.810714285714285</v>
      </c>
      <c r="AB2046" s="52">
        <f>V2046*W2046</f>
        <v>0</v>
      </c>
      <c r="AC2046" s="53">
        <f>(R2046+V2046)*W2046</f>
        <v>44.9</v>
      </c>
      <c r="AD2046" s="138">
        <v>44.9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107</v>
      </c>
      <c r="F2047" s="96" t="s">
        <v>113</v>
      </c>
      <c r="G2047" s="97">
        <v>46132</v>
      </c>
      <c r="H2047" s="98">
        <v>0.8136805555555555</v>
      </c>
      <c r="I2047" s="50">
        <v>166004845</v>
      </c>
      <c r="J2047" s="96" t="s">
        <v>157</v>
      </c>
      <c r="K2047" s="49" t="s">
        <v>3118</v>
      </c>
      <c r="L2047" s="39" t="s">
        <v>3119</v>
      </c>
      <c r="M2047" s="49" t="s">
        <v>466</v>
      </c>
      <c r="N2047" s="39" t="s">
        <v>228</v>
      </c>
      <c r="O2047" s="96" t="s">
        <v>3120</v>
      </c>
      <c r="P2047" s="49" t="s">
        <v>157</v>
      </c>
      <c r="Q2047" s="96" t="s">
        <v>104</v>
      </c>
      <c r="R2047" s="52">
        <v>39.9</v>
      </c>
      <c r="S2047" s="52">
        <f>R2047-T2047</f>
        <v>35.625</v>
      </c>
      <c r="T2047" s="52">
        <f>R2047*U2047/(U2047+100)</f>
        <v>4.2749999999999995</v>
      </c>
      <c r="U2047" s="50">
        <v>12</v>
      </c>
      <c r="V2047" s="53">
        <v>0</v>
      </c>
      <c r="W2047" s="147">
        <v>1</v>
      </c>
      <c r="X2047" s="148" t="s">
        <v>163</v>
      </c>
      <c r="Y2047" s="54">
        <f>R2047*W2047</f>
        <v>39.9</v>
      </c>
      <c r="Z2047" s="52">
        <f>S2047*W2047</f>
        <v>35.625</v>
      </c>
      <c r="AA2047" s="52">
        <f>T2047*W2047</f>
        <v>4.2749999999999995</v>
      </c>
      <c r="AB2047" s="52">
        <f>V2047*W2047</f>
        <v>0</v>
      </c>
      <c r="AC2047" s="53">
        <f>(R2047+V2047)*W2047</f>
        <v>39.9</v>
      </c>
      <c r="AD2047" s="138">
        <v>39.9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107</v>
      </c>
      <c r="F2048" s="96" t="s">
        <v>113</v>
      </c>
      <c r="G2048" s="97">
        <v>46132</v>
      </c>
      <c r="H2048" s="98">
        <v>0.8136805555555555</v>
      </c>
      <c r="I2048" s="50">
        <v>166004845</v>
      </c>
      <c r="J2048" s="96" t="s">
        <v>157</v>
      </c>
      <c r="K2048" s="49" t="s">
        <v>1232</v>
      </c>
      <c r="L2048" s="39" t="s">
        <v>1233</v>
      </c>
      <c r="M2048" s="49" t="s">
        <v>466</v>
      </c>
      <c r="N2048" s="39" t="s">
        <v>291</v>
      </c>
      <c r="O2048" s="96" t="s">
        <v>1234</v>
      </c>
      <c r="P2048" s="49" t="s">
        <v>235</v>
      </c>
      <c r="Q2048" s="96" t="s">
        <v>236</v>
      </c>
      <c r="R2048" s="52">
        <v>26.9</v>
      </c>
      <c r="S2048" s="52">
        <f>R2048-T2048</f>
        <v>24.017857142857142</v>
      </c>
      <c r="T2048" s="52">
        <f>R2048*U2048/(U2048+100)</f>
        <v>2.8821428571428567</v>
      </c>
      <c r="U2048" s="50">
        <v>12</v>
      </c>
      <c r="V2048" s="53">
        <v>0</v>
      </c>
      <c r="W2048" s="147">
        <v>1</v>
      </c>
      <c r="X2048" s="148" t="s">
        <v>163</v>
      </c>
      <c r="Y2048" s="54">
        <f>R2048*W2048</f>
        <v>26.9</v>
      </c>
      <c r="Z2048" s="52">
        <f>S2048*W2048</f>
        <v>24.017857142857142</v>
      </c>
      <c r="AA2048" s="52">
        <f>T2048*W2048</f>
        <v>2.8821428571428567</v>
      </c>
      <c r="AB2048" s="52">
        <f>V2048*W2048</f>
        <v>0</v>
      </c>
      <c r="AC2048" s="53">
        <f>(R2048+V2048)*W2048</f>
        <v>26.9</v>
      </c>
      <c r="AD2048" s="138">
        <v>26.9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107</v>
      </c>
      <c r="F2049" s="96" t="s">
        <v>113</v>
      </c>
      <c r="G2049" s="97">
        <v>46132</v>
      </c>
      <c r="H2049" s="98">
        <v>0.8136805555555555</v>
      </c>
      <c r="I2049" s="50">
        <v>166004845</v>
      </c>
      <c r="J2049" s="96" t="s">
        <v>157</v>
      </c>
      <c r="K2049" s="49" t="s">
        <v>707</v>
      </c>
      <c r="L2049" s="39" t="s">
        <v>708</v>
      </c>
      <c r="M2049" s="49" t="s">
        <v>709</v>
      </c>
      <c r="N2049" s="39" t="s">
        <v>319</v>
      </c>
      <c r="O2049" s="96" t="s">
        <v>1504</v>
      </c>
      <c r="P2049" s="49" t="s">
        <v>235</v>
      </c>
      <c r="Q2049" s="96" t="s">
        <v>236</v>
      </c>
      <c r="R2049" s="52">
        <v>19.9</v>
      </c>
      <c r="S2049" s="52">
        <f>R2049-T2049</f>
        <v>17.767857142857142</v>
      </c>
      <c r="T2049" s="52">
        <f>R2049*U2049/(U2049+100)</f>
        <v>2.132142857142857</v>
      </c>
      <c r="U2049" s="50">
        <v>12</v>
      </c>
      <c r="V2049" s="53">
        <v>0</v>
      </c>
      <c r="W2049" s="147">
        <v>1</v>
      </c>
      <c r="X2049" s="148" t="s">
        <v>163</v>
      </c>
      <c r="Y2049" s="54">
        <f>R2049*W2049</f>
        <v>19.9</v>
      </c>
      <c r="Z2049" s="52">
        <f>S2049*W2049</f>
        <v>17.767857142857142</v>
      </c>
      <c r="AA2049" s="52">
        <f>T2049*W2049</f>
        <v>2.132142857142857</v>
      </c>
      <c r="AB2049" s="52">
        <f>V2049*W2049</f>
        <v>0</v>
      </c>
      <c r="AC2049" s="53">
        <f>(R2049+V2049)*W2049</f>
        <v>19.9</v>
      </c>
      <c r="AD2049" s="138">
        <v>19.9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107</v>
      </c>
      <c r="F2050" s="96" t="s">
        <v>113</v>
      </c>
      <c r="G2050" s="97">
        <v>46132</v>
      </c>
      <c r="H2050" s="98">
        <v>0.8136805555555555</v>
      </c>
      <c r="I2050" s="50">
        <v>166004845</v>
      </c>
      <c r="J2050" s="96" t="s">
        <v>157</v>
      </c>
      <c r="K2050" s="49" t="s">
        <v>2238</v>
      </c>
      <c r="L2050" s="39" t="s">
        <v>2239</v>
      </c>
      <c r="M2050" s="49" t="s">
        <v>547</v>
      </c>
      <c r="N2050" s="39" t="s">
        <v>1785</v>
      </c>
      <c r="O2050" s="96" t="s">
        <v>2240</v>
      </c>
      <c r="P2050" s="49" t="s">
        <v>157</v>
      </c>
      <c r="Q2050" s="96" t="s">
        <v>104</v>
      </c>
      <c r="R2050" s="52">
        <v>35.9</v>
      </c>
      <c r="S2050" s="52">
        <f>R2050-T2050</f>
        <v>32.05357142857143</v>
      </c>
      <c r="T2050" s="52">
        <f>R2050*U2050/(U2050+100)</f>
        <v>3.846428571428571</v>
      </c>
      <c r="U2050" s="50">
        <v>12</v>
      </c>
      <c r="V2050" s="53">
        <v>0</v>
      </c>
      <c r="W2050" s="147">
        <v>1</v>
      </c>
      <c r="X2050" s="148" t="s">
        <v>163</v>
      </c>
      <c r="Y2050" s="54">
        <f>R2050*W2050</f>
        <v>35.9</v>
      </c>
      <c r="Z2050" s="52">
        <f>S2050*W2050</f>
        <v>32.05357142857143</v>
      </c>
      <c r="AA2050" s="52">
        <f>T2050*W2050</f>
        <v>3.846428571428571</v>
      </c>
      <c r="AB2050" s="52">
        <f>V2050*W2050</f>
        <v>0</v>
      </c>
      <c r="AC2050" s="53">
        <f>(R2050+V2050)*W2050</f>
        <v>35.9</v>
      </c>
      <c r="AD2050" s="138">
        <v>35.9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107</v>
      </c>
      <c r="F2051" s="96" t="s">
        <v>113</v>
      </c>
      <c r="G2051" s="97">
        <v>46132</v>
      </c>
      <c r="H2051" s="98">
        <v>0.8136805555555555</v>
      </c>
      <c r="I2051" s="50">
        <v>166004845</v>
      </c>
      <c r="J2051" s="96" t="s">
        <v>157</v>
      </c>
      <c r="K2051" s="49" t="s">
        <v>3121</v>
      </c>
      <c r="L2051" s="39" t="s">
        <v>3122</v>
      </c>
      <c r="M2051" s="49" t="s">
        <v>1373</v>
      </c>
      <c r="N2051" s="39" t="s">
        <v>481</v>
      </c>
      <c r="O2051" s="96" t="s">
        <v>3123</v>
      </c>
      <c r="P2051" s="49" t="s">
        <v>157</v>
      </c>
      <c r="Q2051" s="96" t="s">
        <v>104</v>
      </c>
      <c r="R2051" s="52">
        <v>69.9</v>
      </c>
      <c r="S2051" s="52">
        <f>R2051-T2051</f>
        <v>62.41071428571429</v>
      </c>
      <c r="T2051" s="52">
        <f>R2051*U2051/(U2051+100)</f>
        <v>7.489285714285715</v>
      </c>
      <c r="U2051" s="50">
        <v>12</v>
      </c>
      <c r="V2051" s="53">
        <v>0</v>
      </c>
      <c r="W2051" s="147">
        <v>1</v>
      </c>
      <c r="X2051" s="148" t="s">
        <v>163</v>
      </c>
      <c r="Y2051" s="54">
        <f>R2051*W2051</f>
        <v>69.9</v>
      </c>
      <c r="Z2051" s="52">
        <f>S2051*W2051</f>
        <v>62.41071428571429</v>
      </c>
      <c r="AA2051" s="52">
        <f>T2051*W2051</f>
        <v>7.489285714285715</v>
      </c>
      <c r="AB2051" s="52">
        <f>V2051*W2051</f>
        <v>0</v>
      </c>
      <c r="AC2051" s="53">
        <f>(R2051+V2051)*W2051</f>
        <v>69.9</v>
      </c>
      <c r="AD2051" s="138">
        <v>69.9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107</v>
      </c>
      <c r="F2052" s="96" t="s">
        <v>113</v>
      </c>
      <c r="G2052" s="97">
        <v>46132</v>
      </c>
      <c r="H2052" s="98">
        <v>0.8136805555555555</v>
      </c>
      <c r="I2052" s="50">
        <v>166004845</v>
      </c>
      <c r="J2052" s="96" t="s">
        <v>157</v>
      </c>
      <c r="K2052" s="49" t="s">
        <v>3124</v>
      </c>
      <c r="L2052" s="39" t="s">
        <v>3125</v>
      </c>
      <c r="M2052" s="49" t="s">
        <v>255</v>
      </c>
      <c r="N2052" s="39" t="s">
        <v>256</v>
      </c>
      <c r="O2052" s="96" t="s">
        <v>3126</v>
      </c>
      <c r="P2052" s="49" t="s">
        <v>157</v>
      </c>
      <c r="Q2052" s="96" t="s">
        <v>104</v>
      </c>
      <c r="R2052" s="52">
        <v>24.9</v>
      </c>
      <c r="S2052" s="52">
        <f>R2052-T2052</f>
        <v>20.578512396694215</v>
      </c>
      <c r="T2052" s="52">
        <f>R2052*U2052/(U2052+100)</f>
        <v>4.321487603305785</v>
      </c>
      <c r="U2052" s="50">
        <v>21</v>
      </c>
      <c r="V2052" s="53">
        <v>0</v>
      </c>
      <c r="W2052" s="147">
        <v>1</v>
      </c>
      <c r="X2052" s="148" t="s">
        <v>163</v>
      </c>
      <c r="Y2052" s="54">
        <f>R2052*W2052</f>
        <v>24.9</v>
      </c>
      <c r="Z2052" s="52">
        <f>S2052*W2052</f>
        <v>20.578512396694215</v>
      </c>
      <c r="AA2052" s="52">
        <f>T2052*W2052</f>
        <v>4.321487603305785</v>
      </c>
      <c r="AB2052" s="52">
        <f>V2052*W2052</f>
        <v>0</v>
      </c>
      <c r="AC2052" s="53">
        <f>(R2052+V2052)*W2052</f>
        <v>24.9</v>
      </c>
      <c r="AD2052" s="138">
        <v>24.9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107</v>
      </c>
      <c r="F2053" s="96" t="s">
        <v>113</v>
      </c>
      <c r="G2053" s="97">
        <v>46132</v>
      </c>
      <c r="H2053" s="98">
        <v>0.8136805555555555</v>
      </c>
      <c r="I2053" s="50">
        <v>166004845</v>
      </c>
      <c r="J2053" s="96" t="s">
        <v>157</v>
      </c>
      <c r="K2053" s="49" t="s">
        <v>258</v>
      </c>
      <c r="L2053" s="39" t="s">
        <v>259</v>
      </c>
      <c r="M2053" s="49" t="s">
        <v>185</v>
      </c>
      <c r="N2053" s="39" t="s">
        <v>186</v>
      </c>
      <c r="O2053" s="96" t="s">
        <v>2307</v>
      </c>
      <c r="P2053" s="49" t="s">
        <v>157</v>
      </c>
      <c r="Q2053" s="96" t="s">
        <v>104</v>
      </c>
      <c r="R2053" s="52">
        <v>19.9</v>
      </c>
      <c r="S2053" s="52">
        <f>R2053-T2053</f>
        <v>16.446280991735534</v>
      </c>
      <c r="T2053" s="52">
        <f>R2053*U2053/(U2053+100)</f>
        <v>3.4537190082644624</v>
      </c>
      <c r="U2053" s="50">
        <v>21</v>
      </c>
      <c r="V2053" s="53">
        <v>0</v>
      </c>
      <c r="W2053" s="147">
        <v>1</v>
      </c>
      <c r="X2053" s="148" t="s">
        <v>163</v>
      </c>
      <c r="Y2053" s="54">
        <f>R2053*W2053</f>
        <v>19.9</v>
      </c>
      <c r="Z2053" s="52">
        <f>S2053*W2053</f>
        <v>16.446280991735534</v>
      </c>
      <c r="AA2053" s="52">
        <f>T2053*W2053</f>
        <v>3.4537190082644624</v>
      </c>
      <c r="AB2053" s="52">
        <f>V2053*W2053</f>
        <v>0</v>
      </c>
      <c r="AC2053" s="53">
        <f>(R2053+V2053)*W2053</f>
        <v>19.9</v>
      </c>
      <c r="AD2053" s="138">
        <v>19.9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107</v>
      </c>
      <c r="F2054" s="96" t="s">
        <v>113</v>
      </c>
      <c r="G2054" s="97">
        <v>46132</v>
      </c>
      <c r="H2054" s="98">
        <v>0.8147106481481482</v>
      </c>
      <c r="I2054" s="50">
        <v>166004846</v>
      </c>
      <c r="J2054" s="96" t="s">
        <v>157</v>
      </c>
      <c r="K2054" s="49" t="s">
        <v>2456</v>
      </c>
      <c r="L2054" s="39" t="s">
        <v>2457</v>
      </c>
      <c r="M2054" s="49" t="s">
        <v>954</v>
      </c>
      <c r="N2054" s="39" t="s">
        <v>233</v>
      </c>
      <c r="O2054" s="96" t="s">
        <v>2458</v>
      </c>
      <c r="P2054" s="49" t="s">
        <v>157</v>
      </c>
      <c r="Q2054" s="96" t="s">
        <v>104</v>
      </c>
      <c r="R2054" s="52">
        <v>19.9</v>
      </c>
      <c r="S2054" s="52">
        <f>R2054-T2054</f>
        <v>16.446280991735534</v>
      </c>
      <c r="T2054" s="52">
        <f>R2054*U2054/(U2054+100)</f>
        <v>3.4537190082644624</v>
      </c>
      <c r="U2054" s="50">
        <v>21</v>
      </c>
      <c r="V2054" s="53">
        <v>0</v>
      </c>
      <c r="W2054" s="147">
        <v>1</v>
      </c>
      <c r="X2054" s="148" t="s">
        <v>163</v>
      </c>
      <c r="Y2054" s="54">
        <f>R2054*W2054</f>
        <v>19.9</v>
      </c>
      <c r="Z2054" s="52">
        <f>S2054*W2054</f>
        <v>16.446280991735534</v>
      </c>
      <c r="AA2054" s="52">
        <f>T2054*W2054</f>
        <v>3.4537190082644624</v>
      </c>
      <c r="AB2054" s="52">
        <f>V2054*W2054</f>
        <v>0</v>
      </c>
      <c r="AC2054" s="53">
        <f>(R2054+V2054)*W2054</f>
        <v>19.9</v>
      </c>
      <c r="AD2054" s="138">
        <v>19.9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107</v>
      </c>
      <c r="F2055" s="96" t="s">
        <v>113</v>
      </c>
      <c r="G2055" s="97">
        <v>46132</v>
      </c>
      <c r="H2055" s="98">
        <v>0.8147106481481482</v>
      </c>
      <c r="I2055" s="50">
        <v>166004846</v>
      </c>
      <c r="J2055" s="96" t="s">
        <v>157</v>
      </c>
      <c r="K2055" s="49" t="s">
        <v>1085</v>
      </c>
      <c r="L2055" s="39" t="s">
        <v>1086</v>
      </c>
      <c r="M2055" s="49" t="s">
        <v>1087</v>
      </c>
      <c r="N2055" s="39" t="s">
        <v>1088</v>
      </c>
      <c r="O2055" s="96" t="s">
        <v>1089</v>
      </c>
      <c r="P2055" s="49" t="s">
        <v>157</v>
      </c>
      <c r="Q2055" s="96" t="s">
        <v>104</v>
      </c>
      <c r="R2055" s="52">
        <v>163.03</v>
      </c>
      <c r="S2055" s="52">
        <f>R2055-T2055</f>
        <v>145.5625</v>
      </c>
      <c r="T2055" s="52">
        <f>R2055*U2055/(U2055+100)</f>
        <v>17.4675</v>
      </c>
      <c r="U2055" s="50">
        <v>12</v>
      </c>
      <c r="V2055" s="53">
        <v>0</v>
      </c>
      <c r="W2055" s="147">
        <v>0.208</v>
      </c>
      <c r="X2055" s="148" t="s">
        <v>193</v>
      </c>
      <c r="Y2055" s="54">
        <f>R2055*W2055</f>
        <v>33.91024</v>
      </c>
      <c r="Z2055" s="52">
        <f>S2055*W2055</f>
        <v>30.276999999999997</v>
      </c>
      <c r="AA2055" s="52">
        <f>T2055*W2055</f>
        <v>3.6332400000000002</v>
      </c>
      <c r="AB2055" s="52">
        <f>V2055*W2055</f>
        <v>0</v>
      </c>
      <c r="AC2055" s="53">
        <f>(R2055+V2055)*W2055</f>
        <v>33.91024</v>
      </c>
      <c r="AD2055" s="138">
        <v>232.9</v>
      </c>
      <c r="AE2055" s="137">
        <v>69.87</v>
      </c>
      <c r="AF2055" s="139">
        <v>14.533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107</v>
      </c>
      <c r="F2056" s="96" t="s">
        <v>113</v>
      </c>
      <c r="G2056" s="97">
        <v>46132</v>
      </c>
      <c r="H2056" s="98">
        <v>0.8147106481481482</v>
      </c>
      <c r="I2056" s="50">
        <v>166004846</v>
      </c>
      <c r="J2056" s="96" t="s">
        <v>157</v>
      </c>
      <c r="K2056" s="49" t="s">
        <v>3127</v>
      </c>
      <c r="L2056" s="39" t="s">
        <v>3128</v>
      </c>
      <c r="M2056" s="49" t="s">
        <v>277</v>
      </c>
      <c r="N2056" s="39" t="s">
        <v>3129</v>
      </c>
      <c r="O2056" s="96" t="s">
        <v>3130</v>
      </c>
      <c r="P2056" s="49" t="s">
        <v>157</v>
      </c>
      <c r="Q2056" s="96" t="s">
        <v>104</v>
      </c>
      <c r="R2056" s="52">
        <v>223.93</v>
      </c>
      <c r="S2056" s="52">
        <f>R2056-T2056</f>
        <v>199.9375</v>
      </c>
      <c r="T2056" s="52">
        <f>R2056*U2056/(U2056+100)</f>
        <v>23.9925</v>
      </c>
      <c r="U2056" s="50">
        <v>12</v>
      </c>
      <c r="V2056" s="53">
        <v>0</v>
      </c>
      <c r="W2056" s="147">
        <v>0.22</v>
      </c>
      <c r="X2056" s="148" t="s">
        <v>193</v>
      </c>
      <c r="Y2056" s="54">
        <f>R2056*W2056</f>
        <v>49.2646</v>
      </c>
      <c r="Z2056" s="52">
        <f>S2056*W2056</f>
        <v>43.98625</v>
      </c>
      <c r="AA2056" s="52">
        <f>T2056*W2056</f>
        <v>5.27835</v>
      </c>
      <c r="AB2056" s="52">
        <f>V2056*W2056</f>
        <v>0</v>
      </c>
      <c r="AC2056" s="53">
        <f>(R2056+V2056)*W2056</f>
        <v>49.2646</v>
      </c>
      <c r="AD2056" s="138">
        <v>319.9</v>
      </c>
      <c r="AE2056" s="137">
        <v>95.97</v>
      </c>
      <c r="AF2056" s="139">
        <v>21.1134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107</v>
      </c>
      <c r="F2057" s="96" t="s">
        <v>113</v>
      </c>
      <c r="G2057" s="97">
        <v>46132</v>
      </c>
      <c r="H2057" s="98">
        <v>0.8147106481481482</v>
      </c>
      <c r="I2057" s="50">
        <v>166004846</v>
      </c>
      <c r="J2057" s="96" t="s">
        <v>157</v>
      </c>
      <c r="K2057" s="49" t="s">
        <v>2424</v>
      </c>
      <c r="L2057" s="39" t="s">
        <v>2425</v>
      </c>
      <c r="M2057" s="49" t="s">
        <v>277</v>
      </c>
      <c r="N2057" s="39" t="s">
        <v>408</v>
      </c>
      <c r="O2057" s="96" t="s">
        <v>2426</v>
      </c>
      <c r="P2057" s="49" t="s">
        <v>157</v>
      </c>
      <c r="Q2057" s="96" t="s">
        <v>104</v>
      </c>
      <c r="R2057" s="52">
        <v>227.9</v>
      </c>
      <c r="S2057" s="52">
        <f>R2057-T2057</f>
        <v>203.48214285714286</v>
      </c>
      <c r="T2057" s="52">
        <f>R2057*U2057/(U2057+100)</f>
        <v>24.417857142857144</v>
      </c>
      <c r="U2057" s="50">
        <v>12</v>
      </c>
      <c r="V2057" s="53">
        <v>0</v>
      </c>
      <c r="W2057" s="147">
        <v>0.126</v>
      </c>
      <c r="X2057" s="148" t="s">
        <v>410</v>
      </c>
      <c r="Y2057" s="54">
        <f>R2057*W2057</f>
        <v>28.715400000000002</v>
      </c>
      <c r="Z2057" s="52">
        <f>S2057*W2057</f>
        <v>25.63875</v>
      </c>
      <c r="AA2057" s="52">
        <f>T2057*W2057</f>
        <v>3.0766500000000003</v>
      </c>
      <c r="AB2057" s="52">
        <f>V2057*W2057</f>
        <v>0</v>
      </c>
      <c r="AC2057" s="53">
        <f>(R2057+V2057)*W2057</f>
        <v>28.715400000000002</v>
      </c>
      <c r="AD2057" s="138">
        <v>227.9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107</v>
      </c>
      <c r="F2058" s="96" t="s">
        <v>113</v>
      </c>
      <c r="G2058" s="97">
        <v>46132</v>
      </c>
      <c r="H2058" s="98">
        <v>0.8147106481481482</v>
      </c>
      <c r="I2058" s="50">
        <v>166004846</v>
      </c>
      <c r="J2058" s="96" t="s">
        <v>157</v>
      </c>
      <c r="K2058" s="49" t="s">
        <v>1531</v>
      </c>
      <c r="L2058" s="39"/>
      <c r="M2058" s="49" t="s">
        <v>295</v>
      </c>
      <c r="N2058" s="39" t="s">
        <v>433</v>
      </c>
      <c r="O2058" s="96" t="s">
        <v>1532</v>
      </c>
      <c r="P2058" s="49" t="s">
        <v>235</v>
      </c>
      <c r="Q2058" s="96" t="s">
        <v>1533</v>
      </c>
      <c r="R2058" s="52">
        <v>19.9</v>
      </c>
      <c r="S2058" s="52">
        <f>R2058-T2058</f>
        <v>17.767857142857142</v>
      </c>
      <c r="T2058" s="52">
        <f>R2058*U2058/(U2058+100)</f>
        <v>2.132142857142857</v>
      </c>
      <c r="U2058" s="50">
        <v>12</v>
      </c>
      <c r="V2058" s="53">
        <v>0</v>
      </c>
      <c r="W2058" s="147">
        <v>1</v>
      </c>
      <c r="X2058" s="148" t="s">
        <v>945</v>
      </c>
      <c r="Y2058" s="54">
        <f>R2058*W2058</f>
        <v>19.9</v>
      </c>
      <c r="Z2058" s="52">
        <f>S2058*W2058</f>
        <v>17.767857142857142</v>
      </c>
      <c r="AA2058" s="52">
        <f>T2058*W2058</f>
        <v>2.132142857142857</v>
      </c>
      <c r="AB2058" s="52">
        <f>V2058*W2058</f>
        <v>0</v>
      </c>
      <c r="AC2058" s="53">
        <f>(R2058+V2058)*W2058</f>
        <v>19.9</v>
      </c>
      <c r="AD2058" s="138">
        <v>19.9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107</v>
      </c>
      <c r="F2059" s="96" t="s">
        <v>113</v>
      </c>
      <c r="G2059" s="97">
        <v>46132</v>
      </c>
      <c r="H2059" s="98">
        <v>0.8179166666666666</v>
      </c>
      <c r="I2059" s="50">
        <v>166004847</v>
      </c>
      <c r="J2059" s="96" t="s">
        <v>157</v>
      </c>
      <c r="K2059" s="49" t="s">
        <v>183</v>
      </c>
      <c r="L2059" s="39" t="s">
        <v>184</v>
      </c>
      <c r="M2059" s="49" t="s">
        <v>185</v>
      </c>
      <c r="N2059" s="39" t="s">
        <v>186</v>
      </c>
      <c r="O2059" s="96" t="s">
        <v>988</v>
      </c>
      <c r="P2059" s="49" t="s">
        <v>157</v>
      </c>
      <c r="Q2059" s="96" t="s">
        <v>104</v>
      </c>
      <c r="R2059" s="52">
        <v>1.9</v>
      </c>
      <c r="S2059" s="52">
        <f>R2059-T2059</f>
        <v>1.5702479338842974</v>
      </c>
      <c r="T2059" s="52">
        <f>R2059*U2059/(U2059+100)</f>
        <v>0.32975206611570246</v>
      </c>
      <c r="U2059" s="50">
        <v>21</v>
      </c>
      <c r="V2059" s="53">
        <v>0</v>
      </c>
      <c r="W2059" s="147">
        <v>1</v>
      </c>
      <c r="X2059" s="148" t="s">
        <v>163</v>
      </c>
      <c r="Y2059" s="54">
        <f>R2059*W2059</f>
        <v>1.9</v>
      </c>
      <c r="Z2059" s="52">
        <f>S2059*W2059</f>
        <v>1.5702479338842974</v>
      </c>
      <c r="AA2059" s="52">
        <f>T2059*W2059</f>
        <v>0.32975206611570246</v>
      </c>
      <c r="AB2059" s="52">
        <f>V2059*W2059</f>
        <v>0</v>
      </c>
      <c r="AC2059" s="53">
        <f>(R2059+V2059)*W2059</f>
        <v>1.9</v>
      </c>
      <c r="AD2059" s="138">
        <v>1.9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107</v>
      </c>
      <c r="F2060" s="96" t="s">
        <v>113</v>
      </c>
      <c r="G2060" s="97">
        <v>46132</v>
      </c>
      <c r="H2060" s="98">
        <v>0.8179166666666666</v>
      </c>
      <c r="I2060" s="50">
        <v>166004847</v>
      </c>
      <c r="J2060" s="96" t="s">
        <v>157</v>
      </c>
      <c r="K2060" s="49" t="s">
        <v>1787</v>
      </c>
      <c r="L2060" s="39" t="s">
        <v>1788</v>
      </c>
      <c r="M2060" s="49" t="s">
        <v>190</v>
      </c>
      <c r="N2060" s="39" t="s">
        <v>191</v>
      </c>
      <c r="O2060" s="96" t="s">
        <v>1789</v>
      </c>
      <c r="P2060" s="49" t="s">
        <v>157</v>
      </c>
      <c r="Q2060" s="96" t="s">
        <v>104</v>
      </c>
      <c r="R2060" s="52">
        <v>109.9</v>
      </c>
      <c r="S2060" s="52">
        <f>R2060-T2060</f>
        <v>98.125</v>
      </c>
      <c r="T2060" s="52">
        <f>R2060*U2060/(U2060+100)</f>
        <v>11.775000000000002</v>
      </c>
      <c r="U2060" s="50">
        <v>12</v>
      </c>
      <c r="V2060" s="53">
        <v>0</v>
      </c>
      <c r="W2060" s="147">
        <v>0.496</v>
      </c>
      <c r="X2060" s="148" t="s">
        <v>193</v>
      </c>
      <c r="Y2060" s="54">
        <f>R2060*W2060</f>
        <v>54.510400000000004</v>
      </c>
      <c r="Z2060" s="52">
        <f>S2060*W2060</f>
        <v>48.67</v>
      </c>
      <c r="AA2060" s="52">
        <f>T2060*W2060</f>
        <v>5.840400000000001</v>
      </c>
      <c r="AB2060" s="52">
        <f>V2060*W2060</f>
        <v>0</v>
      </c>
      <c r="AC2060" s="53">
        <f>(R2060+V2060)*W2060</f>
        <v>54.510400000000004</v>
      </c>
      <c r="AD2060" s="138">
        <v>109.9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107</v>
      </c>
      <c r="F2061" s="96" t="s">
        <v>113</v>
      </c>
      <c r="G2061" s="97">
        <v>46132</v>
      </c>
      <c r="H2061" s="98">
        <v>0.8179166666666666</v>
      </c>
      <c r="I2061" s="50">
        <v>166004847</v>
      </c>
      <c r="J2061" s="96" t="s">
        <v>157</v>
      </c>
      <c r="K2061" s="49" t="s">
        <v>711</v>
      </c>
      <c r="L2061" s="39" t="s">
        <v>712</v>
      </c>
      <c r="M2061" s="49" t="s">
        <v>190</v>
      </c>
      <c r="N2061" s="39" t="s">
        <v>532</v>
      </c>
      <c r="O2061" s="96" t="s">
        <v>713</v>
      </c>
      <c r="P2061" s="49" t="s">
        <v>235</v>
      </c>
      <c r="Q2061" s="96" t="s">
        <v>236</v>
      </c>
      <c r="R2061" s="52">
        <v>27.9</v>
      </c>
      <c r="S2061" s="52">
        <f>R2061-T2061</f>
        <v>24.910714285714285</v>
      </c>
      <c r="T2061" s="52">
        <f>R2061*U2061/(U2061+100)</f>
        <v>2.989285714285714</v>
      </c>
      <c r="U2061" s="50">
        <v>12</v>
      </c>
      <c r="V2061" s="53">
        <v>0</v>
      </c>
      <c r="W2061" s="147">
        <v>1.274</v>
      </c>
      <c r="X2061" s="148" t="s">
        <v>193</v>
      </c>
      <c r="Y2061" s="54">
        <f>R2061*W2061</f>
        <v>35.544599999999996</v>
      </c>
      <c r="Z2061" s="52">
        <f>S2061*W2061</f>
        <v>31.73625</v>
      </c>
      <c r="AA2061" s="52">
        <f>T2061*W2061</f>
        <v>3.8083499999999995</v>
      </c>
      <c r="AB2061" s="52">
        <f>V2061*W2061</f>
        <v>0</v>
      </c>
      <c r="AC2061" s="53">
        <f>(R2061+V2061)*W2061</f>
        <v>35.544599999999996</v>
      </c>
      <c r="AD2061" s="138">
        <v>27.9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107</v>
      </c>
      <c r="F2062" s="96" t="s">
        <v>113</v>
      </c>
      <c r="G2062" s="97">
        <v>46132</v>
      </c>
      <c r="H2062" s="98">
        <v>0.8179166666666666</v>
      </c>
      <c r="I2062" s="50">
        <v>166004847</v>
      </c>
      <c r="J2062" s="96" t="s">
        <v>157</v>
      </c>
      <c r="K2062" s="49" t="s">
        <v>1085</v>
      </c>
      <c r="L2062" s="39" t="s">
        <v>1086</v>
      </c>
      <c r="M2062" s="49" t="s">
        <v>1087</v>
      </c>
      <c r="N2062" s="39" t="s">
        <v>1088</v>
      </c>
      <c r="O2062" s="96" t="s">
        <v>1089</v>
      </c>
      <c r="P2062" s="49" t="s">
        <v>157</v>
      </c>
      <c r="Q2062" s="96" t="s">
        <v>104</v>
      </c>
      <c r="R2062" s="52">
        <v>163.03</v>
      </c>
      <c r="S2062" s="52">
        <f>R2062-T2062</f>
        <v>145.5625</v>
      </c>
      <c r="T2062" s="52">
        <f>R2062*U2062/(U2062+100)</f>
        <v>17.4675</v>
      </c>
      <c r="U2062" s="50">
        <v>12</v>
      </c>
      <c r="V2062" s="53">
        <v>0</v>
      </c>
      <c r="W2062" s="147">
        <v>0.204</v>
      </c>
      <c r="X2062" s="148" t="s">
        <v>193</v>
      </c>
      <c r="Y2062" s="54">
        <f>R2062*W2062</f>
        <v>33.25812</v>
      </c>
      <c r="Z2062" s="52">
        <f>S2062*W2062</f>
        <v>29.69475</v>
      </c>
      <c r="AA2062" s="52">
        <f>T2062*W2062</f>
        <v>3.56337</v>
      </c>
      <c r="AB2062" s="52">
        <f>V2062*W2062</f>
        <v>0</v>
      </c>
      <c r="AC2062" s="53">
        <f>(R2062+V2062)*W2062</f>
        <v>33.25812</v>
      </c>
      <c r="AD2062" s="138">
        <v>232.9</v>
      </c>
      <c r="AE2062" s="137">
        <v>69.87</v>
      </c>
      <c r="AF2062" s="139">
        <v>14.2535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107</v>
      </c>
      <c r="F2063" s="96" t="s">
        <v>113</v>
      </c>
      <c r="G2063" s="97">
        <v>46132</v>
      </c>
      <c r="H2063" s="98">
        <v>0.8179166666666666</v>
      </c>
      <c r="I2063" s="50">
        <v>166004847</v>
      </c>
      <c r="J2063" s="96" t="s">
        <v>157</v>
      </c>
      <c r="K2063" s="49" t="s">
        <v>1133</v>
      </c>
      <c r="L2063" s="39" t="s">
        <v>1134</v>
      </c>
      <c r="M2063" s="49" t="s">
        <v>649</v>
      </c>
      <c r="N2063" s="39" t="s">
        <v>440</v>
      </c>
      <c r="O2063" s="96" t="s">
        <v>1135</v>
      </c>
      <c r="P2063" s="49" t="s">
        <v>157</v>
      </c>
      <c r="Q2063" s="96" t="s">
        <v>104</v>
      </c>
      <c r="R2063" s="52">
        <v>125.93</v>
      </c>
      <c r="S2063" s="52">
        <f>R2063-T2063</f>
        <v>112.4375</v>
      </c>
      <c r="T2063" s="52">
        <f>R2063*U2063/(U2063+100)</f>
        <v>13.492500000000001</v>
      </c>
      <c r="U2063" s="50">
        <v>12</v>
      </c>
      <c r="V2063" s="53">
        <v>0</v>
      </c>
      <c r="W2063" s="147">
        <v>0.222</v>
      </c>
      <c r="X2063" s="148" t="s">
        <v>193</v>
      </c>
      <c r="Y2063" s="54">
        <f>R2063*W2063</f>
        <v>27.956460000000003</v>
      </c>
      <c r="Z2063" s="52">
        <f>S2063*W2063</f>
        <v>24.961125</v>
      </c>
      <c r="AA2063" s="52">
        <f>T2063*W2063</f>
        <v>2.9953350000000003</v>
      </c>
      <c r="AB2063" s="52">
        <f>V2063*W2063</f>
        <v>0</v>
      </c>
      <c r="AC2063" s="53">
        <f>(R2063+V2063)*W2063</f>
        <v>27.956460000000003</v>
      </c>
      <c r="AD2063" s="138">
        <v>179.9</v>
      </c>
      <c r="AE2063" s="137">
        <v>53.97</v>
      </c>
      <c r="AF2063" s="139">
        <v>11.9813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107</v>
      </c>
      <c r="F2064" s="96" t="s">
        <v>113</v>
      </c>
      <c r="G2064" s="97">
        <v>46132</v>
      </c>
      <c r="H2064" s="98">
        <v>0.8179166666666666</v>
      </c>
      <c r="I2064" s="50">
        <v>166004847</v>
      </c>
      <c r="J2064" s="96" t="s">
        <v>157</v>
      </c>
      <c r="K2064" s="49" t="s">
        <v>1531</v>
      </c>
      <c r="L2064" s="39"/>
      <c r="M2064" s="49" t="s">
        <v>295</v>
      </c>
      <c r="N2064" s="39" t="s">
        <v>433</v>
      </c>
      <c r="O2064" s="96" t="s">
        <v>1532</v>
      </c>
      <c r="P2064" s="49" t="s">
        <v>235</v>
      </c>
      <c r="Q2064" s="96" t="s">
        <v>1533</v>
      </c>
      <c r="R2064" s="52">
        <v>19.9</v>
      </c>
      <c r="S2064" s="52">
        <f>R2064-T2064</f>
        <v>17.767857142857142</v>
      </c>
      <c r="T2064" s="52">
        <f>R2064*U2064/(U2064+100)</f>
        <v>2.132142857142857</v>
      </c>
      <c r="U2064" s="50">
        <v>12</v>
      </c>
      <c r="V2064" s="53">
        <v>0</v>
      </c>
      <c r="W2064" s="147">
        <v>1</v>
      </c>
      <c r="X2064" s="148" t="s">
        <v>945</v>
      </c>
      <c r="Y2064" s="54">
        <f>R2064*W2064</f>
        <v>19.9</v>
      </c>
      <c r="Z2064" s="52">
        <f>S2064*W2064</f>
        <v>17.767857142857142</v>
      </c>
      <c r="AA2064" s="52">
        <f>T2064*W2064</f>
        <v>2.132142857142857</v>
      </c>
      <c r="AB2064" s="52">
        <f>V2064*W2064</f>
        <v>0</v>
      </c>
      <c r="AC2064" s="53">
        <f>(R2064+V2064)*W2064</f>
        <v>19.9</v>
      </c>
      <c r="AD2064" s="138">
        <v>19.9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107</v>
      </c>
      <c r="F2065" s="96" t="s">
        <v>113</v>
      </c>
      <c r="G2065" s="97">
        <v>46132</v>
      </c>
      <c r="H2065" s="98">
        <v>0.8183680555555556</v>
      </c>
      <c r="I2065" s="50">
        <v>166004848</v>
      </c>
      <c r="J2065" s="96" t="s">
        <v>157</v>
      </c>
      <c r="K2065" s="49" t="s">
        <v>3131</v>
      </c>
      <c r="L2065" s="39" t="s">
        <v>3132</v>
      </c>
      <c r="M2065" s="49" t="s">
        <v>862</v>
      </c>
      <c r="N2065" s="39" t="s">
        <v>863</v>
      </c>
      <c r="O2065" s="96" t="s">
        <v>3133</v>
      </c>
      <c r="P2065" s="49" t="s">
        <v>157</v>
      </c>
      <c r="Q2065" s="96" t="s">
        <v>104</v>
      </c>
      <c r="R2065" s="52">
        <v>171</v>
      </c>
      <c r="S2065" s="52">
        <f>R2065-T2065</f>
        <v>141.32231404958677</v>
      </c>
      <c r="T2065" s="52">
        <f>R2065*U2065/(U2065+100)</f>
        <v>29.677685950413224</v>
      </c>
      <c r="U2065" s="50">
        <v>21</v>
      </c>
      <c r="V2065" s="53">
        <v>0</v>
      </c>
      <c r="W2065" s="147">
        <v>1</v>
      </c>
      <c r="X2065" s="148" t="s">
        <v>163</v>
      </c>
      <c r="Y2065" s="54">
        <f>R2065*W2065</f>
        <v>171</v>
      </c>
      <c r="Z2065" s="52">
        <f>S2065*W2065</f>
        <v>141.32231404958677</v>
      </c>
      <c r="AA2065" s="52">
        <f>T2065*W2065</f>
        <v>29.677685950413224</v>
      </c>
      <c r="AB2065" s="52">
        <f>V2065*W2065</f>
        <v>0</v>
      </c>
      <c r="AC2065" s="53">
        <f>(R2065+V2065)*W2065</f>
        <v>171</v>
      </c>
      <c r="AD2065" s="138">
        <v>171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107</v>
      </c>
      <c r="F2066" s="96" t="s">
        <v>113</v>
      </c>
      <c r="G2066" s="97">
        <v>46132</v>
      </c>
      <c r="H2066" s="98">
        <v>0.8195370370370371</v>
      </c>
      <c r="I2066" s="50">
        <v>166004849</v>
      </c>
      <c r="J2066" s="96" t="s">
        <v>157</v>
      </c>
      <c r="K2066" s="49" t="s">
        <v>3134</v>
      </c>
      <c r="L2066" s="39" t="s">
        <v>3135</v>
      </c>
      <c r="M2066" s="49" t="s">
        <v>527</v>
      </c>
      <c r="N2066" s="39" t="s">
        <v>906</v>
      </c>
      <c r="O2066" s="96" t="s">
        <v>3136</v>
      </c>
      <c r="P2066" s="49" t="s">
        <v>157</v>
      </c>
      <c r="Q2066" s="96" t="s">
        <v>104</v>
      </c>
      <c r="R2066" s="52">
        <v>13.4</v>
      </c>
      <c r="S2066" s="52">
        <f>R2066-T2066</f>
        <v>11.964285714285715</v>
      </c>
      <c r="T2066" s="52">
        <f>R2066*U2066/(U2066+100)</f>
        <v>1.4357142857142857</v>
      </c>
      <c r="U2066" s="50">
        <v>12</v>
      </c>
      <c r="V2066" s="53">
        <v>0</v>
      </c>
      <c r="W2066" s="147">
        <v>1</v>
      </c>
      <c r="X2066" s="148" t="s">
        <v>163</v>
      </c>
      <c r="Y2066" s="54">
        <f>R2066*W2066</f>
        <v>13.4</v>
      </c>
      <c r="Z2066" s="52">
        <f>S2066*W2066</f>
        <v>11.964285714285715</v>
      </c>
      <c r="AA2066" s="52">
        <f>T2066*W2066</f>
        <v>1.4357142857142857</v>
      </c>
      <c r="AB2066" s="52">
        <f>V2066*W2066</f>
        <v>0</v>
      </c>
      <c r="AC2066" s="53">
        <f>(R2066+V2066)*W2066</f>
        <v>13.4</v>
      </c>
      <c r="AD2066" s="138">
        <v>13.4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107</v>
      </c>
      <c r="F2067" s="96" t="s">
        <v>113</v>
      </c>
      <c r="G2067" s="97">
        <v>46132</v>
      </c>
      <c r="H2067" s="98">
        <v>0.8195370370370371</v>
      </c>
      <c r="I2067" s="50">
        <v>166004849</v>
      </c>
      <c r="J2067" s="96" t="s">
        <v>157</v>
      </c>
      <c r="K2067" s="49" t="s">
        <v>1078</v>
      </c>
      <c r="L2067" s="39" t="s">
        <v>1079</v>
      </c>
      <c r="M2067" s="49" t="s">
        <v>232</v>
      </c>
      <c r="N2067" s="39" t="s">
        <v>167</v>
      </c>
      <c r="O2067" s="96" t="s">
        <v>1080</v>
      </c>
      <c r="P2067" s="49" t="s">
        <v>157</v>
      </c>
      <c r="Q2067" s="96" t="s">
        <v>104</v>
      </c>
      <c r="R2067" s="52">
        <v>27.9</v>
      </c>
      <c r="S2067" s="52">
        <f>R2067-T2067</f>
        <v>23.05785123966942</v>
      </c>
      <c r="T2067" s="52">
        <f>R2067*U2067/(U2067+100)</f>
        <v>4.842148760330578</v>
      </c>
      <c r="U2067" s="50">
        <v>21</v>
      </c>
      <c r="V2067" s="53">
        <v>0</v>
      </c>
      <c r="W2067" s="147">
        <v>1</v>
      </c>
      <c r="X2067" s="148" t="s">
        <v>163</v>
      </c>
      <c r="Y2067" s="54">
        <f>R2067*W2067</f>
        <v>27.9</v>
      </c>
      <c r="Z2067" s="52">
        <f>S2067*W2067</f>
        <v>23.05785123966942</v>
      </c>
      <c r="AA2067" s="52">
        <f>T2067*W2067</f>
        <v>4.842148760330578</v>
      </c>
      <c r="AB2067" s="52">
        <f>V2067*W2067</f>
        <v>0</v>
      </c>
      <c r="AC2067" s="53">
        <f>(R2067+V2067)*W2067</f>
        <v>27.9</v>
      </c>
      <c r="AD2067" s="138">
        <v>27.9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107</v>
      </c>
      <c r="F2068" s="96" t="s">
        <v>113</v>
      </c>
      <c r="G2068" s="97">
        <v>46132</v>
      </c>
      <c r="H2068" s="98">
        <v>0.8195370370370371</v>
      </c>
      <c r="I2068" s="50">
        <v>166004849</v>
      </c>
      <c r="J2068" s="96" t="s">
        <v>157</v>
      </c>
      <c r="K2068" s="49" t="s">
        <v>3137</v>
      </c>
      <c r="L2068" s="39" t="s">
        <v>3138</v>
      </c>
      <c r="M2068" s="49" t="s">
        <v>2083</v>
      </c>
      <c r="N2068" s="39" t="s">
        <v>731</v>
      </c>
      <c r="O2068" s="96" t="s">
        <v>3139</v>
      </c>
      <c r="P2068" s="49" t="s">
        <v>157</v>
      </c>
      <c r="Q2068" s="96" t="s">
        <v>104</v>
      </c>
      <c r="R2068" s="52">
        <v>107.9</v>
      </c>
      <c r="S2068" s="52">
        <f>R2068-T2068</f>
        <v>89.17355371900827</v>
      </c>
      <c r="T2068" s="52">
        <f>R2068*U2068/(U2068+100)</f>
        <v>18.726446280991738</v>
      </c>
      <c r="U2068" s="50">
        <v>21</v>
      </c>
      <c r="V2068" s="53">
        <v>0</v>
      </c>
      <c r="W2068" s="147">
        <v>1</v>
      </c>
      <c r="X2068" s="148" t="s">
        <v>163</v>
      </c>
      <c r="Y2068" s="54">
        <f>R2068*W2068</f>
        <v>107.9</v>
      </c>
      <c r="Z2068" s="52">
        <f>S2068*W2068</f>
        <v>89.17355371900827</v>
      </c>
      <c r="AA2068" s="52">
        <f>T2068*W2068</f>
        <v>18.726446280991738</v>
      </c>
      <c r="AB2068" s="52">
        <f>V2068*W2068</f>
        <v>0</v>
      </c>
      <c r="AC2068" s="53">
        <f>(R2068+V2068)*W2068</f>
        <v>107.9</v>
      </c>
      <c r="AD2068" s="138">
        <v>107.9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107</v>
      </c>
      <c r="F2069" s="96" t="s">
        <v>113</v>
      </c>
      <c r="G2069" s="97">
        <v>46132</v>
      </c>
      <c r="H2069" s="98">
        <v>0.8195370370370371</v>
      </c>
      <c r="I2069" s="50">
        <v>166004849</v>
      </c>
      <c r="J2069" s="96" t="s">
        <v>157</v>
      </c>
      <c r="K2069" s="49" t="s">
        <v>2653</v>
      </c>
      <c r="L2069" s="39" t="s">
        <v>2654</v>
      </c>
      <c r="M2069" s="49" t="s">
        <v>255</v>
      </c>
      <c r="N2069" s="39" t="s">
        <v>256</v>
      </c>
      <c r="O2069" s="96" t="s">
        <v>2655</v>
      </c>
      <c r="P2069" s="49" t="s">
        <v>157</v>
      </c>
      <c r="Q2069" s="96" t="s">
        <v>104</v>
      </c>
      <c r="R2069" s="52">
        <v>23.9</v>
      </c>
      <c r="S2069" s="52">
        <f>R2069-T2069</f>
        <v>19.752066115702476</v>
      </c>
      <c r="T2069" s="52">
        <f>R2069*U2069/(U2069+100)</f>
        <v>4.147933884297521</v>
      </c>
      <c r="U2069" s="50">
        <v>21</v>
      </c>
      <c r="V2069" s="53">
        <v>0</v>
      </c>
      <c r="W2069" s="147">
        <v>6</v>
      </c>
      <c r="X2069" s="148" t="s">
        <v>163</v>
      </c>
      <c r="Y2069" s="54">
        <f>R2069*W2069</f>
        <v>143.39999999999998</v>
      </c>
      <c r="Z2069" s="52">
        <f>S2069*W2069</f>
        <v>118.51239669421486</v>
      </c>
      <c r="AA2069" s="52">
        <f>T2069*W2069</f>
        <v>24.887603305785124</v>
      </c>
      <c r="AB2069" s="52">
        <f>V2069*W2069</f>
        <v>0</v>
      </c>
      <c r="AC2069" s="53">
        <f>(R2069+V2069)*W2069</f>
        <v>143.39999999999998</v>
      </c>
      <c r="AD2069" s="138">
        <v>23.9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107</v>
      </c>
      <c r="F2070" s="96" t="s">
        <v>113</v>
      </c>
      <c r="G2070" s="97">
        <v>46132</v>
      </c>
      <c r="H2070" s="98">
        <v>0.8195370370370371</v>
      </c>
      <c r="I2070" s="50">
        <v>166004849</v>
      </c>
      <c r="J2070" s="96" t="s">
        <v>157</v>
      </c>
      <c r="K2070" s="49" t="s">
        <v>1037</v>
      </c>
      <c r="L2070" s="39" t="s">
        <v>1038</v>
      </c>
      <c r="M2070" s="49" t="s">
        <v>185</v>
      </c>
      <c r="N2070" s="39" t="s">
        <v>433</v>
      </c>
      <c r="O2070" s="96" t="s">
        <v>1039</v>
      </c>
      <c r="P2070" s="49" t="s">
        <v>157</v>
      </c>
      <c r="Q2070" s="96" t="s">
        <v>104</v>
      </c>
      <c r="R2070" s="52">
        <v>29.9</v>
      </c>
      <c r="S2070" s="52">
        <f>R2070-T2070</f>
        <v>26.69642857142857</v>
      </c>
      <c r="T2070" s="52">
        <f>R2070*U2070/(U2070+100)</f>
        <v>3.2035714285714283</v>
      </c>
      <c r="U2070" s="50">
        <v>12</v>
      </c>
      <c r="V2070" s="53">
        <v>0</v>
      </c>
      <c r="W2070" s="147">
        <v>1</v>
      </c>
      <c r="X2070" s="148" t="s">
        <v>163</v>
      </c>
      <c r="Y2070" s="54">
        <f>R2070*W2070</f>
        <v>29.9</v>
      </c>
      <c r="Z2070" s="52">
        <f>S2070*W2070</f>
        <v>26.69642857142857</v>
      </c>
      <c r="AA2070" s="52">
        <f>T2070*W2070</f>
        <v>3.2035714285714283</v>
      </c>
      <c r="AB2070" s="52">
        <f>V2070*W2070</f>
        <v>0</v>
      </c>
      <c r="AC2070" s="53">
        <f>(R2070+V2070)*W2070</f>
        <v>29.9</v>
      </c>
      <c r="AD2070" s="138">
        <v>29.9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107</v>
      </c>
      <c r="F2071" s="96" t="s">
        <v>113</v>
      </c>
      <c r="G2071" s="97">
        <v>46132</v>
      </c>
      <c r="H2071" s="98">
        <v>0.8195370370370371</v>
      </c>
      <c r="I2071" s="50">
        <v>166004849</v>
      </c>
      <c r="J2071" s="96" t="s">
        <v>157</v>
      </c>
      <c r="K2071" s="49" t="s">
        <v>2314</v>
      </c>
      <c r="L2071" s="39" t="s">
        <v>2315</v>
      </c>
      <c r="M2071" s="49"/>
      <c r="N2071" s="39" t="s">
        <v>2316</v>
      </c>
      <c r="O2071" s="96" t="s">
        <v>2317</v>
      </c>
      <c r="P2071" s="49" t="s">
        <v>157</v>
      </c>
      <c r="Q2071" s="96" t="s">
        <v>104</v>
      </c>
      <c r="R2071" s="52">
        <v>0</v>
      </c>
      <c r="S2071" s="52">
        <f>R2071-T2071</f>
        <v>0</v>
      </c>
      <c r="T2071" s="52">
        <f>R2071*U2071/(U2071+100)</f>
        <v>0</v>
      </c>
      <c r="U2071" s="50">
        <v>0</v>
      </c>
      <c r="V2071" s="53">
        <v>-3</v>
      </c>
      <c r="W2071" s="147">
        <v>1</v>
      </c>
      <c r="X2071" s="148" t="s">
        <v>945</v>
      </c>
      <c r="Y2071" s="54">
        <f>R2071*W2071</f>
        <v>0</v>
      </c>
      <c r="Z2071" s="52">
        <f>S2071*W2071</f>
        <v>0</v>
      </c>
      <c r="AA2071" s="52">
        <f>T2071*W2071</f>
        <v>0</v>
      </c>
      <c r="AB2071" s="52">
        <f>V2071*W2071</f>
        <v>-3</v>
      </c>
      <c r="AC2071" s="53">
        <f>(R2071+V2071)*W2071</f>
        <v>-3</v>
      </c>
      <c r="AD2071" s="138">
        <v>0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107</v>
      </c>
      <c r="F2072" s="96" t="s">
        <v>113</v>
      </c>
      <c r="G2072" s="97">
        <v>46132</v>
      </c>
      <c r="H2072" s="98">
        <v>0.8203356481481482</v>
      </c>
      <c r="I2072" s="50">
        <v>166004850</v>
      </c>
      <c r="J2072" s="96" t="s">
        <v>157</v>
      </c>
      <c r="K2072" s="49" t="s">
        <v>2563</v>
      </c>
      <c r="L2072" s="39" t="s">
        <v>2564</v>
      </c>
      <c r="M2072" s="49" t="s">
        <v>2565</v>
      </c>
      <c r="N2072" s="39" t="s">
        <v>1785</v>
      </c>
      <c r="O2072" s="96" t="s">
        <v>2566</v>
      </c>
      <c r="P2072" s="49" t="s">
        <v>157</v>
      </c>
      <c r="Q2072" s="96" t="s">
        <v>104</v>
      </c>
      <c r="R2072" s="52">
        <v>10.4</v>
      </c>
      <c r="S2072" s="52">
        <f>R2072-T2072</f>
        <v>9.285714285714286</v>
      </c>
      <c r="T2072" s="52">
        <f>R2072*U2072/(U2072+100)</f>
        <v>1.1142857142857143</v>
      </c>
      <c r="U2072" s="50">
        <v>12</v>
      </c>
      <c r="V2072" s="53">
        <v>0</v>
      </c>
      <c r="W2072" s="147">
        <v>1</v>
      </c>
      <c r="X2072" s="148" t="s">
        <v>163</v>
      </c>
      <c r="Y2072" s="54">
        <f>R2072*W2072</f>
        <v>10.4</v>
      </c>
      <c r="Z2072" s="52">
        <f>S2072*W2072</f>
        <v>9.285714285714286</v>
      </c>
      <c r="AA2072" s="52">
        <f>T2072*W2072</f>
        <v>1.1142857142857143</v>
      </c>
      <c r="AB2072" s="52">
        <f>V2072*W2072</f>
        <v>0</v>
      </c>
      <c r="AC2072" s="53">
        <f>(R2072+V2072)*W2072</f>
        <v>10.4</v>
      </c>
      <c r="AD2072" s="138">
        <v>10.4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107</v>
      </c>
      <c r="F2073" s="96" t="s">
        <v>113</v>
      </c>
      <c r="G2073" s="97">
        <v>46132</v>
      </c>
      <c r="H2073" s="98">
        <v>0.8203356481481482</v>
      </c>
      <c r="I2073" s="50">
        <v>166004850</v>
      </c>
      <c r="J2073" s="96" t="s">
        <v>157</v>
      </c>
      <c r="K2073" s="49" t="s">
        <v>1337</v>
      </c>
      <c r="L2073" s="39" t="s">
        <v>1338</v>
      </c>
      <c r="M2073" s="49" t="s">
        <v>1339</v>
      </c>
      <c r="N2073" s="39" t="s">
        <v>1068</v>
      </c>
      <c r="O2073" s="96" t="s">
        <v>1340</v>
      </c>
      <c r="P2073" s="49" t="s">
        <v>157</v>
      </c>
      <c r="Q2073" s="96" t="s">
        <v>104</v>
      </c>
      <c r="R2073" s="52">
        <v>27.9</v>
      </c>
      <c r="S2073" s="52">
        <f>R2073-T2073</f>
        <v>24.910714285714285</v>
      </c>
      <c r="T2073" s="52">
        <f>R2073*U2073/(U2073+100)</f>
        <v>2.989285714285714</v>
      </c>
      <c r="U2073" s="50">
        <v>12</v>
      </c>
      <c r="V2073" s="53">
        <v>0</v>
      </c>
      <c r="W2073" s="147">
        <v>1</v>
      </c>
      <c r="X2073" s="148" t="s">
        <v>163</v>
      </c>
      <c r="Y2073" s="54">
        <f>R2073*W2073</f>
        <v>27.9</v>
      </c>
      <c r="Z2073" s="52">
        <f>S2073*W2073</f>
        <v>24.910714285714285</v>
      </c>
      <c r="AA2073" s="52">
        <f>T2073*W2073</f>
        <v>2.989285714285714</v>
      </c>
      <c r="AB2073" s="52">
        <f>V2073*W2073</f>
        <v>0</v>
      </c>
      <c r="AC2073" s="53">
        <f>(R2073+V2073)*W2073</f>
        <v>27.9</v>
      </c>
      <c r="AD2073" s="138">
        <v>27.9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107</v>
      </c>
      <c r="F2074" s="96" t="s">
        <v>113</v>
      </c>
      <c r="G2074" s="97">
        <v>46132</v>
      </c>
      <c r="H2074" s="98">
        <v>0.8203356481481482</v>
      </c>
      <c r="I2074" s="50">
        <v>166004850</v>
      </c>
      <c r="J2074" s="96" t="s">
        <v>157</v>
      </c>
      <c r="K2074" s="49" t="s">
        <v>3140</v>
      </c>
      <c r="L2074" s="39" t="s">
        <v>3141</v>
      </c>
      <c r="M2074" s="49" t="s">
        <v>1381</v>
      </c>
      <c r="N2074" s="39" t="s">
        <v>1382</v>
      </c>
      <c r="O2074" s="96" t="s">
        <v>3142</v>
      </c>
      <c r="P2074" s="49" t="s">
        <v>157</v>
      </c>
      <c r="Q2074" s="96" t="s">
        <v>104</v>
      </c>
      <c r="R2074" s="52">
        <v>24.9</v>
      </c>
      <c r="S2074" s="52">
        <f>R2074-T2074</f>
        <v>22.232142857142858</v>
      </c>
      <c r="T2074" s="52">
        <f>R2074*U2074/(U2074+100)</f>
        <v>2.6678571428571423</v>
      </c>
      <c r="U2074" s="50">
        <v>12</v>
      </c>
      <c r="V2074" s="53">
        <v>0</v>
      </c>
      <c r="W2074" s="147">
        <v>1</v>
      </c>
      <c r="X2074" s="148" t="s">
        <v>163</v>
      </c>
      <c r="Y2074" s="54">
        <f>R2074*W2074</f>
        <v>24.9</v>
      </c>
      <c r="Z2074" s="52">
        <f>S2074*W2074</f>
        <v>22.232142857142858</v>
      </c>
      <c r="AA2074" s="52">
        <f>T2074*W2074</f>
        <v>2.6678571428571423</v>
      </c>
      <c r="AB2074" s="52">
        <f>V2074*W2074</f>
        <v>0</v>
      </c>
      <c r="AC2074" s="53">
        <f>(R2074+V2074)*W2074</f>
        <v>24.9</v>
      </c>
      <c r="AD2074" s="138">
        <v>24.9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107</v>
      </c>
      <c r="F2075" s="96" t="s">
        <v>113</v>
      </c>
      <c r="G2075" s="97">
        <v>46132</v>
      </c>
      <c r="H2075" s="98">
        <v>0.8203356481481482</v>
      </c>
      <c r="I2075" s="50">
        <v>166004850</v>
      </c>
      <c r="J2075" s="96" t="s">
        <v>157</v>
      </c>
      <c r="K2075" s="49" t="s">
        <v>2653</v>
      </c>
      <c r="L2075" s="39" t="s">
        <v>2654</v>
      </c>
      <c r="M2075" s="49" t="s">
        <v>255</v>
      </c>
      <c r="N2075" s="39" t="s">
        <v>256</v>
      </c>
      <c r="O2075" s="96" t="s">
        <v>2655</v>
      </c>
      <c r="P2075" s="49" t="s">
        <v>157</v>
      </c>
      <c r="Q2075" s="96" t="s">
        <v>104</v>
      </c>
      <c r="R2075" s="52">
        <v>23.9</v>
      </c>
      <c r="S2075" s="52">
        <f>R2075-T2075</f>
        <v>19.752066115702476</v>
      </c>
      <c r="T2075" s="52">
        <f>R2075*U2075/(U2075+100)</f>
        <v>4.147933884297521</v>
      </c>
      <c r="U2075" s="50">
        <v>21</v>
      </c>
      <c r="V2075" s="53">
        <v>0</v>
      </c>
      <c r="W2075" s="147">
        <v>1</v>
      </c>
      <c r="X2075" s="148" t="s">
        <v>163</v>
      </c>
      <c r="Y2075" s="54">
        <f>R2075*W2075</f>
        <v>23.9</v>
      </c>
      <c r="Z2075" s="52">
        <f>S2075*W2075</f>
        <v>19.752066115702476</v>
      </c>
      <c r="AA2075" s="52">
        <f>T2075*W2075</f>
        <v>4.147933884297521</v>
      </c>
      <c r="AB2075" s="52">
        <f>V2075*W2075</f>
        <v>0</v>
      </c>
      <c r="AC2075" s="53">
        <f>(R2075+V2075)*W2075</f>
        <v>23.9</v>
      </c>
      <c r="AD2075" s="138">
        <v>23.9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107</v>
      </c>
      <c r="F2076" s="96" t="s">
        <v>113</v>
      </c>
      <c r="G2076" s="97">
        <v>46132</v>
      </c>
      <c r="H2076" s="98">
        <v>0.8203356481481482</v>
      </c>
      <c r="I2076" s="50">
        <v>166004850</v>
      </c>
      <c r="J2076" s="96" t="s">
        <v>157</v>
      </c>
      <c r="K2076" s="49" t="s">
        <v>2653</v>
      </c>
      <c r="L2076" s="39" t="s">
        <v>2654</v>
      </c>
      <c r="M2076" s="49" t="s">
        <v>255</v>
      </c>
      <c r="N2076" s="39" t="s">
        <v>256</v>
      </c>
      <c r="O2076" s="96" t="s">
        <v>2655</v>
      </c>
      <c r="P2076" s="49" t="s">
        <v>157</v>
      </c>
      <c r="Q2076" s="96" t="s">
        <v>104</v>
      </c>
      <c r="R2076" s="52">
        <v>23.9</v>
      </c>
      <c r="S2076" s="52">
        <f>R2076-T2076</f>
        <v>19.752066115702476</v>
      </c>
      <c r="T2076" s="52">
        <f>R2076*U2076/(U2076+100)</f>
        <v>4.147933884297521</v>
      </c>
      <c r="U2076" s="50">
        <v>21</v>
      </c>
      <c r="V2076" s="53">
        <v>0</v>
      </c>
      <c r="W2076" s="147">
        <v>1</v>
      </c>
      <c r="X2076" s="148" t="s">
        <v>163</v>
      </c>
      <c r="Y2076" s="54">
        <f>R2076*W2076</f>
        <v>23.9</v>
      </c>
      <c r="Z2076" s="52">
        <f>S2076*W2076</f>
        <v>19.752066115702476</v>
      </c>
      <c r="AA2076" s="52">
        <f>T2076*W2076</f>
        <v>4.147933884297521</v>
      </c>
      <c r="AB2076" s="52">
        <f>V2076*W2076</f>
        <v>0</v>
      </c>
      <c r="AC2076" s="53">
        <f>(R2076+V2076)*W2076</f>
        <v>23.9</v>
      </c>
      <c r="AD2076" s="138">
        <v>23.9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107</v>
      </c>
      <c r="F2077" s="96" t="s">
        <v>113</v>
      </c>
      <c r="G2077" s="97">
        <v>46132</v>
      </c>
      <c r="H2077" s="98">
        <v>0.8203356481481482</v>
      </c>
      <c r="I2077" s="50">
        <v>166004850</v>
      </c>
      <c r="J2077" s="96" t="s">
        <v>157</v>
      </c>
      <c r="K2077" s="49" t="s">
        <v>2653</v>
      </c>
      <c r="L2077" s="39" t="s">
        <v>2654</v>
      </c>
      <c r="M2077" s="49" t="s">
        <v>255</v>
      </c>
      <c r="N2077" s="39" t="s">
        <v>256</v>
      </c>
      <c r="O2077" s="96" t="s">
        <v>2655</v>
      </c>
      <c r="P2077" s="49" t="s">
        <v>157</v>
      </c>
      <c r="Q2077" s="96" t="s">
        <v>104</v>
      </c>
      <c r="R2077" s="52">
        <v>23.9</v>
      </c>
      <c r="S2077" s="52">
        <f>R2077-T2077</f>
        <v>19.752066115702476</v>
      </c>
      <c r="T2077" s="52">
        <f>R2077*U2077/(U2077+100)</f>
        <v>4.147933884297521</v>
      </c>
      <c r="U2077" s="50">
        <v>21</v>
      </c>
      <c r="V2077" s="53">
        <v>0</v>
      </c>
      <c r="W2077" s="147">
        <v>1</v>
      </c>
      <c r="X2077" s="148" t="s">
        <v>163</v>
      </c>
      <c r="Y2077" s="54">
        <f>R2077*W2077</f>
        <v>23.9</v>
      </c>
      <c r="Z2077" s="52">
        <f>S2077*W2077</f>
        <v>19.752066115702476</v>
      </c>
      <c r="AA2077" s="52">
        <f>T2077*W2077</f>
        <v>4.147933884297521</v>
      </c>
      <c r="AB2077" s="52">
        <f>V2077*W2077</f>
        <v>0</v>
      </c>
      <c r="AC2077" s="53">
        <f>(R2077+V2077)*W2077</f>
        <v>23.9</v>
      </c>
      <c r="AD2077" s="138">
        <v>23.9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107</v>
      </c>
      <c r="F2078" s="96" t="s">
        <v>113</v>
      </c>
      <c r="G2078" s="97">
        <v>46132</v>
      </c>
      <c r="H2078" s="98">
        <v>0.8203356481481482</v>
      </c>
      <c r="I2078" s="50">
        <v>166004850</v>
      </c>
      <c r="J2078" s="96" t="s">
        <v>157</v>
      </c>
      <c r="K2078" s="49" t="s">
        <v>1457</v>
      </c>
      <c r="L2078" s="39" t="s">
        <v>1458</v>
      </c>
      <c r="M2078" s="49" t="s">
        <v>277</v>
      </c>
      <c r="N2078" s="39" t="s">
        <v>440</v>
      </c>
      <c r="O2078" s="96" t="s">
        <v>1459</v>
      </c>
      <c r="P2078" s="49" t="s">
        <v>157</v>
      </c>
      <c r="Q2078" s="96" t="s">
        <v>104</v>
      </c>
      <c r="R2078" s="52">
        <v>279.9</v>
      </c>
      <c r="S2078" s="52">
        <f>R2078-T2078</f>
        <v>249.91071428571428</v>
      </c>
      <c r="T2078" s="52">
        <f>R2078*U2078/(U2078+100)</f>
        <v>29.98928571428571</v>
      </c>
      <c r="U2078" s="50">
        <v>12</v>
      </c>
      <c r="V2078" s="53">
        <v>0</v>
      </c>
      <c r="W2078" s="147">
        <v>0.118</v>
      </c>
      <c r="X2078" s="148" t="s">
        <v>193</v>
      </c>
      <c r="Y2078" s="54">
        <f>R2078*W2078</f>
        <v>33.0282</v>
      </c>
      <c r="Z2078" s="52">
        <f>S2078*W2078</f>
        <v>29.489464285714284</v>
      </c>
      <c r="AA2078" s="52">
        <f>T2078*W2078</f>
        <v>3.5387357142857137</v>
      </c>
      <c r="AB2078" s="52">
        <f>V2078*W2078</f>
        <v>0</v>
      </c>
      <c r="AC2078" s="53">
        <f>(R2078+V2078)*W2078</f>
        <v>33.0282</v>
      </c>
      <c r="AD2078" s="138">
        <v>279.9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107</v>
      </c>
      <c r="F2079" s="96" t="s">
        <v>113</v>
      </c>
      <c r="G2079" s="97">
        <v>46132</v>
      </c>
      <c r="H2079" s="98">
        <v>0.8229398148148148</v>
      </c>
      <c r="I2079" s="50">
        <v>166004851</v>
      </c>
      <c r="J2079" s="96" t="s">
        <v>157</v>
      </c>
      <c r="K2079" s="49" t="s">
        <v>3143</v>
      </c>
      <c r="L2079" s="39" t="s">
        <v>3144</v>
      </c>
      <c r="M2079" s="49" t="s">
        <v>2565</v>
      </c>
      <c r="N2079" s="39" t="s">
        <v>319</v>
      </c>
      <c r="O2079" s="96" t="s">
        <v>3145</v>
      </c>
      <c r="P2079" s="49" t="s">
        <v>157</v>
      </c>
      <c r="Q2079" s="96" t="s">
        <v>104</v>
      </c>
      <c r="R2079" s="52">
        <v>41.9</v>
      </c>
      <c r="S2079" s="52">
        <f>R2079-T2079</f>
        <v>37.410714285714285</v>
      </c>
      <c r="T2079" s="52">
        <f>R2079*U2079/(U2079+100)</f>
        <v>4.489285714285714</v>
      </c>
      <c r="U2079" s="50">
        <v>12</v>
      </c>
      <c r="V2079" s="53">
        <v>0</v>
      </c>
      <c r="W2079" s="147">
        <v>1</v>
      </c>
      <c r="X2079" s="148" t="s">
        <v>163</v>
      </c>
      <c r="Y2079" s="54">
        <f>R2079*W2079</f>
        <v>41.9</v>
      </c>
      <c r="Z2079" s="52">
        <f>S2079*W2079</f>
        <v>37.410714285714285</v>
      </c>
      <c r="AA2079" s="52">
        <f>T2079*W2079</f>
        <v>4.489285714285714</v>
      </c>
      <c r="AB2079" s="52">
        <f>V2079*W2079</f>
        <v>0</v>
      </c>
      <c r="AC2079" s="53">
        <f>(R2079+V2079)*W2079</f>
        <v>41.9</v>
      </c>
      <c r="AD2079" s="138">
        <v>41.9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107</v>
      </c>
      <c r="F2080" s="96" t="s">
        <v>113</v>
      </c>
      <c r="G2080" s="97">
        <v>46132</v>
      </c>
      <c r="H2080" s="98">
        <v>0.8229398148148148</v>
      </c>
      <c r="I2080" s="50">
        <v>166004851</v>
      </c>
      <c r="J2080" s="96" t="s">
        <v>157</v>
      </c>
      <c r="K2080" s="49" t="s">
        <v>1852</v>
      </c>
      <c r="L2080" s="39" t="s">
        <v>1853</v>
      </c>
      <c r="M2080" s="49" t="s">
        <v>232</v>
      </c>
      <c r="N2080" s="39" t="s">
        <v>233</v>
      </c>
      <c r="O2080" s="96" t="s">
        <v>1854</v>
      </c>
      <c r="P2080" s="49" t="s">
        <v>157</v>
      </c>
      <c r="Q2080" s="96" t="s">
        <v>104</v>
      </c>
      <c r="R2080" s="52">
        <v>22.9</v>
      </c>
      <c r="S2080" s="52">
        <f>R2080-T2080</f>
        <v>18.925619834710744</v>
      </c>
      <c r="T2080" s="52">
        <f>R2080*U2080/(U2080+100)</f>
        <v>3.974380165289256</v>
      </c>
      <c r="U2080" s="50">
        <v>21</v>
      </c>
      <c r="V2080" s="53">
        <v>0</v>
      </c>
      <c r="W2080" s="147">
        <v>1</v>
      </c>
      <c r="X2080" s="148" t="s">
        <v>163</v>
      </c>
      <c r="Y2080" s="54">
        <f>R2080*W2080</f>
        <v>22.9</v>
      </c>
      <c r="Z2080" s="52">
        <f>S2080*W2080</f>
        <v>18.925619834710744</v>
      </c>
      <c r="AA2080" s="52">
        <f>T2080*W2080</f>
        <v>3.974380165289256</v>
      </c>
      <c r="AB2080" s="52">
        <f>V2080*W2080</f>
        <v>0</v>
      </c>
      <c r="AC2080" s="53">
        <f>(R2080+V2080)*W2080</f>
        <v>22.9</v>
      </c>
      <c r="AD2080" s="138">
        <v>22.9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107</v>
      </c>
      <c r="F2081" s="96" t="s">
        <v>113</v>
      </c>
      <c r="G2081" s="97">
        <v>46132</v>
      </c>
      <c r="H2081" s="98">
        <v>0.8229398148148148</v>
      </c>
      <c r="I2081" s="50">
        <v>166004851</v>
      </c>
      <c r="J2081" s="96" t="s">
        <v>157</v>
      </c>
      <c r="K2081" s="49" t="s">
        <v>507</v>
      </c>
      <c r="L2081" s="39" t="s">
        <v>508</v>
      </c>
      <c r="M2081" s="49" t="s">
        <v>509</v>
      </c>
      <c r="N2081" s="39" t="s">
        <v>256</v>
      </c>
      <c r="O2081" s="96" t="s">
        <v>1024</v>
      </c>
      <c r="P2081" s="49" t="s">
        <v>235</v>
      </c>
      <c r="Q2081" s="96" t="s">
        <v>236</v>
      </c>
      <c r="R2081" s="52">
        <v>15.9</v>
      </c>
      <c r="S2081" s="52">
        <f>R2081-T2081</f>
        <v>13.140495867768596</v>
      </c>
      <c r="T2081" s="52">
        <f>R2081*U2081/(U2081+100)</f>
        <v>2.759504132231405</v>
      </c>
      <c r="U2081" s="50">
        <v>21</v>
      </c>
      <c r="V2081" s="53">
        <v>0</v>
      </c>
      <c r="W2081" s="147">
        <v>6</v>
      </c>
      <c r="X2081" s="148" t="s">
        <v>163</v>
      </c>
      <c r="Y2081" s="54">
        <f>R2081*W2081</f>
        <v>95.4</v>
      </c>
      <c r="Z2081" s="52">
        <f>S2081*W2081</f>
        <v>78.84297520661158</v>
      </c>
      <c r="AA2081" s="52">
        <f>T2081*W2081</f>
        <v>16.55702479338843</v>
      </c>
      <c r="AB2081" s="52">
        <f>V2081*W2081</f>
        <v>0</v>
      </c>
      <c r="AC2081" s="53">
        <f>(R2081+V2081)*W2081</f>
        <v>95.4</v>
      </c>
      <c r="AD2081" s="138">
        <v>15.9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107</v>
      </c>
      <c r="F2082" s="96" t="s">
        <v>113</v>
      </c>
      <c r="G2082" s="97">
        <v>46132</v>
      </c>
      <c r="H2082" s="98">
        <v>0.8229398148148148</v>
      </c>
      <c r="I2082" s="50">
        <v>166004851</v>
      </c>
      <c r="J2082" s="96" t="s">
        <v>157</v>
      </c>
      <c r="K2082" s="49" t="s">
        <v>183</v>
      </c>
      <c r="L2082" s="39" t="s">
        <v>184</v>
      </c>
      <c r="M2082" s="49" t="s">
        <v>185</v>
      </c>
      <c r="N2082" s="39" t="s">
        <v>186</v>
      </c>
      <c r="O2082" s="96" t="s">
        <v>988</v>
      </c>
      <c r="P2082" s="49" t="s">
        <v>157</v>
      </c>
      <c r="Q2082" s="96" t="s">
        <v>104</v>
      </c>
      <c r="R2082" s="52">
        <v>1.9</v>
      </c>
      <c r="S2082" s="52">
        <f>R2082-T2082</f>
        <v>1.5702479338842974</v>
      </c>
      <c r="T2082" s="52">
        <f>R2082*U2082/(U2082+100)</f>
        <v>0.32975206611570246</v>
      </c>
      <c r="U2082" s="50">
        <v>21</v>
      </c>
      <c r="V2082" s="53">
        <v>0</v>
      </c>
      <c r="W2082" s="147">
        <v>1</v>
      </c>
      <c r="X2082" s="148" t="s">
        <v>163</v>
      </c>
      <c r="Y2082" s="54">
        <f>R2082*W2082</f>
        <v>1.9</v>
      </c>
      <c r="Z2082" s="52">
        <f>S2082*W2082</f>
        <v>1.5702479338842974</v>
      </c>
      <c r="AA2082" s="52">
        <f>T2082*W2082</f>
        <v>0.32975206611570246</v>
      </c>
      <c r="AB2082" s="52">
        <f>V2082*W2082</f>
        <v>0</v>
      </c>
      <c r="AC2082" s="53">
        <f>(R2082+V2082)*W2082</f>
        <v>1.9</v>
      </c>
      <c r="AD2082" s="138">
        <v>1.9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107</v>
      </c>
      <c r="F2083" s="96" t="s">
        <v>113</v>
      </c>
      <c r="G2083" s="97">
        <v>46132</v>
      </c>
      <c r="H2083" s="98">
        <v>0.8257986111111111</v>
      </c>
      <c r="I2083" s="50">
        <v>166004852</v>
      </c>
      <c r="J2083" s="96" t="s">
        <v>157</v>
      </c>
      <c r="K2083" s="49" t="s">
        <v>293</v>
      </c>
      <c r="L2083" s="39" t="s">
        <v>294</v>
      </c>
      <c r="M2083" s="49" t="s">
        <v>295</v>
      </c>
      <c r="N2083" s="39" t="s">
        <v>296</v>
      </c>
      <c r="O2083" s="96" t="s">
        <v>297</v>
      </c>
      <c r="P2083" s="49" t="s">
        <v>157</v>
      </c>
      <c r="Q2083" s="96" t="s">
        <v>104</v>
      </c>
      <c r="R2083" s="52">
        <v>2.9</v>
      </c>
      <c r="S2083" s="52">
        <f>R2083-T2083</f>
        <v>2.5892857142857144</v>
      </c>
      <c r="T2083" s="52">
        <f>R2083*U2083/(U2083+100)</f>
        <v>0.31071428571428567</v>
      </c>
      <c r="U2083" s="50">
        <v>12</v>
      </c>
      <c r="V2083" s="53">
        <v>0</v>
      </c>
      <c r="W2083" s="147">
        <v>6</v>
      </c>
      <c r="X2083" s="148" t="s">
        <v>163</v>
      </c>
      <c r="Y2083" s="54">
        <f>R2083*W2083</f>
        <v>17.4</v>
      </c>
      <c r="Z2083" s="52">
        <f>S2083*W2083</f>
        <v>15.535714285714286</v>
      </c>
      <c r="AA2083" s="52">
        <f>T2083*W2083</f>
        <v>1.8642857142857139</v>
      </c>
      <c r="AB2083" s="52">
        <f>V2083*W2083</f>
        <v>0</v>
      </c>
      <c r="AC2083" s="53">
        <f>(R2083+V2083)*W2083</f>
        <v>17.4</v>
      </c>
      <c r="AD2083" s="138">
        <v>2.9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107</v>
      </c>
      <c r="F2084" s="96" t="s">
        <v>113</v>
      </c>
      <c r="G2084" s="97">
        <v>46132</v>
      </c>
      <c r="H2084" s="98">
        <v>0.8266782407407407</v>
      </c>
      <c r="I2084" s="50">
        <v>166004853</v>
      </c>
      <c r="J2084" s="96" t="s">
        <v>157</v>
      </c>
      <c r="K2084" s="49" t="s">
        <v>865</v>
      </c>
      <c r="L2084" s="39" t="s">
        <v>866</v>
      </c>
      <c r="M2084" s="49" t="s">
        <v>425</v>
      </c>
      <c r="N2084" s="39" t="s">
        <v>197</v>
      </c>
      <c r="O2084" s="96" t="s">
        <v>3146</v>
      </c>
      <c r="P2084" s="49" t="s">
        <v>157</v>
      </c>
      <c r="Q2084" s="96" t="s">
        <v>104</v>
      </c>
      <c r="R2084" s="52">
        <v>17.9</v>
      </c>
      <c r="S2084" s="52">
        <f>R2084-T2084</f>
        <v>15.982142857142856</v>
      </c>
      <c r="T2084" s="52">
        <f>R2084*U2084/(U2084+100)</f>
        <v>1.9178571428571427</v>
      </c>
      <c r="U2084" s="50">
        <v>12</v>
      </c>
      <c r="V2084" s="53">
        <v>0</v>
      </c>
      <c r="W2084" s="147">
        <v>1</v>
      </c>
      <c r="X2084" s="148" t="s">
        <v>163</v>
      </c>
      <c r="Y2084" s="54">
        <f>R2084*W2084</f>
        <v>17.9</v>
      </c>
      <c r="Z2084" s="52">
        <f>S2084*W2084</f>
        <v>15.982142857142856</v>
      </c>
      <c r="AA2084" s="52">
        <f>T2084*W2084</f>
        <v>1.9178571428571427</v>
      </c>
      <c r="AB2084" s="52">
        <f>V2084*W2084</f>
        <v>0</v>
      </c>
      <c r="AC2084" s="53">
        <f>(R2084+V2084)*W2084</f>
        <v>17.9</v>
      </c>
      <c r="AD2084" s="138">
        <v>17.9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107</v>
      </c>
      <c r="F2085" s="96" t="s">
        <v>113</v>
      </c>
      <c r="G2085" s="97">
        <v>46132</v>
      </c>
      <c r="H2085" s="98">
        <v>0.8266782407407407</v>
      </c>
      <c r="I2085" s="50">
        <v>166004853</v>
      </c>
      <c r="J2085" s="96" t="s">
        <v>157</v>
      </c>
      <c r="K2085" s="49" t="s">
        <v>2334</v>
      </c>
      <c r="L2085" s="39" t="s">
        <v>2335</v>
      </c>
      <c r="M2085" s="49" t="s">
        <v>166</v>
      </c>
      <c r="N2085" s="39" t="s">
        <v>167</v>
      </c>
      <c r="O2085" s="96" t="s">
        <v>2336</v>
      </c>
      <c r="P2085" s="49" t="s">
        <v>157</v>
      </c>
      <c r="Q2085" s="96" t="s">
        <v>104</v>
      </c>
      <c r="R2085" s="52">
        <v>23.9</v>
      </c>
      <c r="S2085" s="52">
        <f>R2085-T2085</f>
        <v>19.752066115702476</v>
      </c>
      <c r="T2085" s="52">
        <f>R2085*U2085/(U2085+100)</f>
        <v>4.147933884297521</v>
      </c>
      <c r="U2085" s="50">
        <v>21</v>
      </c>
      <c r="V2085" s="53">
        <v>0</v>
      </c>
      <c r="W2085" s="147">
        <v>1</v>
      </c>
      <c r="X2085" s="148" t="s">
        <v>163</v>
      </c>
      <c r="Y2085" s="54">
        <f>R2085*W2085</f>
        <v>23.9</v>
      </c>
      <c r="Z2085" s="52">
        <f>S2085*W2085</f>
        <v>19.752066115702476</v>
      </c>
      <c r="AA2085" s="52">
        <f>T2085*W2085</f>
        <v>4.147933884297521</v>
      </c>
      <c r="AB2085" s="52">
        <f>V2085*W2085</f>
        <v>0</v>
      </c>
      <c r="AC2085" s="53">
        <f>(R2085+V2085)*W2085</f>
        <v>23.9</v>
      </c>
      <c r="AD2085" s="138">
        <v>23.9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107</v>
      </c>
      <c r="F2086" s="96" t="s">
        <v>113</v>
      </c>
      <c r="G2086" s="97">
        <v>46132</v>
      </c>
      <c r="H2086" s="98">
        <v>0.8266782407407407</v>
      </c>
      <c r="I2086" s="50">
        <v>166004853</v>
      </c>
      <c r="J2086" s="96" t="s">
        <v>157</v>
      </c>
      <c r="K2086" s="49" t="s">
        <v>1590</v>
      </c>
      <c r="L2086" s="39" t="s">
        <v>1591</v>
      </c>
      <c r="M2086" s="49" t="s">
        <v>547</v>
      </c>
      <c r="N2086" s="39" t="s">
        <v>548</v>
      </c>
      <c r="O2086" s="96" t="s">
        <v>1592</v>
      </c>
      <c r="P2086" s="49" t="s">
        <v>157</v>
      </c>
      <c r="Q2086" s="96" t="s">
        <v>104</v>
      </c>
      <c r="R2086" s="52">
        <v>37.9</v>
      </c>
      <c r="S2086" s="52">
        <f>R2086-T2086</f>
        <v>33.839285714285715</v>
      </c>
      <c r="T2086" s="52">
        <f>R2086*U2086/(U2086+100)</f>
        <v>4.060714285714285</v>
      </c>
      <c r="U2086" s="50">
        <v>12</v>
      </c>
      <c r="V2086" s="53">
        <v>0</v>
      </c>
      <c r="W2086" s="147">
        <v>1</v>
      </c>
      <c r="X2086" s="148" t="s">
        <v>163</v>
      </c>
      <c r="Y2086" s="54">
        <f>R2086*W2086</f>
        <v>37.9</v>
      </c>
      <c r="Z2086" s="52">
        <f>S2086*W2086</f>
        <v>33.839285714285715</v>
      </c>
      <c r="AA2086" s="52">
        <f>T2086*W2086</f>
        <v>4.060714285714285</v>
      </c>
      <c r="AB2086" s="52">
        <f>V2086*W2086</f>
        <v>0</v>
      </c>
      <c r="AC2086" s="53">
        <f>(R2086+V2086)*W2086</f>
        <v>37.9</v>
      </c>
      <c r="AD2086" s="138">
        <v>37.9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109</v>
      </c>
      <c r="F2087" s="96" t="s">
        <v>111</v>
      </c>
      <c r="G2087" s="97">
        <v>46132</v>
      </c>
      <c r="H2087" s="98">
        <v>0.4991319444444444</v>
      </c>
      <c r="I2087" s="50">
        <v>169002596</v>
      </c>
      <c r="J2087" s="96" t="s">
        <v>157</v>
      </c>
      <c r="K2087" s="49" t="s">
        <v>1658</v>
      </c>
      <c r="L2087" s="39" t="s">
        <v>1659</v>
      </c>
      <c r="M2087" s="49" t="s">
        <v>429</v>
      </c>
      <c r="N2087" s="39" t="s">
        <v>239</v>
      </c>
      <c r="O2087" s="96" t="s">
        <v>1660</v>
      </c>
      <c r="P2087" s="49" t="s">
        <v>157</v>
      </c>
      <c r="Q2087" s="96" t="s">
        <v>104</v>
      </c>
      <c r="R2087" s="52">
        <v>14.4</v>
      </c>
      <c r="S2087" s="52">
        <f>R2087-T2087</f>
        <v>12.857142857142858</v>
      </c>
      <c r="T2087" s="52">
        <f>R2087*U2087/(U2087+100)</f>
        <v>1.542857142857143</v>
      </c>
      <c r="U2087" s="50">
        <v>12</v>
      </c>
      <c r="V2087" s="53">
        <v>0</v>
      </c>
      <c r="W2087" s="147">
        <v>1</v>
      </c>
      <c r="X2087" s="148" t="s">
        <v>163</v>
      </c>
      <c r="Y2087" s="54">
        <f>R2087*W2087</f>
        <v>14.4</v>
      </c>
      <c r="Z2087" s="52">
        <f>S2087*W2087</f>
        <v>12.857142857142858</v>
      </c>
      <c r="AA2087" s="52">
        <f>T2087*W2087</f>
        <v>1.542857142857143</v>
      </c>
      <c r="AB2087" s="52">
        <f>V2087*W2087</f>
        <v>0</v>
      </c>
      <c r="AC2087" s="53">
        <f>(R2087+V2087)*W2087</f>
        <v>14.4</v>
      </c>
      <c r="AD2087" s="138">
        <v>14.4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109</v>
      </c>
      <c r="F2088" s="96" t="s">
        <v>111</v>
      </c>
      <c r="G2088" s="97">
        <v>46132</v>
      </c>
      <c r="H2088" s="98">
        <v>0.4991319444444444</v>
      </c>
      <c r="I2088" s="50">
        <v>169002596</v>
      </c>
      <c r="J2088" s="96" t="s">
        <v>157</v>
      </c>
      <c r="K2088" s="49" t="s">
        <v>1658</v>
      </c>
      <c r="L2088" s="39" t="s">
        <v>1659</v>
      </c>
      <c r="M2088" s="49" t="s">
        <v>429</v>
      </c>
      <c r="N2088" s="39" t="s">
        <v>239</v>
      </c>
      <c r="O2088" s="96" t="s">
        <v>1660</v>
      </c>
      <c r="P2088" s="49" t="s">
        <v>157</v>
      </c>
      <c r="Q2088" s="96" t="s">
        <v>104</v>
      </c>
      <c r="R2088" s="52">
        <v>14.4</v>
      </c>
      <c r="S2088" s="52">
        <f>R2088-T2088</f>
        <v>12.857142857142858</v>
      </c>
      <c r="T2088" s="52">
        <f>R2088*U2088/(U2088+100)</f>
        <v>1.542857142857143</v>
      </c>
      <c r="U2088" s="50">
        <v>12</v>
      </c>
      <c r="V2088" s="53">
        <v>0</v>
      </c>
      <c r="W2088" s="147">
        <v>1</v>
      </c>
      <c r="X2088" s="148" t="s">
        <v>163</v>
      </c>
      <c r="Y2088" s="54">
        <f>R2088*W2088</f>
        <v>14.4</v>
      </c>
      <c r="Z2088" s="52">
        <f>S2088*W2088</f>
        <v>12.857142857142858</v>
      </c>
      <c r="AA2088" s="52">
        <f>T2088*W2088</f>
        <v>1.542857142857143</v>
      </c>
      <c r="AB2088" s="52">
        <f>V2088*W2088</f>
        <v>0</v>
      </c>
      <c r="AC2088" s="53">
        <f>(R2088+V2088)*W2088</f>
        <v>14.4</v>
      </c>
      <c r="AD2088" s="138">
        <v>14.4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109</v>
      </c>
      <c r="F2089" s="96" t="s">
        <v>111</v>
      </c>
      <c r="G2089" s="97">
        <v>46132</v>
      </c>
      <c r="H2089" s="98">
        <v>0.4991319444444444</v>
      </c>
      <c r="I2089" s="50">
        <v>169002596</v>
      </c>
      <c r="J2089" s="96" t="s">
        <v>157</v>
      </c>
      <c r="K2089" s="49" t="s">
        <v>3007</v>
      </c>
      <c r="L2089" s="39" t="s">
        <v>3008</v>
      </c>
      <c r="M2089" s="49" t="s">
        <v>1153</v>
      </c>
      <c r="N2089" s="39" t="s">
        <v>505</v>
      </c>
      <c r="O2089" s="96" t="s">
        <v>3009</v>
      </c>
      <c r="P2089" s="49" t="s">
        <v>157</v>
      </c>
      <c r="Q2089" s="96" t="s">
        <v>104</v>
      </c>
      <c r="R2089" s="52">
        <v>37.9</v>
      </c>
      <c r="S2089" s="52">
        <f>R2089-T2089</f>
        <v>33.839285714285715</v>
      </c>
      <c r="T2089" s="52">
        <f>R2089*U2089/(U2089+100)</f>
        <v>4.060714285714285</v>
      </c>
      <c r="U2089" s="50">
        <v>12</v>
      </c>
      <c r="V2089" s="53">
        <v>0</v>
      </c>
      <c r="W2089" s="147">
        <v>1</v>
      </c>
      <c r="X2089" s="148" t="s">
        <v>163</v>
      </c>
      <c r="Y2089" s="54">
        <f>R2089*W2089</f>
        <v>37.9</v>
      </c>
      <c r="Z2089" s="52">
        <f>S2089*W2089</f>
        <v>33.839285714285715</v>
      </c>
      <c r="AA2089" s="52">
        <f>T2089*W2089</f>
        <v>4.060714285714285</v>
      </c>
      <c r="AB2089" s="52">
        <f>V2089*W2089</f>
        <v>0</v>
      </c>
      <c r="AC2089" s="53">
        <f>(R2089+V2089)*W2089</f>
        <v>37.9</v>
      </c>
      <c r="AD2089" s="138">
        <v>37.9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109</v>
      </c>
      <c r="F2090" s="96" t="s">
        <v>111</v>
      </c>
      <c r="G2090" s="97">
        <v>46132</v>
      </c>
      <c r="H2090" s="98">
        <v>0.4991319444444444</v>
      </c>
      <c r="I2090" s="50">
        <v>169002596</v>
      </c>
      <c r="J2090" s="96" t="s">
        <v>157</v>
      </c>
      <c r="K2090" s="49" t="s">
        <v>3007</v>
      </c>
      <c r="L2090" s="39" t="s">
        <v>3008</v>
      </c>
      <c r="M2090" s="49" t="s">
        <v>1153</v>
      </c>
      <c r="N2090" s="39" t="s">
        <v>505</v>
      </c>
      <c r="O2090" s="96" t="s">
        <v>3009</v>
      </c>
      <c r="P2090" s="49" t="s">
        <v>157</v>
      </c>
      <c r="Q2090" s="96" t="s">
        <v>104</v>
      </c>
      <c r="R2090" s="52">
        <v>37.9</v>
      </c>
      <c r="S2090" s="52">
        <f>R2090-T2090</f>
        <v>33.839285714285715</v>
      </c>
      <c r="T2090" s="52">
        <f>R2090*U2090/(U2090+100)</f>
        <v>4.060714285714285</v>
      </c>
      <c r="U2090" s="50">
        <v>12</v>
      </c>
      <c r="V2090" s="53">
        <v>0</v>
      </c>
      <c r="W2090" s="147">
        <v>1</v>
      </c>
      <c r="X2090" s="148" t="s">
        <v>163</v>
      </c>
      <c r="Y2090" s="54">
        <f>R2090*W2090</f>
        <v>37.9</v>
      </c>
      <c r="Z2090" s="52">
        <f>S2090*W2090</f>
        <v>33.839285714285715</v>
      </c>
      <c r="AA2090" s="52">
        <f>T2090*W2090</f>
        <v>4.060714285714285</v>
      </c>
      <c r="AB2090" s="52">
        <f>V2090*W2090</f>
        <v>0</v>
      </c>
      <c r="AC2090" s="53">
        <f>(R2090+V2090)*W2090</f>
        <v>37.9</v>
      </c>
      <c r="AD2090" s="138">
        <v>37.9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109</v>
      </c>
      <c r="F2091" s="96" t="s">
        <v>111</v>
      </c>
      <c r="G2091" s="97">
        <v>46132</v>
      </c>
      <c r="H2091" s="98">
        <v>0.4991319444444444</v>
      </c>
      <c r="I2091" s="50">
        <v>169002596</v>
      </c>
      <c r="J2091" s="96" t="s">
        <v>157</v>
      </c>
      <c r="K2091" s="49" t="s">
        <v>2043</v>
      </c>
      <c r="L2091" s="39" t="s">
        <v>2044</v>
      </c>
      <c r="M2091" s="49" t="s">
        <v>568</v>
      </c>
      <c r="N2091" s="39" t="s">
        <v>2045</v>
      </c>
      <c r="O2091" s="96" t="s">
        <v>2046</v>
      </c>
      <c r="P2091" s="49" t="s">
        <v>235</v>
      </c>
      <c r="Q2091" s="96" t="s">
        <v>236</v>
      </c>
      <c r="R2091" s="52">
        <v>14.9</v>
      </c>
      <c r="S2091" s="52">
        <f>R2091-T2091</f>
        <v>13.303571428571429</v>
      </c>
      <c r="T2091" s="52">
        <f>R2091*U2091/(U2091+100)</f>
        <v>1.5964285714285715</v>
      </c>
      <c r="U2091" s="50">
        <v>12</v>
      </c>
      <c r="V2091" s="53">
        <v>0</v>
      </c>
      <c r="W2091" s="147">
        <v>1</v>
      </c>
      <c r="X2091" s="148" t="s">
        <v>163</v>
      </c>
      <c r="Y2091" s="54">
        <f>R2091*W2091</f>
        <v>14.9</v>
      </c>
      <c r="Z2091" s="52">
        <f>S2091*W2091</f>
        <v>13.303571428571429</v>
      </c>
      <c r="AA2091" s="52">
        <f>T2091*W2091</f>
        <v>1.5964285714285715</v>
      </c>
      <c r="AB2091" s="52">
        <f>V2091*W2091</f>
        <v>0</v>
      </c>
      <c r="AC2091" s="53">
        <f>(R2091+V2091)*W2091</f>
        <v>14.9</v>
      </c>
      <c r="AD2091" s="138">
        <v>14.9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109</v>
      </c>
      <c r="F2092" s="96" t="s">
        <v>111</v>
      </c>
      <c r="G2092" s="97">
        <v>46132</v>
      </c>
      <c r="H2092" s="98">
        <v>0.4991319444444444</v>
      </c>
      <c r="I2092" s="50">
        <v>169002596</v>
      </c>
      <c r="J2092" s="96" t="s">
        <v>157</v>
      </c>
      <c r="K2092" s="49" t="s">
        <v>3147</v>
      </c>
      <c r="L2092" s="39" t="s">
        <v>3148</v>
      </c>
      <c r="M2092" s="49" t="s">
        <v>413</v>
      </c>
      <c r="N2092" s="39" t="s">
        <v>601</v>
      </c>
      <c r="O2092" s="96" t="s">
        <v>3149</v>
      </c>
      <c r="P2092" s="49" t="s">
        <v>157</v>
      </c>
      <c r="Q2092" s="96" t="s">
        <v>104</v>
      </c>
      <c r="R2092" s="52">
        <v>47.9</v>
      </c>
      <c r="S2092" s="52">
        <f>R2092-T2092</f>
        <v>42.76785714285714</v>
      </c>
      <c r="T2092" s="52">
        <f>R2092*U2092/(U2092+100)</f>
        <v>5.132142857142857</v>
      </c>
      <c r="U2092" s="50">
        <v>12</v>
      </c>
      <c r="V2092" s="53">
        <v>0</v>
      </c>
      <c r="W2092" s="147">
        <v>1</v>
      </c>
      <c r="X2092" s="148" t="s">
        <v>163</v>
      </c>
      <c r="Y2092" s="54">
        <f>R2092*W2092</f>
        <v>47.9</v>
      </c>
      <c r="Z2092" s="52">
        <f>S2092*W2092</f>
        <v>42.76785714285714</v>
      </c>
      <c r="AA2092" s="52">
        <f>T2092*W2092</f>
        <v>5.132142857142857</v>
      </c>
      <c r="AB2092" s="52">
        <f>V2092*W2092</f>
        <v>0</v>
      </c>
      <c r="AC2092" s="53">
        <f>(R2092+V2092)*W2092</f>
        <v>47.9</v>
      </c>
      <c r="AD2092" s="138">
        <v>47.9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109</v>
      </c>
      <c r="F2093" s="96" t="s">
        <v>111</v>
      </c>
      <c r="G2093" s="97">
        <v>46132</v>
      </c>
      <c r="H2093" s="98">
        <v>0.4991319444444444</v>
      </c>
      <c r="I2093" s="50">
        <v>169002596</v>
      </c>
      <c r="J2093" s="96" t="s">
        <v>157</v>
      </c>
      <c r="K2093" s="49" t="s">
        <v>3150</v>
      </c>
      <c r="L2093" s="39" t="s">
        <v>3151</v>
      </c>
      <c r="M2093" s="49" t="s">
        <v>232</v>
      </c>
      <c r="N2093" s="39" t="s">
        <v>233</v>
      </c>
      <c r="O2093" s="96" t="s">
        <v>3152</v>
      </c>
      <c r="P2093" s="49" t="s">
        <v>157</v>
      </c>
      <c r="Q2093" s="96" t="s">
        <v>104</v>
      </c>
      <c r="R2093" s="52">
        <v>27.9</v>
      </c>
      <c r="S2093" s="52">
        <f>R2093-T2093</f>
        <v>23.05785123966942</v>
      </c>
      <c r="T2093" s="52">
        <f>R2093*U2093/(U2093+100)</f>
        <v>4.842148760330578</v>
      </c>
      <c r="U2093" s="50">
        <v>21</v>
      </c>
      <c r="V2093" s="53">
        <v>0</v>
      </c>
      <c r="W2093" s="147">
        <v>1</v>
      </c>
      <c r="X2093" s="148" t="s">
        <v>163</v>
      </c>
      <c r="Y2093" s="54">
        <f>R2093*W2093</f>
        <v>27.9</v>
      </c>
      <c r="Z2093" s="52">
        <f>S2093*W2093</f>
        <v>23.05785123966942</v>
      </c>
      <c r="AA2093" s="52">
        <f>T2093*W2093</f>
        <v>4.842148760330578</v>
      </c>
      <c r="AB2093" s="52">
        <f>V2093*W2093</f>
        <v>0</v>
      </c>
      <c r="AC2093" s="53">
        <f>(R2093+V2093)*W2093</f>
        <v>27.9</v>
      </c>
      <c r="AD2093" s="138">
        <v>27.9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109</v>
      </c>
      <c r="F2094" s="96" t="s">
        <v>111</v>
      </c>
      <c r="G2094" s="97">
        <v>46132</v>
      </c>
      <c r="H2094" s="98">
        <v>0.4991319444444444</v>
      </c>
      <c r="I2094" s="50">
        <v>169002596</v>
      </c>
      <c r="J2094" s="96" t="s">
        <v>157</v>
      </c>
      <c r="K2094" s="49" t="s">
        <v>390</v>
      </c>
      <c r="L2094" s="39" t="s">
        <v>391</v>
      </c>
      <c r="M2094" s="49" t="s">
        <v>214</v>
      </c>
      <c r="N2094" s="39" t="s">
        <v>273</v>
      </c>
      <c r="O2094" s="96" t="s">
        <v>1110</v>
      </c>
      <c r="P2094" s="49" t="s">
        <v>157</v>
      </c>
      <c r="Q2094" s="96" t="s">
        <v>104</v>
      </c>
      <c r="R2094" s="52">
        <v>15.9</v>
      </c>
      <c r="S2094" s="52">
        <f>R2094-T2094</f>
        <v>14.196428571428571</v>
      </c>
      <c r="T2094" s="52">
        <f>R2094*U2094/(U2094+100)</f>
        <v>1.7035714285714287</v>
      </c>
      <c r="U2094" s="50">
        <v>12</v>
      </c>
      <c r="V2094" s="53">
        <v>0</v>
      </c>
      <c r="W2094" s="147">
        <v>2</v>
      </c>
      <c r="X2094" s="148" t="s">
        <v>163</v>
      </c>
      <c r="Y2094" s="54">
        <f>R2094*W2094</f>
        <v>31.8</v>
      </c>
      <c r="Z2094" s="52">
        <f>S2094*W2094</f>
        <v>28.392857142857142</v>
      </c>
      <c r="AA2094" s="52">
        <f>T2094*W2094</f>
        <v>3.4071428571428575</v>
      </c>
      <c r="AB2094" s="52">
        <f>V2094*W2094</f>
        <v>0</v>
      </c>
      <c r="AC2094" s="53">
        <f>(R2094+V2094)*W2094</f>
        <v>31.8</v>
      </c>
      <c r="AD2094" s="138">
        <v>15.9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109</v>
      </c>
      <c r="F2095" s="96" t="s">
        <v>111</v>
      </c>
      <c r="G2095" s="97">
        <v>46132</v>
      </c>
      <c r="H2095" s="98">
        <v>0.4994328703703704</v>
      </c>
      <c r="I2095" s="50">
        <v>169002597</v>
      </c>
      <c r="J2095" s="96" t="s">
        <v>157</v>
      </c>
      <c r="K2095" s="49" t="s">
        <v>3153</v>
      </c>
      <c r="L2095" s="39" t="s">
        <v>3154</v>
      </c>
      <c r="M2095" s="49" t="s">
        <v>678</v>
      </c>
      <c r="N2095" s="39" t="s">
        <v>3129</v>
      </c>
      <c r="O2095" s="96" t="s">
        <v>3155</v>
      </c>
      <c r="P2095" s="49" t="s">
        <v>157</v>
      </c>
      <c r="Q2095" s="96" t="s">
        <v>104</v>
      </c>
      <c r="R2095" s="52">
        <v>184.9</v>
      </c>
      <c r="S2095" s="52">
        <f>R2095-T2095</f>
        <v>165.08928571428572</v>
      </c>
      <c r="T2095" s="52">
        <f>R2095*U2095/(U2095+100)</f>
        <v>19.810714285714287</v>
      </c>
      <c r="U2095" s="50">
        <v>12</v>
      </c>
      <c r="V2095" s="53">
        <v>0</v>
      </c>
      <c r="W2095" s="147">
        <v>0.232</v>
      </c>
      <c r="X2095" s="148" t="s">
        <v>193</v>
      </c>
      <c r="Y2095" s="54">
        <f>R2095*W2095</f>
        <v>42.896800000000006</v>
      </c>
      <c r="Z2095" s="52">
        <f>S2095*W2095</f>
        <v>38.30071428571429</v>
      </c>
      <c r="AA2095" s="52">
        <f>T2095*W2095</f>
        <v>4.5960857142857146</v>
      </c>
      <c r="AB2095" s="52">
        <f>V2095*W2095</f>
        <v>0</v>
      </c>
      <c r="AC2095" s="53">
        <f>(R2095+V2095)*W2095</f>
        <v>42.896800000000006</v>
      </c>
      <c r="AD2095" s="138">
        <v>184.9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109</v>
      </c>
      <c r="F2096" s="96" t="s">
        <v>111</v>
      </c>
      <c r="G2096" s="97">
        <v>46132</v>
      </c>
      <c r="H2096" s="98">
        <v>0.4997800925925926</v>
      </c>
      <c r="I2096" s="50">
        <v>169002598</v>
      </c>
      <c r="J2096" s="96" t="s">
        <v>157</v>
      </c>
      <c r="K2096" s="49" t="s">
        <v>3156</v>
      </c>
      <c r="L2096" s="39" t="s">
        <v>3157</v>
      </c>
      <c r="M2096" s="49" t="s">
        <v>1373</v>
      </c>
      <c r="N2096" s="39" t="s">
        <v>481</v>
      </c>
      <c r="O2096" s="96" t="s">
        <v>3158</v>
      </c>
      <c r="P2096" s="49" t="s">
        <v>157</v>
      </c>
      <c r="Q2096" s="96" t="s">
        <v>104</v>
      </c>
      <c r="R2096" s="52">
        <v>64.9</v>
      </c>
      <c r="S2096" s="52">
        <f>R2096-T2096</f>
        <v>57.94642857142858</v>
      </c>
      <c r="T2096" s="52">
        <f>R2096*U2096/(U2096+100)</f>
        <v>6.953571428571429</v>
      </c>
      <c r="U2096" s="50">
        <v>12</v>
      </c>
      <c r="V2096" s="53">
        <v>0</v>
      </c>
      <c r="W2096" s="147">
        <v>1</v>
      </c>
      <c r="X2096" s="148" t="s">
        <v>163</v>
      </c>
      <c r="Y2096" s="54">
        <f>R2096*W2096</f>
        <v>64.9</v>
      </c>
      <c r="Z2096" s="52">
        <f>S2096*W2096</f>
        <v>57.94642857142858</v>
      </c>
      <c r="AA2096" s="52">
        <f>T2096*W2096</f>
        <v>6.953571428571429</v>
      </c>
      <c r="AB2096" s="52">
        <f>V2096*W2096</f>
        <v>0</v>
      </c>
      <c r="AC2096" s="53">
        <f>(R2096+V2096)*W2096</f>
        <v>64.9</v>
      </c>
      <c r="AD2096" s="138">
        <v>64.9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109</v>
      </c>
      <c r="F2097" s="96" t="s">
        <v>111</v>
      </c>
      <c r="G2097" s="97">
        <v>46132</v>
      </c>
      <c r="H2097" s="98">
        <v>0.4997800925925926</v>
      </c>
      <c r="I2097" s="50">
        <v>169002598</v>
      </c>
      <c r="J2097" s="96" t="s">
        <v>157</v>
      </c>
      <c r="K2097" s="49" t="s">
        <v>3156</v>
      </c>
      <c r="L2097" s="39" t="s">
        <v>3157</v>
      </c>
      <c r="M2097" s="49" t="s">
        <v>1373</v>
      </c>
      <c r="N2097" s="39" t="s">
        <v>481</v>
      </c>
      <c r="O2097" s="96" t="s">
        <v>3158</v>
      </c>
      <c r="P2097" s="49" t="s">
        <v>157</v>
      </c>
      <c r="Q2097" s="96" t="s">
        <v>104</v>
      </c>
      <c r="R2097" s="52">
        <v>64.9</v>
      </c>
      <c r="S2097" s="52">
        <f>R2097-T2097</f>
        <v>57.94642857142858</v>
      </c>
      <c r="T2097" s="52">
        <f>R2097*U2097/(U2097+100)</f>
        <v>6.953571428571429</v>
      </c>
      <c r="U2097" s="50">
        <v>12</v>
      </c>
      <c r="V2097" s="53">
        <v>0</v>
      </c>
      <c r="W2097" s="147">
        <v>1</v>
      </c>
      <c r="X2097" s="148" t="s">
        <v>163</v>
      </c>
      <c r="Y2097" s="54">
        <f>R2097*W2097</f>
        <v>64.9</v>
      </c>
      <c r="Z2097" s="52">
        <f>S2097*W2097</f>
        <v>57.94642857142858</v>
      </c>
      <c r="AA2097" s="52">
        <f>T2097*W2097</f>
        <v>6.953571428571429</v>
      </c>
      <c r="AB2097" s="52">
        <f>V2097*W2097</f>
        <v>0</v>
      </c>
      <c r="AC2097" s="53">
        <f>(R2097+V2097)*W2097</f>
        <v>64.9</v>
      </c>
      <c r="AD2097" s="138">
        <v>64.9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109</v>
      </c>
      <c r="F2098" s="96" t="s">
        <v>111</v>
      </c>
      <c r="G2098" s="97">
        <v>46132</v>
      </c>
      <c r="H2098" s="98">
        <v>0.4997800925925926</v>
      </c>
      <c r="I2098" s="50">
        <v>169002598</v>
      </c>
      <c r="J2098" s="96" t="s">
        <v>157</v>
      </c>
      <c r="K2098" s="49" t="s">
        <v>3156</v>
      </c>
      <c r="L2098" s="39" t="s">
        <v>3157</v>
      </c>
      <c r="M2098" s="49" t="s">
        <v>1373</v>
      </c>
      <c r="N2098" s="39" t="s">
        <v>481</v>
      </c>
      <c r="O2098" s="96" t="s">
        <v>3158</v>
      </c>
      <c r="P2098" s="49" t="s">
        <v>157</v>
      </c>
      <c r="Q2098" s="96" t="s">
        <v>104</v>
      </c>
      <c r="R2098" s="52">
        <v>64.9</v>
      </c>
      <c r="S2098" s="52">
        <f>R2098-T2098</f>
        <v>57.94642857142858</v>
      </c>
      <c r="T2098" s="52">
        <f>R2098*U2098/(U2098+100)</f>
        <v>6.953571428571429</v>
      </c>
      <c r="U2098" s="50">
        <v>12</v>
      </c>
      <c r="V2098" s="53">
        <v>0</v>
      </c>
      <c r="W2098" s="147">
        <v>1</v>
      </c>
      <c r="X2098" s="148" t="s">
        <v>163</v>
      </c>
      <c r="Y2098" s="54">
        <f>R2098*W2098</f>
        <v>64.9</v>
      </c>
      <c r="Z2098" s="52">
        <f>S2098*W2098</f>
        <v>57.94642857142858</v>
      </c>
      <c r="AA2098" s="52">
        <f>T2098*W2098</f>
        <v>6.953571428571429</v>
      </c>
      <c r="AB2098" s="52">
        <f>V2098*W2098</f>
        <v>0</v>
      </c>
      <c r="AC2098" s="53">
        <f>(R2098+V2098)*W2098</f>
        <v>64.9</v>
      </c>
      <c r="AD2098" s="138">
        <v>64.9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109</v>
      </c>
      <c r="F2099" s="96" t="s">
        <v>111</v>
      </c>
      <c r="G2099" s="97">
        <v>46132</v>
      </c>
      <c r="H2099" s="98">
        <v>0.4997800925925926</v>
      </c>
      <c r="I2099" s="50">
        <v>169002598</v>
      </c>
      <c r="J2099" s="96" t="s">
        <v>157</v>
      </c>
      <c r="K2099" s="49" t="s">
        <v>1924</v>
      </c>
      <c r="L2099" s="39" t="s">
        <v>1925</v>
      </c>
      <c r="M2099" s="49" t="s">
        <v>1647</v>
      </c>
      <c r="N2099" s="39" t="s">
        <v>726</v>
      </c>
      <c r="O2099" s="96" t="s">
        <v>1926</v>
      </c>
      <c r="P2099" s="49" t="s">
        <v>157</v>
      </c>
      <c r="Q2099" s="96" t="s">
        <v>104</v>
      </c>
      <c r="R2099" s="52">
        <v>37.9</v>
      </c>
      <c r="S2099" s="52">
        <f>R2099-T2099</f>
        <v>33.839285714285715</v>
      </c>
      <c r="T2099" s="52">
        <f>R2099*U2099/(U2099+100)</f>
        <v>4.060714285714285</v>
      </c>
      <c r="U2099" s="50">
        <v>12</v>
      </c>
      <c r="V2099" s="53">
        <v>0</v>
      </c>
      <c r="W2099" s="147">
        <v>1</v>
      </c>
      <c r="X2099" s="148" t="s">
        <v>163</v>
      </c>
      <c r="Y2099" s="54">
        <f>R2099*W2099</f>
        <v>37.9</v>
      </c>
      <c r="Z2099" s="52">
        <f>S2099*W2099</f>
        <v>33.839285714285715</v>
      </c>
      <c r="AA2099" s="52">
        <f>T2099*W2099</f>
        <v>4.060714285714285</v>
      </c>
      <c r="AB2099" s="52">
        <f>V2099*W2099</f>
        <v>0</v>
      </c>
      <c r="AC2099" s="53">
        <f>(R2099+V2099)*W2099</f>
        <v>37.9</v>
      </c>
      <c r="AD2099" s="138">
        <v>37.9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109</v>
      </c>
      <c r="F2100" s="96" t="s">
        <v>111</v>
      </c>
      <c r="G2100" s="97">
        <v>46132</v>
      </c>
      <c r="H2100" s="98">
        <v>0.4997800925925926</v>
      </c>
      <c r="I2100" s="50">
        <v>169002598</v>
      </c>
      <c r="J2100" s="96" t="s">
        <v>157</v>
      </c>
      <c r="K2100" s="49" t="s">
        <v>553</v>
      </c>
      <c r="L2100" s="39" t="s">
        <v>104</v>
      </c>
      <c r="M2100" s="49" t="s">
        <v>554</v>
      </c>
      <c r="N2100" s="39" t="s">
        <v>296</v>
      </c>
      <c r="O2100" s="96" t="s">
        <v>555</v>
      </c>
      <c r="P2100" s="49" t="s">
        <v>157</v>
      </c>
      <c r="Q2100" s="96" t="s">
        <v>104</v>
      </c>
      <c r="R2100" s="52">
        <v>8.9</v>
      </c>
      <c r="S2100" s="52">
        <f>R2100-T2100</f>
        <v>7.946428571428572</v>
      </c>
      <c r="T2100" s="52">
        <f>R2100*U2100/(U2100+100)</f>
        <v>0.9535714285714286</v>
      </c>
      <c r="U2100" s="50">
        <v>12</v>
      </c>
      <c r="V2100" s="53">
        <v>0</v>
      </c>
      <c r="W2100" s="147">
        <v>2</v>
      </c>
      <c r="X2100" s="148" t="s">
        <v>163</v>
      </c>
      <c r="Y2100" s="54">
        <f>R2100*W2100</f>
        <v>17.8</v>
      </c>
      <c r="Z2100" s="52">
        <f>S2100*W2100</f>
        <v>15.892857142857144</v>
      </c>
      <c r="AA2100" s="52">
        <f>T2100*W2100</f>
        <v>1.9071428571428573</v>
      </c>
      <c r="AB2100" s="52">
        <f>V2100*W2100</f>
        <v>0</v>
      </c>
      <c r="AC2100" s="53">
        <f>(R2100+V2100)*W2100</f>
        <v>17.8</v>
      </c>
      <c r="AD2100" s="138">
        <v>8.9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109</v>
      </c>
      <c r="F2101" s="96" t="s">
        <v>111</v>
      </c>
      <c r="G2101" s="97">
        <v>46132</v>
      </c>
      <c r="H2101" s="98">
        <v>0.5005902777777778</v>
      </c>
      <c r="I2101" s="50">
        <v>169002599</v>
      </c>
      <c r="J2101" s="96" t="s">
        <v>157</v>
      </c>
      <c r="K2101" s="49" t="s">
        <v>1151</v>
      </c>
      <c r="L2101" s="39" t="s">
        <v>1152</v>
      </c>
      <c r="M2101" s="49" t="s">
        <v>1153</v>
      </c>
      <c r="N2101" s="39" t="s">
        <v>1083</v>
      </c>
      <c r="O2101" s="96" t="s">
        <v>1154</v>
      </c>
      <c r="P2101" s="49" t="s">
        <v>157</v>
      </c>
      <c r="Q2101" s="96" t="s">
        <v>104</v>
      </c>
      <c r="R2101" s="52">
        <v>15.9</v>
      </c>
      <c r="S2101" s="52">
        <f>R2101-T2101</f>
        <v>14.196428571428571</v>
      </c>
      <c r="T2101" s="52">
        <f>R2101*U2101/(U2101+100)</f>
        <v>1.7035714285714287</v>
      </c>
      <c r="U2101" s="50">
        <v>12</v>
      </c>
      <c r="V2101" s="53">
        <v>0</v>
      </c>
      <c r="W2101" s="147">
        <v>1</v>
      </c>
      <c r="X2101" s="148" t="s">
        <v>163</v>
      </c>
      <c r="Y2101" s="54">
        <f>R2101*W2101</f>
        <v>15.9</v>
      </c>
      <c r="Z2101" s="52">
        <f>S2101*W2101</f>
        <v>14.196428571428571</v>
      </c>
      <c r="AA2101" s="52">
        <f>T2101*W2101</f>
        <v>1.7035714285714287</v>
      </c>
      <c r="AB2101" s="52">
        <f>V2101*W2101</f>
        <v>0</v>
      </c>
      <c r="AC2101" s="53">
        <f>(R2101+V2101)*W2101</f>
        <v>15.9</v>
      </c>
      <c r="AD2101" s="138">
        <v>15.9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109</v>
      </c>
      <c r="F2102" s="96" t="s">
        <v>111</v>
      </c>
      <c r="G2102" s="97">
        <v>46132</v>
      </c>
      <c r="H2102" s="98">
        <v>0.5005902777777778</v>
      </c>
      <c r="I2102" s="50">
        <v>169002599</v>
      </c>
      <c r="J2102" s="96" t="s">
        <v>157</v>
      </c>
      <c r="K2102" s="49" t="s">
        <v>3159</v>
      </c>
      <c r="L2102" s="39" t="s">
        <v>3160</v>
      </c>
      <c r="M2102" s="49" t="s">
        <v>413</v>
      </c>
      <c r="N2102" s="39" t="s">
        <v>601</v>
      </c>
      <c r="O2102" s="96" t="s">
        <v>3161</v>
      </c>
      <c r="P2102" s="49" t="s">
        <v>157</v>
      </c>
      <c r="Q2102" s="96" t="s">
        <v>104</v>
      </c>
      <c r="R2102" s="52">
        <v>47.9</v>
      </c>
      <c r="S2102" s="52">
        <f>R2102-T2102</f>
        <v>42.76785714285714</v>
      </c>
      <c r="T2102" s="52">
        <f>R2102*U2102/(U2102+100)</f>
        <v>5.132142857142857</v>
      </c>
      <c r="U2102" s="50">
        <v>12</v>
      </c>
      <c r="V2102" s="53">
        <v>0</v>
      </c>
      <c r="W2102" s="147">
        <v>1</v>
      </c>
      <c r="X2102" s="148" t="s">
        <v>163</v>
      </c>
      <c r="Y2102" s="54">
        <f>R2102*W2102</f>
        <v>47.9</v>
      </c>
      <c r="Z2102" s="52">
        <f>S2102*W2102</f>
        <v>42.76785714285714</v>
      </c>
      <c r="AA2102" s="52">
        <f>T2102*W2102</f>
        <v>5.132142857142857</v>
      </c>
      <c r="AB2102" s="52">
        <f>V2102*W2102</f>
        <v>0</v>
      </c>
      <c r="AC2102" s="53">
        <f>(R2102+V2102)*W2102</f>
        <v>47.9</v>
      </c>
      <c r="AD2102" s="138">
        <v>47.9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109</v>
      </c>
      <c r="F2103" s="96" t="s">
        <v>111</v>
      </c>
      <c r="G2103" s="97">
        <v>46132</v>
      </c>
      <c r="H2103" s="98">
        <v>0.5005902777777778</v>
      </c>
      <c r="I2103" s="50">
        <v>169002599</v>
      </c>
      <c r="J2103" s="96" t="s">
        <v>157</v>
      </c>
      <c r="K2103" s="49" t="s">
        <v>3162</v>
      </c>
      <c r="L2103" s="39" t="s">
        <v>3163</v>
      </c>
      <c r="M2103" s="49" t="s">
        <v>185</v>
      </c>
      <c r="N2103" s="39" t="s">
        <v>1622</v>
      </c>
      <c r="O2103" s="96" t="s">
        <v>3164</v>
      </c>
      <c r="P2103" s="49" t="s">
        <v>157</v>
      </c>
      <c r="Q2103" s="96" t="s">
        <v>104</v>
      </c>
      <c r="R2103" s="52">
        <v>32.9</v>
      </c>
      <c r="S2103" s="52">
        <f>R2103-T2103</f>
        <v>29.375</v>
      </c>
      <c r="T2103" s="52">
        <f>R2103*U2103/(U2103+100)</f>
        <v>3.5249999999999995</v>
      </c>
      <c r="U2103" s="50">
        <v>12</v>
      </c>
      <c r="V2103" s="53">
        <v>0</v>
      </c>
      <c r="W2103" s="147">
        <v>1</v>
      </c>
      <c r="X2103" s="148" t="s">
        <v>163</v>
      </c>
      <c r="Y2103" s="54">
        <f>R2103*W2103</f>
        <v>32.9</v>
      </c>
      <c r="Z2103" s="52">
        <f>S2103*W2103</f>
        <v>29.375</v>
      </c>
      <c r="AA2103" s="52">
        <f>T2103*W2103</f>
        <v>3.5249999999999995</v>
      </c>
      <c r="AB2103" s="52">
        <f>V2103*W2103</f>
        <v>0</v>
      </c>
      <c r="AC2103" s="53">
        <f>(R2103+V2103)*W2103</f>
        <v>32.9</v>
      </c>
      <c r="AD2103" s="138">
        <v>32.9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109</v>
      </c>
      <c r="F2104" s="96" t="s">
        <v>111</v>
      </c>
      <c r="G2104" s="97">
        <v>46132</v>
      </c>
      <c r="H2104" s="98">
        <v>0.5005902777777778</v>
      </c>
      <c r="I2104" s="50">
        <v>169002599</v>
      </c>
      <c r="J2104" s="96" t="s">
        <v>157</v>
      </c>
      <c r="K2104" s="49" t="s">
        <v>3165</v>
      </c>
      <c r="L2104" s="39" t="s">
        <v>3166</v>
      </c>
      <c r="M2104" s="49" t="s">
        <v>645</v>
      </c>
      <c r="N2104" s="39" t="s">
        <v>319</v>
      </c>
      <c r="O2104" s="96" t="s">
        <v>3167</v>
      </c>
      <c r="P2104" s="49" t="s">
        <v>157</v>
      </c>
      <c r="Q2104" s="96" t="s">
        <v>104</v>
      </c>
      <c r="R2104" s="52">
        <v>37.9</v>
      </c>
      <c r="S2104" s="52">
        <f>R2104-T2104</f>
        <v>33.839285714285715</v>
      </c>
      <c r="T2104" s="52">
        <f>R2104*U2104/(U2104+100)</f>
        <v>4.060714285714285</v>
      </c>
      <c r="U2104" s="50">
        <v>12</v>
      </c>
      <c r="V2104" s="53">
        <v>0</v>
      </c>
      <c r="W2104" s="147">
        <v>1</v>
      </c>
      <c r="X2104" s="148" t="s">
        <v>163</v>
      </c>
      <c r="Y2104" s="54">
        <f>R2104*W2104</f>
        <v>37.9</v>
      </c>
      <c r="Z2104" s="52">
        <f>S2104*W2104</f>
        <v>33.839285714285715</v>
      </c>
      <c r="AA2104" s="52">
        <f>T2104*W2104</f>
        <v>4.060714285714285</v>
      </c>
      <c r="AB2104" s="52">
        <f>V2104*W2104</f>
        <v>0</v>
      </c>
      <c r="AC2104" s="53">
        <f>(R2104+V2104)*W2104</f>
        <v>37.9</v>
      </c>
      <c r="AD2104" s="138">
        <v>37.9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109</v>
      </c>
      <c r="F2105" s="96" t="s">
        <v>111</v>
      </c>
      <c r="G2105" s="97">
        <v>46132</v>
      </c>
      <c r="H2105" s="98">
        <v>0.5005902777777778</v>
      </c>
      <c r="I2105" s="50">
        <v>169002599</v>
      </c>
      <c r="J2105" s="96" t="s">
        <v>157</v>
      </c>
      <c r="K2105" s="49" t="s">
        <v>266</v>
      </c>
      <c r="L2105" s="39" t="s">
        <v>267</v>
      </c>
      <c r="M2105" s="49" t="s">
        <v>268</v>
      </c>
      <c r="N2105" s="39" t="s">
        <v>269</v>
      </c>
      <c r="O2105" s="96" t="s">
        <v>1249</v>
      </c>
      <c r="P2105" s="49" t="s">
        <v>235</v>
      </c>
      <c r="Q2105" s="96" t="s">
        <v>236</v>
      </c>
      <c r="R2105" s="52">
        <v>11.9</v>
      </c>
      <c r="S2105" s="52">
        <f>R2105-T2105</f>
        <v>10.625</v>
      </c>
      <c r="T2105" s="52">
        <f>R2105*U2105/(U2105+100)</f>
        <v>1.2750000000000001</v>
      </c>
      <c r="U2105" s="50">
        <v>12</v>
      </c>
      <c r="V2105" s="53">
        <v>0</v>
      </c>
      <c r="W2105" s="147">
        <v>2</v>
      </c>
      <c r="X2105" s="148" t="s">
        <v>163</v>
      </c>
      <c r="Y2105" s="54">
        <f>R2105*W2105</f>
        <v>23.8</v>
      </c>
      <c r="Z2105" s="52">
        <f>S2105*W2105</f>
        <v>21.25</v>
      </c>
      <c r="AA2105" s="52">
        <f>T2105*W2105</f>
        <v>2.5500000000000003</v>
      </c>
      <c r="AB2105" s="52">
        <f>V2105*W2105</f>
        <v>0</v>
      </c>
      <c r="AC2105" s="53">
        <f>(R2105+V2105)*W2105</f>
        <v>23.8</v>
      </c>
      <c r="AD2105" s="138">
        <v>11.9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109</v>
      </c>
      <c r="F2106" s="96" t="s">
        <v>111</v>
      </c>
      <c r="G2106" s="97">
        <v>46132</v>
      </c>
      <c r="H2106" s="98">
        <v>0.5100231481481482</v>
      </c>
      <c r="I2106" s="50">
        <v>169002600</v>
      </c>
      <c r="J2106" s="96" t="s">
        <v>157</v>
      </c>
      <c r="K2106" s="49" t="s">
        <v>1898</v>
      </c>
      <c r="L2106" s="39" t="s">
        <v>1899</v>
      </c>
      <c r="M2106" s="49" t="s">
        <v>429</v>
      </c>
      <c r="N2106" s="39" t="s">
        <v>239</v>
      </c>
      <c r="O2106" s="96" t="s">
        <v>1900</v>
      </c>
      <c r="P2106" s="49" t="s">
        <v>157</v>
      </c>
      <c r="Q2106" s="96" t="s">
        <v>104</v>
      </c>
      <c r="R2106" s="52">
        <v>19.9</v>
      </c>
      <c r="S2106" s="52">
        <f>R2106-T2106</f>
        <v>17.767857142857142</v>
      </c>
      <c r="T2106" s="52">
        <f>R2106*U2106/(U2106+100)</f>
        <v>2.132142857142857</v>
      </c>
      <c r="U2106" s="50">
        <v>12</v>
      </c>
      <c r="V2106" s="53">
        <v>0</v>
      </c>
      <c r="W2106" s="147">
        <v>1</v>
      </c>
      <c r="X2106" s="148" t="s">
        <v>163</v>
      </c>
      <c r="Y2106" s="54">
        <f>R2106*W2106</f>
        <v>19.9</v>
      </c>
      <c r="Z2106" s="52">
        <f>S2106*W2106</f>
        <v>17.767857142857142</v>
      </c>
      <c r="AA2106" s="52">
        <f>T2106*W2106</f>
        <v>2.132142857142857</v>
      </c>
      <c r="AB2106" s="52">
        <f>V2106*W2106</f>
        <v>0</v>
      </c>
      <c r="AC2106" s="53">
        <f>(R2106+V2106)*W2106</f>
        <v>19.9</v>
      </c>
      <c r="AD2106" s="138">
        <v>19.9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109</v>
      </c>
      <c r="F2107" s="96" t="s">
        <v>111</v>
      </c>
      <c r="G2107" s="97">
        <v>46132</v>
      </c>
      <c r="H2107" s="98">
        <v>0.5100231481481482</v>
      </c>
      <c r="I2107" s="50">
        <v>169002600</v>
      </c>
      <c r="J2107" s="96" t="s">
        <v>157</v>
      </c>
      <c r="K2107" s="49" t="s">
        <v>3168</v>
      </c>
      <c r="L2107" s="39" t="s">
        <v>3169</v>
      </c>
      <c r="M2107" s="49" t="s">
        <v>808</v>
      </c>
      <c r="N2107" s="39" t="s">
        <v>404</v>
      </c>
      <c r="O2107" s="96" t="s">
        <v>3170</v>
      </c>
      <c r="P2107" s="49" t="s">
        <v>157</v>
      </c>
      <c r="Q2107" s="96" t="s">
        <v>104</v>
      </c>
      <c r="R2107" s="52">
        <v>19.9</v>
      </c>
      <c r="S2107" s="52">
        <f>R2107-T2107</f>
        <v>17.767857142857142</v>
      </c>
      <c r="T2107" s="52">
        <f>R2107*U2107/(U2107+100)</f>
        <v>2.132142857142857</v>
      </c>
      <c r="U2107" s="50">
        <v>12</v>
      </c>
      <c r="V2107" s="53">
        <v>0</v>
      </c>
      <c r="W2107" s="147">
        <v>1</v>
      </c>
      <c r="X2107" s="148" t="s">
        <v>163</v>
      </c>
      <c r="Y2107" s="54">
        <f>R2107*W2107</f>
        <v>19.9</v>
      </c>
      <c r="Z2107" s="52">
        <f>S2107*W2107</f>
        <v>17.767857142857142</v>
      </c>
      <c r="AA2107" s="52">
        <f>T2107*W2107</f>
        <v>2.132142857142857</v>
      </c>
      <c r="AB2107" s="52">
        <f>V2107*W2107</f>
        <v>0</v>
      </c>
      <c r="AC2107" s="53">
        <f>(R2107+V2107)*W2107</f>
        <v>19.9</v>
      </c>
      <c r="AD2107" s="138">
        <v>19.9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109</v>
      </c>
      <c r="F2108" s="96" t="s">
        <v>111</v>
      </c>
      <c r="G2108" s="97">
        <v>46132</v>
      </c>
      <c r="H2108" s="98">
        <v>0.5103356481481481</v>
      </c>
      <c r="I2108" s="50">
        <v>169002601</v>
      </c>
      <c r="J2108" s="96" t="s">
        <v>157</v>
      </c>
      <c r="K2108" s="49" t="s">
        <v>595</v>
      </c>
      <c r="L2108" s="39" t="s">
        <v>596</v>
      </c>
      <c r="M2108" s="49" t="s">
        <v>429</v>
      </c>
      <c r="N2108" s="39" t="s">
        <v>239</v>
      </c>
      <c r="O2108" s="96" t="s">
        <v>597</v>
      </c>
      <c r="P2108" s="49" t="s">
        <v>157</v>
      </c>
      <c r="Q2108" s="96" t="s">
        <v>104</v>
      </c>
      <c r="R2108" s="52">
        <v>19.9</v>
      </c>
      <c r="S2108" s="52">
        <f>R2108-T2108</f>
        <v>17.767857142857142</v>
      </c>
      <c r="T2108" s="52">
        <f>R2108*U2108/(U2108+100)</f>
        <v>2.132142857142857</v>
      </c>
      <c r="U2108" s="50">
        <v>12</v>
      </c>
      <c r="V2108" s="53">
        <v>0</v>
      </c>
      <c r="W2108" s="147">
        <v>1</v>
      </c>
      <c r="X2108" s="148" t="s">
        <v>163</v>
      </c>
      <c r="Y2108" s="54">
        <f>R2108*W2108</f>
        <v>19.9</v>
      </c>
      <c r="Z2108" s="52">
        <f>S2108*W2108</f>
        <v>17.767857142857142</v>
      </c>
      <c r="AA2108" s="52">
        <f>T2108*W2108</f>
        <v>2.132142857142857</v>
      </c>
      <c r="AB2108" s="52">
        <f>V2108*W2108</f>
        <v>0</v>
      </c>
      <c r="AC2108" s="53">
        <f>(R2108+V2108)*W2108</f>
        <v>19.9</v>
      </c>
      <c r="AD2108" s="138">
        <v>19.9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109</v>
      </c>
      <c r="F2109" s="96" t="s">
        <v>111</v>
      </c>
      <c r="G2109" s="97">
        <v>46132</v>
      </c>
      <c r="H2109" s="98">
        <v>0.5103356481481481</v>
      </c>
      <c r="I2109" s="50">
        <v>169002601</v>
      </c>
      <c r="J2109" s="96" t="s">
        <v>157</v>
      </c>
      <c r="K2109" s="49" t="s">
        <v>2525</v>
      </c>
      <c r="L2109" s="39" t="s">
        <v>2526</v>
      </c>
      <c r="M2109" s="49" t="s">
        <v>1095</v>
      </c>
      <c r="N2109" s="39" t="s">
        <v>793</v>
      </c>
      <c r="O2109" s="96" t="s">
        <v>2527</v>
      </c>
      <c r="P2109" s="49" t="s">
        <v>157</v>
      </c>
      <c r="Q2109" s="96" t="s">
        <v>104</v>
      </c>
      <c r="R2109" s="52">
        <v>2.5</v>
      </c>
      <c r="S2109" s="52">
        <f>R2109-T2109</f>
        <v>2.232142857142857</v>
      </c>
      <c r="T2109" s="52">
        <f>R2109*U2109/(U2109+100)</f>
        <v>0.26785714285714285</v>
      </c>
      <c r="U2109" s="50">
        <v>12</v>
      </c>
      <c r="V2109" s="53">
        <v>0</v>
      </c>
      <c r="W2109" s="147">
        <v>1</v>
      </c>
      <c r="X2109" s="148" t="s">
        <v>163</v>
      </c>
      <c r="Y2109" s="54">
        <f>R2109*W2109</f>
        <v>2.5</v>
      </c>
      <c r="Z2109" s="52">
        <f>S2109*W2109</f>
        <v>2.232142857142857</v>
      </c>
      <c r="AA2109" s="52">
        <f>T2109*W2109</f>
        <v>0.26785714285714285</v>
      </c>
      <c r="AB2109" s="52">
        <f>V2109*W2109</f>
        <v>0</v>
      </c>
      <c r="AC2109" s="53">
        <f>(R2109+V2109)*W2109</f>
        <v>2.5</v>
      </c>
      <c r="AD2109" s="138">
        <v>2.5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109</v>
      </c>
      <c r="F2110" s="96" t="s">
        <v>111</v>
      </c>
      <c r="G2110" s="97">
        <v>46132</v>
      </c>
      <c r="H2110" s="98">
        <v>0.5103356481481481</v>
      </c>
      <c r="I2110" s="50">
        <v>169002601</v>
      </c>
      <c r="J2110" s="96" t="s">
        <v>157</v>
      </c>
      <c r="K2110" s="49" t="s">
        <v>2525</v>
      </c>
      <c r="L2110" s="39" t="s">
        <v>2526</v>
      </c>
      <c r="M2110" s="49" t="s">
        <v>1095</v>
      </c>
      <c r="N2110" s="39" t="s">
        <v>793</v>
      </c>
      <c r="O2110" s="96" t="s">
        <v>2527</v>
      </c>
      <c r="P2110" s="49" t="s">
        <v>157</v>
      </c>
      <c r="Q2110" s="96" t="s">
        <v>104</v>
      </c>
      <c r="R2110" s="52">
        <v>2.5</v>
      </c>
      <c r="S2110" s="52">
        <f>R2110-T2110</f>
        <v>2.232142857142857</v>
      </c>
      <c r="T2110" s="52">
        <f>R2110*U2110/(U2110+100)</f>
        <v>0.26785714285714285</v>
      </c>
      <c r="U2110" s="50">
        <v>12</v>
      </c>
      <c r="V2110" s="53">
        <v>0</v>
      </c>
      <c r="W2110" s="147">
        <v>1</v>
      </c>
      <c r="X2110" s="148" t="s">
        <v>163</v>
      </c>
      <c r="Y2110" s="54">
        <f>R2110*W2110</f>
        <v>2.5</v>
      </c>
      <c r="Z2110" s="52">
        <f>S2110*W2110</f>
        <v>2.232142857142857</v>
      </c>
      <c r="AA2110" s="52">
        <f>T2110*W2110</f>
        <v>0.26785714285714285</v>
      </c>
      <c r="AB2110" s="52">
        <f>V2110*W2110</f>
        <v>0</v>
      </c>
      <c r="AC2110" s="53">
        <f>(R2110+V2110)*W2110</f>
        <v>2.5</v>
      </c>
      <c r="AD2110" s="138">
        <v>2.5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109</v>
      </c>
      <c r="F2111" s="96" t="s">
        <v>111</v>
      </c>
      <c r="G2111" s="97">
        <v>46132</v>
      </c>
      <c r="H2111" s="98">
        <v>0.5108912037037037</v>
      </c>
      <c r="I2111" s="50">
        <v>169002602</v>
      </c>
      <c r="J2111" s="96" t="s">
        <v>157</v>
      </c>
      <c r="K2111" s="49" t="s">
        <v>3171</v>
      </c>
      <c r="L2111" s="39" t="s">
        <v>3172</v>
      </c>
      <c r="M2111" s="49" t="s">
        <v>219</v>
      </c>
      <c r="N2111" s="39" t="s">
        <v>388</v>
      </c>
      <c r="O2111" s="96" t="s">
        <v>3173</v>
      </c>
      <c r="P2111" s="49" t="s">
        <v>157</v>
      </c>
      <c r="Q2111" s="96" t="s">
        <v>104</v>
      </c>
      <c r="R2111" s="52">
        <v>29.9</v>
      </c>
      <c r="S2111" s="52">
        <f>R2111-T2111</f>
        <v>24.710743801652892</v>
      </c>
      <c r="T2111" s="52">
        <f>R2111*U2111/(U2111+100)</f>
        <v>5.189256198347107</v>
      </c>
      <c r="U2111" s="50">
        <v>21</v>
      </c>
      <c r="V2111" s="53">
        <v>0</v>
      </c>
      <c r="W2111" s="147">
        <v>1</v>
      </c>
      <c r="X2111" s="148" t="s">
        <v>163</v>
      </c>
      <c r="Y2111" s="54">
        <f>R2111*W2111</f>
        <v>29.9</v>
      </c>
      <c r="Z2111" s="52">
        <f>S2111*W2111</f>
        <v>24.710743801652892</v>
      </c>
      <c r="AA2111" s="52">
        <f>T2111*W2111</f>
        <v>5.189256198347107</v>
      </c>
      <c r="AB2111" s="52">
        <f>V2111*W2111</f>
        <v>0</v>
      </c>
      <c r="AC2111" s="53">
        <f>(R2111+V2111)*W2111</f>
        <v>29.9</v>
      </c>
      <c r="AD2111" s="138">
        <v>29.9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109</v>
      </c>
      <c r="F2112" s="96" t="s">
        <v>111</v>
      </c>
      <c r="G2112" s="97">
        <v>46132</v>
      </c>
      <c r="H2112" s="98">
        <v>0.5113657407407407</v>
      </c>
      <c r="I2112" s="50">
        <v>169002603</v>
      </c>
      <c r="J2112" s="96" t="s">
        <v>157</v>
      </c>
      <c r="K2112" s="49" t="s">
        <v>507</v>
      </c>
      <c r="L2112" s="39" t="s">
        <v>508</v>
      </c>
      <c r="M2112" s="49" t="s">
        <v>509</v>
      </c>
      <c r="N2112" s="39" t="s">
        <v>256</v>
      </c>
      <c r="O2112" s="96" t="s">
        <v>1024</v>
      </c>
      <c r="P2112" s="49" t="s">
        <v>235</v>
      </c>
      <c r="Q2112" s="96" t="s">
        <v>236</v>
      </c>
      <c r="R2112" s="52">
        <v>15.9</v>
      </c>
      <c r="S2112" s="52">
        <f>R2112-T2112</f>
        <v>13.140495867768596</v>
      </c>
      <c r="T2112" s="52">
        <f>R2112*U2112/(U2112+100)</f>
        <v>2.759504132231405</v>
      </c>
      <c r="U2112" s="50">
        <v>21</v>
      </c>
      <c r="V2112" s="53">
        <v>0</v>
      </c>
      <c r="W2112" s="147">
        <v>3</v>
      </c>
      <c r="X2112" s="148" t="s">
        <v>163</v>
      </c>
      <c r="Y2112" s="54">
        <f>R2112*W2112</f>
        <v>47.7</v>
      </c>
      <c r="Z2112" s="52">
        <f>S2112*W2112</f>
        <v>39.42148760330579</v>
      </c>
      <c r="AA2112" s="52">
        <f>T2112*W2112</f>
        <v>8.278512396694214</v>
      </c>
      <c r="AB2112" s="52">
        <f>V2112*W2112</f>
        <v>0</v>
      </c>
      <c r="AC2112" s="53">
        <f>(R2112+V2112)*W2112</f>
        <v>47.7</v>
      </c>
      <c r="AD2112" s="138">
        <v>15.9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109</v>
      </c>
      <c r="F2113" s="96" t="s">
        <v>111</v>
      </c>
      <c r="G2113" s="97">
        <v>46132</v>
      </c>
      <c r="H2113" s="98">
        <v>0.5113657407407407</v>
      </c>
      <c r="I2113" s="50">
        <v>169002603</v>
      </c>
      <c r="J2113" s="96" t="s">
        <v>157</v>
      </c>
      <c r="K2113" s="49" t="s">
        <v>3174</v>
      </c>
      <c r="L2113" s="39" t="s">
        <v>3175</v>
      </c>
      <c r="M2113" s="49" t="s">
        <v>972</v>
      </c>
      <c r="N2113" s="39" t="s">
        <v>256</v>
      </c>
      <c r="O2113" s="96" t="s">
        <v>3176</v>
      </c>
      <c r="P2113" s="49" t="s">
        <v>157</v>
      </c>
      <c r="Q2113" s="96" t="s">
        <v>104</v>
      </c>
      <c r="R2113" s="52">
        <v>39.9</v>
      </c>
      <c r="S2113" s="52">
        <f>R2113-T2113</f>
        <v>32.97520661157024</v>
      </c>
      <c r="T2113" s="52">
        <f>R2113*U2113/(U2113+100)</f>
        <v>6.924793388429752</v>
      </c>
      <c r="U2113" s="50">
        <v>21</v>
      </c>
      <c r="V2113" s="53">
        <v>0</v>
      </c>
      <c r="W2113" s="147">
        <v>4</v>
      </c>
      <c r="X2113" s="148" t="s">
        <v>163</v>
      </c>
      <c r="Y2113" s="54">
        <f>R2113*W2113</f>
        <v>159.6</v>
      </c>
      <c r="Z2113" s="52">
        <f>S2113*W2113</f>
        <v>131.90082644628097</v>
      </c>
      <c r="AA2113" s="52">
        <f>T2113*W2113</f>
        <v>27.699173553719007</v>
      </c>
      <c r="AB2113" s="52">
        <f>V2113*W2113</f>
        <v>0</v>
      </c>
      <c r="AC2113" s="53">
        <f>(R2113+V2113)*W2113</f>
        <v>159.6</v>
      </c>
      <c r="AD2113" s="138">
        <v>39.9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109</v>
      </c>
      <c r="F2114" s="96" t="s">
        <v>111</v>
      </c>
      <c r="G2114" s="97">
        <v>46132</v>
      </c>
      <c r="H2114" s="98">
        <v>0.5139236111111111</v>
      </c>
      <c r="I2114" s="50">
        <v>169002604</v>
      </c>
      <c r="J2114" s="96" t="s">
        <v>157</v>
      </c>
      <c r="K2114" s="49" t="s">
        <v>530</v>
      </c>
      <c r="L2114" s="39" t="s">
        <v>531</v>
      </c>
      <c r="M2114" s="49" t="s">
        <v>190</v>
      </c>
      <c r="N2114" s="39" t="s">
        <v>532</v>
      </c>
      <c r="O2114" s="96" t="s">
        <v>533</v>
      </c>
      <c r="P2114" s="49" t="s">
        <v>157</v>
      </c>
      <c r="Q2114" s="96" t="s">
        <v>104</v>
      </c>
      <c r="R2114" s="52">
        <v>25.9</v>
      </c>
      <c r="S2114" s="52">
        <f>R2114-T2114</f>
        <v>23.125</v>
      </c>
      <c r="T2114" s="52">
        <f>R2114*U2114/(U2114+100)</f>
        <v>2.7749999999999995</v>
      </c>
      <c r="U2114" s="50">
        <v>12</v>
      </c>
      <c r="V2114" s="53">
        <v>0</v>
      </c>
      <c r="W2114" s="147">
        <v>0.894</v>
      </c>
      <c r="X2114" s="148" t="s">
        <v>193</v>
      </c>
      <c r="Y2114" s="54">
        <f>R2114*W2114</f>
        <v>23.1546</v>
      </c>
      <c r="Z2114" s="52">
        <f>S2114*W2114</f>
        <v>20.673750000000002</v>
      </c>
      <c r="AA2114" s="52">
        <f>T2114*W2114</f>
        <v>2.4808499999999998</v>
      </c>
      <c r="AB2114" s="52">
        <f>V2114*W2114</f>
        <v>0</v>
      </c>
      <c r="AC2114" s="53">
        <f>(R2114+V2114)*W2114</f>
        <v>23.1546</v>
      </c>
      <c r="AD2114" s="138">
        <v>25.9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109</v>
      </c>
      <c r="F2115" s="96" t="s">
        <v>111</v>
      </c>
      <c r="G2115" s="97">
        <v>46132</v>
      </c>
      <c r="H2115" s="98">
        <v>0.5141319444444444</v>
      </c>
      <c r="I2115" s="50">
        <v>169002605</v>
      </c>
      <c r="J2115" s="96" t="s">
        <v>157</v>
      </c>
      <c r="K2115" s="49" t="s">
        <v>666</v>
      </c>
      <c r="L2115" s="39" t="s">
        <v>667</v>
      </c>
      <c r="M2115" s="49" t="s">
        <v>243</v>
      </c>
      <c r="N2115" s="39" t="s">
        <v>244</v>
      </c>
      <c r="O2115" s="96" t="s">
        <v>2621</v>
      </c>
      <c r="P2115" s="49" t="s">
        <v>235</v>
      </c>
      <c r="Q2115" s="96" t="s">
        <v>236</v>
      </c>
      <c r="R2115" s="52">
        <v>29.9</v>
      </c>
      <c r="S2115" s="52">
        <f>R2115-T2115</f>
        <v>26.69642857142857</v>
      </c>
      <c r="T2115" s="52">
        <f>R2115*U2115/(U2115+100)</f>
        <v>3.2035714285714283</v>
      </c>
      <c r="U2115" s="50">
        <v>12</v>
      </c>
      <c r="V2115" s="53">
        <v>0</v>
      </c>
      <c r="W2115" s="147">
        <v>1</v>
      </c>
      <c r="X2115" s="148" t="s">
        <v>163</v>
      </c>
      <c r="Y2115" s="54">
        <f>R2115*W2115</f>
        <v>29.9</v>
      </c>
      <c r="Z2115" s="52">
        <f>S2115*W2115</f>
        <v>26.69642857142857</v>
      </c>
      <c r="AA2115" s="52">
        <f>T2115*W2115</f>
        <v>3.2035714285714283</v>
      </c>
      <c r="AB2115" s="52">
        <f>V2115*W2115</f>
        <v>0</v>
      </c>
      <c r="AC2115" s="53">
        <f>(R2115+V2115)*W2115</f>
        <v>29.9</v>
      </c>
      <c r="AD2115" s="138">
        <v>29.9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109</v>
      </c>
      <c r="F2116" s="96" t="s">
        <v>111</v>
      </c>
      <c r="G2116" s="97">
        <v>46132</v>
      </c>
      <c r="H2116" s="98">
        <v>0.5141319444444444</v>
      </c>
      <c r="I2116" s="50">
        <v>169002605</v>
      </c>
      <c r="J2116" s="96" t="s">
        <v>157</v>
      </c>
      <c r="K2116" s="49" t="s">
        <v>2334</v>
      </c>
      <c r="L2116" s="39" t="s">
        <v>2335</v>
      </c>
      <c r="M2116" s="49" t="s">
        <v>166</v>
      </c>
      <c r="N2116" s="39" t="s">
        <v>167</v>
      </c>
      <c r="O2116" s="96" t="s">
        <v>2336</v>
      </c>
      <c r="P2116" s="49" t="s">
        <v>157</v>
      </c>
      <c r="Q2116" s="96" t="s">
        <v>104</v>
      </c>
      <c r="R2116" s="52">
        <v>23.9</v>
      </c>
      <c r="S2116" s="52">
        <f>R2116-T2116</f>
        <v>19.752066115702476</v>
      </c>
      <c r="T2116" s="52">
        <f>R2116*U2116/(U2116+100)</f>
        <v>4.147933884297521</v>
      </c>
      <c r="U2116" s="50">
        <v>21</v>
      </c>
      <c r="V2116" s="53">
        <v>0</v>
      </c>
      <c r="W2116" s="147">
        <v>1</v>
      </c>
      <c r="X2116" s="148" t="s">
        <v>163</v>
      </c>
      <c r="Y2116" s="54">
        <f>R2116*W2116</f>
        <v>23.9</v>
      </c>
      <c r="Z2116" s="52">
        <f>S2116*W2116</f>
        <v>19.752066115702476</v>
      </c>
      <c r="AA2116" s="52">
        <f>T2116*W2116</f>
        <v>4.147933884297521</v>
      </c>
      <c r="AB2116" s="52">
        <f>V2116*W2116</f>
        <v>0</v>
      </c>
      <c r="AC2116" s="53">
        <f>(R2116+V2116)*W2116</f>
        <v>23.9</v>
      </c>
      <c r="AD2116" s="138">
        <v>23.9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109</v>
      </c>
      <c r="F2117" s="96" t="s">
        <v>111</v>
      </c>
      <c r="G2117" s="97">
        <v>46132</v>
      </c>
      <c r="H2117" s="98">
        <v>0.5147569444444444</v>
      </c>
      <c r="I2117" s="50">
        <v>169002606</v>
      </c>
      <c r="J2117" s="96" t="s">
        <v>157</v>
      </c>
      <c r="K2117" s="49" t="s">
        <v>942</v>
      </c>
      <c r="L2117" s="39"/>
      <c r="M2117" s="49" t="s">
        <v>295</v>
      </c>
      <c r="N2117" s="39" t="s">
        <v>433</v>
      </c>
      <c r="O2117" s="96" t="s">
        <v>1332</v>
      </c>
      <c r="P2117" s="49" t="s">
        <v>235</v>
      </c>
      <c r="Q2117" s="96" t="s">
        <v>944</v>
      </c>
      <c r="R2117" s="52">
        <v>9.9</v>
      </c>
      <c r="S2117" s="52">
        <f>R2117-T2117</f>
        <v>8.839285714285715</v>
      </c>
      <c r="T2117" s="52">
        <f>R2117*U2117/(U2117+100)</f>
        <v>1.0607142857142857</v>
      </c>
      <c r="U2117" s="50">
        <v>12</v>
      </c>
      <c r="V2117" s="53">
        <v>0</v>
      </c>
      <c r="W2117" s="147">
        <v>1</v>
      </c>
      <c r="X2117" s="148" t="s">
        <v>945</v>
      </c>
      <c r="Y2117" s="54">
        <f>R2117*W2117</f>
        <v>9.9</v>
      </c>
      <c r="Z2117" s="52">
        <f>S2117*W2117</f>
        <v>8.839285714285715</v>
      </c>
      <c r="AA2117" s="52">
        <f>T2117*W2117</f>
        <v>1.0607142857142857</v>
      </c>
      <c r="AB2117" s="52">
        <f>V2117*W2117</f>
        <v>0</v>
      </c>
      <c r="AC2117" s="53">
        <f>(R2117+V2117)*W2117</f>
        <v>9.9</v>
      </c>
      <c r="AD2117" s="138">
        <v>9.9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109</v>
      </c>
      <c r="F2118" s="96" t="s">
        <v>111</v>
      </c>
      <c r="G2118" s="97">
        <v>46132</v>
      </c>
      <c r="H2118" s="98">
        <v>0.5152662037037037</v>
      </c>
      <c r="I2118" s="50">
        <v>169002607</v>
      </c>
      <c r="J2118" s="96" t="s">
        <v>157</v>
      </c>
      <c r="K2118" s="49" t="s">
        <v>1133</v>
      </c>
      <c r="L2118" s="39" t="s">
        <v>1134</v>
      </c>
      <c r="M2118" s="49" t="s">
        <v>649</v>
      </c>
      <c r="N2118" s="39" t="s">
        <v>440</v>
      </c>
      <c r="O2118" s="96" t="s">
        <v>1135</v>
      </c>
      <c r="P2118" s="49" t="s">
        <v>157</v>
      </c>
      <c r="Q2118" s="96" t="s">
        <v>104</v>
      </c>
      <c r="R2118" s="52">
        <v>125.93</v>
      </c>
      <c r="S2118" s="52">
        <f>R2118-T2118</f>
        <v>112.4375</v>
      </c>
      <c r="T2118" s="52">
        <f>R2118*U2118/(U2118+100)</f>
        <v>13.492500000000001</v>
      </c>
      <c r="U2118" s="50">
        <v>12</v>
      </c>
      <c r="V2118" s="53">
        <v>0</v>
      </c>
      <c r="W2118" s="147">
        <v>0.126</v>
      </c>
      <c r="X2118" s="148" t="s">
        <v>193</v>
      </c>
      <c r="Y2118" s="54">
        <f>R2118*W2118</f>
        <v>15.867180000000001</v>
      </c>
      <c r="Z2118" s="52">
        <f>S2118*W2118</f>
        <v>14.167125</v>
      </c>
      <c r="AA2118" s="52">
        <f>T2118*W2118</f>
        <v>1.700055</v>
      </c>
      <c r="AB2118" s="52">
        <f>V2118*W2118</f>
        <v>0</v>
      </c>
      <c r="AC2118" s="53">
        <f>(R2118+V2118)*W2118</f>
        <v>15.867180000000001</v>
      </c>
      <c r="AD2118" s="138">
        <v>179.9</v>
      </c>
      <c r="AE2118" s="137">
        <v>53.97</v>
      </c>
      <c r="AF2118" s="139">
        <v>6.8002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109</v>
      </c>
      <c r="F2119" s="96" t="s">
        <v>111</v>
      </c>
      <c r="G2119" s="97">
        <v>46132</v>
      </c>
      <c r="H2119" s="98">
        <v>0.5152662037037037</v>
      </c>
      <c r="I2119" s="50">
        <v>169002607</v>
      </c>
      <c r="J2119" s="96" t="s">
        <v>157</v>
      </c>
      <c r="K2119" s="49" t="s">
        <v>293</v>
      </c>
      <c r="L2119" s="39" t="s">
        <v>294</v>
      </c>
      <c r="M2119" s="49" t="s">
        <v>295</v>
      </c>
      <c r="N2119" s="39" t="s">
        <v>296</v>
      </c>
      <c r="O2119" s="96" t="s">
        <v>297</v>
      </c>
      <c r="P2119" s="49" t="s">
        <v>157</v>
      </c>
      <c r="Q2119" s="96" t="s">
        <v>104</v>
      </c>
      <c r="R2119" s="52">
        <v>2.9</v>
      </c>
      <c r="S2119" s="52">
        <f>R2119-T2119</f>
        <v>2.5892857142857144</v>
      </c>
      <c r="T2119" s="52">
        <f>R2119*U2119/(U2119+100)</f>
        <v>0.31071428571428567</v>
      </c>
      <c r="U2119" s="50">
        <v>12</v>
      </c>
      <c r="V2119" s="53">
        <v>0</v>
      </c>
      <c r="W2119" s="147">
        <v>7</v>
      </c>
      <c r="X2119" s="148" t="s">
        <v>163</v>
      </c>
      <c r="Y2119" s="54">
        <f>R2119*W2119</f>
        <v>20.3</v>
      </c>
      <c r="Z2119" s="52">
        <f>S2119*W2119</f>
        <v>18.125</v>
      </c>
      <c r="AA2119" s="52">
        <f>T2119*W2119</f>
        <v>2.175</v>
      </c>
      <c r="AB2119" s="52">
        <f>V2119*W2119</f>
        <v>0</v>
      </c>
      <c r="AC2119" s="53">
        <f>(R2119+V2119)*W2119</f>
        <v>20.3</v>
      </c>
      <c r="AD2119" s="138">
        <v>2.9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109</v>
      </c>
      <c r="F2120" s="96" t="s">
        <v>111</v>
      </c>
      <c r="G2120" s="97">
        <v>46132</v>
      </c>
      <c r="H2120" s="98">
        <v>0.5155439814814815</v>
      </c>
      <c r="I2120" s="50">
        <v>169002608</v>
      </c>
      <c r="J2120" s="96" t="s">
        <v>157</v>
      </c>
      <c r="K2120" s="49" t="s">
        <v>1590</v>
      </c>
      <c r="L2120" s="39" t="s">
        <v>1591</v>
      </c>
      <c r="M2120" s="49" t="s">
        <v>547</v>
      </c>
      <c r="N2120" s="39" t="s">
        <v>548</v>
      </c>
      <c r="O2120" s="96" t="s">
        <v>1592</v>
      </c>
      <c r="P2120" s="49" t="s">
        <v>157</v>
      </c>
      <c r="Q2120" s="96" t="s">
        <v>104</v>
      </c>
      <c r="R2120" s="52">
        <v>37.9</v>
      </c>
      <c r="S2120" s="52">
        <f>R2120-T2120</f>
        <v>33.839285714285715</v>
      </c>
      <c r="T2120" s="52">
        <f>R2120*U2120/(U2120+100)</f>
        <v>4.060714285714285</v>
      </c>
      <c r="U2120" s="50">
        <v>12</v>
      </c>
      <c r="V2120" s="53">
        <v>0</v>
      </c>
      <c r="W2120" s="147">
        <v>1</v>
      </c>
      <c r="X2120" s="148" t="s">
        <v>163</v>
      </c>
      <c r="Y2120" s="54">
        <f>R2120*W2120</f>
        <v>37.9</v>
      </c>
      <c r="Z2120" s="52">
        <f>S2120*W2120</f>
        <v>33.839285714285715</v>
      </c>
      <c r="AA2120" s="52">
        <f>T2120*W2120</f>
        <v>4.060714285714285</v>
      </c>
      <c r="AB2120" s="52">
        <f>V2120*W2120</f>
        <v>0</v>
      </c>
      <c r="AC2120" s="53">
        <f>(R2120+V2120)*W2120</f>
        <v>37.9</v>
      </c>
      <c r="AD2120" s="138">
        <v>37.9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109</v>
      </c>
      <c r="F2121" s="96" t="s">
        <v>111</v>
      </c>
      <c r="G2121" s="97">
        <v>46132</v>
      </c>
      <c r="H2121" s="98">
        <v>0.5155439814814815</v>
      </c>
      <c r="I2121" s="50">
        <v>169002608</v>
      </c>
      <c r="J2121" s="96" t="s">
        <v>157</v>
      </c>
      <c r="K2121" s="49" t="s">
        <v>390</v>
      </c>
      <c r="L2121" s="39" t="s">
        <v>391</v>
      </c>
      <c r="M2121" s="49" t="s">
        <v>214</v>
      </c>
      <c r="N2121" s="39" t="s">
        <v>273</v>
      </c>
      <c r="O2121" s="96" t="s">
        <v>1110</v>
      </c>
      <c r="P2121" s="49" t="s">
        <v>157</v>
      </c>
      <c r="Q2121" s="96" t="s">
        <v>104</v>
      </c>
      <c r="R2121" s="52">
        <v>15.9</v>
      </c>
      <c r="S2121" s="52">
        <f>R2121-T2121</f>
        <v>14.196428571428571</v>
      </c>
      <c r="T2121" s="52">
        <f>R2121*U2121/(U2121+100)</f>
        <v>1.7035714285714287</v>
      </c>
      <c r="U2121" s="50">
        <v>12</v>
      </c>
      <c r="V2121" s="53">
        <v>0</v>
      </c>
      <c r="W2121" s="147">
        <v>2</v>
      </c>
      <c r="X2121" s="148" t="s">
        <v>163</v>
      </c>
      <c r="Y2121" s="54">
        <f>R2121*W2121</f>
        <v>31.8</v>
      </c>
      <c r="Z2121" s="52">
        <f>S2121*W2121</f>
        <v>28.392857142857142</v>
      </c>
      <c r="AA2121" s="52">
        <f>T2121*W2121</f>
        <v>3.4071428571428575</v>
      </c>
      <c r="AB2121" s="52">
        <f>V2121*W2121</f>
        <v>0</v>
      </c>
      <c r="AC2121" s="53">
        <f>(R2121+V2121)*W2121</f>
        <v>31.8</v>
      </c>
      <c r="AD2121" s="138">
        <v>15.9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109</v>
      </c>
      <c r="F2122" s="96" t="s">
        <v>111</v>
      </c>
      <c r="G2122" s="97">
        <v>46132</v>
      </c>
      <c r="H2122" s="98">
        <v>0.5172453703703703</v>
      </c>
      <c r="I2122" s="50">
        <v>169002609</v>
      </c>
      <c r="J2122" s="96" t="s">
        <v>157</v>
      </c>
      <c r="K2122" s="49" t="s">
        <v>2010</v>
      </c>
      <c r="L2122" s="39" t="s">
        <v>2011</v>
      </c>
      <c r="M2122" s="49" t="s">
        <v>429</v>
      </c>
      <c r="N2122" s="39" t="s">
        <v>747</v>
      </c>
      <c r="O2122" s="96" t="s">
        <v>2012</v>
      </c>
      <c r="P2122" s="49" t="s">
        <v>157</v>
      </c>
      <c r="Q2122" s="96" t="s">
        <v>104</v>
      </c>
      <c r="R2122" s="52">
        <v>11.9</v>
      </c>
      <c r="S2122" s="52">
        <f>R2122-T2122</f>
        <v>10.625</v>
      </c>
      <c r="T2122" s="52">
        <f>R2122*U2122/(U2122+100)</f>
        <v>1.2750000000000001</v>
      </c>
      <c r="U2122" s="50">
        <v>12</v>
      </c>
      <c r="V2122" s="53">
        <v>0</v>
      </c>
      <c r="W2122" s="147">
        <v>1</v>
      </c>
      <c r="X2122" s="148" t="s">
        <v>163</v>
      </c>
      <c r="Y2122" s="54">
        <f>R2122*W2122</f>
        <v>11.9</v>
      </c>
      <c r="Z2122" s="52">
        <f>S2122*W2122</f>
        <v>10.625</v>
      </c>
      <c r="AA2122" s="52">
        <f>T2122*W2122</f>
        <v>1.2750000000000001</v>
      </c>
      <c r="AB2122" s="52">
        <f>V2122*W2122</f>
        <v>0</v>
      </c>
      <c r="AC2122" s="53">
        <f>(R2122+V2122)*W2122</f>
        <v>11.9</v>
      </c>
      <c r="AD2122" s="138">
        <v>11.9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109</v>
      </c>
      <c r="F2123" s="96" t="s">
        <v>111</v>
      </c>
      <c r="G2123" s="97">
        <v>46132</v>
      </c>
      <c r="H2123" s="98">
        <v>0.5172453703703703</v>
      </c>
      <c r="I2123" s="50">
        <v>169002609</v>
      </c>
      <c r="J2123" s="96" t="s">
        <v>157</v>
      </c>
      <c r="K2123" s="49" t="s">
        <v>2010</v>
      </c>
      <c r="L2123" s="39" t="s">
        <v>2011</v>
      </c>
      <c r="M2123" s="49" t="s">
        <v>429</v>
      </c>
      <c r="N2123" s="39" t="s">
        <v>747</v>
      </c>
      <c r="O2123" s="96" t="s">
        <v>2012</v>
      </c>
      <c r="P2123" s="49" t="s">
        <v>157</v>
      </c>
      <c r="Q2123" s="96" t="s">
        <v>104</v>
      </c>
      <c r="R2123" s="52">
        <v>11.9</v>
      </c>
      <c r="S2123" s="52">
        <f>R2123-T2123</f>
        <v>10.625</v>
      </c>
      <c r="T2123" s="52">
        <f>R2123*U2123/(U2123+100)</f>
        <v>1.2750000000000001</v>
      </c>
      <c r="U2123" s="50">
        <v>12</v>
      </c>
      <c r="V2123" s="53">
        <v>0</v>
      </c>
      <c r="W2123" s="147">
        <v>1</v>
      </c>
      <c r="X2123" s="148" t="s">
        <v>163</v>
      </c>
      <c r="Y2123" s="54">
        <f>R2123*W2123</f>
        <v>11.9</v>
      </c>
      <c r="Z2123" s="52">
        <f>S2123*W2123</f>
        <v>10.625</v>
      </c>
      <c r="AA2123" s="52">
        <f>T2123*W2123</f>
        <v>1.2750000000000001</v>
      </c>
      <c r="AB2123" s="52">
        <f>V2123*W2123</f>
        <v>0</v>
      </c>
      <c r="AC2123" s="53">
        <f>(R2123+V2123)*W2123</f>
        <v>11.9</v>
      </c>
      <c r="AD2123" s="138">
        <v>11.9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109</v>
      </c>
      <c r="F2124" s="96" t="s">
        <v>111</v>
      </c>
      <c r="G2124" s="97">
        <v>46132</v>
      </c>
      <c r="H2124" s="98">
        <v>0.5172453703703703</v>
      </c>
      <c r="I2124" s="50">
        <v>169002609</v>
      </c>
      <c r="J2124" s="96" t="s">
        <v>157</v>
      </c>
      <c r="K2124" s="49" t="s">
        <v>3177</v>
      </c>
      <c r="L2124" s="39" t="s">
        <v>3178</v>
      </c>
      <c r="M2124" s="49" t="s">
        <v>196</v>
      </c>
      <c r="N2124" s="39" t="s">
        <v>197</v>
      </c>
      <c r="O2124" s="96" t="s">
        <v>3179</v>
      </c>
      <c r="P2124" s="49" t="s">
        <v>157</v>
      </c>
      <c r="Q2124" s="96" t="s">
        <v>104</v>
      </c>
      <c r="R2124" s="52">
        <v>19.9</v>
      </c>
      <c r="S2124" s="52">
        <f>R2124-T2124</f>
        <v>17.767857142857142</v>
      </c>
      <c r="T2124" s="52">
        <f>R2124*U2124/(U2124+100)</f>
        <v>2.132142857142857</v>
      </c>
      <c r="U2124" s="50">
        <v>12</v>
      </c>
      <c r="V2124" s="53">
        <v>0</v>
      </c>
      <c r="W2124" s="147">
        <v>1</v>
      </c>
      <c r="X2124" s="148" t="s">
        <v>163</v>
      </c>
      <c r="Y2124" s="54">
        <f>R2124*W2124</f>
        <v>19.9</v>
      </c>
      <c r="Z2124" s="52">
        <f>S2124*W2124</f>
        <v>17.767857142857142</v>
      </c>
      <c r="AA2124" s="52">
        <f>T2124*W2124</f>
        <v>2.132142857142857</v>
      </c>
      <c r="AB2124" s="52">
        <f>V2124*W2124</f>
        <v>0</v>
      </c>
      <c r="AC2124" s="53">
        <f>(R2124+V2124)*W2124</f>
        <v>19.9</v>
      </c>
      <c r="AD2124" s="138">
        <v>19.9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109</v>
      </c>
      <c r="F2125" s="96" t="s">
        <v>111</v>
      </c>
      <c r="G2125" s="97">
        <v>46132</v>
      </c>
      <c r="H2125" s="98">
        <v>0.5172453703703703</v>
      </c>
      <c r="I2125" s="50">
        <v>169002609</v>
      </c>
      <c r="J2125" s="96" t="s">
        <v>157</v>
      </c>
      <c r="K2125" s="49" t="s">
        <v>2068</v>
      </c>
      <c r="L2125" s="39" t="s">
        <v>2069</v>
      </c>
      <c r="M2125" s="49" t="s">
        <v>429</v>
      </c>
      <c r="N2125" s="39" t="s">
        <v>348</v>
      </c>
      <c r="O2125" s="96" t="s">
        <v>2070</v>
      </c>
      <c r="P2125" s="49" t="s">
        <v>235</v>
      </c>
      <c r="Q2125" s="96" t="s">
        <v>236</v>
      </c>
      <c r="R2125" s="52">
        <v>16.9</v>
      </c>
      <c r="S2125" s="52">
        <f>R2125-T2125</f>
        <v>15.089285714285714</v>
      </c>
      <c r="T2125" s="52">
        <f>R2125*U2125/(U2125+100)</f>
        <v>1.8107142857142855</v>
      </c>
      <c r="U2125" s="50">
        <v>12</v>
      </c>
      <c r="V2125" s="53">
        <v>0</v>
      </c>
      <c r="W2125" s="147">
        <v>1</v>
      </c>
      <c r="X2125" s="148" t="s">
        <v>163</v>
      </c>
      <c r="Y2125" s="54">
        <f>R2125*W2125</f>
        <v>16.9</v>
      </c>
      <c r="Z2125" s="52">
        <f>S2125*W2125</f>
        <v>15.089285714285714</v>
      </c>
      <c r="AA2125" s="52">
        <f>T2125*W2125</f>
        <v>1.8107142857142855</v>
      </c>
      <c r="AB2125" s="52">
        <f>V2125*W2125</f>
        <v>0</v>
      </c>
      <c r="AC2125" s="53">
        <f>(R2125+V2125)*W2125</f>
        <v>16.9</v>
      </c>
      <c r="AD2125" s="138">
        <v>16.9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109</v>
      </c>
      <c r="F2126" s="96" t="s">
        <v>111</v>
      </c>
      <c r="G2126" s="97">
        <v>46132</v>
      </c>
      <c r="H2126" s="98">
        <v>0.5172453703703703</v>
      </c>
      <c r="I2126" s="50">
        <v>169002609</v>
      </c>
      <c r="J2126" s="96" t="s">
        <v>157</v>
      </c>
      <c r="K2126" s="49" t="s">
        <v>758</v>
      </c>
      <c r="L2126" s="39" t="s">
        <v>759</v>
      </c>
      <c r="M2126" s="49" t="s">
        <v>201</v>
      </c>
      <c r="N2126" s="39" t="s">
        <v>202</v>
      </c>
      <c r="O2126" s="96" t="s">
        <v>1235</v>
      </c>
      <c r="P2126" s="49" t="s">
        <v>235</v>
      </c>
      <c r="Q2126" s="96" t="s">
        <v>236</v>
      </c>
      <c r="R2126" s="52">
        <v>19.9</v>
      </c>
      <c r="S2126" s="52">
        <f>R2126-T2126</f>
        <v>17.767857142857142</v>
      </c>
      <c r="T2126" s="52">
        <f>R2126*U2126/(U2126+100)</f>
        <v>2.132142857142857</v>
      </c>
      <c r="U2126" s="50">
        <v>12</v>
      </c>
      <c r="V2126" s="53">
        <v>0</v>
      </c>
      <c r="W2126" s="147">
        <v>1</v>
      </c>
      <c r="X2126" s="148" t="s">
        <v>163</v>
      </c>
      <c r="Y2126" s="54">
        <f>R2126*W2126</f>
        <v>19.9</v>
      </c>
      <c r="Z2126" s="52">
        <f>S2126*W2126</f>
        <v>17.767857142857142</v>
      </c>
      <c r="AA2126" s="52">
        <f>T2126*W2126</f>
        <v>2.132142857142857</v>
      </c>
      <c r="AB2126" s="52">
        <f>V2126*W2126</f>
        <v>0</v>
      </c>
      <c r="AC2126" s="53">
        <f>(R2126+V2126)*W2126</f>
        <v>19.9</v>
      </c>
      <c r="AD2126" s="138">
        <v>19.9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109</v>
      </c>
      <c r="F2127" s="96" t="s">
        <v>111</v>
      </c>
      <c r="G2127" s="97">
        <v>46132</v>
      </c>
      <c r="H2127" s="98">
        <v>0.5172453703703703</v>
      </c>
      <c r="I2127" s="50">
        <v>169002609</v>
      </c>
      <c r="J2127" s="96" t="s">
        <v>157</v>
      </c>
      <c r="K2127" s="49" t="s">
        <v>758</v>
      </c>
      <c r="L2127" s="39" t="s">
        <v>759</v>
      </c>
      <c r="M2127" s="49" t="s">
        <v>201</v>
      </c>
      <c r="N2127" s="39" t="s">
        <v>202</v>
      </c>
      <c r="O2127" s="96" t="s">
        <v>1235</v>
      </c>
      <c r="P2127" s="49" t="s">
        <v>235</v>
      </c>
      <c r="Q2127" s="96" t="s">
        <v>236</v>
      </c>
      <c r="R2127" s="52">
        <v>19.9</v>
      </c>
      <c r="S2127" s="52">
        <f>R2127-T2127</f>
        <v>17.767857142857142</v>
      </c>
      <c r="T2127" s="52">
        <f>R2127*U2127/(U2127+100)</f>
        <v>2.132142857142857</v>
      </c>
      <c r="U2127" s="50">
        <v>12</v>
      </c>
      <c r="V2127" s="53">
        <v>0</v>
      </c>
      <c r="W2127" s="147">
        <v>1</v>
      </c>
      <c r="X2127" s="148" t="s">
        <v>163</v>
      </c>
      <c r="Y2127" s="54">
        <f>R2127*W2127</f>
        <v>19.9</v>
      </c>
      <c r="Z2127" s="52">
        <f>S2127*W2127</f>
        <v>17.767857142857142</v>
      </c>
      <c r="AA2127" s="52">
        <f>T2127*W2127</f>
        <v>2.132142857142857</v>
      </c>
      <c r="AB2127" s="52">
        <f>V2127*W2127</f>
        <v>0</v>
      </c>
      <c r="AC2127" s="53">
        <f>(R2127+V2127)*W2127</f>
        <v>19.9</v>
      </c>
      <c r="AD2127" s="138">
        <v>19.9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109</v>
      </c>
      <c r="F2128" s="96" t="s">
        <v>111</v>
      </c>
      <c r="G2128" s="97">
        <v>46132</v>
      </c>
      <c r="H2128" s="98">
        <v>0.5172453703703703</v>
      </c>
      <c r="I2128" s="50">
        <v>169002609</v>
      </c>
      <c r="J2128" s="96" t="s">
        <v>157</v>
      </c>
      <c r="K2128" s="49" t="s">
        <v>758</v>
      </c>
      <c r="L2128" s="39" t="s">
        <v>759</v>
      </c>
      <c r="M2128" s="49" t="s">
        <v>201</v>
      </c>
      <c r="N2128" s="39" t="s">
        <v>202</v>
      </c>
      <c r="O2128" s="96" t="s">
        <v>1235</v>
      </c>
      <c r="P2128" s="49" t="s">
        <v>235</v>
      </c>
      <c r="Q2128" s="96" t="s">
        <v>236</v>
      </c>
      <c r="R2128" s="52">
        <v>19.9</v>
      </c>
      <c r="S2128" s="52">
        <f>R2128-T2128</f>
        <v>17.767857142857142</v>
      </c>
      <c r="T2128" s="52">
        <f>R2128*U2128/(U2128+100)</f>
        <v>2.132142857142857</v>
      </c>
      <c r="U2128" s="50">
        <v>12</v>
      </c>
      <c r="V2128" s="53">
        <v>0</v>
      </c>
      <c r="W2128" s="147">
        <v>1</v>
      </c>
      <c r="X2128" s="148" t="s">
        <v>163</v>
      </c>
      <c r="Y2128" s="54">
        <f>R2128*W2128</f>
        <v>19.9</v>
      </c>
      <c r="Z2128" s="52">
        <f>S2128*W2128</f>
        <v>17.767857142857142</v>
      </c>
      <c r="AA2128" s="52">
        <f>T2128*W2128</f>
        <v>2.132142857142857</v>
      </c>
      <c r="AB2128" s="52">
        <f>V2128*W2128</f>
        <v>0</v>
      </c>
      <c r="AC2128" s="53">
        <f>(R2128+V2128)*W2128</f>
        <v>19.9</v>
      </c>
      <c r="AD2128" s="138">
        <v>19.9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109</v>
      </c>
      <c r="F2129" s="96" t="s">
        <v>111</v>
      </c>
      <c r="G2129" s="97">
        <v>46132</v>
      </c>
      <c r="H2129" s="98">
        <v>0.5172453703703703</v>
      </c>
      <c r="I2129" s="50">
        <v>169002609</v>
      </c>
      <c r="J2129" s="96" t="s">
        <v>157</v>
      </c>
      <c r="K2129" s="49" t="s">
        <v>758</v>
      </c>
      <c r="L2129" s="39" t="s">
        <v>759</v>
      </c>
      <c r="M2129" s="49" t="s">
        <v>201</v>
      </c>
      <c r="N2129" s="39" t="s">
        <v>202</v>
      </c>
      <c r="O2129" s="96" t="s">
        <v>1235</v>
      </c>
      <c r="P2129" s="49" t="s">
        <v>235</v>
      </c>
      <c r="Q2129" s="96" t="s">
        <v>236</v>
      </c>
      <c r="R2129" s="52">
        <v>19.9</v>
      </c>
      <c r="S2129" s="52">
        <f>R2129-T2129</f>
        <v>17.767857142857142</v>
      </c>
      <c r="T2129" s="52">
        <f>R2129*U2129/(U2129+100)</f>
        <v>2.132142857142857</v>
      </c>
      <c r="U2129" s="50">
        <v>12</v>
      </c>
      <c r="V2129" s="53">
        <v>0</v>
      </c>
      <c r="W2129" s="147">
        <v>1</v>
      </c>
      <c r="X2129" s="148" t="s">
        <v>163</v>
      </c>
      <c r="Y2129" s="54">
        <f>R2129*W2129</f>
        <v>19.9</v>
      </c>
      <c r="Z2129" s="52">
        <f>S2129*W2129</f>
        <v>17.767857142857142</v>
      </c>
      <c r="AA2129" s="52">
        <f>T2129*W2129</f>
        <v>2.132142857142857</v>
      </c>
      <c r="AB2129" s="52">
        <f>V2129*W2129</f>
        <v>0</v>
      </c>
      <c r="AC2129" s="53">
        <f>(R2129+V2129)*W2129</f>
        <v>19.9</v>
      </c>
      <c r="AD2129" s="138">
        <v>19.9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109</v>
      </c>
      <c r="F2130" s="96" t="s">
        <v>111</v>
      </c>
      <c r="G2130" s="97">
        <v>46132</v>
      </c>
      <c r="H2130" s="98">
        <v>0.5172453703703703</v>
      </c>
      <c r="I2130" s="50">
        <v>169002609</v>
      </c>
      <c r="J2130" s="96" t="s">
        <v>157</v>
      </c>
      <c r="K2130" s="49" t="s">
        <v>1794</v>
      </c>
      <c r="L2130" s="39" t="s">
        <v>1795</v>
      </c>
      <c r="M2130" s="49" t="s">
        <v>214</v>
      </c>
      <c r="N2130" s="39" t="s">
        <v>756</v>
      </c>
      <c r="O2130" s="96" t="s">
        <v>1796</v>
      </c>
      <c r="P2130" s="49" t="s">
        <v>157</v>
      </c>
      <c r="Q2130" s="96" t="s">
        <v>104</v>
      </c>
      <c r="R2130" s="52">
        <v>23.9</v>
      </c>
      <c r="S2130" s="52">
        <f>R2130-T2130</f>
        <v>21.33928571428571</v>
      </c>
      <c r="T2130" s="52">
        <f>R2130*U2130/(U2130+100)</f>
        <v>2.5607142857142855</v>
      </c>
      <c r="U2130" s="50">
        <v>12</v>
      </c>
      <c r="V2130" s="53">
        <v>0</v>
      </c>
      <c r="W2130" s="147">
        <v>3</v>
      </c>
      <c r="X2130" s="148" t="s">
        <v>163</v>
      </c>
      <c r="Y2130" s="54">
        <f>R2130*W2130</f>
        <v>71.69999999999999</v>
      </c>
      <c r="Z2130" s="52">
        <f>S2130*W2130</f>
        <v>64.01785714285714</v>
      </c>
      <c r="AA2130" s="52">
        <f>T2130*W2130</f>
        <v>7.682142857142857</v>
      </c>
      <c r="AB2130" s="52">
        <f>V2130*W2130</f>
        <v>0</v>
      </c>
      <c r="AC2130" s="53">
        <f>(R2130+V2130)*W2130</f>
        <v>71.69999999999999</v>
      </c>
      <c r="AD2130" s="138">
        <v>23.9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109</v>
      </c>
      <c r="F2131" s="96" t="s">
        <v>111</v>
      </c>
      <c r="G2131" s="97">
        <v>46132</v>
      </c>
      <c r="H2131" s="98">
        <v>0.5172453703703703</v>
      </c>
      <c r="I2131" s="50">
        <v>169002609</v>
      </c>
      <c r="J2131" s="96" t="s">
        <v>157</v>
      </c>
      <c r="K2131" s="49" t="s">
        <v>754</v>
      </c>
      <c r="L2131" s="39" t="s">
        <v>755</v>
      </c>
      <c r="M2131" s="49" t="s">
        <v>214</v>
      </c>
      <c r="N2131" s="39" t="s">
        <v>756</v>
      </c>
      <c r="O2131" s="96" t="s">
        <v>1184</v>
      </c>
      <c r="P2131" s="49" t="s">
        <v>157</v>
      </c>
      <c r="Q2131" s="96" t="s">
        <v>104</v>
      </c>
      <c r="R2131" s="52">
        <v>19.9</v>
      </c>
      <c r="S2131" s="52">
        <f>R2131-T2131</f>
        <v>17.767857142857142</v>
      </c>
      <c r="T2131" s="52">
        <f>R2131*U2131/(U2131+100)</f>
        <v>2.132142857142857</v>
      </c>
      <c r="U2131" s="50">
        <v>12</v>
      </c>
      <c r="V2131" s="53">
        <v>0</v>
      </c>
      <c r="W2131" s="147">
        <v>2</v>
      </c>
      <c r="X2131" s="148" t="s">
        <v>163</v>
      </c>
      <c r="Y2131" s="54">
        <f>R2131*W2131</f>
        <v>39.8</v>
      </c>
      <c r="Z2131" s="52">
        <f>S2131*W2131</f>
        <v>35.535714285714285</v>
      </c>
      <c r="AA2131" s="52">
        <f>T2131*W2131</f>
        <v>4.264285714285714</v>
      </c>
      <c r="AB2131" s="52">
        <f>V2131*W2131</f>
        <v>0</v>
      </c>
      <c r="AC2131" s="53">
        <f>(R2131+V2131)*W2131</f>
        <v>39.8</v>
      </c>
      <c r="AD2131" s="138">
        <v>19.9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109</v>
      </c>
      <c r="F2132" s="96" t="s">
        <v>111</v>
      </c>
      <c r="G2132" s="97">
        <v>46132</v>
      </c>
      <c r="H2132" s="98">
        <v>0.5172453703703703</v>
      </c>
      <c r="I2132" s="50">
        <v>169002609</v>
      </c>
      <c r="J2132" s="96" t="s">
        <v>157</v>
      </c>
      <c r="K2132" s="49" t="s">
        <v>183</v>
      </c>
      <c r="L2132" s="39" t="s">
        <v>184</v>
      </c>
      <c r="M2132" s="49" t="s">
        <v>185</v>
      </c>
      <c r="N2132" s="39" t="s">
        <v>186</v>
      </c>
      <c r="O2132" s="96" t="s">
        <v>988</v>
      </c>
      <c r="P2132" s="49" t="s">
        <v>157</v>
      </c>
      <c r="Q2132" s="96" t="s">
        <v>104</v>
      </c>
      <c r="R2132" s="52">
        <v>1.9</v>
      </c>
      <c r="S2132" s="52">
        <f>R2132-T2132</f>
        <v>1.5702479338842974</v>
      </c>
      <c r="T2132" s="52">
        <f>R2132*U2132/(U2132+100)</f>
        <v>0.32975206611570246</v>
      </c>
      <c r="U2132" s="50">
        <v>21</v>
      </c>
      <c r="V2132" s="53">
        <v>0</v>
      </c>
      <c r="W2132" s="147">
        <v>1</v>
      </c>
      <c r="X2132" s="148" t="s">
        <v>163</v>
      </c>
      <c r="Y2132" s="54">
        <f>R2132*W2132</f>
        <v>1.9</v>
      </c>
      <c r="Z2132" s="52">
        <f>S2132*W2132</f>
        <v>1.5702479338842974</v>
      </c>
      <c r="AA2132" s="52">
        <f>T2132*W2132</f>
        <v>0.32975206611570246</v>
      </c>
      <c r="AB2132" s="52">
        <f>V2132*W2132</f>
        <v>0</v>
      </c>
      <c r="AC2132" s="53">
        <f>(R2132+V2132)*W2132</f>
        <v>1.9</v>
      </c>
      <c r="AD2132" s="138">
        <v>1.9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109</v>
      </c>
      <c r="F2133" s="96" t="s">
        <v>111</v>
      </c>
      <c r="G2133" s="97">
        <v>46132</v>
      </c>
      <c r="H2133" s="98">
        <v>0.5172453703703703</v>
      </c>
      <c r="I2133" s="50">
        <v>169002609</v>
      </c>
      <c r="J2133" s="96" t="s">
        <v>157</v>
      </c>
      <c r="K2133" s="49" t="s">
        <v>416</v>
      </c>
      <c r="L2133" s="39" t="s">
        <v>417</v>
      </c>
      <c r="M2133" s="49" t="s">
        <v>214</v>
      </c>
      <c r="N2133" s="39" t="s">
        <v>418</v>
      </c>
      <c r="O2133" s="96" t="s">
        <v>1278</v>
      </c>
      <c r="P2133" s="49" t="s">
        <v>157</v>
      </c>
      <c r="Q2133" s="96" t="s">
        <v>104</v>
      </c>
      <c r="R2133" s="52">
        <v>19.9</v>
      </c>
      <c r="S2133" s="52">
        <f>R2133-T2133</f>
        <v>17.767857142857142</v>
      </c>
      <c r="T2133" s="52">
        <f>R2133*U2133/(U2133+100)</f>
        <v>2.132142857142857</v>
      </c>
      <c r="U2133" s="50">
        <v>12</v>
      </c>
      <c r="V2133" s="53">
        <v>0</v>
      </c>
      <c r="W2133" s="147">
        <v>2</v>
      </c>
      <c r="X2133" s="148" t="s">
        <v>163</v>
      </c>
      <c r="Y2133" s="54">
        <f>R2133*W2133</f>
        <v>39.8</v>
      </c>
      <c r="Z2133" s="52">
        <f>S2133*W2133</f>
        <v>35.535714285714285</v>
      </c>
      <c r="AA2133" s="52">
        <f>T2133*W2133</f>
        <v>4.264285714285714</v>
      </c>
      <c r="AB2133" s="52">
        <f>V2133*W2133</f>
        <v>0</v>
      </c>
      <c r="AC2133" s="53">
        <f>(R2133+V2133)*W2133</f>
        <v>39.8</v>
      </c>
      <c r="AD2133" s="138">
        <v>19.9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109</v>
      </c>
      <c r="F2134" s="96" t="s">
        <v>111</v>
      </c>
      <c r="G2134" s="97">
        <v>46132</v>
      </c>
      <c r="H2134" s="98">
        <v>0.5172453703703703</v>
      </c>
      <c r="I2134" s="50">
        <v>169002609</v>
      </c>
      <c r="J2134" s="96" t="s">
        <v>157</v>
      </c>
      <c r="K2134" s="49" t="s">
        <v>212</v>
      </c>
      <c r="L2134" s="39" t="s">
        <v>213</v>
      </c>
      <c r="M2134" s="49" t="s">
        <v>214</v>
      </c>
      <c r="N2134" s="39" t="s">
        <v>215</v>
      </c>
      <c r="O2134" s="96" t="s">
        <v>2151</v>
      </c>
      <c r="P2134" s="49" t="s">
        <v>157</v>
      </c>
      <c r="Q2134" s="96" t="s">
        <v>104</v>
      </c>
      <c r="R2134" s="52">
        <v>24.9</v>
      </c>
      <c r="S2134" s="52">
        <f>R2134-T2134</f>
        <v>22.232142857142858</v>
      </c>
      <c r="T2134" s="52">
        <f>R2134*U2134/(U2134+100)</f>
        <v>2.6678571428571423</v>
      </c>
      <c r="U2134" s="50">
        <v>12</v>
      </c>
      <c r="V2134" s="53">
        <v>0</v>
      </c>
      <c r="W2134" s="147">
        <v>3</v>
      </c>
      <c r="X2134" s="148" t="s">
        <v>163</v>
      </c>
      <c r="Y2134" s="54">
        <f>R2134*W2134</f>
        <v>74.69999999999999</v>
      </c>
      <c r="Z2134" s="52">
        <f>S2134*W2134</f>
        <v>66.69642857142857</v>
      </c>
      <c r="AA2134" s="52">
        <f>T2134*W2134</f>
        <v>8.003571428571426</v>
      </c>
      <c r="AB2134" s="52">
        <f>V2134*W2134</f>
        <v>0</v>
      </c>
      <c r="AC2134" s="53">
        <f>(R2134+V2134)*W2134</f>
        <v>74.69999999999999</v>
      </c>
      <c r="AD2134" s="138">
        <v>24.9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109</v>
      </c>
      <c r="F2135" s="96" t="s">
        <v>111</v>
      </c>
      <c r="G2135" s="97">
        <v>46132</v>
      </c>
      <c r="H2135" s="98">
        <v>0.5172453703703703</v>
      </c>
      <c r="I2135" s="50">
        <v>169002609</v>
      </c>
      <c r="J2135" s="96" t="s">
        <v>157</v>
      </c>
      <c r="K2135" s="49" t="s">
        <v>293</v>
      </c>
      <c r="L2135" s="39" t="s">
        <v>294</v>
      </c>
      <c r="M2135" s="49" t="s">
        <v>295</v>
      </c>
      <c r="N2135" s="39" t="s">
        <v>296</v>
      </c>
      <c r="O2135" s="96" t="s">
        <v>297</v>
      </c>
      <c r="P2135" s="49" t="s">
        <v>157</v>
      </c>
      <c r="Q2135" s="96" t="s">
        <v>104</v>
      </c>
      <c r="R2135" s="52">
        <v>2.9</v>
      </c>
      <c r="S2135" s="52">
        <f>R2135-T2135</f>
        <v>2.5892857142857144</v>
      </c>
      <c r="T2135" s="52">
        <f>R2135*U2135/(U2135+100)</f>
        <v>0.31071428571428567</v>
      </c>
      <c r="U2135" s="50">
        <v>12</v>
      </c>
      <c r="V2135" s="53">
        <v>0</v>
      </c>
      <c r="W2135" s="147">
        <v>8</v>
      </c>
      <c r="X2135" s="148" t="s">
        <v>163</v>
      </c>
      <c r="Y2135" s="54">
        <f>R2135*W2135</f>
        <v>23.2</v>
      </c>
      <c r="Z2135" s="52">
        <f>S2135*W2135</f>
        <v>20.714285714285715</v>
      </c>
      <c r="AA2135" s="52">
        <f>T2135*W2135</f>
        <v>2.4857142857142853</v>
      </c>
      <c r="AB2135" s="52">
        <f>V2135*W2135</f>
        <v>0</v>
      </c>
      <c r="AC2135" s="53">
        <f>(R2135+V2135)*W2135</f>
        <v>23.2</v>
      </c>
      <c r="AD2135" s="138">
        <v>2.9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109</v>
      </c>
      <c r="F2136" s="96" t="s">
        <v>111</v>
      </c>
      <c r="G2136" s="97">
        <v>46132</v>
      </c>
      <c r="H2136" s="98">
        <v>0.5179166666666667</v>
      </c>
      <c r="I2136" s="50">
        <v>169002610</v>
      </c>
      <c r="J2136" s="96" t="s">
        <v>157</v>
      </c>
      <c r="K2136" s="49" t="s">
        <v>655</v>
      </c>
      <c r="L2136" s="39" t="s">
        <v>656</v>
      </c>
      <c r="M2136" s="49" t="s">
        <v>190</v>
      </c>
      <c r="N2136" s="39" t="s">
        <v>532</v>
      </c>
      <c r="O2136" s="96" t="s">
        <v>657</v>
      </c>
      <c r="P2136" s="49" t="s">
        <v>157</v>
      </c>
      <c r="Q2136" s="96" t="s">
        <v>104</v>
      </c>
      <c r="R2136" s="52">
        <v>35.9</v>
      </c>
      <c r="S2136" s="52">
        <f>R2136-T2136</f>
        <v>32.05357142857143</v>
      </c>
      <c r="T2136" s="52">
        <f>R2136*U2136/(U2136+100)</f>
        <v>3.846428571428571</v>
      </c>
      <c r="U2136" s="50">
        <v>12</v>
      </c>
      <c r="V2136" s="53">
        <v>0</v>
      </c>
      <c r="W2136" s="147">
        <v>0.354</v>
      </c>
      <c r="X2136" s="148" t="s">
        <v>193</v>
      </c>
      <c r="Y2136" s="54">
        <f>R2136*W2136</f>
        <v>12.708599999999999</v>
      </c>
      <c r="Z2136" s="52">
        <f>S2136*W2136</f>
        <v>11.346964285714286</v>
      </c>
      <c r="AA2136" s="52">
        <f>T2136*W2136</f>
        <v>1.361635714285714</v>
      </c>
      <c r="AB2136" s="52">
        <f>V2136*W2136</f>
        <v>0</v>
      </c>
      <c r="AC2136" s="53">
        <f>(R2136+V2136)*W2136</f>
        <v>12.708599999999999</v>
      </c>
      <c r="AD2136" s="138">
        <v>35.9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109</v>
      </c>
      <c r="F2137" s="96" t="s">
        <v>111</v>
      </c>
      <c r="G2137" s="97">
        <v>46132</v>
      </c>
      <c r="H2137" s="98">
        <v>0.5179166666666667</v>
      </c>
      <c r="I2137" s="50">
        <v>169002610</v>
      </c>
      <c r="J2137" s="96" t="s">
        <v>157</v>
      </c>
      <c r="K2137" s="49" t="s">
        <v>1440</v>
      </c>
      <c r="L2137" s="39" t="s">
        <v>1441</v>
      </c>
      <c r="M2137" s="49" t="s">
        <v>190</v>
      </c>
      <c r="N2137" s="39" t="s">
        <v>191</v>
      </c>
      <c r="O2137" s="96" t="s">
        <v>1442</v>
      </c>
      <c r="P2137" s="49" t="s">
        <v>157</v>
      </c>
      <c r="Q2137" s="96" t="s">
        <v>104</v>
      </c>
      <c r="R2137" s="52">
        <v>8.9</v>
      </c>
      <c r="S2137" s="52">
        <f>R2137-T2137</f>
        <v>7.946428571428572</v>
      </c>
      <c r="T2137" s="52">
        <f>R2137*U2137/(U2137+100)</f>
        <v>0.9535714285714286</v>
      </c>
      <c r="U2137" s="50">
        <v>12</v>
      </c>
      <c r="V2137" s="53">
        <v>0</v>
      </c>
      <c r="W2137" s="147">
        <v>1.25</v>
      </c>
      <c r="X2137" s="148" t="s">
        <v>193</v>
      </c>
      <c r="Y2137" s="54">
        <f>R2137*W2137</f>
        <v>11.125</v>
      </c>
      <c r="Z2137" s="52">
        <f>S2137*W2137</f>
        <v>9.933035714285715</v>
      </c>
      <c r="AA2137" s="52">
        <f>T2137*W2137</f>
        <v>1.1919642857142858</v>
      </c>
      <c r="AB2137" s="52">
        <f>V2137*W2137</f>
        <v>0</v>
      </c>
      <c r="AC2137" s="53">
        <f>(R2137+V2137)*W2137</f>
        <v>11.125</v>
      </c>
      <c r="AD2137" s="138">
        <v>8.9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109</v>
      </c>
      <c r="F2138" s="96" t="s">
        <v>111</v>
      </c>
      <c r="G2138" s="97">
        <v>46132</v>
      </c>
      <c r="H2138" s="98">
        <v>0.5179166666666667</v>
      </c>
      <c r="I2138" s="50">
        <v>169002610</v>
      </c>
      <c r="J2138" s="96" t="s">
        <v>157</v>
      </c>
      <c r="K2138" s="49" t="s">
        <v>266</v>
      </c>
      <c r="L2138" s="39" t="s">
        <v>267</v>
      </c>
      <c r="M2138" s="49" t="s">
        <v>268</v>
      </c>
      <c r="N2138" s="39" t="s">
        <v>269</v>
      </c>
      <c r="O2138" s="96" t="s">
        <v>1249</v>
      </c>
      <c r="P2138" s="49" t="s">
        <v>235</v>
      </c>
      <c r="Q2138" s="96" t="s">
        <v>236</v>
      </c>
      <c r="R2138" s="52">
        <v>11.9</v>
      </c>
      <c r="S2138" s="52">
        <f>R2138-T2138</f>
        <v>10.625</v>
      </c>
      <c r="T2138" s="52">
        <f>R2138*U2138/(U2138+100)</f>
        <v>1.2750000000000001</v>
      </c>
      <c r="U2138" s="50">
        <v>12</v>
      </c>
      <c r="V2138" s="53">
        <v>0</v>
      </c>
      <c r="W2138" s="147">
        <v>1</v>
      </c>
      <c r="X2138" s="148" t="s">
        <v>163</v>
      </c>
      <c r="Y2138" s="54">
        <f>R2138*W2138</f>
        <v>11.9</v>
      </c>
      <c r="Z2138" s="52">
        <f>S2138*W2138</f>
        <v>10.625</v>
      </c>
      <c r="AA2138" s="52">
        <f>T2138*W2138</f>
        <v>1.2750000000000001</v>
      </c>
      <c r="AB2138" s="52">
        <f>V2138*W2138</f>
        <v>0</v>
      </c>
      <c r="AC2138" s="53">
        <f>(R2138+V2138)*W2138</f>
        <v>11.9</v>
      </c>
      <c r="AD2138" s="138">
        <v>11.9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109</v>
      </c>
      <c r="F2139" s="96" t="s">
        <v>111</v>
      </c>
      <c r="G2139" s="97">
        <v>46132</v>
      </c>
      <c r="H2139" s="98">
        <v>0.5179166666666667</v>
      </c>
      <c r="I2139" s="50">
        <v>169002610</v>
      </c>
      <c r="J2139" s="96" t="s">
        <v>157</v>
      </c>
      <c r="K2139" s="49" t="s">
        <v>271</v>
      </c>
      <c r="L2139" s="39" t="s">
        <v>272</v>
      </c>
      <c r="M2139" s="49" t="s">
        <v>214</v>
      </c>
      <c r="N2139" s="39" t="s">
        <v>273</v>
      </c>
      <c r="O2139" s="96" t="s">
        <v>1715</v>
      </c>
      <c r="P2139" s="49" t="s">
        <v>157</v>
      </c>
      <c r="Q2139" s="96" t="s">
        <v>104</v>
      </c>
      <c r="R2139" s="52">
        <v>13.9</v>
      </c>
      <c r="S2139" s="52">
        <f>R2139-T2139</f>
        <v>12.410714285714286</v>
      </c>
      <c r="T2139" s="52">
        <f>R2139*U2139/(U2139+100)</f>
        <v>1.4892857142857143</v>
      </c>
      <c r="U2139" s="50">
        <v>12</v>
      </c>
      <c r="V2139" s="53">
        <v>0</v>
      </c>
      <c r="W2139" s="147">
        <v>1</v>
      </c>
      <c r="X2139" s="148" t="s">
        <v>163</v>
      </c>
      <c r="Y2139" s="54">
        <f>R2139*W2139</f>
        <v>13.9</v>
      </c>
      <c r="Z2139" s="52">
        <f>S2139*W2139</f>
        <v>12.410714285714286</v>
      </c>
      <c r="AA2139" s="52">
        <f>T2139*W2139</f>
        <v>1.4892857142857143</v>
      </c>
      <c r="AB2139" s="52">
        <f>V2139*W2139</f>
        <v>0</v>
      </c>
      <c r="AC2139" s="53">
        <f>(R2139+V2139)*W2139</f>
        <v>13.9</v>
      </c>
      <c r="AD2139" s="138">
        <v>13.9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109</v>
      </c>
      <c r="F2140" s="96" t="s">
        <v>111</v>
      </c>
      <c r="G2140" s="97">
        <v>46132</v>
      </c>
      <c r="H2140" s="98">
        <v>0.5182986111111111</v>
      </c>
      <c r="I2140" s="50">
        <v>169002611</v>
      </c>
      <c r="J2140" s="96" t="s">
        <v>157</v>
      </c>
      <c r="K2140" s="49" t="s">
        <v>3180</v>
      </c>
      <c r="L2140" s="39" t="s">
        <v>3181</v>
      </c>
      <c r="M2140" s="49" t="s">
        <v>209</v>
      </c>
      <c r="N2140" s="39" t="s">
        <v>319</v>
      </c>
      <c r="O2140" s="96" t="s">
        <v>3182</v>
      </c>
      <c r="P2140" s="49" t="s">
        <v>157</v>
      </c>
      <c r="Q2140" s="96" t="s">
        <v>104</v>
      </c>
      <c r="R2140" s="52">
        <v>32.9</v>
      </c>
      <c r="S2140" s="52">
        <f>R2140-T2140</f>
        <v>29.375</v>
      </c>
      <c r="T2140" s="52">
        <f>R2140*U2140/(U2140+100)</f>
        <v>3.5249999999999995</v>
      </c>
      <c r="U2140" s="50">
        <v>12</v>
      </c>
      <c r="V2140" s="53">
        <v>0</v>
      </c>
      <c r="W2140" s="147">
        <v>1</v>
      </c>
      <c r="X2140" s="148" t="s">
        <v>163</v>
      </c>
      <c r="Y2140" s="54">
        <f>R2140*W2140</f>
        <v>32.9</v>
      </c>
      <c r="Z2140" s="52">
        <f>S2140*W2140</f>
        <v>29.375</v>
      </c>
      <c r="AA2140" s="52">
        <f>T2140*W2140</f>
        <v>3.5249999999999995</v>
      </c>
      <c r="AB2140" s="52">
        <f>V2140*W2140</f>
        <v>0</v>
      </c>
      <c r="AC2140" s="53">
        <f>(R2140+V2140)*W2140</f>
        <v>32.9</v>
      </c>
      <c r="AD2140" s="138">
        <v>32.9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109</v>
      </c>
      <c r="F2141" s="96" t="s">
        <v>111</v>
      </c>
      <c r="G2141" s="97">
        <v>46132</v>
      </c>
      <c r="H2141" s="98">
        <v>0.5188888888888888</v>
      </c>
      <c r="I2141" s="50">
        <v>169002612</v>
      </c>
      <c r="J2141" s="96" t="s">
        <v>157</v>
      </c>
      <c r="K2141" s="49" t="s">
        <v>1269</v>
      </c>
      <c r="L2141" s="39" t="s">
        <v>1270</v>
      </c>
      <c r="M2141" s="49" t="s">
        <v>429</v>
      </c>
      <c r="N2141" s="39" t="s">
        <v>404</v>
      </c>
      <c r="O2141" s="96" t="s">
        <v>1271</v>
      </c>
      <c r="P2141" s="49" t="s">
        <v>235</v>
      </c>
      <c r="Q2141" s="96" t="s">
        <v>236</v>
      </c>
      <c r="R2141" s="52">
        <v>16.9</v>
      </c>
      <c r="S2141" s="52">
        <f>R2141-T2141</f>
        <v>15.089285714285714</v>
      </c>
      <c r="T2141" s="52">
        <f>R2141*U2141/(U2141+100)</f>
        <v>1.8107142857142855</v>
      </c>
      <c r="U2141" s="50">
        <v>12</v>
      </c>
      <c r="V2141" s="53">
        <v>0</v>
      </c>
      <c r="W2141" s="147">
        <v>1</v>
      </c>
      <c r="X2141" s="148" t="s">
        <v>163</v>
      </c>
      <c r="Y2141" s="54">
        <f>R2141*W2141</f>
        <v>16.9</v>
      </c>
      <c r="Z2141" s="52">
        <f>S2141*W2141</f>
        <v>15.089285714285714</v>
      </c>
      <c r="AA2141" s="52">
        <f>T2141*W2141</f>
        <v>1.8107142857142855</v>
      </c>
      <c r="AB2141" s="52">
        <f>V2141*W2141</f>
        <v>0</v>
      </c>
      <c r="AC2141" s="53">
        <f>(R2141+V2141)*W2141</f>
        <v>16.9</v>
      </c>
      <c r="AD2141" s="138">
        <v>16.9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109</v>
      </c>
      <c r="F2142" s="96" t="s">
        <v>111</v>
      </c>
      <c r="G2142" s="97">
        <v>46132</v>
      </c>
      <c r="H2142" s="98">
        <v>0.5188888888888888</v>
      </c>
      <c r="I2142" s="50">
        <v>169002612</v>
      </c>
      <c r="J2142" s="96" t="s">
        <v>157</v>
      </c>
      <c r="K2142" s="49" t="s">
        <v>2622</v>
      </c>
      <c r="L2142" s="39" t="s">
        <v>2623</v>
      </c>
      <c r="M2142" s="49" t="s">
        <v>429</v>
      </c>
      <c r="N2142" s="39" t="s">
        <v>348</v>
      </c>
      <c r="O2142" s="96" t="s">
        <v>2624</v>
      </c>
      <c r="P2142" s="49" t="s">
        <v>235</v>
      </c>
      <c r="Q2142" s="96" t="s">
        <v>236</v>
      </c>
      <c r="R2142" s="52">
        <v>16.9</v>
      </c>
      <c r="S2142" s="52">
        <f>R2142-T2142</f>
        <v>15.089285714285714</v>
      </c>
      <c r="T2142" s="52">
        <f>R2142*U2142/(U2142+100)</f>
        <v>1.8107142857142855</v>
      </c>
      <c r="U2142" s="50">
        <v>12</v>
      </c>
      <c r="V2142" s="53">
        <v>0</v>
      </c>
      <c r="W2142" s="147">
        <v>1</v>
      </c>
      <c r="X2142" s="148" t="s">
        <v>163</v>
      </c>
      <c r="Y2142" s="54">
        <f>R2142*W2142</f>
        <v>16.9</v>
      </c>
      <c r="Z2142" s="52">
        <f>S2142*W2142</f>
        <v>15.089285714285714</v>
      </c>
      <c r="AA2142" s="52">
        <f>T2142*W2142</f>
        <v>1.8107142857142855</v>
      </c>
      <c r="AB2142" s="52">
        <f>V2142*W2142</f>
        <v>0</v>
      </c>
      <c r="AC2142" s="53">
        <f>(R2142+V2142)*W2142</f>
        <v>16.9</v>
      </c>
      <c r="AD2142" s="138">
        <v>16.9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109</v>
      </c>
      <c r="F2143" s="96" t="s">
        <v>111</v>
      </c>
      <c r="G2143" s="97">
        <v>46132</v>
      </c>
      <c r="H2143" s="98">
        <v>0.5188888888888888</v>
      </c>
      <c r="I2143" s="50">
        <v>169002612</v>
      </c>
      <c r="J2143" s="96" t="s">
        <v>157</v>
      </c>
      <c r="K2143" s="49" t="s">
        <v>780</v>
      </c>
      <c r="L2143" s="39" t="s">
        <v>781</v>
      </c>
      <c r="M2143" s="49" t="s">
        <v>300</v>
      </c>
      <c r="N2143" s="39" t="s">
        <v>778</v>
      </c>
      <c r="O2143" s="96" t="s">
        <v>3183</v>
      </c>
      <c r="P2143" s="49" t="s">
        <v>157</v>
      </c>
      <c r="Q2143" s="96" t="s">
        <v>104</v>
      </c>
      <c r="R2143" s="52">
        <v>19.9</v>
      </c>
      <c r="S2143" s="52">
        <f>R2143-T2143</f>
        <v>17.767857142857142</v>
      </c>
      <c r="T2143" s="52">
        <f>R2143*U2143/(U2143+100)</f>
        <v>2.132142857142857</v>
      </c>
      <c r="U2143" s="50">
        <v>12</v>
      </c>
      <c r="V2143" s="53">
        <v>0</v>
      </c>
      <c r="W2143" s="147">
        <v>1</v>
      </c>
      <c r="X2143" s="148" t="s">
        <v>163</v>
      </c>
      <c r="Y2143" s="54">
        <f>R2143*W2143</f>
        <v>19.9</v>
      </c>
      <c r="Z2143" s="52">
        <f>S2143*W2143</f>
        <v>17.767857142857142</v>
      </c>
      <c r="AA2143" s="52">
        <f>T2143*W2143</f>
        <v>2.132142857142857</v>
      </c>
      <c r="AB2143" s="52">
        <f>V2143*W2143</f>
        <v>0</v>
      </c>
      <c r="AC2143" s="53">
        <f>(R2143+V2143)*W2143</f>
        <v>19.9</v>
      </c>
      <c r="AD2143" s="138">
        <v>19.9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109</v>
      </c>
      <c r="F2144" s="96" t="s">
        <v>111</v>
      </c>
      <c r="G2144" s="97">
        <v>46132</v>
      </c>
      <c r="H2144" s="98">
        <v>0.5188888888888888</v>
      </c>
      <c r="I2144" s="50">
        <v>169002612</v>
      </c>
      <c r="J2144" s="96" t="s">
        <v>157</v>
      </c>
      <c r="K2144" s="49" t="s">
        <v>780</v>
      </c>
      <c r="L2144" s="39" t="s">
        <v>781</v>
      </c>
      <c r="M2144" s="49" t="s">
        <v>300</v>
      </c>
      <c r="N2144" s="39" t="s">
        <v>778</v>
      </c>
      <c r="O2144" s="96" t="s">
        <v>3183</v>
      </c>
      <c r="P2144" s="49" t="s">
        <v>157</v>
      </c>
      <c r="Q2144" s="96" t="s">
        <v>104</v>
      </c>
      <c r="R2144" s="52">
        <v>19.9</v>
      </c>
      <c r="S2144" s="52">
        <f>R2144-T2144</f>
        <v>17.767857142857142</v>
      </c>
      <c r="T2144" s="52">
        <f>R2144*U2144/(U2144+100)</f>
        <v>2.132142857142857</v>
      </c>
      <c r="U2144" s="50">
        <v>12</v>
      </c>
      <c r="V2144" s="53">
        <v>0</v>
      </c>
      <c r="W2144" s="147">
        <v>1</v>
      </c>
      <c r="X2144" s="148" t="s">
        <v>163</v>
      </c>
      <c r="Y2144" s="54">
        <f>R2144*W2144</f>
        <v>19.9</v>
      </c>
      <c r="Z2144" s="52">
        <f>S2144*W2144</f>
        <v>17.767857142857142</v>
      </c>
      <c r="AA2144" s="52">
        <f>T2144*W2144</f>
        <v>2.132142857142857</v>
      </c>
      <c r="AB2144" s="52">
        <f>V2144*W2144</f>
        <v>0</v>
      </c>
      <c r="AC2144" s="53">
        <f>(R2144+V2144)*W2144</f>
        <v>19.9</v>
      </c>
      <c r="AD2144" s="138">
        <v>19.9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109</v>
      </c>
      <c r="F2145" s="96" t="s">
        <v>111</v>
      </c>
      <c r="G2145" s="97">
        <v>46132</v>
      </c>
      <c r="H2145" s="98">
        <v>0.5188888888888888</v>
      </c>
      <c r="I2145" s="50">
        <v>169002612</v>
      </c>
      <c r="J2145" s="96" t="s">
        <v>157</v>
      </c>
      <c r="K2145" s="49" t="s">
        <v>560</v>
      </c>
      <c r="L2145" s="39" t="s">
        <v>104</v>
      </c>
      <c r="M2145" s="49" t="s">
        <v>554</v>
      </c>
      <c r="N2145" s="39" t="s">
        <v>296</v>
      </c>
      <c r="O2145" s="96" t="s">
        <v>561</v>
      </c>
      <c r="P2145" s="49" t="s">
        <v>157</v>
      </c>
      <c r="Q2145" s="96" t="s">
        <v>104</v>
      </c>
      <c r="R2145" s="52">
        <v>8.9</v>
      </c>
      <c r="S2145" s="52">
        <f>R2145-T2145</f>
        <v>7.946428571428572</v>
      </c>
      <c r="T2145" s="52">
        <f>R2145*U2145/(U2145+100)</f>
        <v>0.9535714285714286</v>
      </c>
      <c r="U2145" s="50">
        <v>12</v>
      </c>
      <c r="V2145" s="53">
        <v>0</v>
      </c>
      <c r="W2145" s="147">
        <v>1</v>
      </c>
      <c r="X2145" s="148" t="s">
        <v>163</v>
      </c>
      <c r="Y2145" s="54">
        <f>R2145*W2145</f>
        <v>8.9</v>
      </c>
      <c r="Z2145" s="52">
        <f>S2145*W2145</f>
        <v>7.946428571428572</v>
      </c>
      <c r="AA2145" s="52">
        <f>T2145*W2145</f>
        <v>0.9535714285714286</v>
      </c>
      <c r="AB2145" s="52">
        <f>V2145*W2145</f>
        <v>0</v>
      </c>
      <c r="AC2145" s="53">
        <f>(R2145+V2145)*W2145</f>
        <v>8.9</v>
      </c>
      <c r="AD2145" s="138">
        <v>8.9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109</v>
      </c>
      <c r="F2146" s="96" t="s">
        <v>111</v>
      </c>
      <c r="G2146" s="97">
        <v>46132</v>
      </c>
      <c r="H2146" s="98">
        <v>0.5189930555555555</v>
      </c>
      <c r="I2146" s="50">
        <v>169002613</v>
      </c>
      <c r="J2146" s="96" t="s">
        <v>157</v>
      </c>
      <c r="K2146" s="49" t="s">
        <v>2148</v>
      </c>
      <c r="L2146" s="39" t="s">
        <v>2149</v>
      </c>
      <c r="M2146" s="49" t="s">
        <v>360</v>
      </c>
      <c r="N2146" s="39" t="s">
        <v>167</v>
      </c>
      <c r="O2146" s="96" t="s">
        <v>2150</v>
      </c>
      <c r="P2146" s="49" t="s">
        <v>157</v>
      </c>
      <c r="Q2146" s="96" t="s">
        <v>104</v>
      </c>
      <c r="R2146" s="52">
        <v>11.4</v>
      </c>
      <c r="S2146" s="52">
        <f>R2146-T2146</f>
        <v>9.421487603305785</v>
      </c>
      <c r="T2146" s="52">
        <f>R2146*U2146/(U2146+100)</f>
        <v>1.9785123966942149</v>
      </c>
      <c r="U2146" s="50">
        <v>21</v>
      </c>
      <c r="V2146" s="53">
        <v>0</v>
      </c>
      <c r="W2146" s="147">
        <v>1</v>
      </c>
      <c r="X2146" s="148" t="s">
        <v>163</v>
      </c>
      <c r="Y2146" s="54">
        <f>R2146*W2146</f>
        <v>11.4</v>
      </c>
      <c r="Z2146" s="52">
        <f>S2146*W2146</f>
        <v>9.421487603305785</v>
      </c>
      <c r="AA2146" s="52">
        <f>T2146*W2146</f>
        <v>1.9785123966942149</v>
      </c>
      <c r="AB2146" s="52">
        <f>V2146*W2146</f>
        <v>0</v>
      </c>
      <c r="AC2146" s="53">
        <f>(R2146+V2146)*W2146</f>
        <v>11.4</v>
      </c>
      <c r="AD2146" s="138">
        <v>11.4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109</v>
      </c>
      <c r="F2147" s="96" t="s">
        <v>111</v>
      </c>
      <c r="G2147" s="97">
        <v>46132</v>
      </c>
      <c r="H2147" s="98">
        <v>0.5198379629629629</v>
      </c>
      <c r="I2147" s="50">
        <v>169002614</v>
      </c>
      <c r="J2147" s="96" t="s">
        <v>157</v>
      </c>
      <c r="K2147" s="49" t="s">
        <v>303</v>
      </c>
      <c r="L2147" s="39" t="s">
        <v>304</v>
      </c>
      <c r="M2147" s="49" t="s">
        <v>214</v>
      </c>
      <c r="N2147" s="39" t="s">
        <v>296</v>
      </c>
      <c r="O2147" s="96" t="s">
        <v>305</v>
      </c>
      <c r="P2147" s="49" t="s">
        <v>157</v>
      </c>
      <c r="Q2147" s="96" t="s">
        <v>104</v>
      </c>
      <c r="R2147" s="52">
        <v>11.9</v>
      </c>
      <c r="S2147" s="52">
        <f>R2147-T2147</f>
        <v>10.625</v>
      </c>
      <c r="T2147" s="52">
        <f>R2147*U2147/(U2147+100)</f>
        <v>1.2750000000000001</v>
      </c>
      <c r="U2147" s="50">
        <v>12</v>
      </c>
      <c r="V2147" s="53">
        <v>0</v>
      </c>
      <c r="W2147" s="147">
        <v>1</v>
      </c>
      <c r="X2147" s="148" t="s">
        <v>163</v>
      </c>
      <c r="Y2147" s="54">
        <f>R2147*W2147</f>
        <v>11.9</v>
      </c>
      <c r="Z2147" s="52">
        <f>S2147*W2147</f>
        <v>10.625</v>
      </c>
      <c r="AA2147" s="52">
        <f>T2147*W2147</f>
        <v>1.2750000000000001</v>
      </c>
      <c r="AB2147" s="52">
        <f>V2147*W2147</f>
        <v>0</v>
      </c>
      <c r="AC2147" s="53">
        <f>(R2147+V2147)*W2147</f>
        <v>11.9</v>
      </c>
      <c r="AD2147" s="138">
        <v>11.9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109</v>
      </c>
      <c r="F2148" s="96" t="s">
        <v>111</v>
      </c>
      <c r="G2148" s="97">
        <v>46132</v>
      </c>
      <c r="H2148" s="98">
        <v>0.5198379629629629</v>
      </c>
      <c r="I2148" s="50">
        <v>169002614</v>
      </c>
      <c r="J2148" s="96" t="s">
        <v>157</v>
      </c>
      <c r="K2148" s="49" t="s">
        <v>371</v>
      </c>
      <c r="L2148" s="39" t="s">
        <v>372</v>
      </c>
      <c r="M2148" s="49" t="s">
        <v>277</v>
      </c>
      <c r="N2148" s="39" t="s">
        <v>373</v>
      </c>
      <c r="O2148" s="96" t="s">
        <v>2042</v>
      </c>
      <c r="P2148" s="49" t="s">
        <v>157</v>
      </c>
      <c r="Q2148" s="96" t="s">
        <v>104</v>
      </c>
      <c r="R2148" s="52">
        <v>208.9</v>
      </c>
      <c r="S2148" s="52">
        <f>R2148-T2148</f>
        <v>186.51785714285714</v>
      </c>
      <c r="T2148" s="52">
        <f>R2148*U2148/(U2148+100)</f>
        <v>22.38214285714286</v>
      </c>
      <c r="U2148" s="50">
        <v>12</v>
      </c>
      <c r="V2148" s="53">
        <v>0</v>
      </c>
      <c r="W2148" s="147">
        <v>0.124</v>
      </c>
      <c r="X2148" s="148" t="s">
        <v>193</v>
      </c>
      <c r="Y2148" s="54">
        <f>R2148*W2148</f>
        <v>25.9036</v>
      </c>
      <c r="Z2148" s="52">
        <f>S2148*W2148</f>
        <v>23.128214285714286</v>
      </c>
      <c r="AA2148" s="52">
        <f>T2148*W2148</f>
        <v>2.7753857142857146</v>
      </c>
      <c r="AB2148" s="52">
        <f>V2148*W2148</f>
        <v>0</v>
      </c>
      <c r="AC2148" s="53">
        <f>(R2148+V2148)*W2148</f>
        <v>25.9036</v>
      </c>
      <c r="AD2148" s="138">
        <v>208.9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109</v>
      </c>
      <c r="F2149" s="96" t="s">
        <v>111</v>
      </c>
      <c r="G2149" s="97">
        <v>46132</v>
      </c>
      <c r="H2149" s="98">
        <v>0.5215393518518519</v>
      </c>
      <c r="I2149" s="50">
        <v>169002615</v>
      </c>
      <c r="J2149" s="96" t="s">
        <v>157</v>
      </c>
      <c r="K2149" s="49" t="s">
        <v>3184</v>
      </c>
      <c r="L2149" s="39" t="s">
        <v>3185</v>
      </c>
      <c r="M2149" s="49" t="s">
        <v>1405</v>
      </c>
      <c r="N2149" s="39" t="s">
        <v>778</v>
      </c>
      <c r="O2149" s="96" t="s">
        <v>3186</v>
      </c>
      <c r="P2149" s="49" t="s">
        <v>157</v>
      </c>
      <c r="Q2149" s="96" t="s">
        <v>104</v>
      </c>
      <c r="R2149" s="52">
        <v>12.4</v>
      </c>
      <c r="S2149" s="52">
        <f>R2149-T2149</f>
        <v>11.071428571428571</v>
      </c>
      <c r="T2149" s="52">
        <f>R2149*U2149/(U2149+100)</f>
        <v>1.3285714285714287</v>
      </c>
      <c r="U2149" s="50">
        <v>12</v>
      </c>
      <c r="V2149" s="53">
        <v>0</v>
      </c>
      <c r="W2149" s="147">
        <v>1</v>
      </c>
      <c r="X2149" s="148" t="s">
        <v>163</v>
      </c>
      <c r="Y2149" s="54">
        <f>R2149*W2149</f>
        <v>12.4</v>
      </c>
      <c r="Z2149" s="52">
        <f>S2149*W2149</f>
        <v>11.071428571428571</v>
      </c>
      <c r="AA2149" s="52">
        <f>T2149*W2149</f>
        <v>1.3285714285714287</v>
      </c>
      <c r="AB2149" s="52">
        <f>V2149*W2149</f>
        <v>0</v>
      </c>
      <c r="AC2149" s="53">
        <f>(R2149+V2149)*W2149</f>
        <v>12.4</v>
      </c>
      <c r="AD2149" s="138">
        <v>12.4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109</v>
      </c>
      <c r="F2150" s="96" t="s">
        <v>111</v>
      </c>
      <c r="G2150" s="97">
        <v>46132</v>
      </c>
      <c r="H2150" s="98">
        <v>0.5215393518518519</v>
      </c>
      <c r="I2150" s="50">
        <v>169002615</v>
      </c>
      <c r="J2150" s="96" t="s">
        <v>157</v>
      </c>
      <c r="K2150" s="49" t="s">
        <v>3187</v>
      </c>
      <c r="L2150" s="39" t="s">
        <v>3188</v>
      </c>
      <c r="M2150" s="49" t="s">
        <v>823</v>
      </c>
      <c r="N2150" s="39" t="s">
        <v>609</v>
      </c>
      <c r="O2150" s="96" t="s">
        <v>3189</v>
      </c>
      <c r="P2150" s="49" t="s">
        <v>157</v>
      </c>
      <c r="Q2150" s="96" t="s">
        <v>104</v>
      </c>
      <c r="R2150" s="52">
        <v>11.9</v>
      </c>
      <c r="S2150" s="52">
        <f>R2150-T2150</f>
        <v>10.625</v>
      </c>
      <c r="T2150" s="52">
        <f>R2150*U2150/(U2150+100)</f>
        <v>1.2750000000000001</v>
      </c>
      <c r="U2150" s="50">
        <v>12</v>
      </c>
      <c r="V2150" s="53">
        <v>0</v>
      </c>
      <c r="W2150" s="147">
        <v>1</v>
      </c>
      <c r="X2150" s="148" t="s">
        <v>163</v>
      </c>
      <c r="Y2150" s="54">
        <f>R2150*W2150</f>
        <v>11.9</v>
      </c>
      <c r="Z2150" s="52">
        <f>S2150*W2150</f>
        <v>10.625</v>
      </c>
      <c r="AA2150" s="52">
        <f>T2150*W2150</f>
        <v>1.2750000000000001</v>
      </c>
      <c r="AB2150" s="52">
        <f>V2150*W2150</f>
        <v>0</v>
      </c>
      <c r="AC2150" s="53">
        <f>(R2150+V2150)*W2150</f>
        <v>11.9</v>
      </c>
      <c r="AD2150" s="138">
        <v>11.9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109</v>
      </c>
      <c r="F2151" s="96" t="s">
        <v>111</v>
      </c>
      <c r="G2151" s="97">
        <v>46132</v>
      </c>
      <c r="H2151" s="98">
        <v>0.5215393518518519</v>
      </c>
      <c r="I2151" s="50">
        <v>169002615</v>
      </c>
      <c r="J2151" s="96" t="s">
        <v>157</v>
      </c>
      <c r="K2151" s="49" t="s">
        <v>288</v>
      </c>
      <c r="L2151" s="39" t="s">
        <v>289</v>
      </c>
      <c r="M2151" s="49" t="s">
        <v>290</v>
      </c>
      <c r="N2151" s="39" t="s">
        <v>291</v>
      </c>
      <c r="O2151" s="96" t="s">
        <v>292</v>
      </c>
      <c r="P2151" s="49" t="s">
        <v>157</v>
      </c>
      <c r="Q2151" s="96" t="s">
        <v>104</v>
      </c>
      <c r="R2151" s="52">
        <v>16.9</v>
      </c>
      <c r="S2151" s="52">
        <f>R2151-T2151</f>
        <v>15.089285714285714</v>
      </c>
      <c r="T2151" s="52">
        <f>R2151*U2151/(U2151+100)</f>
        <v>1.8107142857142855</v>
      </c>
      <c r="U2151" s="50">
        <v>12</v>
      </c>
      <c r="V2151" s="53">
        <v>0</v>
      </c>
      <c r="W2151" s="147">
        <v>1</v>
      </c>
      <c r="X2151" s="148" t="s">
        <v>163</v>
      </c>
      <c r="Y2151" s="54">
        <f>R2151*W2151</f>
        <v>16.9</v>
      </c>
      <c r="Z2151" s="52">
        <f>S2151*W2151</f>
        <v>15.089285714285714</v>
      </c>
      <c r="AA2151" s="52">
        <f>T2151*W2151</f>
        <v>1.8107142857142855</v>
      </c>
      <c r="AB2151" s="52">
        <f>V2151*W2151</f>
        <v>0</v>
      </c>
      <c r="AC2151" s="53">
        <f>(R2151+V2151)*W2151</f>
        <v>16.9</v>
      </c>
      <c r="AD2151" s="138">
        <v>16.9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109</v>
      </c>
      <c r="F2152" s="96" t="s">
        <v>111</v>
      </c>
      <c r="G2152" s="97">
        <v>46132</v>
      </c>
      <c r="H2152" s="98">
        <v>0.5215393518518519</v>
      </c>
      <c r="I2152" s="50">
        <v>169002615</v>
      </c>
      <c r="J2152" s="96" t="s">
        <v>157</v>
      </c>
      <c r="K2152" s="49" t="s">
        <v>992</v>
      </c>
      <c r="L2152" s="39" t="s">
        <v>993</v>
      </c>
      <c r="M2152" s="49" t="s">
        <v>214</v>
      </c>
      <c r="N2152" s="39" t="s">
        <v>501</v>
      </c>
      <c r="O2152" s="96" t="s">
        <v>994</v>
      </c>
      <c r="P2152" s="49" t="s">
        <v>157</v>
      </c>
      <c r="Q2152" s="96" t="s">
        <v>104</v>
      </c>
      <c r="R2152" s="52">
        <v>6.9</v>
      </c>
      <c r="S2152" s="52">
        <f>R2152-T2152</f>
        <v>6.160714285714286</v>
      </c>
      <c r="T2152" s="52">
        <f>R2152*U2152/(U2152+100)</f>
        <v>0.7392857142857144</v>
      </c>
      <c r="U2152" s="50">
        <v>12</v>
      </c>
      <c r="V2152" s="53">
        <v>0</v>
      </c>
      <c r="W2152" s="147">
        <v>3</v>
      </c>
      <c r="X2152" s="148" t="s">
        <v>163</v>
      </c>
      <c r="Y2152" s="54">
        <f>R2152*W2152</f>
        <v>20.700000000000003</v>
      </c>
      <c r="Z2152" s="52">
        <f>S2152*W2152</f>
        <v>18.482142857142858</v>
      </c>
      <c r="AA2152" s="52">
        <f>T2152*W2152</f>
        <v>2.2178571428571434</v>
      </c>
      <c r="AB2152" s="52">
        <f>V2152*W2152</f>
        <v>0</v>
      </c>
      <c r="AC2152" s="53">
        <f>(R2152+V2152)*W2152</f>
        <v>20.700000000000003</v>
      </c>
      <c r="AD2152" s="138">
        <v>6.9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109</v>
      </c>
      <c r="F2153" s="96" t="s">
        <v>111</v>
      </c>
      <c r="G2153" s="97">
        <v>46132</v>
      </c>
      <c r="H2153" s="98">
        <v>0.5215393518518519</v>
      </c>
      <c r="I2153" s="50">
        <v>169002615</v>
      </c>
      <c r="J2153" s="96" t="s">
        <v>157</v>
      </c>
      <c r="K2153" s="49" t="s">
        <v>1440</v>
      </c>
      <c r="L2153" s="39" t="s">
        <v>1441</v>
      </c>
      <c r="M2153" s="49" t="s">
        <v>190</v>
      </c>
      <c r="N2153" s="39" t="s">
        <v>191</v>
      </c>
      <c r="O2153" s="96" t="s">
        <v>1442</v>
      </c>
      <c r="P2153" s="49" t="s">
        <v>157</v>
      </c>
      <c r="Q2153" s="96" t="s">
        <v>104</v>
      </c>
      <c r="R2153" s="52">
        <v>8.9</v>
      </c>
      <c r="S2153" s="52">
        <f>R2153-T2153</f>
        <v>7.946428571428572</v>
      </c>
      <c r="T2153" s="52">
        <f>R2153*U2153/(U2153+100)</f>
        <v>0.9535714285714286</v>
      </c>
      <c r="U2153" s="50">
        <v>12</v>
      </c>
      <c r="V2153" s="53">
        <v>0</v>
      </c>
      <c r="W2153" s="147">
        <v>2.188</v>
      </c>
      <c r="X2153" s="148" t="s">
        <v>193</v>
      </c>
      <c r="Y2153" s="54">
        <f>R2153*W2153</f>
        <v>19.473200000000002</v>
      </c>
      <c r="Z2153" s="52">
        <f>S2153*W2153</f>
        <v>17.38678571428572</v>
      </c>
      <c r="AA2153" s="52">
        <f>T2153*W2153</f>
        <v>2.086414285714286</v>
      </c>
      <c r="AB2153" s="52">
        <f>V2153*W2153</f>
        <v>0</v>
      </c>
      <c r="AC2153" s="53">
        <f>(R2153+V2153)*W2153</f>
        <v>19.473200000000002</v>
      </c>
      <c r="AD2153" s="138">
        <v>8.9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109</v>
      </c>
      <c r="F2154" s="96" t="s">
        <v>111</v>
      </c>
      <c r="G2154" s="97">
        <v>46132</v>
      </c>
      <c r="H2154" s="98">
        <v>0.5215393518518519</v>
      </c>
      <c r="I2154" s="50">
        <v>169002615</v>
      </c>
      <c r="J2154" s="96" t="s">
        <v>157</v>
      </c>
      <c r="K2154" s="49" t="s">
        <v>680</v>
      </c>
      <c r="L2154" s="39" t="s">
        <v>681</v>
      </c>
      <c r="M2154" s="49" t="s">
        <v>190</v>
      </c>
      <c r="N2154" s="39" t="s">
        <v>532</v>
      </c>
      <c r="O2154" s="96" t="s">
        <v>682</v>
      </c>
      <c r="P2154" s="49" t="s">
        <v>157</v>
      </c>
      <c r="Q2154" s="96" t="s">
        <v>104</v>
      </c>
      <c r="R2154" s="52">
        <v>24.9</v>
      </c>
      <c r="S2154" s="52">
        <f>R2154-T2154</f>
        <v>22.232142857142858</v>
      </c>
      <c r="T2154" s="52">
        <f>R2154*U2154/(U2154+100)</f>
        <v>2.6678571428571423</v>
      </c>
      <c r="U2154" s="50">
        <v>12</v>
      </c>
      <c r="V2154" s="53">
        <v>0</v>
      </c>
      <c r="W2154" s="147">
        <v>0.658</v>
      </c>
      <c r="X2154" s="148" t="s">
        <v>193</v>
      </c>
      <c r="Y2154" s="54">
        <f>R2154*W2154</f>
        <v>16.3842</v>
      </c>
      <c r="Z2154" s="52">
        <f>S2154*W2154</f>
        <v>14.62875</v>
      </c>
      <c r="AA2154" s="52">
        <f>T2154*W2154</f>
        <v>1.7554499999999997</v>
      </c>
      <c r="AB2154" s="52">
        <f>V2154*W2154</f>
        <v>0</v>
      </c>
      <c r="AC2154" s="53">
        <f>(R2154+V2154)*W2154</f>
        <v>16.3842</v>
      </c>
      <c r="AD2154" s="138">
        <v>24.9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109</v>
      </c>
      <c r="F2155" s="96" t="s">
        <v>111</v>
      </c>
      <c r="G2155" s="97">
        <v>46132</v>
      </c>
      <c r="H2155" s="98">
        <v>0.5215393518518519</v>
      </c>
      <c r="I2155" s="50">
        <v>169002615</v>
      </c>
      <c r="J2155" s="96" t="s">
        <v>157</v>
      </c>
      <c r="K2155" s="49" t="s">
        <v>658</v>
      </c>
      <c r="L2155" s="39" t="s">
        <v>104</v>
      </c>
      <c r="M2155" s="49" t="s">
        <v>190</v>
      </c>
      <c r="N2155" s="39" t="s">
        <v>462</v>
      </c>
      <c r="O2155" s="96" t="s">
        <v>1871</v>
      </c>
      <c r="P2155" s="49" t="s">
        <v>157</v>
      </c>
      <c r="Q2155" s="96" t="s">
        <v>104</v>
      </c>
      <c r="R2155" s="52">
        <v>13.9</v>
      </c>
      <c r="S2155" s="52">
        <f>R2155-T2155</f>
        <v>12.410714285714286</v>
      </c>
      <c r="T2155" s="52">
        <f>R2155*U2155/(U2155+100)</f>
        <v>1.4892857142857143</v>
      </c>
      <c r="U2155" s="50">
        <v>12</v>
      </c>
      <c r="V2155" s="53">
        <v>0</v>
      </c>
      <c r="W2155" s="147">
        <v>2</v>
      </c>
      <c r="X2155" s="148" t="s">
        <v>163</v>
      </c>
      <c r="Y2155" s="54">
        <f>R2155*W2155</f>
        <v>27.8</v>
      </c>
      <c r="Z2155" s="52">
        <f>S2155*W2155</f>
        <v>24.821428571428573</v>
      </c>
      <c r="AA2155" s="52">
        <f>T2155*W2155</f>
        <v>2.9785714285714286</v>
      </c>
      <c r="AB2155" s="52">
        <f>V2155*W2155</f>
        <v>0</v>
      </c>
      <c r="AC2155" s="53">
        <f>(R2155+V2155)*W2155</f>
        <v>27.8</v>
      </c>
      <c r="AD2155" s="138">
        <v>13.9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109</v>
      </c>
      <c r="F2156" s="96" t="s">
        <v>111</v>
      </c>
      <c r="G2156" s="97">
        <v>46132</v>
      </c>
      <c r="H2156" s="98">
        <v>0.5215393518518519</v>
      </c>
      <c r="I2156" s="50">
        <v>169002615</v>
      </c>
      <c r="J2156" s="96" t="s">
        <v>157</v>
      </c>
      <c r="K2156" s="49" t="s">
        <v>1085</v>
      </c>
      <c r="L2156" s="39" t="s">
        <v>1086</v>
      </c>
      <c r="M2156" s="49" t="s">
        <v>1087</v>
      </c>
      <c r="N2156" s="39" t="s">
        <v>1088</v>
      </c>
      <c r="O2156" s="96" t="s">
        <v>1089</v>
      </c>
      <c r="P2156" s="49" t="s">
        <v>157</v>
      </c>
      <c r="Q2156" s="96" t="s">
        <v>104</v>
      </c>
      <c r="R2156" s="52">
        <v>163.03</v>
      </c>
      <c r="S2156" s="52">
        <f>R2156-T2156</f>
        <v>145.5625</v>
      </c>
      <c r="T2156" s="52">
        <f>R2156*U2156/(U2156+100)</f>
        <v>17.4675</v>
      </c>
      <c r="U2156" s="50">
        <v>12</v>
      </c>
      <c r="V2156" s="53">
        <v>0</v>
      </c>
      <c r="W2156" s="147">
        <v>0.098</v>
      </c>
      <c r="X2156" s="148" t="s">
        <v>193</v>
      </c>
      <c r="Y2156" s="54">
        <f>R2156*W2156</f>
        <v>15.97694</v>
      </c>
      <c r="Z2156" s="52">
        <f>S2156*W2156</f>
        <v>14.265125000000001</v>
      </c>
      <c r="AA2156" s="52">
        <f>T2156*W2156</f>
        <v>1.711815</v>
      </c>
      <c r="AB2156" s="52">
        <f>V2156*W2156</f>
        <v>0</v>
      </c>
      <c r="AC2156" s="53">
        <f>(R2156+V2156)*W2156</f>
        <v>15.97694</v>
      </c>
      <c r="AD2156" s="138">
        <v>232.9</v>
      </c>
      <c r="AE2156" s="137">
        <v>69.87</v>
      </c>
      <c r="AF2156" s="139">
        <v>6.8473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109</v>
      </c>
      <c r="F2157" s="96" t="s">
        <v>111</v>
      </c>
      <c r="G2157" s="97">
        <v>46132</v>
      </c>
      <c r="H2157" s="98">
        <v>0.5226736111111111</v>
      </c>
      <c r="I2157" s="50">
        <v>169002616</v>
      </c>
      <c r="J2157" s="96" t="s">
        <v>157</v>
      </c>
      <c r="K2157" s="49" t="s">
        <v>2583</v>
      </c>
      <c r="L2157" s="39" t="s">
        <v>2584</v>
      </c>
      <c r="M2157" s="49" t="s">
        <v>1428</v>
      </c>
      <c r="N2157" s="39" t="s">
        <v>609</v>
      </c>
      <c r="O2157" s="96" t="s">
        <v>2585</v>
      </c>
      <c r="P2157" s="49" t="s">
        <v>157</v>
      </c>
      <c r="Q2157" s="96" t="s">
        <v>104</v>
      </c>
      <c r="R2157" s="52">
        <v>13.9</v>
      </c>
      <c r="S2157" s="52">
        <f>R2157-T2157</f>
        <v>12.410714285714286</v>
      </c>
      <c r="T2157" s="52">
        <f>R2157*U2157/(U2157+100)</f>
        <v>1.4892857142857143</v>
      </c>
      <c r="U2157" s="50">
        <v>12</v>
      </c>
      <c r="V2157" s="53">
        <v>0</v>
      </c>
      <c r="W2157" s="147">
        <v>1</v>
      </c>
      <c r="X2157" s="148" t="s">
        <v>163</v>
      </c>
      <c r="Y2157" s="54">
        <f>R2157*W2157</f>
        <v>13.9</v>
      </c>
      <c r="Z2157" s="52">
        <f>S2157*W2157</f>
        <v>12.410714285714286</v>
      </c>
      <c r="AA2157" s="52">
        <f>T2157*W2157</f>
        <v>1.4892857142857143</v>
      </c>
      <c r="AB2157" s="52">
        <f>V2157*W2157</f>
        <v>0</v>
      </c>
      <c r="AC2157" s="53">
        <f>(R2157+V2157)*W2157</f>
        <v>13.9</v>
      </c>
      <c r="AD2157" s="138">
        <v>13.9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109</v>
      </c>
      <c r="F2158" s="96" t="s">
        <v>111</v>
      </c>
      <c r="G2158" s="97">
        <v>46132</v>
      </c>
      <c r="H2158" s="98">
        <v>0.5226736111111111</v>
      </c>
      <c r="I2158" s="50">
        <v>169002616</v>
      </c>
      <c r="J2158" s="96" t="s">
        <v>157</v>
      </c>
      <c r="K2158" s="49" t="s">
        <v>2583</v>
      </c>
      <c r="L2158" s="39" t="s">
        <v>2584</v>
      </c>
      <c r="M2158" s="49" t="s">
        <v>1428</v>
      </c>
      <c r="N2158" s="39" t="s">
        <v>609</v>
      </c>
      <c r="O2158" s="96" t="s">
        <v>2585</v>
      </c>
      <c r="P2158" s="49" t="s">
        <v>157</v>
      </c>
      <c r="Q2158" s="96" t="s">
        <v>104</v>
      </c>
      <c r="R2158" s="52">
        <v>13.9</v>
      </c>
      <c r="S2158" s="52">
        <f>R2158-T2158</f>
        <v>12.410714285714286</v>
      </c>
      <c r="T2158" s="52">
        <f>R2158*U2158/(U2158+100)</f>
        <v>1.4892857142857143</v>
      </c>
      <c r="U2158" s="50">
        <v>12</v>
      </c>
      <c r="V2158" s="53">
        <v>0</v>
      </c>
      <c r="W2158" s="147">
        <v>1</v>
      </c>
      <c r="X2158" s="148" t="s">
        <v>163</v>
      </c>
      <c r="Y2158" s="54">
        <f>R2158*W2158</f>
        <v>13.9</v>
      </c>
      <c r="Z2158" s="52">
        <f>S2158*W2158</f>
        <v>12.410714285714286</v>
      </c>
      <c r="AA2158" s="52">
        <f>T2158*W2158</f>
        <v>1.4892857142857143</v>
      </c>
      <c r="AB2158" s="52">
        <f>V2158*W2158</f>
        <v>0</v>
      </c>
      <c r="AC2158" s="53">
        <f>(R2158+V2158)*W2158</f>
        <v>13.9</v>
      </c>
      <c r="AD2158" s="138">
        <v>13.9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109</v>
      </c>
      <c r="F2159" s="96" t="s">
        <v>111</v>
      </c>
      <c r="G2159" s="97">
        <v>46132</v>
      </c>
      <c r="H2159" s="98">
        <v>0.5226736111111111</v>
      </c>
      <c r="I2159" s="50">
        <v>169002616</v>
      </c>
      <c r="J2159" s="96" t="s">
        <v>157</v>
      </c>
      <c r="K2159" s="49" t="s">
        <v>949</v>
      </c>
      <c r="L2159" s="39" t="s">
        <v>950</v>
      </c>
      <c r="M2159" s="49" t="s">
        <v>185</v>
      </c>
      <c r="N2159" s="39" t="s">
        <v>874</v>
      </c>
      <c r="O2159" s="96" t="s">
        <v>1296</v>
      </c>
      <c r="P2159" s="49" t="s">
        <v>157</v>
      </c>
      <c r="Q2159" s="96" t="s">
        <v>104</v>
      </c>
      <c r="R2159" s="52">
        <v>24.9</v>
      </c>
      <c r="S2159" s="52">
        <f>R2159-T2159</f>
        <v>22.232142857142858</v>
      </c>
      <c r="T2159" s="52">
        <f>R2159*U2159/(U2159+100)</f>
        <v>2.6678571428571423</v>
      </c>
      <c r="U2159" s="50">
        <v>12</v>
      </c>
      <c r="V2159" s="53">
        <v>0</v>
      </c>
      <c r="W2159" s="147">
        <v>1</v>
      </c>
      <c r="X2159" s="148" t="s">
        <v>163</v>
      </c>
      <c r="Y2159" s="54">
        <f>R2159*W2159</f>
        <v>24.9</v>
      </c>
      <c r="Z2159" s="52">
        <f>S2159*W2159</f>
        <v>22.232142857142858</v>
      </c>
      <c r="AA2159" s="52">
        <f>T2159*W2159</f>
        <v>2.6678571428571423</v>
      </c>
      <c r="AB2159" s="52">
        <f>V2159*W2159</f>
        <v>0</v>
      </c>
      <c r="AC2159" s="53">
        <f>(R2159+V2159)*W2159</f>
        <v>24.9</v>
      </c>
      <c r="AD2159" s="138">
        <v>24.9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109</v>
      </c>
      <c r="F2160" s="96" t="s">
        <v>111</v>
      </c>
      <c r="G2160" s="97">
        <v>46132</v>
      </c>
      <c r="H2160" s="98">
        <v>0.5226736111111111</v>
      </c>
      <c r="I2160" s="50">
        <v>169002616</v>
      </c>
      <c r="J2160" s="96" t="s">
        <v>157</v>
      </c>
      <c r="K2160" s="49" t="s">
        <v>1413</v>
      </c>
      <c r="L2160" s="39" t="s">
        <v>104</v>
      </c>
      <c r="M2160" s="49" t="s">
        <v>190</v>
      </c>
      <c r="N2160" s="39" t="s">
        <v>1414</v>
      </c>
      <c r="O2160" s="96" t="s">
        <v>1415</v>
      </c>
      <c r="P2160" s="49" t="s">
        <v>157</v>
      </c>
      <c r="Q2160" s="96" t="s">
        <v>104</v>
      </c>
      <c r="R2160" s="52">
        <v>23.9</v>
      </c>
      <c r="S2160" s="52">
        <f>R2160-T2160</f>
        <v>21.33928571428571</v>
      </c>
      <c r="T2160" s="52">
        <f>R2160*U2160/(U2160+100)</f>
        <v>2.5607142857142855</v>
      </c>
      <c r="U2160" s="50">
        <v>12</v>
      </c>
      <c r="V2160" s="53">
        <v>0</v>
      </c>
      <c r="W2160" s="147">
        <v>1</v>
      </c>
      <c r="X2160" s="148" t="s">
        <v>163</v>
      </c>
      <c r="Y2160" s="54">
        <f>R2160*W2160</f>
        <v>23.9</v>
      </c>
      <c r="Z2160" s="52">
        <f>S2160*W2160</f>
        <v>21.33928571428571</v>
      </c>
      <c r="AA2160" s="52">
        <f>T2160*W2160</f>
        <v>2.5607142857142855</v>
      </c>
      <c r="AB2160" s="52">
        <f>V2160*W2160</f>
        <v>0</v>
      </c>
      <c r="AC2160" s="53">
        <f>(R2160+V2160)*W2160</f>
        <v>23.9</v>
      </c>
      <c r="AD2160" s="138">
        <v>23.9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109</v>
      </c>
      <c r="F2161" s="96" t="s">
        <v>111</v>
      </c>
      <c r="G2161" s="97">
        <v>46132</v>
      </c>
      <c r="H2161" s="98">
        <v>0.5226736111111111</v>
      </c>
      <c r="I2161" s="50">
        <v>169002616</v>
      </c>
      <c r="J2161" s="96" t="s">
        <v>157</v>
      </c>
      <c r="K2161" s="49" t="s">
        <v>1021</v>
      </c>
      <c r="L2161" s="39" t="s">
        <v>1022</v>
      </c>
      <c r="M2161" s="49" t="s">
        <v>190</v>
      </c>
      <c r="N2161" s="39" t="s">
        <v>532</v>
      </c>
      <c r="O2161" s="96" t="s">
        <v>1023</v>
      </c>
      <c r="P2161" s="49" t="s">
        <v>157</v>
      </c>
      <c r="Q2161" s="96" t="s">
        <v>104</v>
      </c>
      <c r="R2161" s="52">
        <v>48.9</v>
      </c>
      <c r="S2161" s="52">
        <f>R2161-T2161</f>
        <v>43.660714285714285</v>
      </c>
      <c r="T2161" s="52">
        <f>R2161*U2161/(U2161+100)</f>
        <v>5.239285714285714</v>
      </c>
      <c r="U2161" s="50">
        <v>12</v>
      </c>
      <c r="V2161" s="53">
        <v>0</v>
      </c>
      <c r="W2161" s="147">
        <v>0.378</v>
      </c>
      <c r="X2161" s="148" t="s">
        <v>193</v>
      </c>
      <c r="Y2161" s="54">
        <f>R2161*W2161</f>
        <v>18.4842</v>
      </c>
      <c r="Z2161" s="52">
        <f>S2161*W2161</f>
        <v>16.50375</v>
      </c>
      <c r="AA2161" s="52">
        <f>T2161*W2161</f>
        <v>1.9804499999999998</v>
      </c>
      <c r="AB2161" s="52">
        <f>V2161*W2161</f>
        <v>0</v>
      </c>
      <c r="AC2161" s="53">
        <f>(R2161+V2161)*W2161</f>
        <v>18.4842</v>
      </c>
      <c r="AD2161" s="138">
        <v>48.9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109</v>
      </c>
      <c r="F2162" s="96" t="s">
        <v>111</v>
      </c>
      <c r="G2162" s="97">
        <v>46132</v>
      </c>
      <c r="H2162" s="98">
        <v>0.5226736111111111</v>
      </c>
      <c r="I2162" s="50">
        <v>169002616</v>
      </c>
      <c r="J2162" s="96" t="s">
        <v>157</v>
      </c>
      <c r="K2162" s="49" t="s">
        <v>266</v>
      </c>
      <c r="L2162" s="39" t="s">
        <v>267</v>
      </c>
      <c r="M2162" s="49" t="s">
        <v>268</v>
      </c>
      <c r="N2162" s="39" t="s">
        <v>269</v>
      </c>
      <c r="O2162" s="96" t="s">
        <v>1249</v>
      </c>
      <c r="P2162" s="49" t="s">
        <v>235</v>
      </c>
      <c r="Q2162" s="96" t="s">
        <v>236</v>
      </c>
      <c r="R2162" s="52">
        <v>11.9</v>
      </c>
      <c r="S2162" s="52">
        <f>R2162-T2162</f>
        <v>10.625</v>
      </c>
      <c r="T2162" s="52">
        <f>R2162*U2162/(U2162+100)</f>
        <v>1.2750000000000001</v>
      </c>
      <c r="U2162" s="50">
        <v>12</v>
      </c>
      <c r="V2162" s="53">
        <v>0</v>
      </c>
      <c r="W2162" s="147">
        <v>2</v>
      </c>
      <c r="X2162" s="148" t="s">
        <v>163</v>
      </c>
      <c r="Y2162" s="54">
        <f>R2162*W2162</f>
        <v>23.8</v>
      </c>
      <c r="Z2162" s="52">
        <f>S2162*W2162</f>
        <v>21.25</v>
      </c>
      <c r="AA2162" s="52">
        <f>T2162*W2162</f>
        <v>2.5500000000000003</v>
      </c>
      <c r="AB2162" s="52">
        <f>V2162*W2162</f>
        <v>0</v>
      </c>
      <c r="AC2162" s="53">
        <f>(R2162+V2162)*W2162</f>
        <v>23.8</v>
      </c>
      <c r="AD2162" s="138">
        <v>11.9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109</v>
      </c>
      <c r="F2163" s="96" t="s">
        <v>111</v>
      </c>
      <c r="G2163" s="97">
        <v>46132</v>
      </c>
      <c r="H2163" s="98">
        <v>0.5226736111111111</v>
      </c>
      <c r="I2163" s="50">
        <v>169002616</v>
      </c>
      <c r="J2163" s="96" t="s">
        <v>157</v>
      </c>
      <c r="K2163" s="49" t="s">
        <v>1133</v>
      </c>
      <c r="L2163" s="39" t="s">
        <v>1134</v>
      </c>
      <c r="M2163" s="49" t="s">
        <v>649</v>
      </c>
      <c r="N2163" s="39" t="s">
        <v>440</v>
      </c>
      <c r="O2163" s="96" t="s">
        <v>1135</v>
      </c>
      <c r="P2163" s="49" t="s">
        <v>157</v>
      </c>
      <c r="Q2163" s="96" t="s">
        <v>104</v>
      </c>
      <c r="R2163" s="52">
        <v>125.93</v>
      </c>
      <c r="S2163" s="52">
        <f>R2163-T2163</f>
        <v>112.4375</v>
      </c>
      <c r="T2163" s="52">
        <f>R2163*U2163/(U2163+100)</f>
        <v>13.492500000000001</v>
      </c>
      <c r="U2163" s="50">
        <v>12</v>
      </c>
      <c r="V2163" s="53">
        <v>0</v>
      </c>
      <c r="W2163" s="147">
        <v>0.156</v>
      </c>
      <c r="X2163" s="148" t="s">
        <v>193</v>
      </c>
      <c r="Y2163" s="54">
        <f>R2163*W2163</f>
        <v>19.64508</v>
      </c>
      <c r="Z2163" s="52">
        <f>S2163*W2163</f>
        <v>17.54025</v>
      </c>
      <c r="AA2163" s="52">
        <f>T2163*W2163</f>
        <v>2.10483</v>
      </c>
      <c r="AB2163" s="52">
        <f>V2163*W2163</f>
        <v>0</v>
      </c>
      <c r="AC2163" s="53">
        <f>(R2163+V2163)*W2163</f>
        <v>19.64508</v>
      </c>
      <c r="AD2163" s="138">
        <v>179.9</v>
      </c>
      <c r="AE2163" s="137">
        <v>53.97</v>
      </c>
      <c r="AF2163" s="139">
        <v>8.4193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109</v>
      </c>
      <c r="F2164" s="96" t="s">
        <v>111</v>
      </c>
      <c r="G2164" s="97">
        <v>46132</v>
      </c>
      <c r="H2164" s="98">
        <v>0.5226736111111111</v>
      </c>
      <c r="I2164" s="50">
        <v>169002616</v>
      </c>
      <c r="J2164" s="96" t="s">
        <v>157</v>
      </c>
      <c r="K2164" s="49" t="s">
        <v>560</v>
      </c>
      <c r="L2164" s="39" t="s">
        <v>104</v>
      </c>
      <c r="M2164" s="49" t="s">
        <v>554</v>
      </c>
      <c r="N2164" s="39" t="s">
        <v>296</v>
      </c>
      <c r="O2164" s="96" t="s">
        <v>561</v>
      </c>
      <c r="P2164" s="49" t="s">
        <v>157</v>
      </c>
      <c r="Q2164" s="96" t="s">
        <v>104</v>
      </c>
      <c r="R2164" s="52">
        <v>8.9</v>
      </c>
      <c r="S2164" s="52">
        <f>R2164-T2164</f>
        <v>7.946428571428572</v>
      </c>
      <c r="T2164" s="52">
        <f>R2164*U2164/(U2164+100)</f>
        <v>0.9535714285714286</v>
      </c>
      <c r="U2164" s="50">
        <v>12</v>
      </c>
      <c r="V2164" s="53">
        <v>0</v>
      </c>
      <c r="W2164" s="147">
        <v>2</v>
      </c>
      <c r="X2164" s="148" t="s">
        <v>163</v>
      </c>
      <c r="Y2164" s="54">
        <f>R2164*W2164</f>
        <v>17.8</v>
      </c>
      <c r="Z2164" s="52">
        <f>S2164*W2164</f>
        <v>15.892857142857144</v>
      </c>
      <c r="AA2164" s="52">
        <f>T2164*W2164</f>
        <v>1.9071428571428573</v>
      </c>
      <c r="AB2164" s="52">
        <f>V2164*W2164</f>
        <v>0</v>
      </c>
      <c r="AC2164" s="53">
        <f>(R2164+V2164)*W2164</f>
        <v>17.8</v>
      </c>
      <c r="AD2164" s="138">
        <v>8.9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109</v>
      </c>
      <c r="F2165" s="96" t="s">
        <v>111</v>
      </c>
      <c r="G2165" s="97">
        <v>46132</v>
      </c>
      <c r="H2165" s="98">
        <v>0.5226736111111111</v>
      </c>
      <c r="I2165" s="50">
        <v>169002616</v>
      </c>
      <c r="J2165" s="96" t="s">
        <v>157</v>
      </c>
      <c r="K2165" s="49" t="s">
        <v>3190</v>
      </c>
      <c r="L2165" s="39" t="s">
        <v>3191</v>
      </c>
      <c r="M2165" s="49" t="s">
        <v>2612</v>
      </c>
      <c r="N2165" s="39" t="s">
        <v>1542</v>
      </c>
      <c r="O2165" s="96" t="s">
        <v>3192</v>
      </c>
      <c r="P2165" s="49" t="s">
        <v>157</v>
      </c>
      <c r="Q2165" s="96" t="s">
        <v>104</v>
      </c>
      <c r="R2165" s="52">
        <v>26.9</v>
      </c>
      <c r="S2165" s="52">
        <f>R2165-T2165</f>
        <v>24.017857142857142</v>
      </c>
      <c r="T2165" s="52">
        <f>R2165*U2165/(U2165+100)</f>
        <v>2.8821428571428567</v>
      </c>
      <c r="U2165" s="50">
        <v>12</v>
      </c>
      <c r="V2165" s="53">
        <v>0</v>
      </c>
      <c r="W2165" s="147">
        <v>1</v>
      </c>
      <c r="X2165" s="148" t="s">
        <v>945</v>
      </c>
      <c r="Y2165" s="54">
        <f>R2165*W2165</f>
        <v>26.9</v>
      </c>
      <c r="Z2165" s="52">
        <f>S2165*W2165</f>
        <v>24.017857142857142</v>
      </c>
      <c r="AA2165" s="52">
        <f>T2165*W2165</f>
        <v>2.8821428571428567</v>
      </c>
      <c r="AB2165" s="52">
        <f>V2165*W2165</f>
        <v>0</v>
      </c>
      <c r="AC2165" s="53">
        <f>(R2165+V2165)*W2165</f>
        <v>26.9</v>
      </c>
      <c r="AD2165" s="138">
        <v>26.9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109</v>
      </c>
      <c r="F2166" s="96" t="s">
        <v>111</v>
      </c>
      <c r="G2166" s="97">
        <v>46132</v>
      </c>
      <c r="H2166" s="98">
        <v>0.5232523148148148</v>
      </c>
      <c r="I2166" s="50">
        <v>169002617</v>
      </c>
      <c r="J2166" s="96" t="s">
        <v>157</v>
      </c>
      <c r="K2166" s="49" t="s">
        <v>266</v>
      </c>
      <c r="L2166" s="39" t="s">
        <v>267</v>
      </c>
      <c r="M2166" s="49" t="s">
        <v>268</v>
      </c>
      <c r="N2166" s="39" t="s">
        <v>269</v>
      </c>
      <c r="O2166" s="96" t="s">
        <v>1249</v>
      </c>
      <c r="P2166" s="49" t="s">
        <v>235</v>
      </c>
      <c r="Q2166" s="96" t="s">
        <v>236</v>
      </c>
      <c r="R2166" s="52">
        <v>11.9</v>
      </c>
      <c r="S2166" s="52">
        <f>R2166-T2166</f>
        <v>10.625</v>
      </c>
      <c r="T2166" s="52">
        <f>R2166*U2166/(U2166+100)</f>
        <v>1.2750000000000001</v>
      </c>
      <c r="U2166" s="50">
        <v>12</v>
      </c>
      <c r="V2166" s="53">
        <v>0</v>
      </c>
      <c r="W2166" s="147">
        <v>2</v>
      </c>
      <c r="X2166" s="148" t="s">
        <v>163</v>
      </c>
      <c r="Y2166" s="54">
        <f>R2166*W2166</f>
        <v>23.8</v>
      </c>
      <c r="Z2166" s="52">
        <f>S2166*W2166</f>
        <v>21.25</v>
      </c>
      <c r="AA2166" s="52">
        <f>T2166*W2166</f>
        <v>2.5500000000000003</v>
      </c>
      <c r="AB2166" s="52">
        <f>V2166*W2166</f>
        <v>0</v>
      </c>
      <c r="AC2166" s="53">
        <f>(R2166+V2166)*W2166</f>
        <v>23.8</v>
      </c>
      <c r="AD2166" s="138">
        <v>11.9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109</v>
      </c>
      <c r="F2167" s="96" t="s">
        <v>111</v>
      </c>
      <c r="G2167" s="97">
        <v>46132</v>
      </c>
      <c r="H2167" s="98">
        <v>0.5232523148148148</v>
      </c>
      <c r="I2167" s="50">
        <v>169002617</v>
      </c>
      <c r="J2167" s="96" t="s">
        <v>157</v>
      </c>
      <c r="K2167" s="49" t="s">
        <v>1133</v>
      </c>
      <c r="L2167" s="39" t="s">
        <v>1134</v>
      </c>
      <c r="M2167" s="49" t="s">
        <v>649</v>
      </c>
      <c r="N2167" s="39" t="s">
        <v>440</v>
      </c>
      <c r="O2167" s="96" t="s">
        <v>1135</v>
      </c>
      <c r="P2167" s="49" t="s">
        <v>157</v>
      </c>
      <c r="Q2167" s="96" t="s">
        <v>104</v>
      </c>
      <c r="R2167" s="52">
        <v>125.93</v>
      </c>
      <c r="S2167" s="52">
        <f>R2167-T2167</f>
        <v>112.4375</v>
      </c>
      <c r="T2167" s="52">
        <f>R2167*U2167/(U2167+100)</f>
        <v>13.492500000000001</v>
      </c>
      <c r="U2167" s="50">
        <v>12</v>
      </c>
      <c r="V2167" s="53">
        <v>0</v>
      </c>
      <c r="W2167" s="147">
        <v>0.108</v>
      </c>
      <c r="X2167" s="148" t="s">
        <v>193</v>
      </c>
      <c r="Y2167" s="54">
        <f>R2167*W2167</f>
        <v>13.60044</v>
      </c>
      <c r="Z2167" s="52">
        <f>S2167*W2167</f>
        <v>12.14325</v>
      </c>
      <c r="AA2167" s="52">
        <f>T2167*W2167</f>
        <v>1.4571900000000002</v>
      </c>
      <c r="AB2167" s="52">
        <f>V2167*W2167</f>
        <v>0</v>
      </c>
      <c r="AC2167" s="53">
        <f>(R2167+V2167)*W2167</f>
        <v>13.60044</v>
      </c>
      <c r="AD2167" s="138">
        <v>179.9</v>
      </c>
      <c r="AE2167" s="137">
        <v>53.97</v>
      </c>
      <c r="AF2167" s="139">
        <v>5.8288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109</v>
      </c>
      <c r="F2168" s="96" t="s">
        <v>111</v>
      </c>
      <c r="G2168" s="97">
        <v>46132</v>
      </c>
      <c r="H2168" s="98">
        <v>0.5232523148148148</v>
      </c>
      <c r="I2168" s="50">
        <v>169002617</v>
      </c>
      <c r="J2168" s="96" t="s">
        <v>157</v>
      </c>
      <c r="K2168" s="49" t="s">
        <v>293</v>
      </c>
      <c r="L2168" s="39" t="s">
        <v>294</v>
      </c>
      <c r="M2168" s="49" t="s">
        <v>295</v>
      </c>
      <c r="N2168" s="39" t="s">
        <v>296</v>
      </c>
      <c r="O2168" s="96" t="s">
        <v>297</v>
      </c>
      <c r="P2168" s="49" t="s">
        <v>157</v>
      </c>
      <c r="Q2168" s="96" t="s">
        <v>104</v>
      </c>
      <c r="R2168" s="52">
        <v>2.9</v>
      </c>
      <c r="S2168" s="52">
        <f>R2168-T2168</f>
        <v>2.5892857142857144</v>
      </c>
      <c r="T2168" s="52">
        <f>R2168*U2168/(U2168+100)</f>
        <v>0.31071428571428567</v>
      </c>
      <c r="U2168" s="50">
        <v>12</v>
      </c>
      <c r="V2168" s="53">
        <v>0</v>
      </c>
      <c r="W2168" s="147">
        <v>2</v>
      </c>
      <c r="X2168" s="148" t="s">
        <v>163</v>
      </c>
      <c r="Y2168" s="54">
        <f>R2168*W2168</f>
        <v>5.8</v>
      </c>
      <c r="Z2168" s="52">
        <f>S2168*W2168</f>
        <v>5.178571428571429</v>
      </c>
      <c r="AA2168" s="52">
        <f>T2168*W2168</f>
        <v>0.6214285714285713</v>
      </c>
      <c r="AB2168" s="52">
        <f>V2168*W2168</f>
        <v>0</v>
      </c>
      <c r="AC2168" s="53">
        <f>(R2168+V2168)*W2168</f>
        <v>5.8</v>
      </c>
      <c r="AD2168" s="138">
        <v>2.9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109</v>
      </c>
      <c r="F2169" s="96" t="s">
        <v>111</v>
      </c>
      <c r="G2169" s="97">
        <v>46132</v>
      </c>
      <c r="H2169" s="98">
        <v>0.5253125</v>
      </c>
      <c r="I2169" s="50">
        <v>169002618</v>
      </c>
      <c r="J2169" s="96" t="s">
        <v>157</v>
      </c>
      <c r="K2169" s="49" t="s">
        <v>2625</v>
      </c>
      <c r="L2169" s="39" t="s">
        <v>2626</v>
      </c>
      <c r="M2169" s="49" t="s">
        <v>255</v>
      </c>
      <c r="N2169" s="39" t="s">
        <v>256</v>
      </c>
      <c r="O2169" s="96" t="s">
        <v>2627</v>
      </c>
      <c r="P2169" s="49" t="s">
        <v>157</v>
      </c>
      <c r="Q2169" s="96" t="s">
        <v>104</v>
      </c>
      <c r="R2169" s="52">
        <v>23.9</v>
      </c>
      <c r="S2169" s="52">
        <f>R2169-T2169</f>
        <v>19.752066115702476</v>
      </c>
      <c r="T2169" s="52">
        <f>R2169*U2169/(U2169+100)</f>
        <v>4.147933884297521</v>
      </c>
      <c r="U2169" s="50">
        <v>21</v>
      </c>
      <c r="V2169" s="53">
        <v>0</v>
      </c>
      <c r="W2169" s="147">
        <v>1</v>
      </c>
      <c r="X2169" s="148" t="s">
        <v>163</v>
      </c>
      <c r="Y2169" s="54">
        <f>R2169*W2169</f>
        <v>23.9</v>
      </c>
      <c r="Z2169" s="52">
        <f>S2169*W2169</f>
        <v>19.752066115702476</v>
      </c>
      <c r="AA2169" s="52">
        <f>T2169*W2169</f>
        <v>4.147933884297521</v>
      </c>
      <c r="AB2169" s="52">
        <f>V2169*W2169</f>
        <v>0</v>
      </c>
      <c r="AC2169" s="53">
        <f>(R2169+V2169)*W2169</f>
        <v>23.9</v>
      </c>
      <c r="AD2169" s="138">
        <v>23.9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109</v>
      </c>
      <c r="F2170" s="96" t="s">
        <v>111</v>
      </c>
      <c r="G2170" s="97">
        <v>46132</v>
      </c>
      <c r="H2170" s="98">
        <v>0.5253125</v>
      </c>
      <c r="I2170" s="50">
        <v>169002618</v>
      </c>
      <c r="J2170" s="96" t="s">
        <v>157</v>
      </c>
      <c r="K2170" s="49" t="s">
        <v>293</v>
      </c>
      <c r="L2170" s="39" t="s">
        <v>294</v>
      </c>
      <c r="M2170" s="49" t="s">
        <v>295</v>
      </c>
      <c r="N2170" s="39" t="s">
        <v>296</v>
      </c>
      <c r="O2170" s="96" t="s">
        <v>297</v>
      </c>
      <c r="P2170" s="49" t="s">
        <v>157</v>
      </c>
      <c r="Q2170" s="96" t="s">
        <v>104</v>
      </c>
      <c r="R2170" s="52">
        <v>2.9</v>
      </c>
      <c r="S2170" s="52">
        <f>R2170-T2170</f>
        <v>2.5892857142857144</v>
      </c>
      <c r="T2170" s="52">
        <f>R2170*U2170/(U2170+100)</f>
        <v>0.31071428571428567</v>
      </c>
      <c r="U2170" s="50">
        <v>12</v>
      </c>
      <c r="V2170" s="53">
        <v>0</v>
      </c>
      <c r="W2170" s="147">
        <v>5</v>
      </c>
      <c r="X2170" s="148" t="s">
        <v>163</v>
      </c>
      <c r="Y2170" s="54">
        <f>R2170*W2170</f>
        <v>14.5</v>
      </c>
      <c r="Z2170" s="52">
        <f>S2170*W2170</f>
        <v>12.946428571428573</v>
      </c>
      <c r="AA2170" s="52">
        <f>T2170*W2170</f>
        <v>1.5535714285714284</v>
      </c>
      <c r="AB2170" s="52">
        <f>V2170*W2170</f>
        <v>0</v>
      </c>
      <c r="AC2170" s="53">
        <f>(R2170+V2170)*W2170</f>
        <v>14.5</v>
      </c>
      <c r="AD2170" s="138">
        <v>2.9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109</v>
      </c>
      <c r="F2171" s="96" t="s">
        <v>111</v>
      </c>
      <c r="G2171" s="97">
        <v>46132</v>
      </c>
      <c r="H2171" s="98">
        <v>0.5253125</v>
      </c>
      <c r="I2171" s="50">
        <v>169002618</v>
      </c>
      <c r="J2171" s="96" t="s">
        <v>157</v>
      </c>
      <c r="K2171" s="49" t="s">
        <v>3193</v>
      </c>
      <c r="L2171" s="39" t="s">
        <v>3194</v>
      </c>
      <c r="M2171" s="49" t="s">
        <v>277</v>
      </c>
      <c r="N2171" s="39" t="s">
        <v>408</v>
      </c>
      <c r="O2171" s="96" t="s">
        <v>3195</v>
      </c>
      <c r="P2171" s="49" t="s">
        <v>157</v>
      </c>
      <c r="Q2171" s="96" t="s">
        <v>104</v>
      </c>
      <c r="R2171" s="52">
        <v>208.9</v>
      </c>
      <c r="S2171" s="52">
        <f>R2171-T2171</f>
        <v>186.51785714285714</v>
      </c>
      <c r="T2171" s="52">
        <f>R2171*U2171/(U2171+100)</f>
        <v>22.38214285714286</v>
      </c>
      <c r="U2171" s="50">
        <v>12</v>
      </c>
      <c r="V2171" s="53">
        <v>0</v>
      </c>
      <c r="W2171" s="147">
        <v>0.152</v>
      </c>
      <c r="X2171" s="148" t="s">
        <v>410</v>
      </c>
      <c r="Y2171" s="54">
        <f>R2171*W2171</f>
        <v>31.7528</v>
      </c>
      <c r="Z2171" s="52">
        <f>S2171*W2171</f>
        <v>28.350714285714286</v>
      </c>
      <c r="AA2171" s="52">
        <f>T2171*W2171</f>
        <v>3.4020857142857146</v>
      </c>
      <c r="AB2171" s="52">
        <f>V2171*W2171</f>
        <v>0</v>
      </c>
      <c r="AC2171" s="53">
        <f>(R2171+V2171)*W2171</f>
        <v>31.7528</v>
      </c>
      <c r="AD2171" s="138">
        <v>208.9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109</v>
      </c>
      <c r="F2172" s="96" t="s">
        <v>111</v>
      </c>
      <c r="G2172" s="97">
        <v>46132</v>
      </c>
      <c r="H2172" s="98">
        <v>0.527337962962963</v>
      </c>
      <c r="I2172" s="50">
        <v>169002619</v>
      </c>
      <c r="J2172" s="96" t="s">
        <v>157</v>
      </c>
      <c r="K2172" s="49" t="s">
        <v>1199</v>
      </c>
      <c r="L2172" s="39" t="s">
        <v>1200</v>
      </c>
      <c r="M2172" s="49" t="s">
        <v>425</v>
      </c>
      <c r="N2172" s="39" t="s">
        <v>172</v>
      </c>
      <c r="O2172" s="96" t="s">
        <v>1201</v>
      </c>
      <c r="P2172" s="49" t="s">
        <v>157</v>
      </c>
      <c r="Q2172" s="96" t="s">
        <v>104</v>
      </c>
      <c r="R2172" s="52">
        <v>15.9</v>
      </c>
      <c r="S2172" s="52">
        <f>R2172-T2172</f>
        <v>14.196428571428571</v>
      </c>
      <c r="T2172" s="52">
        <f>R2172*U2172/(U2172+100)</f>
        <v>1.7035714285714287</v>
      </c>
      <c r="U2172" s="50">
        <v>12</v>
      </c>
      <c r="V2172" s="53">
        <v>0</v>
      </c>
      <c r="W2172" s="147">
        <v>1</v>
      </c>
      <c r="X2172" s="148" t="s">
        <v>163</v>
      </c>
      <c r="Y2172" s="54">
        <f>R2172*W2172</f>
        <v>15.9</v>
      </c>
      <c r="Z2172" s="52">
        <f>S2172*W2172</f>
        <v>14.196428571428571</v>
      </c>
      <c r="AA2172" s="52">
        <f>T2172*W2172</f>
        <v>1.7035714285714287</v>
      </c>
      <c r="AB2172" s="52">
        <f>V2172*W2172</f>
        <v>0</v>
      </c>
      <c r="AC2172" s="53">
        <f>(R2172+V2172)*W2172</f>
        <v>15.9</v>
      </c>
      <c r="AD2172" s="138">
        <v>15.9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109</v>
      </c>
      <c r="F2173" s="96" t="s">
        <v>111</v>
      </c>
      <c r="G2173" s="97">
        <v>46132</v>
      </c>
      <c r="H2173" s="98">
        <v>0.527337962962963</v>
      </c>
      <c r="I2173" s="50">
        <v>169002619</v>
      </c>
      <c r="J2173" s="96" t="s">
        <v>157</v>
      </c>
      <c r="K2173" s="49" t="s">
        <v>350</v>
      </c>
      <c r="L2173" s="39" t="s">
        <v>351</v>
      </c>
      <c r="M2173" s="49" t="s">
        <v>352</v>
      </c>
      <c r="N2173" s="39" t="s">
        <v>353</v>
      </c>
      <c r="O2173" s="96" t="s">
        <v>1077</v>
      </c>
      <c r="P2173" s="49" t="s">
        <v>157</v>
      </c>
      <c r="Q2173" s="96" t="s">
        <v>104</v>
      </c>
      <c r="R2173" s="52">
        <v>27.9</v>
      </c>
      <c r="S2173" s="52">
        <f>R2173-T2173</f>
        <v>23.05785123966942</v>
      </c>
      <c r="T2173" s="52">
        <f>R2173*U2173/(U2173+100)</f>
        <v>4.842148760330578</v>
      </c>
      <c r="U2173" s="50">
        <v>21</v>
      </c>
      <c r="V2173" s="53">
        <v>0</v>
      </c>
      <c r="W2173" s="147">
        <v>1</v>
      </c>
      <c r="X2173" s="148" t="s">
        <v>163</v>
      </c>
      <c r="Y2173" s="54">
        <f>R2173*W2173</f>
        <v>27.9</v>
      </c>
      <c r="Z2173" s="52">
        <f>S2173*W2173</f>
        <v>23.05785123966942</v>
      </c>
      <c r="AA2173" s="52">
        <f>T2173*W2173</f>
        <v>4.842148760330578</v>
      </c>
      <c r="AB2173" s="52">
        <f>V2173*W2173</f>
        <v>0</v>
      </c>
      <c r="AC2173" s="53">
        <f>(R2173+V2173)*W2173</f>
        <v>27.9</v>
      </c>
      <c r="AD2173" s="138">
        <v>27.9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109</v>
      </c>
      <c r="F2174" s="96" t="s">
        <v>111</v>
      </c>
      <c r="G2174" s="97">
        <v>46132</v>
      </c>
      <c r="H2174" s="98">
        <v>0.527337962962963</v>
      </c>
      <c r="I2174" s="50">
        <v>169002619</v>
      </c>
      <c r="J2174" s="96" t="s">
        <v>157</v>
      </c>
      <c r="K2174" s="49" t="s">
        <v>303</v>
      </c>
      <c r="L2174" s="39" t="s">
        <v>304</v>
      </c>
      <c r="M2174" s="49" t="s">
        <v>214</v>
      </c>
      <c r="N2174" s="39" t="s">
        <v>296</v>
      </c>
      <c r="O2174" s="96" t="s">
        <v>305</v>
      </c>
      <c r="P2174" s="49" t="s">
        <v>157</v>
      </c>
      <c r="Q2174" s="96" t="s">
        <v>104</v>
      </c>
      <c r="R2174" s="52">
        <v>11.9</v>
      </c>
      <c r="S2174" s="52">
        <f>R2174-T2174</f>
        <v>10.625</v>
      </c>
      <c r="T2174" s="52">
        <f>R2174*U2174/(U2174+100)</f>
        <v>1.2750000000000001</v>
      </c>
      <c r="U2174" s="50">
        <v>12</v>
      </c>
      <c r="V2174" s="53">
        <v>0</v>
      </c>
      <c r="W2174" s="147">
        <v>2</v>
      </c>
      <c r="X2174" s="148" t="s">
        <v>163</v>
      </c>
      <c r="Y2174" s="54">
        <f>R2174*W2174</f>
        <v>23.8</v>
      </c>
      <c r="Z2174" s="52">
        <f>S2174*W2174</f>
        <v>21.25</v>
      </c>
      <c r="AA2174" s="52">
        <f>T2174*W2174</f>
        <v>2.5500000000000003</v>
      </c>
      <c r="AB2174" s="52">
        <f>V2174*W2174</f>
        <v>0</v>
      </c>
      <c r="AC2174" s="53">
        <f>(R2174+V2174)*W2174</f>
        <v>23.8</v>
      </c>
      <c r="AD2174" s="138">
        <v>11.9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109</v>
      </c>
      <c r="F2175" s="96" t="s">
        <v>111</v>
      </c>
      <c r="G2175" s="97">
        <v>46132</v>
      </c>
      <c r="H2175" s="98">
        <v>0.527337962962963</v>
      </c>
      <c r="I2175" s="50">
        <v>169002619</v>
      </c>
      <c r="J2175" s="96" t="s">
        <v>157</v>
      </c>
      <c r="K2175" s="49" t="s">
        <v>2212</v>
      </c>
      <c r="L2175" s="39" t="s">
        <v>2213</v>
      </c>
      <c r="M2175" s="49" t="s">
        <v>277</v>
      </c>
      <c r="N2175" s="39" t="s">
        <v>1643</v>
      </c>
      <c r="O2175" s="96" t="s">
        <v>2214</v>
      </c>
      <c r="P2175" s="49" t="s">
        <v>157</v>
      </c>
      <c r="Q2175" s="96" t="s">
        <v>104</v>
      </c>
      <c r="R2175" s="52">
        <v>27.93</v>
      </c>
      <c r="S2175" s="52">
        <f>R2175-T2175</f>
        <v>24.9375</v>
      </c>
      <c r="T2175" s="52">
        <f>R2175*U2175/(U2175+100)</f>
        <v>2.9924999999999997</v>
      </c>
      <c r="U2175" s="50">
        <v>12</v>
      </c>
      <c r="V2175" s="53">
        <v>0</v>
      </c>
      <c r="W2175" s="147">
        <v>1</v>
      </c>
      <c r="X2175" s="148" t="s">
        <v>163</v>
      </c>
      <c r="Y2175" s="54">
        <f>R2175*W2175</f>
        <v>27.93</v>
      </c>
      <c r="Z2175" s="52">
        <f>S2175*W2175</f>
        <v>24.9375</v>
      </c>
      <c r="AA2175" s="52">
        <f>T2175*W2175</f>
        <v>2.9924999999999997</v>
      </c>
      <c r="AB2175" s="52">
        <f>V2175*W2175</f>
        <v>0</v>
      </c>
      <c r="AC2175" s="53">
        <f>(R2175+V2175)*W2175</f>
        <v>27.93</v>
      </c>
      <c r="AD2175" s="138">
        <v>39.9</v>
      </c>
      <c r="AE2175" s="137">
        <v>11.97</v>
      </c>
      <c r="AF2175" s="139">
        <v>11.97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109</v>
      </c>
      <c r="F2176" s="96" t="s">
        <v>111</v>
      </c>
      <c r="G2176" s="97">
        <v>46132</v>
      </c>
      <c r="H2176" s="98">
        <v>0.527337962962963</v>
      </c>
      <c r="I2176" s="50">
        <v>169002619</v>
      </c>
      <c r="J2176" s="96" t="s">
        <v>157</v>
      </c>
      <c r="K2176" s="49" t="s">
        <v>2212</v>
      </c>
      <c r="L2176" s="39" t="s">
        <v>2213</v>
      </c>
      <c r="M2176" s="49" t="s">
        <v>277</v>
      </c>
      <c r="N2176" s="39" t="s">
        <v>1643</v>
      </c>
      <c r="O2176" s="96" t="s">
        <v>2214</v>
      </c>
      <c r="P2176" s="49" t="s">
        <v>157</v>
      </c>
      <c r="Q2176" s="96" t="s">
        <v>104</v>
      </c>
      <c r="R2176" s="52">
        <v>27.93</v>
      </c>
      <c r="S2176" s="52">
        <f>R2176-T2176</f>
        <v>24.9375</v>
      </c>
      <c r="T2176" s="52">
        <f>R2176*U2176/(U2176+100)</f>
        <v>2.9924999999999997</v>
      </c>
      <c r="U2176" s="50">
        <v>12</v>
      </c>
      <c r="V2176" s="53">
        <v>0</v>
      </c>
      <c r="W2176" s="147">
        <v>1</v>
      </c>
      <c r="X2176" s="148" t="s">
        <v>163</v>
      </c>
      <c r="Y2176" s="54">
        <f>R2176*W2176</f>
        <v>27.93</v>
      </c>
      <c r="Z2176" s="52">
        <f>S2176*W2176</f>
        <v>24.9375</v>
      </c>
      <c r="AA2176" s="52">
        <f>T2176*W2176</f>
        <v>2.9924999999999997</v>
      </c>
      <c r="AB2176" s="52">
        <f>V2176*W2176</f>
        <v>0</v>
      </c>
      <c r="AC2176" s="53">
        <f>(R2176+V2176)*W2176</f>
        <v>27.93</v>
      </c>
      <c r="AD2176" s="138">
        <v>39.9</v>
      </c>
      <c r="AE2176" s="137">
        <v>11.97</v>
      </c>
      <c r="AF2176" s="139">
        <v>11.97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109</v>
      </c>
      <c r="F2177" s="96" t="s">
        <v>111</v>
      </c>
      <c r="G2177" s="97">
        <v>46132</v>
      </c>
      <c r="H2177" s="98">
        <v>0.5279282407407407</v>
      </c>
      <c r="I2177" s="50">
        <v>169002620</v>
      </c>
      <c r="J2177" s="96" t="s">
        <v>157</v>
      </c>
      <c r="K2177" s="49" t="s">
        <v>3196</v>
      </c>
      <c r="L2177" s="39" t="s">
        <v>3197</v>
      </c>
      <c r="M2177" s="49" t="s">
        <v>2619</v>
      </c>
      <c r="N2177" s="39" t="s">
        <v>747</v>
      </c>
      <c r="O2177" s="96" t="s">
        <v>3198</v>
      </c>
      <c r="P2177" s="49" t="s">
        <v>157</v>
      </c>
      <c r="Q2177" s="96" t="s">
        <v>104</v>
      </c>
      <c r="R2177" s="52">
        <v>39.9</v>
      </c>
      <c r="S2177" s="52">
        <f>R2177-T2177</f>
        <v>35.625</v>
      </c>
      <c r="T2177" s="52">
        <f>R2177*U2177/(U2177+100)</f>
        <v>4.2749999999999995</v>
      </c>
      <c r="U2177" s="50">
        <v>12</v>
      </c>
      <c r="V2177" s="53">
        <v>0</v>
      </c>
      <c r="W2177" s="147">
        <v>1</v>
      </c>
      <c r="X2177" s="148" t="s">
        <v>163</v>
      </c>
      <c r="Y2177" s="54">
        <f>R2177*W2177</f>
        <v>39.9</v>
      </c>
      <c r="Z2177" s="52">
        <f>S2177*W2177</f>
        <v>35.625</v>
      </c>
      <c r="AA2177" s="52">
        <f>T2177*W2177</f>
        <v>4.2749999999999995</v>
      </c>
      <c r="AB2177" s="52">
        <f>V2177*W2177</f>
        <v>0</v>
      </c>
      <c r="AC2177" s="53">
        <f>(R2177+V2177)*W2177</f>
        <v>39.9</v>
      </c>
      <c r="AD2177" s="138">
        <v>39.9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109</v>
      </c>
      <c r="F2178" s="96" t="s">
        <v>111</v>
      </c>
      <c r="G2178" s="97">
        <v>46132</v>
      </c>
      <c r="H2178" s="98">
        <v>0.5279282407407407</v>
      </c>
      <c r="I2178" s="50">
        <v>169002620</v>
      </c>
      <c r="J2178" s="96" t="s">
        <v>157</v>
      </c>
      <c r="K2178" s="49" t="s">
        <v>1399</v>
      </c>
      <c r="L2178" s="39" t="s">
        <v>1400</v>
      </c>
      <c r="M2178" s="49" t="s">
        <v>1401</v>
      </c>
      <c r="N2178" s="39" t="s">
        <v>244</v>
      </c>
      <c r="O2178" s="96" t="s">
        <v>1402</v>
      </c>
      <c r="P2178" s="49" t="s">
        <v>157</v>
      </c>
      <c r="Q2178" s="96" t="s">
        <v>104</v>
      </c>
      <c r="R2178" s="52">
        <v>24.9</v>
      </c>
      <c r="S2178" s="52">
        <f>R2178-T2178</f>
        <v>22.232142857142858</v>
      </c>
      <c r="T2178" s="52">
        <f>R2178*U2178/(U2178+100)</f>
        <v>2.6678571428571423</v>
      </c>
      <c r="U2178" s="50">
        <v>12</v>
      </c>
      <c r="V2178" s="53">
        <v>0</v>
      </c>
      <c r="W2178" s="147">
        <v>1</v>
      </c>
      <c r="X2178" s="148" t="s">
        <v>163</v>
      </c>
      <c r="Y2178" s="54">
        <f>R2178*W2178</f>
        <v>24.9</v>
      </c>
      <c r="Z2178" s="52">
        <f>S2178*W2178</f>
        <v>22.232142857142858</v>
      </c>
      <c r="AA2178" s="52">
        <f>T2178*W2178</f>
        <v>2.6678571428571423</v>
      </c>
      <c r="AB2178" s="52">
        <f>V2178*W2178</f>
        <v>0</v>
      </c>
      <c r="AC2178" s="53">
        <f>(R2178+V2178)*W2178</f>
        <v>24.9</v>
      </c>
      <c r="AD2178" s="138">
        <v>24.9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109</v>
      </c>
      <c r="F2179" s="96" t="s">
        <v>111</v>
      </c>
      <c r="G2179" s="97">
        <v>46132</v>
      </c>
      <c r="H2179" s="98">
        <v>0.5279282407407407</v>
      </c>
      <c r="I2179" s="50">
        <v>169002620</v>
      </c>
      <c r="J2179" s="96" t="s">
        <v>157</v>
      </c>
      <c r="K2179" s="49" t="s">
        <v>3150</v>
      </c>
      <c r="L2179" s="39" t="s">
        <v>3151</v>
      </c>
      <c r="M2179" s="49" t="s">
        <v>232</v>
      </c>
      <c r="N2179" s="39" t="s">
        <v>233</v>
      </c>
      <c r="O2179" s="96" t="s">
        <v>3152</v>
      </c>
      <c r="P2179" s="49" t="s">
        <v>157</v>
      </c>
      <c r="Q2179" s="96" t="s">
        <v>104</v>
      </c>
      <c r="R2179" s="52">
        <v>27.9</v>
      </c>
      <c r="S2179" s="52">
        <f>R2179-T2179</f>
        <v>23.05785123966942</v>
      </c>
      <c r="T2179" s="52">
        <f>R2179*U2179/(U2179+100)</f>
        <v>4.842148760330578</v>
      </c>
      <c r="U2179" s="50">
        <v>21</v>
      </c>
      <c r="V2179" s="53">
        <v>0</v>
      </c>
      <c r="W2179" s="147">
        <v>1</v>
      </c>
      <c r="X2179" s="148" t="s">
        <v>163</v>
      </c>
      <c r="Y2179" s="54">
        <f>R2179*W2179</f>
        <v>27.9</v>
      </c>
      <c r="Z2179" s="52">
        <f>S2179*W2179</f>
        <v>23.05785123966942</v>
      </c>
      <c r="AA2179" s="52">
        <f>T2179*W2179</f>
        <v>4.842148760330578</v>
      </c>
      <c r="AB2179" s="52">
        <f>V2179*W2179</f>
        <v>0</v>
      </c>
      <c r="AC2179" s="53">
        <f>(R2179+V2179)*W2179</f>
        <v>27.9</v>
      </c>
      <c r="AD2179" s="138">
        <v>27.9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109</v>
      </c>
      <c r="F2180" s="96" t="s">
        <v>111</v>
      </c>
      <c r="G2180" s="97">
        <v>46132</v>
      </c>
      <c r="H2180" s="98">
        <v>0.5279282407407407</v>
      </c>
      <c r="I2180" s="50">
        <v>169002620</v>
      </c>
      <c r="J2180" s="96" t="s">
        <v>157</v>
      </c>
      <c r="K2180" s="49" t="s">
        <v>3199</v>
      </c>
      <c r="L2180" s="39" t="s">
        <v>3200</v>
      </c>
      <c r="M2180" s="49" t="s">
        <v>214</v>
      </c>
      <c r="N2180" s="39" t="s">
        <v>1752</v>
      </c>
      <c r="O2180" s="96" t="s">
        <v>3201</v>
      </c>
      <c r="P2180" s="49" t="s">
        <v>235</v>
      </c>
      <c r="Q2180" s="96" t="s">
        <v>236</v>
      </c>
      <c r="R2180" s="52">
        <v>39.9</v>
      </c>
      <c r="S2180" s="52">
        <f>R2180-T2180</f>
        <v>35.625</v>
      </c>
      <c r="T2180" s="52">
        <f>R2180*U2180/(U2180+100)</f>
        <v>4.2749999999999995</v>
      </c>
      <c r="U2180" s="50">
        <v>12</v>
      </c>
      <c r="V2180" s="53">
        <v>0</v>
      </c>
      <c r="W2180" s="147">
        <v>1</v>
      </c>
      <c r="X2180" s="148" t="s">
        <v>163</v>
      </c>
      <c r="Y2180" s="54">
        <f>R2180*W2180</f>
        <v>39.9</v>
      </c>
      <c r="Z2180" s="52">
        <f>S2180*W2180</f>
        <v>35.625</v>
      </c>
      <c r="AA2180" s="52">
        <f>T2180*W2180</f>
        <v>4.2749999999999995</v>
      </c>
      <c r="AB2180" s="52">
        <f>V2180*W2180</f>
        <v>0</v>
      </c>
      <c r="AC2180" s="53">
        <f>(R2180+V2180)*W2180</f>
        <v>39.9</v>
      </c>
      <c r="AD2180" s="138">
        <v>39.9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109</v>
      </c>
      <c r="F2181" s="96" t="s">
        <v>111</v>
      </c>
      <c r="G2181" s="97">
        <v>46132</v>
      </c>
      <c r="H2181" s="98">
        <v>0.5279282407407407</v>
      </c>
      <c r="I2181" s="50">
        <v>169002620</v>
      </c>
      <c r="J2181" s="96" t="s">
        <v>157</v>
      </c>
      <c r="K2181" s="49" t="s">
        <v>293</v>
      </c>
      <c r="L2181" s="39" t="s">
        <v>294</v>
      </c>
      <c r="M2181" s="49" t="s">
        <v>295</v>
      </c>
      <c r="N2181" s="39" t="s">
        <v>296</v>
      </c>
      <c r="O2181" s="96" t="s">
        <v>297</v>
      </c>
      <c r="P2181" s="49" t="s">
        <v>157</v>
      </c>
      <c r="Q2181" s="96" t="s">
        <v>104</v>
      </c>
      <c r="R2181" s="52">
        <v>2.9</v>
      </c>
      <c r="S2181" s="52">
        <f>R2181-T2181</f>
        <v>2.5892857142857144</v>
      </c>
      <c r="T2181" s="52">
        <f>R2181*U2181/(U2181+100)</f>
        <v>0.31071428571428567</v>
      </c>
      <c r="U2181" s="50">
        <v>12</v>
      </c>
      <c r="V2181" s="53">
        <v>0</v>
      </c>
      <c r="W2181" s="147">
        <v>6</v>
      </c>
      <c r="X2181" s="148" t="s">
        <v>163</v>
      </c>
      <c r="Y2181" s="54">
        <f>R2181*W2181</f>
        <v>17.4</v>
      </c>
      <c r="Z2181" s="52">
        <f>S2181*W2181</f>
        <v>15.535714285714286</v>
      </c>
      <c r="AA2181" s="52">
        <f>T2181*W2181</f>
        <v>1.8642857142857139</v>
      </c>
      <c r="AB2181" s="52">
        <f>V2181*W2181</f>
        <v>0</v>
      </c>
      <c r="AC2181" s="53">
        <f>(R2181+V2181)*W2181</f>
        <v>17.4</v>
      </c>
      <c r="AD2181" s="138">
        <v>2.9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109</v>
      </c>
      <c r="F2182" s="96" t="s">
        <v>111</v>
      </c>
      <c r="G2182" s="97">
        <v>46132</v>
      </c>
      <c r="H2182" s="98">
        <v>0.5286805555555556</v>
      </c>
      <c r="I2182" s="50">
        <v>169002621</v>
      </c>
      <c r="J2182" s="96" t="s">
        <v>157</v>
      </c>
      <c r="K2182" s="49" t="s">
        <v>2068</v>
      </c>
      <c r="L2182" s="39" t="s">
        <v>2069</v>
      </c>
      <c r="M2182" s="49" t="s">
        <v>429</v>
      </c>
      <c r="N2182" s="39" t="s">
        <v>348</v>
      </c>
      <c r="O2182" s="96" t="s">
        <v>2070</v>
      </c>
      <c r="P2182" s="49" t="s">
        <v>235</v>
      </c>
      <c r="Q2182" s="96" t="s">
        <v>236</v>
      </c>
      <c r="R2182" s="52">
        <v>16.9</v>
      </c>
      <c r="S2182" s="52">
        <f>R2182-T2182</f>
        <v>15.089285714285714</v>
      </c>
      <c r="T2182" s="52">
        <f>R2182*U2182/(U2182+100)</f>
        <v>1.8107142857142855</v>
      </c>
      <c r="U2182" s="50">
        <v>12</v>
      </c>
      <c r="V2182" s="53">
        <v>0</v>
      </c>
      <c r="W2182" s="147">
        <v>1</v>
      </c>
      <c r="X2182" s="148" t="s">
        <v>163</v>
      </c>
      <c r="Y2182" s="54">
        <f>R2182*W2182</f>
        <v>16.9</v>
      </c>
      <c r="Z2182" s="52">
        <f>S2182*W2182</f>
        <v>15.089285714285714</v>
      </c>
      <c r="AA2182" s="52">
        <f>T2182*W2182</f>
        <v>1.8107142857142855</v>
      </c>
      <c r="AB2182" s="52">
        <f>V2182*W2182</f>
        <v>0</v>
      </c>
      <c r="AC2182" s="53">
        <f>(R2182+V2182)*W2182</f>
        <v>16.9</v>
      </c>
      <c r="AD2182" s="138">
        <v>16.9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109</v>
      </c>
      <c r="F2183" s="96" t="s">
        <v>111</v>
      </c>
      <c r="G2183" s="97">
        <v>46132</v>
      </c>
      <c r="H2183" s="98">
        <v>0.5286805555555556</v>
      </c>
      <c r="I2183" s="50">
        <v>169002621</v>
      </c>
      <c r="J2183" s="96" t="s">
        <v>157</v>
      </c>
      <c r="K2183" s="49" t="s">
        <v>2068</v>
      </c>
      <c r="L2183" s="39" t="s">
        <v>2069</v>
      </c>
      <c r="M2183" s="49" t="s">
        <v>429</v>
      </c>
      <c r="N2183" s="39" t="s">
        <v>348</v>
      </c>
      <c r="O2183" s="96" t="s">
        <v>2070</v>
      </c>
      <c r="P2183" s="49" t="s">
        <v>235</v>
      </c>
      <c r="Q2183" s="96" t="s">
        <v>236</v>
      </c>
      <c r="R2183" s="52">
        <v>16.9</v>
      </c>
      <c r="S2183" s="52">
        <f>R2183-T2183</f>
        <v>15.089285714285714</v>
      </c>
      <c r="T2183" s="52">
        <f>R2183*U2183/(U2183+100)</f>
        <v>1.8107142857142855</v>
      </c>
      <c r="U2183" s="50">
        <v>12</v>
      </c>
      <c r="V2183" s="53">
        <v>0</v>
      </c>
      <c r="W2183" s="147">
        <v>1</v>
      </c>
      <c r="X2183" s="148" t="s">
        <v>163</v>
      </c>
      <c r="Y2183" s="54">
        <f>R2183*W2183</f>
        <v>16.9</v>
      </c>
      <c r="Z2183" s="52">
        <f>S2183*W2183</f>
        <v>15.089285714285714</v>
      </c>
      <c r="AA2183" s="52">
        <f>T2183*W2183</f>
        <v>1.8107142857142855</v>
      </c>
      <c r="AB2183" s="52">
        <f>V2183*W2183</f>
        <v>0</v>
      </c>
      <c r="AC2183" s="53">
        <f>(R2183+V2183)*W2183</f>
        <v>16.9</v>
      </c>
      <c r="AD2183" s="138">
        <v>16.9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109</v>
      </c>
      <c r="F2184" s="96" t="s">
        <v>111</v>
      </c>
      <c r="G2184" s="97">
        <v>46132</v>
      </c>
      <c r="H2184" s="98">
        <v>0.5286805555555556</v>
      </c>
      <c r="I2184" s="50">
        <v>169002621</v>
      </c>
      <c r="J2184" s="96" t="s">
        <v>157</v>
      </c>
      <c r="K2184" s="49" t="s">
        <v>1494</v>
      </c>
      <c r="L2184" s="39" t="s">
        <v>1495</v>
      </c>
      <c r="M2184" s="49" t="s">
        <v>190</v>
      </c>
      <c r="N2184" s="39" t="s">
        <v>191</v>
      </c>
      <c r="O2184" s="96" t="s">
        <v>1496</v>
      </c>
      <c r="P2184" s="49" t="s">
        <v>157</v>
      </c>
      <c r="Q2184" s="96" t="s">
        <v>104</v>
      </c>
      <c r="R2184" s="52">
        <v>79.9</v>
      </c>
      <c r="S2184" s="52">
        <f>R2184-T2184</f>
        <v>71.33928571428572</v>
      </c>
      <c r="T2184" s="52">
        <f>R2184*U2184/(U2184+100)</f>
        <v>8.560714285714287</v>
      </c>
      <c r="U2184" s="50">
        <v>12</v>
      </c>
      <c r="V2184" s="53">
        <v>0</v>
      </c>
      <c r="W2184" s="147">
        <v>0.464</v>
      </c>
      <c r="X2184" s="148" t="s">
        <v>193</v>
      </c>
      <c r="Y2184" s="54">
        <f>R2184*W2184</f>
        <v>37.073600000000006</v>
      </c>
      <c r="Z2184" s="52">
        <f>S2184*W2184</f>
        <v>33.10142857142858</v>
      </c>
      <c r="AA2184" s="52">
        <f>T2184*W2184</f>
        <v>3.9721714285714294</v>
      </c>
      <c r="AB2184" s="52">
        <f>V2184*W2184</f>
        <v>0</v>
      </c>
      <c r="AC2184" s="53">
        <f>(R2184+V2184)*W2184</f>
        <v>37.073600000000006</v>
      </c>
      <c r="AD2184" s="138">
        <v>79.9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109</v>
      </c>
      <c r="F2185" s="96" t="s">
        <v>111</v>
      </c>
      <c r="G2185" s="97">
        <v>46132</v>
      </c>
      <c r="H2185" s="98">
        <v>0.5286805555555556</v>
      </c>
      <c r="I2185" s="50">
        <v>169002621</v>
      </c>
      <c r="J2185" s="96" t="s">
        <v>157</v>
      </c>
      <c r="K2185" s="49" t="s">
        <v>303</v>
      </c>
      <c r="L2185" s="39" t="s">
        <v>304</v>
      </c>
      <c r="M2185" s="49" t="s">
        <v>214</v>
      </c>
      <c r="N2185" s="39" t="s">
        <v>296</v>
      </c>
      <c r="O2185" s="96" t="s">
        <v>305</v>
      </c>
      <c r="P2185" s="49" t="s">
        <v>157</v>
      </c>
      <c r="Q2185" s="96" t="s">
        <v>104</v>
      </c>
      <c r="R2185" s="52">
        <v>11.9</v>
      </c>
      <c r="S2185" s="52">
        <f>R2185-T2185</f>
        <v>10.625</v>
      </c>
      <c r="T2185" s="52">
        <f>R2185*U2185/(U2185+100)</f>
        <v>1.2750000000000001</v>
      </c>
      <c r="U2185" s="50">
        <v>12</v>
      </c>
      <c r="V2185" s="53">
        <v>0</v>
      </c>
      <c r="W2185" s="147">
        <v>2</v>
      </c>
      <c r="X2185" s="148" t="s">
        <v>163</v>
      </c>
      <c r="Y2185" s="54">
        <f>R2185*W2185</f>
        <v>23.8</v>
      </c>
      <c r="Z2185" s="52">
        <f>S2185*W2185</f>
        <v>21.25</v>
      </c>
      <c r="AA2185" s="52">
        <f>T2185*W2185</f>
        <v>2.5500000000000003</v>
      </c>
      <c r="AB2185" s="52">
        <f>V2185*W2185</f>
        <v>0</v>
      </c>
      <c r="AC2185" s="53">
        <f>(R2185+V2185)*W2185</f>
        <v>23.8</v>
      </c>
      <c r="AD2185" s="138">
        <v>11.9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109</v>
      </c>
      <c r="F2186" s="96" t="s">
        <v>111</v>
      </c>
      <c r="G2186" s="97">
        <v>46132</v>
      </c>
      <c r="H2186" s="98">
        <v>0.5286805555555556</v>
      </c>
      <c r="I2186" s="50">
        <v>169002621</v>
      </c>
      <c r="J2186" s="96" t="s">
        <v>157</v>
      </c>
      <c r="K2186" s="49" t="s">
        <v>2175</v>
      </c>
      <c r="L2186" s="39" t="s">
        <v>2176</v>
      </c>
      <c r="M2186" s="49" t="s">
        <v>369</v>
      </c>
      <c r="N2186" s="39" t="s">
        <v>688</v>
      </c>
      <c r="O2186" s="96" t="s">
        <v>2177</v>
      </c>
      <c r="P2186" s="49" t="s">
        <v>157</v>
      </c>
      <c r="Q2186" s="96" t="s">
        <v>104</v>
      </c>
      <c r="R2186" s="52">
        <v>227.9</v>
      </c>
      <c r="S2186" s="52">
        <f>R2186-T2186</f>
        <v>203.48214285714286</v>
      </c>
      <c r="T2186" s="52">
        <f>R2186*U2186/(U2186+100)</f>
        <v>24.417857142857144</v>
      </c>
      <c r="U2186" s="50">
        <v>12</v>
      </c>
      <c r="V2186" s="53">
        <v>0</v>
      </c>
      <c r="W2186" s="147">
        <v>0.116</v>
      </c>
      <c r="X2186" s="148" t="s">
        <v>193</v>
      </c>
      <c r="Y2186" s="54">
        <f>R2186*W2186</f>
        <v>26.436400000000003</v>
      </c>
      <c r="Z2186" s="52">
        <f>S2186*W2186</f>
        <v>23.603928571428572</v>
      </c>
      <c r="AA2186" s="52">
        <f>T2186*W2186</f>
        <v>2.832471428571429</v>
      </c>
      <c r="AB2186" s="52">
        <f>V2186*W2186</f>
        <v>0</v>
      </c>
      <c r="AC2186" s="53">
        <f>(R2186+V2186)*W2186</f>
        <v>26.436400000000003</v>
      </c>
      <c r="AD2186" s="138">
        <v>227.9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109</v>
      </c>
      <c r="F2187" s="96" t="s">
        <v>111</v>
      </c>
      <c r="G2187" s="97">
        <v>46132</v>
      </c>
      <c r="H2187" s="98">
        <v>0.5286805555555556</v>
      </c>
      <c r="I2187" s="50">
        <v>169002621</v>
      </c>
      <c r="J2187" s="96" t="s">
        <v>157</v>
      </c>
      <c r="K2187" s="49" t="s">
        <v>3202</v>
      </c>
      <c r="L2187" s="39" t="s">
        <v>3203</v>
      </c>
      <c r="M2187" s="49" t="s">
        <v>837</v>
      </c>
      <c r="N2187" s="39" t="s">
        <v>838</v>
      </c>
      <c r="O2187" s="96" t="s">
        <v>3204</v>
      </c>
      <c r="P2187" s="49" t="s">
        <v>157</v>
      </c>
      <c r="Q2187" s="96" t="s">
        <v>104</v>
      </c>
      <c r="R2187" s="52">
        <v>99.9</v>
      </c>
      <c r="S2187" s="52">
        <f>R2187-T2187</f>
        <v>89.19642857142857</v>
      </c>
      <c r="T2187" s="52">
        <f>R2187*U2187/(U2187+100)</f>
        <v>10.703571428571431</v>
      </c>
      <c r="U2187" s="50">
        <v>12</v>
      </c>
      <c r="V2187" s="53">
        <v>0</v>
      </c>
      <c r="W2187" s="147">
        <v>1</v>
      </c>
      <c r="X2187" s="148" t="s">
        <v>163</v>
      </c>
      <c r="Y2187" s="54">
        <f>R2187*W2187</f>
        <v>99.9</v>
      </c>
      <c r="Z2187" s="52">
        <f>S2187*W2187</f>
        <v>89.19642857142857</v>
      </c>
      <c r="AA2187" s="52">
        <f>T2187*W2187</f>
        <v>10.703571428571431</v>
      </c>
      <c r="AB2187" s="52">
        <f>V2187*W2187</f>
        <v>0</v>
      </c>
      <c r="AC2187" s="53">
        <f>(R2187+V2187)*W2187</f>
        <v>99.9</v>
      </c>
      <c r="AD2187" s="138">
        <v>99.9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109</v>
      </c>
      <c r="F2188" s="96" t="s">
        <v>111</v>
      </c>
      <c r="G2188" s="97">
        <v>46132</v>
      </c>
      <c r="H2188" s="98">
        <v>0.5286805555555556</v>
      </c>
      <c r="I2188" s="50">
        <v>169002621</v>
      </c>
      <c r="J2188" s="96" t="s">
        <v>157</v>
      </c>
      <c r="K2188" s="49" t="s">
        <v>3205</v>
      </c>
      <c r="L2188" s="39" t="s">
        <v>3206</v>
      </c>
      <c r="M2188" s="49" t="s">
        <v>997</v>
      </c>
      <c r="N2188" s="39" t="s">
        <v>3207</v>
      </c>
      <c r="O2188" s="96" t="s">
        <v>3208</v>
      </c>
      <c r="P2188" s="49" t="s">
        <v>157</v>
      </c>
      <c r="Q2188" s="96" t="s">
        <v>104</v>
      </c>
      <c r="R2188" s="52">
        <v>26.9</v>
      </c>
      <c r="S2188" s="52">
        <f>R2188-T2188</f>
        <v>24.017857142857142</v>
      </c>
      <c r="T2188" s="52">
        <f>R2188*U2188/(U2188+100)</f>
        <v>2.8821428571428567</v>
      </c>
      <c r="U2188" s="50">
        <v>12</v>
      </c>
      <c r="V2188" s="53">
        <v>0</v>
      </c>
      <c r="W2188" s="147">
        <v>1</v>
      </c>
      <c r="X2188" s="148" t="s">
        <v>945</v>
      </c>
      <c r="Y2188" s="54">
        <f>R2188*W2188</f>
        <v>26.9</v>
      </c>
      <c r="Z2188" s="52">
        <f>S2188*W2188</f>
        <v>24.017857142857142</v>
      </c>
      <c r="AA2188" s="52">
        <f>T2188*W2188</f>
        <v>2.8821428571428567</v>
      </c>
      <c r="AB2188" s="52">
        <f>V2188*W2188</f>
        <v>0</v>
      </c>
      <c r="AC2188" s="53">
        <f>(R2188+V2188)*W2188</f>
        <v>26.9</v>
      </c>
      <c r="AD2188" s="138">
        <v>26.9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109</v>
      </c>
      <c r="F2189" s="96" t="s">
        <v>111</v>
      </c>
      <c r="G2189" s="97">
        <v>46132</v>
      </c>
      <c r="H2189" s="98">
        <v>0.5299305555555556</v>
      </c>
      <c r="I2189" s="50">
        <v>169002622</v>
      </c>
      <c r="J2189" s="96" t="s">
        <v>157</v>
      </c>
      <c r="K2189" s="49" t="s">
        <v>1677</v>
      </c>
      <c r="L2189" s="39" t="s">
        <v>1678</v>
      </c>
      <c r="M2189" s="49" t="s">
        <v>1679</v>
      </c>
      <c r="N2189" s="39" t="s">
        <v>731</v>
      </c>
      <c r="O2189" s="96" t="s">
        <v>1680</v>
      </c>
      <c r="P2189" s="49" t="s">
        <v>157</v>
      </c>
      <c r="Q2189" s="96" t="s">
        <v>104</v>
      </c>
      <c r="R2189" s="52">
        <v>67.9</v>
      </c>
      <c r="S2189" s="52">
        <f>R2189-T2189</f>
        <v>56.11570247933885</v>
      </c>
      <c r="T2189" s="52">
        <f>R2189*U2189/(U2189+100)</f>
        <v>11.784297520661157</v>
      </c>
      <c r="U2189" s="50">
        <v>21</v>
      </c>
      <c r="V2189" s="53">
        <v>0</v>
      </c>
      <c r="W2189" s="147">
        <v>1</v>
      </c>
      <c r="X2189" s="148" t="s">
        <v>163</v>
      </c>
      <c r="Y2189" s="54">
        <f>R2189*W2189</f>
        <v>67.9</v>
      </c>
      <c r="Z2189" s="52">
        <f>S2189*W2189</f>
        <v>56.11570247933885</v>
      </c>
      <c r="AA2189" s="52">
        <f>T2189*W2189</f>
        <v>11.784297520661157</v>
      </c>
      <c r="AB2189" s="52">
        <f>V2189*W2189</f>
        <v>0</v>
      </c>
      <c r="AC2189" s="53">
        <f>(R2189+V2189)*W2189</f>
        <v>67.9</v>
      </c>
      <c r="AD2189" s="138">
        <v>67.9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109</v>
      </c>
      <c r="F2190" s="96" t="s">
        <v>111</v>
      </c>
      <c r="G2190" s="97">
        <v>46132</v>
      </c>
      <c r="H2190" s="98">
        <v>0.5299305555555556</v>
      </c>
      <c r="I2190" s="50">
        <v>169002622</v>
      </c>
      <c r="J2190" s="96" t="s">
        <v>157</v>
      </c>
      <c r="K2190" s="49" t="s">
        <v>1677</v>
      </c>
      <c r="L2190" s="39" t="s">
        <v>1678</v>
      </c>
      <c r="M2190" s="49" t="s">
        <v>1679</v>
      </c>
      <c r="N2190" s="39" t="s">
        <v>731</v>
      </c>
      <c r="O2190" s="96" t="s">
        <v>1680</v>
      </c>
      <c r="P2190" s="49" t="s">
        <v>157</v>
      </c>
      <c r="Q2190" s="96" t="s">
        <v>104</v>
      </c>
      <c r="R2190" s="52">
        <v>67.9</v>
      </c>
      <c r="S2190" s="52">
        <f>R2190-T2190</f>
        <v>56.11570247933885</v>
      </c>
      <c r="T2190" s="52">
        <f>R2190*U2190/(U2190+100)</f>
        <v>11.784297520661157</v>
      </c>
      <c r="U2190" s="50">
        <v>21</v>
      </c>
      <c r="V2190" s="53">
        <v>0</v>
      </c>
      <c r="W2190" s="147">
        <v>1</v>
      </c>
      <c r="X2190" s="148" t="s">
        <v>163</v>
      </c>
      <c r="Y2190" s="54">
        <f>R2190*W2190</f>
        <v>67.9</v>
      </c>
      <c r="Z2190" s="52">
        <f>S2190*W2190</f>
        <v>56.11570247933885</v>
      </c>
      <c r="AA2190" s="52">
        <f>T2190*W2190</f>
        <v>11.784297520661157</v>
      </c>
      <c r="AB2190" s="52">
        <f>V2190*W2190</f>
        <v>0</v>
      </c>
      <c r="AC2190" s="53">
        <f>(R2190+V2190)*W2190</f>
        <v>67.9</v>
      </c>
      <c r="AD2190" s="138">
        <v>67.9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109</v>
      </c>
      <c r="F2191" s="96" t="s">
        <v>111</v>
      </c>
      <c r="G2191" s="97">
        <v>46132</v>
      </c>
      <c r="H2191" s="98">
        <v>0.5299305555555556</v>
      </c>
      <c r="I2191" s="50">
        <v>169002622</v>
      </c>
      <c r="J2191" s="96" t="s">
        <v>157</v>
      </c>
      <c r="K2191" s="49" t="s">
        <v>2988</v>
      </c>
      <c r="L2191" s="39" t="s">
        <v>2989</v>
      </c>
      <c r="M2191" s="49" t="s">
        <v>862</v>
      </c>
      <c r="N2191" s="39" t="s">
        <v>863</v>
      </c>
      <c r="O2191" s="96" t="s">
        <v>2990</v>
      </c>
      <c r="P2191" s="49" t="s">
        <v>157</v>
      </c>
      <c r="Q2191" s="96" t="s">
        <v>104</v>
      </c>
      <c r="R2191" s="52">
        <v>162</v>
      </c>
      <c r="S2191" s="52">
        <f>R2191-T2191</f>
        <v>133.88429752066116</v>
      </c>
      <c r="T2191" s="52">
        <f>R2191*U2191/(U2191+100)</f>
        <v>28.115702479338843</v>
      </c>
      <c r="U2191" s="50">
        <v>21</v>
      </c>
      <c r="V2191" s="53">
        <v>0</v>
      </c>
      <c r="W2191" s="147">
        <v>1</v>
      </c>
      <c r="X2191" s="148" t="s">
        <v>163</v>
      </c>
      <c r="Y2191" s="54">
        <f>R2191*W2191</f>
        <v>162</v>
      </c>
      <c r="Z2191" s="52">
        <f>S2191*W2191</f>
        <v>133.88429752066116</v>
      </c>
      <c r="AA2191" s="52">
        <f>T2191*W2191</f>
        <v>28.115702479338843</v>
      </c>
      <c r="AB2191" s="52">
        <f>V2191*W2191</f>
        <v>0</v>
      </c>
      <c r="AC2191" s="53">
        <f>(R2191+V2191)*W2191</f>
        <v>162</v>
      </c>
      <c r="AD2191" s="138">
        <v>162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109</v>
      </c>
      <c r="F2192" s="96" t="s">
        <v>111</v>
      </c>
      <c r="G2192" s="97">
        <v>46132</v>
      </c>
      <c r="H2192" s="98">
        <v>0.5321296296296296</v>
      </c>
      <c r="I2192" s="50">
        <v>169002623</v>
      </c>
      <c r="J2192" s="96" t="s">
        <v>157</v>
      </c>
      <c r="K2192" s="49" t="s">
        <v>3022</v>
      </c>
      <c r="L2192" s="39" t="s">
        <v>3023</v>
      </c>
      <c r="M2192" s="49" t="s">
        <v>972</v>
      </c>
      <c r="N2192" s="39" t="s">
        <v>256</v>
      </c>
      <c r="O2192" s="96" t="s">
        <v>3024</v>
      </c>
      <c r="P2192" s="49" t="s">
        <v>157</v>
      </c>
      <c r="Q2192" s="96" t="s">
        <v>104</v>
      </c>
      <c r="R2192" s="52">
        <v>21.9</v>
      </c>
      <c r="S2192" s="52">
        <f>R2192-T2192</f>
        <v>18.099173553719005</v>
      </c>
      <c r="T2192" s="52">
        <f>R2192*U2192/(U2192+100)</f>
        <v>3.8008264462809915</v>
      </c>
      <c r="U2192" s="50">
        <v>21</v>
      </c>
      <c r="V2192" s="53">
        <v>0</v>
      </c>
      <c r="W2192" s="147">
        <v>1</v>
      </c>
      <c r="X2192" s="148" t="s">
        <v>163</v>
      </c>
      <c r="Y2192" s="54">
        <f>R2192*W2192</f>
        <v>21.9</v>
      </c>
      <c r="Z2192" s="52">
        <f>S2192*W2192</f>
        <v>18.099173553719005</v>
      </c>
      <c r="AA2192" s="52">
        <f>T2192*W2192</f>
        <v>3.8008264462809915</v>
      </c>
      <c r="AB2192" s="52">
        <f>V2192*W2192</f>
        <v>0</v>
      </c>
      <c r="AC2192" s="53">
        <f>(R2192+V2192)*W2192</f>
        <v>21.9</v>
      </c>
      <c r="AD2192" s="138">
        <v>21.9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109</v>
      </c>
      <c r="F2193" s="96" t="s">
        <v>111</v>
      </c>
      <c r="G2193" s="97">
        <v>46132</v>
      </c>
      <c r="H2193" s="98">
        <v>0.5345601851851852</v>
      </c>
      <c r="I2193" s="50">
        <v>169002624</v>
      </c>
      <c r="J2193" s="96" t="s">
        <v>157</v>
      </c>
      <c r="K2193" s="49" t="s">
        <v>2546</v>
      </c>
      <c r="L2193" s="39" t="s">
        <v>2547</v>
      </c>
      <c r="M2193" s="49" t="s">
        <v>466</v>
      </c>
      <c r="N2193" s="39" t="s">
        <v>609</v>
      </c>
      <c r="O2193" s="96" t="s">
        <v>2548</v>
      </c>
      <c r="P2193" s="49" t="s">
        <v>157</v>
      </c>
      <c r="Q2193" s="96" t="s">
        <v>104</v>
      </c>
      <c r="R2193" s="52">
        <v>10.43</v>
      </c>
      <c r="S2193" s="52">
        <f>R2193-T2193</f>
        <v>9.3125</v>
      </c>
      <c r="T2193" s="52">
        <f>R2193*U2193/(U2193+100)</f>
        <v>1.1175</v>
      </c>
      <c r="U2193" s="50">
        <v>12</v>
      </c>
      <c r="V2193" s="53">
        <v>0</v>
      </c>
      <c r="W2193" s="147">
        <v>1</v>
      </c>
      <c r="X2193" s="148" t="s">
        <v>163</v>
      </c>
      <c r="Y2193" s="54">
        <f>R2193*W2193</f>
        <v>10.43</v>
      </c>
      <c r="Z2193" s="52">
        <f>S2193*W2193</f>
        <v>9.3125</v>
      </c>
      <c r="AA2193" s="52">
        <f>T2193*W2193</f>
        <v>1.1175</v>
      </c>
      <c r="AB2193" s="52">
        <f>V2193*W2193</f>
        <v>0</v>
      </c>
      <c r="AC2193" s="53">
        <f>(R2193+V2193)*W2193</f>
        <v>10.43</v>
      </c>
      <c r="AD2193" s="138">
        <v>14.9</v>
      </c>
      <c r="AE2193" s="137">
        <v>4.47</v>
      </c>
      <c r="AF2193" s="139">
        <v>4.47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109</v>
      </c>
      <c r="F2194" s="96" t="s">
        <v>111</v>
      </c>
      <c r="G2194" s="97">
        <v>46132</v>
      </c>
      <c r="H2194" s="98">
        <v>0.5345601851851852</v>
      </c>
      <c r="I2194" s="50">
        <v>169002624</v>
      </c>
      <c r="J2194" s="96" t="s">
        <v>157</v>
      </c>
      <c r="K2194" s="49" t="s">
        <v>2546</v>
      </c>
      <c r="L2194" s="39" t="s">
        <v>2547</v>
      </c>
      <c r="M2194" s="49" t="s">
        <v>466</v>
      </c>
      <c r="N2194" s="39" t="s">
        <v>609</v>
      </c>
      <c r="O2194" s="96" t="s">
        <v>2548</v>
      </c>
      <c r="P2194" s="49" t="s">
        <v>157</v>
      </c>
      <c r="Q2194" s="96" t="s">
        <v>104</v>
      </c>
      <c r="R2194" s="52">
        <v>10.43</v>
      </c>
      <c r="S2194" s="52">
        <f>R2194-T2194</f>
        <v>9.3125</v>
      </c>
      <c r="T2194" s="52">
        <f>R2194*U2194/(U2194+100)</f>
        <v>1.1175</v>
      </c>
      <c r="U2194" s="50">
        <v>12</v>
      </c>
      <c r="V2194" s="53">
        <v>0</v>
      </c>
      <c r="W2194" s="147">
        <v>1</v>
      </c>
      <c r="X2194" s="148" t="s">
        <v>163</v>
      </c>
      <c r="Y2194" s="54">
        <f>R2194*W2194</f>
        <v>10.43</v>
      </c>
      <c r="Z2194" s="52">
        <f>S2194*W2194</f>
        <v>9.3125</v>
      </c>
      <c r="AA2194" s="52">
        <f>T2194*W2194</f>
        <v>1.1175</v>
      </c>
      <c r="AB2194" s="52">
        <f>V2194*W2194</f>
        <v>0</v>
      </c>
      <c r="AC2194" s="53">
        <f>(R2194+V2194)*W2194</f>
        <v>10.43</v>
      </c>
      <c r="AD2194" s="138">
        <v>14.9</v>
      </c>
      <c r="AE2194" s="137">
        <v>4.47</v>
      </c>
      <c r="AF2194" s="139">
        <v>4.47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109</v>
      </c>
      <c r="F2195" s="96" t="s">
        <v>111</v>
      </c>
      <c r="G2195" s="97">
        <v>46132</v>
      </c>
      <c r="H2195" s="98">
        <v>0.5345601851851852</v>
      </c>
      <c r="I2195" s="50">
        <v>169002624</v>
      </c>
      <c r="J2195" s="96" t="s">
        <v>157</v>
      </c>
      <c r="K2195" s="49" t="s">
        <v>3209</v>
      </c>
      <c r="L2195" s="39" t="s">
        <v>3210</v>
      </c>
      <c r="M2195" s="49" t="s">
        <v>873</v>
      </c>
      <c r="N2195" s="39" t="s">
        <v>609</v>
      </c>
      <c r="O2195" s="96" t="s">
        <v>3211</v>
      </c>
      <c r="P2195" s="49" t="s">
        <v>157</v>
      </c>
      <c r="Q2195" s="96" t="s">
        <v>104</v>
      </c>
      <c r="R2195" s="52">
        <v>31.9</v>
      </c>
      <c r="S2195" s="52">
        <f>R2195-T2195</f>
        <v>28.482142857142858</v>
      </c>
      <c r="T2195" s="52">
        <f>R2195*U2195/(U2195+100)</f>
        <v>3.4178571428571423</v>
      </c>
      <c r="U2195" s="50">
        <v>12</v>
      </c>
      <c r="V2195" s="53">
        <v>0</v>
      </c>
      <c r="W2195" s="147">
        <v>1</v>
      </c>
      <c r="X2195" s="148" t="s">
        <v>163</v>
      </c>
      <c r="Y2195" s="54">
        <f>R2195*W2195</f>
        <v>31.9</v>
      </c>
      <c r="Z2195" s="52">
        <f>S2195*W2195</f>
        <v>28.482142857142858</v>
      </c>
      <c r="AA2195" s="52">
        <f>T2195*W2195</f>
        <v>3.4178571428571423</v>
      </c>
      <c r="AB2195" s="52">
        <f>V2195*W2195</f>
        <v>0</v>
      </c>
      <c r="AC2195" s="53">
        <f>(R2195+V2195)*W2195</f>
        <v>31.9</v>
      </c>
      <c r="AD2195" s="138">
        <v>31.9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109</v>
      </c>
      <c r="F2196" s="96" t="s">
        <v>111</v>
      </c>
      <c r="G2196" s="97">
        <v>46132</v>
      </c>
      <c r="H2196" s="98">
        <v>0.5345601851851852</v>
      </c>
      <c r="I2196" s="50">
        <v>169002624</v>
      </c>
      <c r="J2196" s="96" t="s">
        <v>157</v>
      </c>
      <c r="K2196" s="49" t="s">
        <v>1609</v>
      </c>
      <c r="L2196" s="39" t="s">
        <v>1610</v>
      </c>
      <c r="M2196" s="49" t="s">
        <v>862</v>
      </c>
      <c r="N2196" s="39" t="s">
        <v>863</v>
      </c>
      <c r="O2196" s="96" t="s">
        <v>1611</v>
      </c>
      <c r="P2196" s="49" t="s">
        <v>157</v>
      </c>
      <c r="Q2196" s="96" t="s">
        <v>104</v>
      </c>
      <c r="R2196" s="52">
        <v>162</v>
      </c>
      <c r="S2196" s="52">
        <f>R2196-T2196</f>
        <v>133.88429752066116</v>
      </c>
      <c r="T2196" s="52">
        <f>R2196*U2196/(U2196+100)</f>
        <v>28.115702479338843</v>
      </c>
      <c r="U2196" s="50">
        <v>21</v>
      </c>
      <c r="V2196" s="53">
        <v>0</v>
      </c>
      <c r="W2196" s="147">
        <v>1</v>
      </c>
      <c r="X2196" s="148" t="s">
        <v>163</v>
      </c>
      <c r="Y2196" s="54">
        <f>R2196*W2196</f>
        <v>162</v>
      </c>
      <c r="Z2196" s="52">
        <f>S2196*W2196</f>
        <v>133.88429752066116</v>
      </c>
      <c r="AA2196" s="52">
        <f>T2196*W2196</f>
        <v>28.115702479338843</v>
      </c>
      <c r="AB2196" s="52">
        <f>V2196*W2196</f>
        <v>0</v>
      </c>
      <c r="AC2196" s="53">
        <f>(R2196+V2196)*W2196</f>
        <v>162</v>
      </c>
      <c r="AD2196" s="138">
        <v>162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109</v>
      </c>
      <c r="F2197" s="96" t="s">
        <v>111</v>
      </c>
      <c r="G2197" s="97">
        <v>46132</v>
      </c>
      <c r="H2197" s="98">
        <v>0.5345601851851852</v>
      </c>
      <c r="I2197" s="50">
        <v>169002624</v>
      </c>
      <c r="J2197" s="96" t="s">
        <v>157</v>
      </c>
      <c r="K2197" s="49" t="s">
        <v>1085</v>
      </c>
      <c r="L2197" s="39" t="s">
        <v>1086</v>
      </c>
      <c r="M2197" s="49" t="s">
        <v>1087</v>
      </c>
      <c r="N2197" s="39" t="s">
        <v>1088</v>
      </c>
      <c r="O2197" s="96" t="s">
        <v>1089</v>
      </c>
      <c r="P2197" s="49" t="s">
        <v>157</v>
      </c>
      <c r="Q2197" s="96" t="s">
        <v>104</v>
      </c>
      <c r="R2197" s="52">
        <v>163.03</v>
      </c>
      <c r="S2197" s="52">
        <f>R2197-T2197</f>
        <v>145.5625</v>
      </c>
      <c r="T2197" s="52">
        <f>R2197*U2197/(U2197+100)</f>
        <v>17.4675</v>
      </c>
      <c r="U2197" s="50">
        <v>12</v>
      </c>
      <c r="V2197" s="53">
        <v>0</v>
      </c>
      <c r="W2197" s="147">
        <v>0.23</v>
      </c>
      <c r="X2197" s="148" t="s">
        <v>193</v>
      </c>
      <c r="Y2197" s="54">
        <f>R2197*W2197</f>
        <v>37.496900000000004</v>
      </c>
      <c r="Z2197" s="52">
        <f>S2197*W2197</f>
        <v>33.479375000000005</v>
      </c>
      <c r="AA2197" s="52">
        <f>T2197*W2197</f>
        <v>4.017525</v>
      </c>
      <c r="AB2197" s="52">
        <f>V2197*W2197</f>
        <v>0</v>
      </c>
      <c r="AC2197" s="53">
        <f>(R2197+V2197)*W2197</f>
        <v>37.496900000000004</v>
      </c>
      <c r="AD2197" s="138">
        <v>232.9</v>
      </c>
      <c r="AE2197" s="137">
        <v>69.87</v>
      </c>
      <c r="AF2197" s="139">
        <v>16.0701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109</v>
      </c>
      <c r="F2198" s="96" t="s">
        <v>111</v>
      </c>
      <c r="G2198" s="97">
        <v>46132</v>
      </c>
      <c r="H2198" s="98">
        <v>0.5345601851851852</v>
      </c>
      <c r="I2198" s="50">
        <v>169002624</v>
      </c>
      <c r="J2198" s="96" t="s">
        <v>157</v>
      </c>
      <c r="K2198" s="49" t="s">
        <v>3212</v>
      </c>
      <c r="L2198" s="39" t="s">
        <v>3213</v>
      </c>
      <c r="M2198" s="49" t="s">
        <v>522</v>
      </c>
      <c r="N2198" s="39" t="s">
        <v>1088</v>
      </c>
      <c r="O2198" s="96" t="s">
        <v>3214</v>
      </c>
      <c r="P2198" s="49" t="s">
        <v>157</v>
      </c>
      <c r="Q2198" s="96" t="s">
        <v>104</v>
      </c>
      <c r="R2198" s="52">
        <v>137.9</v>
      </c>
      <c r="S2198" s="52">
        <f>R2198-T2198</f>
        <v>123.125</v>
      </c>
      <c r="T2198" s="52">
        <f>R2198*U2198/(U2198+100)</f>
        <v>14.775000000000002</v>
      </c>
      <c r="U2198" s="50">
        <v>12</v>
      </c>
      <c r="V2198" s="53">
        <v>0</v>
      </c>
      <c r="W2198" s="147">
        <v>0.12</v>
      </c>
      <c r="X2198" s="148" t="s">
        <v>193</v>
      </c>
      <c r="Y2198" s="54">
        <f>R2198*W2198</f>
        <v>16.548000000000002</v>
      </c>
      <c r="Z2198" s="52">
        <f>S2198*W2198</f>
        <v>14.774999999999999</v>
      </c>
      <c r="AA2198" s="52">
        <f>T2198*W2198</f>
        <v>1.7730000000000001</v>
      </c>
      <c r="AB2198" s="52">
        <f>V2198*W2198</f>
        <v>0</v>
      </c>
      <c r="AC2198" s="53">
        <f>(R2198+V2198)*W2198</f>
        <v>16.548000000000002</v>
      </c>
      <c r="AD2198" s="138">
        <v>137.9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109</v>
      </c>
      <c r="F2199" s="96" t="s">
        <v>111</v>
      </c>
      <c r="G2199" s="97">
        <v>46132</v>
      </c>
      <c r="H2199" s="98">
        <v>0.5345601851851852</v>
      </c>
      <c r="I2199" s="50">
        <v>169002624</v>
      </c>
      <c r="J2199" s="96" t="s">
        <v>157</v>
      </c>
      <c r="K2199" s="49" t="s">
        <v>942</v>
      </c>
      <c r="L2199" s="39"/>
      <c r="M2199" s="49" t="s">
        <v>295</v>
      </c>
      <c r="N2199" s="39" t="s">
        <v>433</v>
      </c>
      <c r="O2199" s="96" t="s">
        <v>1332</v>
      </c>
      <c r="P2199" s="49" t="s">
        <v>235</v>
      </c>
      <c r="Q2199" s="96" t="s">
        <v>944</v>
      </c>
      <c r="R2199" s="52">
        <v>9.9</v>
      </c>
      <c r="S2199" s="52">
        <f>R2199-T2199</f>
        <v>8.839285714285715</v>
      </c>
      <c r="T2199" s="52">
        <f>R2199*U2199/(U2199+100)</f>
        <v>1.0607142857142857</v>
      </c>
      <c r="U2199" s="50">
        <v>12</v>
      </c>
      <c r="V2199" s="53">
        <v>0</v>
      </c>
      <c r="W2199" s="147">
        <v>1</v>
      </c>
      <c r="X2199" s="148" t="s">
        <v>945</v>
      </c>
      <c r="Y2199" s="54">
        <f>R2199*W2199</f>
        <v>9.9</v>
      </c>
      <c r="Z2199" s="52">
        <f>S2199*W2199</f>
        <v>8.839285714285715</v>
      </c>
      <c r="AA2199" s="52">
        <f>T2199*W2199</f>
        <v>1.0607142857142857</v>
      </c>
      <c r="AB2199" s="52">
        <f>V2199*W2199</f>
        <v>0</v>
      </c>
      <c r="AC2199" s="53">
        <f>(R2199+V2199)*W2199</f>
        <v>9.9</v>
      </c>
      <c r="AD2199" s="138">
        <v>9.9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109</v>
      </c>
      <c r="F2200" s="96" t="s">
        <v>111</v>
      </c>
      <c r="G2200" s="97">
        <v>46132</v>
      </c>
      <c r="H2200" s="98">
        <v>0.5345601851851852</v>
      </c>
      <c r="I2200" s="50">
        <v>169002624</v>
      </c>
      <c r="J2200" s="96" t="s">
        <v>157</v>
      </c>
      <c r="K2200" s="49" t="s">
        <v>1734</v>
      </c>
      <c r="L2200" s="39" t="s">
        <v>1735</v>
      </c>
      <c r="M2200" s="49" t="s">
        <v>997</v>
      </c>
      <c r="N2200" s="39" t="s">
        <v>1736</v>
      </c>
      <c r="O2200" s="96" t="s">
        <v>1737</v>
      </c>
      <c r="P2200" s="49" t="s">
        <v>157</v>
      </c>
      <c r="Q2200" s="96" t="s">
        <v>104</v>
      </c>
      <c r="R2200" s="52">
        <v>26.9</v>
      </c>
      <c r="S2200" s="52">
        <f>R2200-T2200</f>
        <v>24.017857142857142</v>
      </c>
      <c r="T2200" s="52">
        <f>R2200*U2200/(U2200+100)</f>
        <v>2.8821428571428567</v>
      </c>
      <c r="U2200" s="50">
        <v>12</v>
      </c>
      <c r="V2200" s="53">
        <v>0</v>
      </c>
      <c r="W2200" s="147">
        <v>1</v>
      </c>
      <c r="X2200" s="148" t="s">
        <v>945</v>
      </c>
      <c r="Y2200" s="54">
        <f>R2200*W2200</f>
        <v>26.9</v>
      </c>
      <c r="Z2200" s="52">
        <f>S2200*W2200</f>
        <v>24.017857142857142</v>
      </c>
      <c r="AA2200" s="52">
        <f>T2200*W2200</f>
        <v>2.8821428571428567</v>
      </c>
      <c r="AB2200" s="52">
        <f>V2200*W2200</f>
        <v>0</v>
      </c>
      <c r="AC2200" s="53">
        <f>(R2200+V2200)*W2200</f>
        <v>26.9</v>
      </c>
      <c r="AD2200" s="138">
        <v>26.9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109</v>
      </c>
      <c r="F2201" s="96" t="s">
        <v>111</v>
      </c>
      <c r="G2201" s="97">
        <v>46132</v>
      </c>
      <c r="H2201" s="98">
        <v>0.536238425925926</v>
      </c>
      <c r="I2201" s="50">
        <v>169002625</v>
      </c>
      <c r="J2201" s="96" t="s">
        <v>157</v>
      </c>
      <c r="K2201" s="49" t="s">
        <v>3184</v>
      </c>
      <c r="L2201" s="39" t="s">
        <v>3185</v>
      </c>
      <c r="M2201" s="49" t="s">
        <v>1405</v>
      </c>
      <c r="N2201" s="39" t="s">
        <v>778</v>
      </c>
      <c r="O2201" s="96" t="s">
        <v>3186</v>
      </c>
      <c r="P2201" s="49" t="s">
        <v>157</v>
      </c>
      <c r="Q2201" s="96" t="s">
        <v>104</v>
      </c>
      <c r="R2201" s="52">
        <v>12.4</v>
      </c>
      <c r="S2201" s="52">
        <f>R2201-T2201</f>
        <v>11.071428571428571</v>
      </c>
      <c r="T2201" s="52">
        <f>R2201*U2201/(U2201+100)</f>
        <v>1.3285714285714287</v>
      </c>
      <c r="U2201" s="50">
        <v>12</v>
      </c>
      <c r="V2201" s="53">
        <v>0</v>
      </c>
      <c r="W2201" s="147">
        <v>1</v>
      </c>
      <c r="X2201" s="148" t="s">
        <v>163</v>
      </c>
      <c r="Y2201" s="54">
        <f>R2201*W2201</f>
        <v>12.4</v>
      </c>
      <c r="Z2201" s="52">
        <f>S2201*W2201</f>
        <v>11.071428571428571</v>
      </c>
      <c r="AA2201" s="52">
        <f>T2201*W2201</f>
        <v>1.3285714285714287</v>
      </c>
      <c r="AB2201" s="52">
        <f>V2201*W2201</f>
        <v>0</v>
      </c>
      <c r="AC2201" s="53">
        <f>(R2201+V2201)*W2201</f>
        <v>12.4</v>
      </c>
      <c r="AD2201" s="138">
        <v>12.4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109</v>
      </c>
      <c r="F2202" s="96" t="s">
        <v>111</v>
      </c>
      <c r="G2202" s="97">
        <v>46132</v>
      </c>
      <c r="H2202" s="98">
        <v>0.536238425925926</v>
      </c>
      <c r="I2202" s="50">
        <v>169002625</v>
      </c>
      <c r="J2202" s="96" t="s">
        <v>157</v>
      </c>
      <c r="K2202" s="49" t="s">
        <v>1015</v>
      </c>
      <c r="L2202" s="39" t="s">
        <v>1016</v>
      </c>
      <c r="M2202" s="49" t="s">
        <v>232</v>
      </c>
      <c r="N2202" s="39" t="s">
        <v>233</v>
      </c>
      <c r="O2202" s="96" t="s">
        <v>1017</v>
      </c>
      <c r="P2202" s="49" t="s">
        <v>157</v>
      </c>
      <c r="Q2202" s="96" t="s">
        <v>104</v>
      </c>
      <c r="R2202" s="52">
        <v>15.9</v>
      </c>
      <c r="S2202" s="52">
        <f>R2202-T2202</f>
        <v>13.140495867768596</v>
      </c>
      <c r="T2202" s="52">
        <f>R2202*U2202/(U2202+100)</f>
        <v>2.759504132231405</v>
      </c>
      <c r="U2202" s="50">
        <v>21</v>
      </c>
      <c r="V2202" s="53">
        <v>0</v>
      </c>
      <c r="W2202" s="147">
        <v>1</v>
      </c>
      <c r="X2202" s="148" t="s">
        <v>163</v>
      </c>
      <c r="Y2202" s="54">
        <f>R2202*W2202</f>
        <v>15.9</v>
      </c>
      <c r="Z2202" s="52">
        <f>S2202*W2202</f>
        <v>13.140495867768596</v>
      </c>
      <c r="AA2202" s="52">
        <f>T2202*W2202</f>
        <v>2.759504132231405</v>
      </c>
      <c r="AB2202" s="52">
        <f>V2202*W2202</f>
        <v>0</v>
      </c>
      <c r="AC2202" s="53">
        <f>(R2202+V2202)*W2202</f>
        <v>15.9</v>
      </c>
      <c r="AD2202" s="138">
        <v>15.9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109</v>
      </c>
      <c r="F2203" s="96" t="s">
        <v>111</v>
      </c>
      <c r="G2203" s="97">
        <v>46132</v>
      </c>
      <c r="H2203" s="98">
        <v>0.536238425925926</v>
      </c>
      <c r="I2203" s="50">
        <v>169002625</v>
      </c>
      <c r="J2203" s="96" t="s">
        <v>157</v>
      </c>
      <c r="K2203" s="49" t="s">
        <v>1593</v>
      </c>
      <c r="L2203" s="39" t="s">
        <v>1594</v>
      </c>
      <c r="M2203" s="49" t="s">
        <v>214</v>
      </c>
      <c r="N2203" s="39" t="s">
        <v>1595</v>
      </c>
      <c r="O2203" s="96" t="s">
        <v>1596</v>
      </c>
      <c r="P2203" s="49" t="s">
        <v>157</v>
      </c>
      <c r="Q2203" s="96" t="s">
        <v>104</v>
      </c>
      <c r="R2203" s="52">
        <v>29.9</v>
      </c>
      <c r="S2203" s="52">
        <f>R2203-T2203</f>
        <v>26.69642857142857</v>
      </c>
      <c r="T2203" s="52">
        <f>R2203*U2203/(U2203+100)</f>
        <v>3.2035714285714283</v>
      </c>
      <c r="U2203" s="50">
        <v>12</v>
      </c>
      <c r="V2203" s="53">
        <v>0</v>
      </c>
      <c r="W2203" s="147">
        <v>1</v>
      </c>
      <c r="X2203" s="148" t="s">
        <v>163</v>
      </c>
      <c r="Y2203" s="54">
        <f>R2203*W2203</f>
        <v>29.9</v>
      </c>
      <c r="Z2203" s="52">
        <f>S2203*W2203</f>
        <v>26.69642857142857</v>
      </c>
      <c r="AA2203" s="52">
        <f>T2203*W2203</f>
        <v>3.2035714285714283</v>
      </c>
      <c r="AB2203" s="52">
        <f>V2203*W2203</f>
        <v>0</v>
      </c>
      <c r="AC2203" s="53">
        <f>(R2203+V2203)*W2203</f>
        <v>29.9</v>
      </c>
      <c r="AD2203" s="138">
        <v>29.9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109</v>
      </c>
      <c r="F2204" s="96" t="s">
        <v>111</v>
      </c>
      <c r="G2204" s="97">
        <v>46132</v>
      </c>
      <c r="H2204" s="98">
        <v>0.536238425925926</v>
      </c>
      <c r="I2204" s="50">
        <v>169002625</v>
      </c>
      <c r="J2204" s="96" t="s">
        <v>157</v>
      </c>
      <c r="K2204" s="49" t="s">
        <v>183</v>
      </c>
      <c r="L2204" s="39" t="s">
        <v>184</v>
      </c>
      <c r="M2204" s="49" t="s">
        <v>185</v>
      </c>
      <c r="N2204" s="39" t="s">
        <v>186</v>
      </c>
      <c r="O2204" s="96" t="s">
        <v>988</v>
      </c>
      <c r="P2204" s="49" t="s">
        <v>157</v>
      </c>
      <c r="Q2204" s="96" t="s">
        <v>104</v>
      </c>
      <c r="R2204" s="52">
        <v>1.9</v>
      </c>
      <c r="S2204" s="52">
        <f>R2204-T2204</f>
        <v>1.5702479338842974</v>
      </c>
      <c r="T2204" s="52">
        <f>R2204*U2204/(U2204+100)</f>
        <v>0.32975206611570246</v>
      </c>
      <c r="U2204" s="50">
        <v>21</v>
      </c>
      <c r="V2204" s="53">
        <v>0</v>
      </c>
      <c r="W2204" s="147">
        <v>1</v>
      </c>
      <c r="X2204" s="148" t="s">
        <v>163</v>
      </c>
      <c r="Y2204" s="54">
        <f>R2204*W2204</f>
        <v>1.9</v>
      </c>
      <c r="Z2204" s="52">
        <f>S2204*W2204</f>
        <v>1.5702479338842974</v>
      </c>
      <c r="AA2204" s="52">
        <f>T2204*W2204</f>
        <v>0.32975206611570246</v>
      </c>
      <c r="AB2204" s="52">
        <f>V2204*W2204</f>
        <v>0</v>
      </c>
      <c r="AC2204" s="53">
        <f>(R2204+V2204)*W2204</f>
        <v>1.9</v>
      </c>
      <c r="AD2204" s="138">
        <v>1.9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109</v>
      </c>
      <c r="F2205" s="96" t="s">
        <v>111</v>
      </c>
      <c r="G2205" s="97">
        <v>46132</v>
      </c>
      <c r="H2205" s="98">
        <v>0.536238425925926</v>
      </c>
      <c r="I2205" s="50">
        <v>169002625</v>
      </c>
      <c r="J2205" s="96" t="s">
        <v>157</v>
      </c>
      <c r="K2205" s="49" t="s">
        <v>293</v>
      </c>
      <c r="L2205" s="39" t="s">
        <v>294</v>
      </c>
      <c r="M2205" s="49" t="s">
        <v>295</v>
      </c>
      <c r="N2205" s="39" t="s">
        <v>296</v>
      </c>
      <c r="O2205" s="96" t="s">
        <v>297</v>
      </c>
      <c r="P2205" s="49" t="s">
        <v>157</v>
      </c>
      <c r="Q2205" s="96" t="s">
        <v>104</v>
      </c>
      <c r="R2205" s="52">
        <v>2.9</v>
      </c>
      <c r="S2205" s="52">
        <f>R2205-T2205</f>
        <v>2.5892857142857144</v>
      </c>
      <c r="T2205" s="52">
        <f>R2205*U2205/(U2205+100)</f>
        <v>0.31071428571428567</v>
      </c>
      <c r="U2205" s="50">
        <v>12</v>
      </c>
      <c r="V2205" s="53">
        <v>0</v>
      </c>
      <c r="W2205" s="147">
        <v>10</v>
      </c>
      <c r="X2205" s="148" t="s">
        <v>163</v>
      </c>
      <c r="Y2205" s="54">
        <f>R2205*W2205</f>
        <v>29</v>
      </c>
      <c r="Z2205" s="52">
        <f>S2205*W2205</f>
        <v>25.892857142857146</v>
      </c>
      <c r="AA2205" s="52">
        <f>T2205*W2205</f>
        <v>3.1071428571428568</v>
      </c>
      <c r="AB2205" s="52">
        <f>V2205*W2205</f>
        <v>0</v>
      </c>
      <c r="AC2205" s="53">
        <f>(R2205+V2205)*W2205</f>
        <v>29</v>
      </c>
      <c r="AD2205" s="138">
        <v>2.9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109</v>
      </c>
      <c r="F2206" s="96" t="s">
        <v>111</v>
      </c>
      <c r="G2206" s="97">
        <v>46132</v>
      </c>
      <c r="H2206" s="98">
        <v>0.5375925925925926</v>
      </c>
      <c r="I2206" s="50">
        <v>169002626</v>
      </c>
      <c r="J2206" s="96" t="s">
        <v>157</v>
      </c>
      <c r="K2206" s="49" t="s">
        <v>1559</v>
      </c>
      <c r="L2206" s="39" t="s">
        <v>1560</v>
      </c>
      <c r="M2206" s="49" t="s">
        <v>954</v>
      </c>
      <c r="N2206" s="39" t="s">
        <v>1561</v>
      </c>
      <c r="O2206" s="96" t="s">
        <v>1562</v>
      </c>
      <c r="P2206" s="49" t="s">
        <v>157</v>
      </c>
      <c r="Q2206" s="96" t="s">
        <v>104</v>
      </c>
      <c r="R2206" s="52">
        <v>14.4</v>
      </c>
      <c r="S2206" s="52">
        <f>R2206-T2206</f>
        <v>12.857142857142858</v>
      </c>
      <c r="T2206" s="52">
        <f>R2206*U2206/(U2206+100)</f>
        <v>1.542857142857143</v>
      </c>
      <c r="U2206" s="50">
        <v>12</v>
      </c>
      <c r="V2206" s="53">
        <v>0</v>
      </c>
      <c r="W2206" s="147">
        <v>1</v>
      </c>
      <c r="X2206" s="148" t="s">
        <v>163</v>
      </c>
      <c r="Y2206" s="54">
        <f>R2206*W2206</f>
        <v>14.4</v>
      </c>
      <c r="Z2206" s="52">
        <f>S2206*W2206</f>
        <v>12.857142857142858</v>
      </c>
      <c r="AA2206" s="52">
        <f>T2206*W2206</f>
        <v>1.542857142857143</v>
      </c>
      <c r="AB2206" s="52">
        <f>V2206*W2206</f>
        <v>0</v>
      </c>
      <c r="AC2206" s="53">
        <f>(R2206+V2206)*W2206</f>
        <v>14.4</v>
      </c>
      <c r="AD2206" s="138">
        <v>14.4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109</v>
      </c>
      <c r="F2207" s="96" t="s">
        <v>111</v>
      </c>
      <c r="G2207" s="97">
        <v>46132</v>
      </c>
      <c r="H2207" s="98">
        <v>0.5375925925925926</v>
      </c>
      <c r="I2207" s="50">
        <v>169002626</v>
      </c>
      <c r="J2207" s="96" t="s">
        <v>157</v>
      </c>
      <c r="K2207" s="49" t="s">
        <v>1776</v>
      </c>
      <c r="L2207" s="39" t="s">
        <v>1777</v>
      </c>
      <c r="M2207" s="49" t="s">
        <v>1452</v>
      </c>
      <c r="N2207" s="39" t="s">
        <v>653</v>
      </c>
      <c r="O2207" s="96" t="s">
        <v>1778</v>
      </c>
      <c r="P2207" s="49" t="s">
        <v>235</v>
      </c>
      <c r="Q2207" s="96" t="s">
        <v>236</v>
      </c>
      <c r="R2207" s="52">
        <v>19.9</v>
      </c>
      <c r="S2207" s="52">
        <f>R2207-T2207</f>
        <v>16.446280991735534</v>
      </c>
      <c r="T2207" s="52">
        <f>R2207*U2207/(U2207+100)</f>
        <v>3.4537190082644624</v>
      </c>
      <c r="U2207" s="50">
        <v>21</v>
      </c>
      <c r="V2207" s="53">
        <v>0</v>
      </c>
      <c r="W2207" s="147">
        <v>1</v>
      </c>
      <c r="X2207" s="148" t="s">
        <v>163</v>
      </c>
      <c r="Y2207" s="54">
        <f>R2207*W2207</f>
        <v>19.9</v>
      </c>
      <c r="Z2207" s="52">
        <f>S2207*W2207</f>
        <v>16.446280991735534</v>
      </c>
      <c r="AA2207" s="52">
        <f>T2207*W2207</f>
        <v>3.4537190082644624</v>
      </c>
      <c r="AB2207" s="52">
        <f>V2207*W2207</f>
        <v>0</v>
      </c>
      <c r="AC2207" s="53">
        <f>(R2207+V2207)*W2207</f>
        <v>19.9</v>
      </c>
      <c r="AD2207" s="138">
        <v>19.9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109</v>
      </c>
      <c r="F2208" s="96" t="s">
        <v>111</v>
      </c>
      <c r="G2208" s="97">
        <v>46132</v>
      </c>
      <c r="H2208" s="98">
        <v>0.5380787037037037</v>
      </c>
      <c r="I2208" s="50">
        <v>169002627</v>
      </c>
      <c r="J2208" s="96" t="s">
        <v>157</v>
      </c>
      <c r="K2208" s="49" t="s">
        <v>3215</v>
      </c>
      <c r="L2208" s="39" t="s">
        <v>3216</v>
      </c>
      <c r="M2208" s="49" t="s">
        <v>2137</v>
      </c>
      <c r="N2208" s="39" t="s">
        <v>2093</v>
      </c>
      <c r="O2208" s="96" t="s">
        <v>3217</v>
      </c>
      <c r="P2208" s="49" t="s">
        <v>157</v>
      </c>
      <c r="Q2208" s="96" t="s">
        <v>104</v>
      </c>
      <c r="R2208" s="52">
        <v>12.4</v>
      </c>
      <c r="S2208" s="52">
        <f>R2208-T2208</f>
        <v>11.071428571428571</v>
      </c>
      <c r="T2208" s="52">
        <f>R2208*U2208/(U2208+100)</f>
        <v>1.3285714285714287</v>
      </c>
      <c r="U2208" s="50">
        <v>12</v>
      </c>
      <c r="V2208" s="53">
        <v>0</v>
      </c>
      <c r="W2208" s="147">
        <v>1</v>
      </c>
      <c r="X2208" s="148" t="s">
        <v>163</v>
      </c>
      <c r="Y2208" s="54">
        <f>R2208*W2208</f>
        <v>12.4</v>
      </c>
      <c r="Z2208" s="52">
        <f>S2208*W2208</f>
        <v>11.071428571428571</v>
      </c>
      <c r="AA2208" s="52">
        <f>T2208*W2208</f>
        <v>1.3285714285714287</v>
      </c>
      <c r="AB2208" s="52">
        <f>V2208*W2208</f>
        <v>0</v>
      </c>
      <c r="AC2208" s="53">
        <f>(R2208+V2208)*W2208</f>
        <v>12.4</v>
      </c>
      <c r="AD2208" s="138">
        <v>12.4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109</v>
      </c>
      <c r="F2209" s="96" t="s">
        <v>111</v>
      </c>
      <c r="G2209" s="97">
        <v>46132</v>
      </c>
      <c r="H2209" s="98">
        <v>0.5380787037037037</v>
      </c>
      <c r="I2209" s="50">
        <v>169002627</v>
      </c>
      <c r="J2209" s="96" t="s">
        <v>157</v>
      </c>
      <c r="K2209" s="49" t="s">
        <v>3218</v>
      </c>
      <c r="L2209" s="39" t="s">
        <v>3219</v>
      </c>
      <c r="M2209" s="49" t="s">
        <v>282</v>
      </c>
      <c r="N2209" s="39" t="s">
        <v>609</v>
      </c>
      <c r="O2209" s="96" t="s">
        <v>3220</v>
      </c>
      <c r="P2209" s="49" t="s">
        <v>157</v>
      </c>
      <c r="Q2209" s="96" t="s">
        <v>104</v>
      </c>
      <c r="R2209" s="52">
        <v>11.83</v>
      </c>
      <c r="S2209" s="52">
        <f>R2209-T2209</f>
        <v>10.5625</v>
      </c>
      <c r="T2209" s="52">
        <f>R2209*U2209/(U2209+100)</f>
        <v>1.2675</v>
      </c>
      <c r="U2209" s="50">
        <v>12</v>
      </c>
      <c r="V2209" s="53">
        <v>0</v>
      </c>
      <c r="W2209" s="147">
        <v>1</v>
      </c>
      <c r="X2209" s="148" t="s">
        <v>163</v>
      </c>
      <c r="Y2209" s="54">
        <f>R2209*W2209</f>
        <v>11.83</v>
      </c>
      <c r="Z2209" s="52">
        <f>S2209*W2209</f>
        <v>10.5625</v>
      </c>
      <c r="AA2209" s="52">
        <f>T2209*W2209</f>
        <v>1.2675</v>
      </c>
      <c r="AB2209" s="52">
        <f>V2209*W2209</f>
        <v>0</v>
      </c>
      <c r="AC2209" s="53">
        <f>(R2209+V2209)*W2209</f>
        <v>11.83</v>
      </c>
      <c r="AD2209" s="138">
        <v>16.9</v>
      </c>
      <c r="AE2209" s="137">
        <v>5.07</v>
      </c>
      <c r="AF2209" s="139">
        <v>5.07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109</v>
      </c>
      <c r="F2210" s="96" t="s">
        <v>111</v>
      </c>
      <c r="G2210" s="97">
        <v>46132</v>
      </c>
      <c r="H2210" s="98">
        <v>0.5380787037037037</v>
      </c>
      <c r="I2210" s="50">
        <v>169002627</v>
      </c>
      <c r="J2210" s="96" t="s">
        <v>157</v>
      </c>
      <c r="K2210" s="49" t="s">
        <v>2301</v>
      </c>
      <c r="L2210" s="39" t="s">
        <v>2302</v>
      </c>
      <c r="M2210" s="49" t="s">
        <v>282</v>
      </c>
      <c r="N2210" s="39" t="s">
        <v>609</v>
      </c>
      <c r="O2210" s="96" t="s">
        <v>2303</v>
      </c>
      <c r="P2210" s="49" t="s">
        <v>157</v>
      </c>
      <c r="Q2210" s="96" t="s">
        <v>104</v>
      </c>
      <c r="R2210" s="52">
        <v>11.83</v>
      </c>
      <c r="S2210" s="52">
        <f>R2210-T2210</f>
        <v>10.5625</v>
      </c>
      <c r="T2210" s="52">
        <f>R2210*U2210/(U2210+100)</f>
        <v>1.2675</v>
      </c>
      <c r="U2210" s="50">
        <v>12</v>
      </c>
      <c r="V2210" s="53">
        <v>0</v>
      </c>
      <c r="W2210" s="147">
        <v>1</v>
      </c>
      <c r="X2210" s="148" t="s">
        <v>163</v>
      </c>
      <c r="Y2210" s="54">
        <f>R2210*W2210</f>
        <v>11.83</v>
      </c>
      <c r="Z2210" s="52">
        <f>S2210*W2210</f>
        <v>10.5625</v>
      </c>
      <c r="AA2210" s="52">
        <f>T2210*W2210</f>
        <v>1.2675</v>
      </c>
      <c r="AB2210" s="52">
        <f>V2210*W2210</f>
        <v>0</v>
      </c>
      <c r="AC2210" s="53">
        <f>(R2210+V2210)*W2210</f>
        <v>11.83</v>
      </c>
      <c r="AD2210" s="138">
        <v>16.9</v>
      </c>
      <c r="AE2210" s="137">
        <v>5.07</v>
      </c>
      <c r="AF2210" s="139">
        <v>5.07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109</v>
      </c>
      <c r="F2211" s="96" t="s">
        <v>111</v>
      </c>
      <c r="G2211" s="97">
        <v>46132</v>
      </c>
      <c r="H2211" s="98">
        <v>0.5380787037037037</v>
      </c>
      <c r="I2211" s="50">
        <v>169002627</v>
      </c>
      <c r="J2211" s="96" t="s">
        <v>157</v>
      </c>
      <c r="K2211" s="49" t="s">
        <v>507</v>
      </c>
      <c r="L2211" s="39" t="s">
        <v>508</v>
      </c>
      <c r="M2211" s="49" t="s">
        <v>509</v>
      </c>
      <c r="N2211" s="39" t="s">
        <v>256</v>
      </c>
      <c r="O2211" s="96" t="s">
        <v>1024</v>
      </c>
      <c r="P2211" s="49" t="s">
        <v>235</v>
      </c>
      <c r="Q2211" s="96" t="s">
        <v>236</v>
      </c>
      <c r="R2211" s="52">
        <v>15.9</v>
      </c>
      <c r="S2211" s="52">
        <f>R2211-T2211</f>
        <v>13.140495867768596</v>
      </c>
      <c r="T2211" s="52">
        <f>R2211*U2211/(U2211+100)</f>
        <v>2.759504132231405</v>
      </c>
      <c r="U2211" s="50">
        <v>21</v>
      </c>
      <c r="V2211" s="53">
        <v>0</v>
      </c>
      <c r="W2211" s="147">
        <v>1</v>
      </c>
      <c r="X2211" s="148" t="s">
        <v>163</v>
      </c>
      <c r="Y2211" s="54">
        <f>R2211*W2211</f>
        <v>15.9</v>
      </c>
      <c r="Z2211" s="52">
        <f>S2211*W2211</f>
        <v>13.140495867768596</v>
      </c>
      <c r="AA2211" s="52">
        <f>T2211*W2211</f>
        <v>2.759504132231405</v>
      </c>
      <c r="AB2211" s="52">
        <f>V2211*W2211</f>
        <v>0</v>
      </c>
      <c r="AC2211" s="53">
        <f>(R2211+V2211)*W2211</f>
        <v>15.9</v>
      </c>
      <c r="AD2211" s="138">
        <v>15.9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109</v>
      </c>
      <c r="F2212" s="96" t="s">
        <v>111</v>
      </c>
      <c r="G2212" s="97">
        <v>46132</v>
      </c>
      <c r="H2212" s="98">
        <v>0.5380787037037037</v>
      </c>
      <c r="I2212" s="50">
        <v>169002627</v>
      </c>
      <c r="J2212" s="96" t="s">
        <v>157</v>
      </c>
      <c r="K2212" s="49" t="s">
        <v>3221</v>
      </c>
      <c r="L2212" s="39" t="s">
        <v>3222</v>
      </c>
      <c r="M2212" s="49" t="s">
        <v>509</v>
      </c>
      <c r="N2212" s="39" t="s">
        <v>256</v>
      </c>
      <c r="O2212" s="96" t="s">
        <v>3223</v>
      </c>
      <c r="P2212" s="49" t="s">
        <v>157</v>
      </c>
      <c r="Q2212" s="96" t="s">
        <v>104</v>
      </c>
      <c r="R2212" s="52">
        <v>16.9</v>
      </c>
      <c r="S2212" s="52">
        <f>R2212-T2212</f>
        <v>13.96694214876033</v>
      </c>
      <c r="T2212" s="52">
        <f>R2212*U2212/(U2212+100)</f>
        <v>2.9330578512396692</v>
      </c>
      <c r="U2212" s="50">
        <v>21</v>
      </c>
      <c r="V2212" s="53">
        <v>0</v>
      </c>
      <c r="W2212" s="147">
        <v>1</v>
      </c>
      <c r="X2212" s="148" t="s">
        <v>163</v>
      </c>
      <c r="Y2212" s="54">
        <f>R2212*W2212</f>
        <v>16.9</v>
      </c>
      <c r="Z2212" s="52">
        <f>S2212*W2212</f>
        <v>13.96694214876033</v>
      </c>
      <c r="AA2212" s="52">
        <f>T2212*W2212</f>
        <v>2.9330578512396692</v>
      </c>
      <c r="AB2212" s="52">
        <f>V2212*W2212</f>
        <v>0</v>
      </c>
      <c r="AC2212" s="53">
        <f>(R2212+V2212)*W2212</f>
        <v>16.9</v>
      </c>
      <c r="AD2212" s="138">
        <v>16.9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109</v>
      </c>
      <c r="F2213" s="96" t="s">
        <v>111</v>
      </c>
      <c r="G2213" s="97">
        <v>46132</v>
      </c>
      <c r="H2213" s="98">
        <v>0.5380787037037037</v>
      </c>
      <c r="I2213" s="50">
        <v>169002627</v>
      </c>
      <c r="J2213" s="96" t="s">
        <v>157</v>
      </c>
      <c r="K2213" s="49" t="s">
        <v>3221</v>
      </c>
      <c r="L2213" s="39" t="s">
        <v>3222</v>
      </c>
      <c r="M2213" s="49" t="s">
        <v>509</v>
      </c>
      <c r="N2213" s="39" t="s">
        <v>256</v>
      </c>
      <c r="O2213" s="96" t="s">
        <v>3223</v>
      </c>
      <c r="P2213" s="49" t="s">
        <v>157</v>
      </c>
      <c r="Q2213" s="96" t="s">
        <v>104</v>
      </c>
      <c r="R2213" s="52">
        <v>16.9</v>
      </c>
      <c r="S2213" s="52">
        <f>R2213-T2213</f>
        <v>13.96694214876033</v>
      </c>
      <c r="T2213" s="52">
        <f>R2213*U2213/(U2213+100)</f>
        <v>2.9330578512396692</v>
      </c>
      <c r="U2213" s="50">
        <v>21</v>
      </c>
      <c r="V2213" s="53">
        <v>0</v>
      </c>
      <c r="W2213" s="147">
        <v>1</v>
      </c>
      <c r="X2213" s="148" t="s">
        <v>163</v>
      </c>
      <c r="Y2213" s="54">
        <f>R2213*W2213</f>
        <v>16.9</v>
      </c>
      <c r="Z2213" s="52">
        <f>S2213*W2213</f>
        <v>13.96694214876033</v>
      </c>
      <c r="AA2213" s="52">
        <f>T2213*W2213</f>
        <v>2.9330578512396692</v>
      </c>
      <c r="AB2213" s="52">
        <f>V2213*W2213</f>
        <v>0</v>
      </c>
      <c r="AC2213" s="53">
        <f>(R2213+V2213)*W2213</f>
        <v>16.9</v>
      </c>
      <c r="AD2213" s="138">
        <v>16.9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109</v>
      </c>
      <c r="F2214" s="96" t="s">
        <v>111</v>
      </c>
      <c r="G2214" s="97">
        <v>46132</v>
      </c>
      <c r="H2214" s="98">
        <v>0.5383564814814815</v>
      </c>
      <c r="I2214" s="50">
        <v>169002628</v>
      </c>
      <c r="J2214" s="96" t="s">
        <v>157</v>
      </c>
      <c r="K2214" s="49" t="s">
        <v>3224</v>
      </c>
      <c r="L2214" s="39" t="s">
        <v>3225</v>
      </c>
      <c r="M2214" s="49" t="s">
        <v>429</v>
      </c>
      <c r="N2214" s="39" t="s">
        <v>348</v>
      </c>
      <c r="O2214" s="96" t="s">
        <v>3226</v>
      </c>
      <c r="P2214" s="49" t="s">
        <v>157</v>
      </c>
      <c r="Q2214" s="96" t="s">
        <v>104</v>
      </c>
      <c r="R2214" s="52">
        <v>25.9</v>
      </c>
      <c r="S2214" s="52">
        <f>R2214-T2214</f>
        <v>23.125</v>
      </c>
      <c r="T2214" s="52">
        <f>R2214*U2214/(U2214+100)</f>
        <v>2.7749999999999995</v>
      </c>
      <c r="U2214" s="50">
        <v>12</v>
      </c>
      <c r="V2214" s="53">
        <v>0</v>
      </c>
      <c r="W2214" s="147">
        <v>1</v>
      </c>
      <c r="X2214" s="148" t="s">
        <v>163</v>
      </c>
      <c r="Y2214" s="54">
        <f>R2214*W2214</f>
        <v>25.9</v>
      </c>
      <c r="Z2214" s="52">
        <f>S2214*W2214</f>
        <v>23.125</v>
      </c>
      <c r="AA2214" s="52">
        <f>T2214*W2214</f>
        <v>2.7749999999999995</v>
      </c>
      <c r="AB2214" s="52">
        <f>V2214*W2214</f>
        <v>0</v>
      </c>
      <c r="AC2214" s="53">
        <f>(R2214+V2214)*W2214</f>
        <v>25.9</v>
      </c>
      <c r="AD2214" s="138">
        <v>25.9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109</v>
      </c>
      <c r="F2215" s="96" t="s">
        <v>111</v>
      </c>
      <c r="G2215" s="97">
        <v>46132</v>
      </c>
      <c r="H2215" s="98">
        <v>0.5383564814814815</v>
      </c>
      <c r="I2215" s="50">
        <v>169002628</v>
      </c>
      <c r="J2215" s="96" t="s">
        <v>157</v>
      </c>
      <c r="K2215" s="49" t="s">
        <v>698</v>
      </c>
      <c r="L2215" s="39" t="s">
        <v>699</v>
      </c>
      <c r="M2215" s="49" t="s">
        <v>399</v>
      </c>
      <c r="N2215" s="39" t="s">
        <v>167</v>
      </c>
      <c r="O2215" s="96" t="s">
        <v>3227</v>
      </c>
      <c r="P2215" s="49" t="s">
        <v>157</v>
      </c>
      <c r="Q2215" s="96" t="s">
        <v>104</v>
      </c>
      <c r="R2215" s="52">
        <v>22.9</v>
      </c>
      <c r="S2215" s="52">
        <f>R2215-T2215</f>
        <v>18.925619834710744</v>
      </c>
      <c r="T2215" s="52">
        <f>R2215*U2215/(U2215+100)</f>
        <v>3.974380165289256</v>
      </c>
      <c r="U2215" s="50">
        <v>21</v>
      </c>
      <c r="V2215" s="53">
        <v>0</v>
      </c>
      <c r="W2215" s="147">
        <v>1</v>
      </c>
      <c r="X2215" s="148" t="s">
        <v>163</v>
      </c>
      <c r="Y2215" s="54">
        <f>R2215*W2215</f>
        <v>22.9</v>
      </c>
      <c r="Z2215" s="52">
        <f>S2215*W2215</f>
        <v>18.925619834710744</v>
      </c>
      <c r="AA2215" s="52">
        <f>T2215*W2215</f>
        <v>3.974380165289256</v>
      </c>
      <c r="AB2215" s="52">
        <f>V2215*W2215</f>
        <v>0</v>
      </c>
      <c r="AC2215" s="53">
        <f>(R2215+V2215)*W2215</f>
        <v>22.9</v>
      </c>
      <c r="AD2215" s="138">
        <v>22.9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109</v>
      </c>
      <c r="F2216" s="96" t="s">
        <v>111</v>
      </c>
      <c r="G2216" s="97">
        <v>46132</v>
      </c>
      <c r="H2216" s="98">
        <v>0.5400115740740741</v>
      </c>
      <c r="I2216" s="50">
        <v>169002629</v>
      </c>
      <c r="J2216" s="96" t="s">
        <v>157</v>
      </c>
      <c r="K2216" s="49" t="s">
        <v>3228</v>
      </c>
      <c r="L2216" s="39" t="s">
        <v>3229</v>
      </c>
      <c r="M2216" s="49" t="s">
        <v>3230</v>
      </c>
      <c r="N2216" s="39" t="s">
        <v>3231</v>
      </c>
      <c r="O2216" s="96" t="s">
        <v>3232</v>
      </c>
      <c r="P2216" s="49" t="s">
        <v>157</v>
      </c>
      <c r="Q2216" s="96" t="s">
        <v>104</v>
      </c>
      <c r="R2216" s="52">
        <v>59.9</v>
      </c>
      <c r="S2216" s="52">
        <f>R2216-T2216</f>
        <v>53.482142857142854</v>
      </c>
      <c r="T2216" s="52">
        <f>R2216*U2216/(U2216+100)</f>
        <v>6.417857142857143</v>
      </c>
      <c r="U2216" s="50">
        <v>12</v>
      </c>
      <c r="V2216" s="53">
        <v>0</v>
      </c>
      <c r="W2216" s="147">
        <v>1</v>
      </c>
      <c r="X2216" s="148" t="s">
        <v>163</v>
      </c>
      <c r="Y2216" s="54">
        <f>R2216*W2216</f>
        <v>59.9</v>
      </c>
      <c r="Z2216" s="52">
        <f>S2216*W2216</f>
        <v>53.482142857142854</v>
      </c>
      <c r="AA2216" s="52">
        <f>T2216*W2216</f>
        <v>6.417857142857143</v>
      </c>
      <c r="AB2216" s="52">
        <f>V2216*W2216</f>
        <v>0</v>
      </c>
      <c r="AC2216" s="53">
        <f>(R2216+V2216)*W2216</f>
        <v>59.9</v>
      </c>
      <c r="AD2216" s="138">
        <v>59.9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109</v>
      </c>
      <c r="F2217" s="96" t="s">
        <v>111</v>
      </c>
      <c r="G2217" s="97">
        <v>46132</v>
      </c>
      <c r="H2217" s="98">
        <v>0.5400115740740741</v>
      </c>
      <c r="I2217" s="50">
        <v>169002629</v>
      </c>
      <c r="J2217" s="96" t="s">
        <v>157</v>
      </c>
      <c r="K2217" s="49" t="s">
        <v>2164</v>
      </c>
      <c r="L2217" s="39" t="s">
        <v>2165</v>
      </c>
      <c r="M2217" s="49" t="s">
        <v>300</v>
      </c>
      <c r="N2217" s="39" t="s">
        <v>1377</v>
      </c>
      <c r="O2217" s="96" t="s">
        <v>2166</v>
      </c>
      <c r="P2217" s="49" t="s">
        <v>157</v>
      </c>
      <c r="Q2217" s="96" t="s">
        <v>104</v>
      </c>
      <c r="R2217" s="52">
        <v>14.4</v>
      </c>
      <c r="S2217" s="52">
        <f>R2217-T2217</f>
        <v>12.857142857142858</v>
      </c>
      <c r="T2217" s="52">
        <f>R2217*U2217/(U2217+100)</f>
        <v>1.542857142857143</v>
      </c>
      <c r="U2217" s="50">
        <v>12</v>
      </c>
      <c r="V2217" s="53">
        <v>0</v>
      </c>
      <c r="W2217" s="147">
        <v>1</v>
      </c>
      <c r="X2217" s="148" t="s">
        <v>163</v>
      </c>
      <c r="Y2217" s="54">
        <f>R2217*W2217</f>
        <v>14.4</v>
      </c>
      <c r="Z2217" s="52">
        <f>S2217*W2217</f>
        <v>12.857142857142858</v>
      </c>
      <c r="AA2217" s="52">
        <f>T2217*W2217</f>
        <v>1.542857142857143</v>
      </c>
      <c r="AB2217" s="52">
        <f>V2217*W2217</f>
        <v>0</v>
      </c>
      <c r="AC2217" s="53">
        <f>(R2217+V2217)*W2217</f>
        <v>14.4</v>
      </c>
      <c r="AD2217" s="138">
        <v>14.4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109</v>
      </c>
      <c r="F2218" s="96" t="s">
        <v>111</v>
      </c>
      <c r="G2218" s="97">
        <v>46132</v>
      </c>
      <c r="H2218" s="98">
        <v>0.5400115740740741</v>
      </c>
      <c r="I2218" s="50">
        <v>169002629</v>
      </c>
      <c r="J2218" s="96" t="s">
        <v>157</v>
      </c>
      <c r="K2218" s="49" t="s">
        <v>2164</v>
      </c>
      <c r="L2218" s="39" t="s">
        <v>2165</v>
      </c>
      <c r="M2218" s="49" t="s">
        <v>300</v>
      </c>
      <c r="N2218" s="39" t="s">
        <v>1377</v>
      </c>
      <c r="O2218" s="96" t="s">
        <v>2166</v>
      </c>
      <c r="P2218" s="49" t="s">
        <v>157</v>
      </c>
      <c r="Q2218" s="96" t="s">
        <v>104</v>
      </c>
      <c r="R2218" s="52">
        <v>14.4</v>
      </c>
      <c r="S2218" s="52">
        <f>R2218-T2218</f>
        <v>12.857142857142858</v>
      </c>
      <c r="T2218" s="52">
        <f>R2218*U2218/(U2218+100)</f>
        <v>1.542857142857143</v>
      </c>
      <c r="U2218" s="50">
        <v>12</v>
      </c>
      <c r="V2218" s="53">
        <v>0</v>
      </c>
      <c r="W2218" s="147">
        <v>1</v>
      </c>
      <c r="X2218" s="148" t="s">
        <v>163</v>
      </c>
      <c r="Y2218" s="54">
        <f>R2218*W2218</f>
        <v>14.4</v>
      </c>
      <c r="Z2218" s="52">
        <f>S2218*W2218</f>
        <v>12.857142857142858</v>
      </c>
      <c r="AA2218" s="52">
        <f>T2218*W2218</f>
        <v>1.542857142857143</v>
      </c>
      <c r="AB2218" s="52">
        <f>V2218*W2218</f>
        <v>0</v>
      </c>
      <c r="AC2218" s="53">
        <f>(R2218+V2218)*W2218</f>
        <v>14.4</v>
      </c>
      <c r="AD2218" s="138">
        <v>14.4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109</v>
      </c>
      <c r="F2219" s="96" t="s">
        <v>111</v>
      </c>
      <c r="G2219" s="97">
        <v>46132</v>
      </c>
      <c r="H2219" s="98">
        <v>0.5400115740740741</v>
      </c>
      <c r="I2219" s="50">
        <v>169002629</v>
      </c>
      <c r="J2219" s="96" t="s">
        <v>157</v>
      </c>
      <c r="K2219" s="49" t="s">
        <v>3233</v>
      </c>
      <c r="L2219" s="39" t="s">
        <v>3234</v>
      </c>
      <c r="M2219" s="49" t="s">
        <v>255</v>
      </c>
      <c r="N2219" s="39" t="s">
        <v>256</v>
      </c>
      <c r="O2219" s="96" t="s">
        <v>3235</v>
      </c>
      <c r="P2219" s="49" t="s">
        <v>157</v>
      </c>
      <c r="Q2219" s="96" t="s">
        <v>104</v>
      </c>
      <c r="R2219" s="52">
        <v>23.9</v>
      </c>
      <c r="S2219" s="52">
        <f>R2219-T2219</f>
        <v>19.752066115702476</v>
      </c>
      <c r="T2219" s="52">
        <f>R2219*U2219/(U2219+100)</f>
        <v>4.147933884297521</v>
      </c>
      <c r="U2219" s="50">
        <v>21</v>
      </c>
      <c r="V2219" s="53">
        <v>0</v>
      </c>
      <c r="W2219" s="147">
        <v>1</v>
      </c>
      <c r="X2219" s="148" t="s">
        <v>163</v>
      </c>
      <c r="Y2219" s="54">
        <f>R2219*W2219</f>
        <v>23.9</v>
      </c>
      <c r="Z2219" s="52">
        <f>S2219*W2219</f>
        <v>19.752066115702476</v>
      </c>
      <c r="AA2219" s="52">
        <f>T2219*W2219</f>
        <v>4.147933884297521</v>
      </c>
      <c r="AB2219" s="52">
        <f>V2219*W2219</f>
        <v>0</v>
      </c>
      <c r="AC2219" s="53">
        <f>(R2219+V2219)*W2219</f>
        <v>23.9</v>
      </c>
      <c r="AD2219" s="138">
        <v>23.9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109</v>
      </c>
      <c r="F2220" s="96" t="s">
        <v>111</v>
      </c>
      <c r="G2220" s="97">
        <v>46132</v>
      </c>
      <c r="H2220" s="98">
        <v>0.5400115740740741</v>
      </c>
      <c r="I2220" s="50">
        <v>169002629</v>
      </c>
      <c r="J2220" s="96" t="s">
        <v>157</v>
      </c>
      <c r="K2220" s="49" t="s">
        <v>3233</v>
      </c>
      <c r="L2220" s="39" t="s">
        <v>3234</v>
      </c>
      <c r="M2220" s="49" t="s">
        <v>255</v>
      </c>
      <c r="N2220" s="39" t="s">
        <v>256</v>
      </c>
      <c r="O2220" s="96" t="s">
        <v>3235</v>
      </c>
      <c r="P2220" s="49" t="s">
        <v>157</v>
      </c>
      <c r="Q2220" s="96" t="s">
        <v>104</v>
      </c>
      <c r="R2220" s="52">
        <v>23.9</v>
      </c>
      <c r="S2220" s="52">
        <f>R2220-T2220</f>
        <v>19.752066115702476</v>
      </c>
      <c r="T2220" s="52">
        <f>R2220*U2220/(U2220+100)</f>
        <v>4.147933884297521</v>
      </c>
      <c r="U2220" s="50">
        <v>21</v>
      </c>
      <c r="V2220" s="53">
        <v>0</v>
      </c>
      <c r="W2220" s="147">
        <v>1</v>
      </c>
      <c r="X2220" s="148" t="s">
        <v>163</v>
      </c>
      <c r="Y2220" s="54">
        <f>R2220*W2220</f>
        <v>23.9</v>
      </c>
      <c r="Z2220" s="52">
        <f>S2220*W2220</f>
        <v>19.752066115702476</v>
      </c>
      <c r="AA2220" s="52">
        <f>T2220*W2220</f>
        <v>4.147933884297521</v>
      </c>
      <c r="AB2220" s="52">
        <f>V2220*W2220</f>
        <v>0</v>
      </c>
      <c r="AC2220" s="53">
        <f>(R2220+V2220)*W2220</f>
        <v>23.9</v>
      </c>
      <c r="AD2220" s="138">
        <v>23.9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109</v>
      </c>
      <c r="F2221" s="96" t="s">
        <v>111</v>
      </c>
      <c r="G2221" s="97">
        <v>46132</v>
      </c>
      <c r="H2221" s="98">
        <v>0.5400115740740741</v>
      </c>
      <c r="I2221" s="50">
        <v>169002629</v>
      </c>
      <c r="J2221" s="96" t="s">
        <v>157</v>
      </c>
      <c r="K2221" s="49" t="s">
        <v>3236</v>
      </c>
      <c r="L2221" s="39" t="s">
        <v>3237</v>
      </c>
      <c r="M2221" s="49" t="s">
        <v>649</v>
      </c>
      <c r="N2221" s="39" t="s">
        <v>1247</v>
      </c>
      <c r="O2221" s="96" t="s">
        <v>3238</v>
      </c>
      <c r="P2221" s="49" t="s">
        <v>157</v>
      </c>
      <c r="Q2221" s="96" t="s">
        <v>104</v>
      </c>
      <c r="R2221" s="52">
        <v>37.9</v>
      </c>
      <c r="S2221" s="52">
        <f>R2221-T2221</f>
        <v>33.839285714285715</v>
      </c>
      <c r="T2221" s="52">
        <f>R2221*U2221/(U2221+100)</f>
        <v>4.060714285714285</v>
      </c>
      <c r="U2221" s="50">
        <v>12</v>
      </c>
      <c r="V2221" s="53">
        <v>0</v>
      </c>
      <c r="W2221" s="147">
        <v>1</v>
      </c>
      <c r="X2221" s="148" t="s">
        <v>163</v>
      </c>
      <c r="Y2221" s="54">
        <f>R2221*W2221</f>
        <v>37.9</v>
      </c>
      <c r="Z2221" s="52">
        <f>S2221*W2221</f>
        <v>33.839285714285715</v>
      </c>
      <c r="AA2221" s="52">
        <f>T2221*W2221</f>
        <v>4.060714285714285</v>
      </c>
      <c r="AB2221" s="52">
        <f>V2221*W2221</f>
        <v>0</v>
      </c>
      <c r="AC2221" s="53">
        <f>(R2221+V2221)*W2221</f>
        <v>37.9</v>
      </c>
      <c r="AD2221" s="138">
        <v>37.9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109</v>
      </c>
      <c r="F2222" s="96" t="s">
        <v>111</v>
      </c>
      <c r="G2222" s="97">
        <v>46132</v>
      </c>
      <c r="H2222" s="98">
        <v>0.5403472222222222</v>
      </c>
      <c r="I2222" s="50">
        <v>169002630</v>
      </c>
      <c r="J2222" s="96" t="s">
        <v>157</v>
      </c>
      <c r="K2222" s="49" t="s">
        <v>1895</v>
      </c>
      <c r="L2222" s="39" t="s">
        <v>1896</v>
      </c>
      <c r="M2222" s="49" t="s">
        <v>429</v>
      </c>
      <c r="N2222" s="39" t="s">
        <v>239</v>
      </c>
      <c r="O2222" s="96" t="s">
        <v>1897</v>
      </c>
      <c r="P2222" s="49" t="s">
        <v>157</v>
      </c>
      <c r="Q2222" s="96" t="s">
        <v>104</v>
      </c>
      <c r="R2222" s="52">
        <v>19.9</v>
      </c>
      <c r="S2222" s="52">
        <f>R2222-T2222</f>
        <v>17.767857142857142</v>
      </c>
      <c r="T2222" s="52">
        <f>R2222*U2222/(U2222+100)</f>
        <v>2.132142857142857</v>
      </c>
      <c r="U2222" s="50">
        <v>12</v>
      </c>
      <c r="V2222" s="53">
        <v>0</v>
      </c>
      <c r="W2222" s="147">
        <v>1</v>
      </c>
      <c r="X2222" s="148" t="s">
        <v>163</v>
      </c>
      <c r="Y2222" s="54">
        <f>R2222*W2222</f>
        <v>19.9</v>
      </c>
      <c r="Z2222" s="52">
        <f>S2222*W2222</f>
        <v>17.767857142857142</v>
      </c>
      <c r="AA2222" s="52">
        <f>T2222*W2222</f>
        <v>2.132142857142857</v>
      </c>
      <c r="AB2222" s="52">
        <f>V2222*W2222</f>
        <v>0</v>
      </c>
      <c r="AC2222" s="53">
        <f>(R2222+V2222)*W2222</f>
        <v>19.9</v>
      </c>
      <c r="AD2222" s="138">
        <v>19.9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109</v>
      </c>
      <c r="F2223" s="96" t="s">
        <v>111</v>
      </c>
      <c r="G2223" s="97">
        <v>46132</v>
      </c>
      <c r="H2223" s="98">
        <v>0.5403472222222222</v>
      </c>
      <c r="I2223" s="50">
        <v>169002630</v>
      </c>
      <c r="J2223" s="96" t="s">
        <v>157</v>
      </c>
      <c r="K2223" s="49" t="s">
        <v>818</v>
      </c>
      <c r="L2223" s="39" t="s">
        <v>819</v>
      </c>
      <c r="M2223" s="49" t="s">
        <v>547</v>
      </c>
      <c r="N2223" s="39" t="s">
        <v>548</v>
      </c>
      <c r="O2223" s="96" t="s">
        <v>820</v>
      </c>
      <c r="P2223" s="49" t="s">
        <v>157</v>
      </c>
      <c r="Q2223" s="96" t="s">
        <v>104</v>
      </c>
      <c r="R2223" s="52">
        <v>24.9</v>
      </c>
      <c r="S2223" s="52">
        <f>R2223-T2223</f>
        <v>22.232142857142858</v>
      </c>
      <c r="T2223" s="52">
        <f>R2223*U2223/(U2223+100)</f>
        <v>2.6678571428571423</v>
      </c>
      <c r="U2223" s="50">
        <v>12</v>
      </c>
      <c r="V2223" s="53">
        <v>0</v>
      </c>
      <c r="W2223" s="147">
        <v>1</v>
      </c>
      <c r="X2223" s="148" t="s">
        <v>163</v>
      </c>
      <c r="Y2223" s="54">
        <f>R2223*W2223</f>
        <v>24.9</v>
      </c>
      <c r="Z2223" s="52">
        <f>S2223*W2223</f>
        <v>22.232142857142858</v>
      </c>
      <c r="AA2223" s="52">
        <f>T2223*W2223</f>
        <v>2.6678571428571423</v>
      </c>
      <c r="AB2223" s="52">
        <f>V2223*W2223</f>
        <v>0</v>
      </c>
      <c r="AC2223" s="53">
        <f>(R2223+V2223)*W2223</f>
        <v>24.9</v>
      </c>
      <c r="AD2223" s="138">
        <v>24.9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109</v>
      </c>
      <c r="F2224" s="96" t="s">
        <v>111</v>
      </c>
      <c r="G2224" s="97">
        <v>46132</v>
      </c>
      <c r="H2224" s="98">
        <v>0.541261574074074</v>
      </c>
      <c r="I2224" s="50">
        <v>169002631</v>
      </c>
      <c r="J2224" s="96" t="s">
        <v>157</v>
      </c>
      <c r="K2224" s="49" t="s">
        <v>507</v>
      </c>
      <c r="L2224" s="39" t="s">
        <v>508</v>
      </c>
      <c r="M2224" s="49" t="s">
        <v>509</v>
      </c>
      <c r="N2224" s="39" t="s">
        <v>256</v>
      </c>
      <c r="O2224" s="96" t="s">
        <v>1024</v>
      </c>
      <c r="P2224" s="49" t="s">
        <v>235</v>
      </c>
      <c r="Q2224" s="96" t="s">
        <v>236</v>
      </c>
      <c r="R2224" s="52">
        <v>15.9</v>
      </c>
      <c r="S2224" s="52">
        <f>R2224-T2224</f>
        <v>13.140495867768596</v>
      </c>
      <c r="T2224" s="52">
        <f>R2224*U2224/(U2224+100)</f>
        <v>2.759504132231405</v>
      </c>
      <c r="U2224" s="50">
        <v>21</v>
      </c>
      <c r="V2224" s="53">
        <v>0</v>
      </c>
      <c r="W2224" s="147">
        <v>1</v>
      </c>
      <c r="X2224" s="148" t="s">
        <v>163</v>
      </c>
      <c r="Y2224" s="54">
        <f>R2224*W2224</f>
        <v>15.9</v>
      </c>
      <c r="Z2224" s="52">
        <f>S2224*W2224</f>
        <v>13.140495867768596</v>
      </c>
      <c r="AA2224" s="52">
        <f>T2224*W2224</f>
        <v>2.759504132231405</v>
      </c>
      <c r="AB2224" s="52">
        <f>V2224*W2224</f>
        <v>0</v>
      </c>
      <c r="AC2224" s="53">
        <f>(R2224+V2224)*W2224</f>
        <v>15.9</v>
      </c>
      <c r="AD2224" s="138">
        <v>15.9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109</v>
      </c>
      <c r="F2225" s="96" t="s">
        <v>111</v>
      </c>
      <c r="G2225" s="97">
        <v>46132</v>
      </c>
      <c r="H2225" s="98">
        <v>0.541261574074074</v>
      </c>
      <c r="I2225" s="50">
        <v>169002631</v>
      </c>
      <c r="J2225" s="96" t="s">
        <v>157</v>
      </c>
      <c r="K2225" s="49" t="s">
        <v>293</v>
      </c>
      <c r="L2225" s="39" t="s">
        <v>294</v>
      </c>
      <c r="M2225" s="49" t="s">
        <v>295</v>
      </c>
      <c r="N2225" s="39" t="s">
        <v>296</v>
      </c>
      <c r="O2225" s="96" t="s">
        <v>297</v>
      </c>
      <c r="P2225" s="49" t="s">
        <v>157</v>
      </c>
      <c r="Q2225" s="96" t="s">
        <v>104</v>
      </c>
      <c r="R2225" s="52">
        <v>2.9</v>
      </c>
      <c r="S2225" s="52">
        <f>R2225-T2225</f>
        <v>2.5892857142857144</v>
      </c>
      <c r="T2225" s="52">
        <f>R2225*U2225/(U2225+100)</f>
        <v>0.31071428571428567</v>
      </c>
      <c r="U2225" s="50">
        <v>12</v>
      </c>
      <c r="V2225" s="53">
        <v>0</v>
      </c>
      <c r="W2225" s="147">
        <v>7</v>
      </c>
      <c r="X2225" s="148" t="s">
        <v>163</v>
      </c>
      <c r="Y2225" s="54">
        <f>R2225*W2225</f>
        <v>20.3</v>
      </c>
      <c r="Z2225" s="52">
        <f>S2225*W2225</f>
        <v>18.125</v>
      </c>
      <c r="AA2225" s="52">
        <f>T2225*W2225</f>
        <v>2.175</v>
      </c>
      <c r="AB2225" s="52">
        <f>V2225*W2225</f>
        <v>0</v>
      </c>
      <c r="AC2225" s="53">
        <f>(R2225+V2225)*W2225</f>
        <v>20.3</v>
      </c>
      <c r="AD2225" s="138">
        <v>2.9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109</v>
      </c>
      <c r="F2226" s="96" t="s">
        <v>111</v>
      </c>
      <c r="G2226" s="97">
        <v>46132</v>
      </c>
      <c r="H2226" s="98">
        <v>0.541261574074074</v>
      </c>
      <c r="I2226" s="50">
        <v>169002631</v>
      </c>
      <c r="J2226" s="96" t="s">
        <v>157</v>
      </c>
      <c r="K2226" s="49" t="s">
        <v>2314</v>
      </c>
      <c r="L2226" s="39" t="s">
        <v>2315</v>
      </c>
      <c r="M2226" s="49"/>
      <c r="N2226" s="39" t="s">
        <v>2316</v>
      </c>
      <c r="O2226" s="96" t="s">
        <v>2317</v>
      </c>
      <c r="P2226" s="49" t="s">
        <v>157</v>
      </c>
      <c r="Q2226" s="96" t="s">
        <v>104</v>
      </c>
      <c r="R2226" s="52">
        <v>0</v>
      </c>
      <c r="S2226" s="52">
        <f>R2226-T2226</f>
        <v>0</v>
      </c>
      <c r="T2226" s="52">
        <f>R2226*U2226/(U2226+100)</f>
        <v>0</v>
      </c>
      <c r="U2226" s="50">
        <v>0</v>
      </c>
      <c r="V2226" s="53">
        <v>-3</v>
      </c>
      <c r="W2226" s="147">
        <v>6</v>
      </c>
      <c r="X2226" s="148" t="s">
        <v>945</v>
      </c>
      <c r="Y2226" s="54">
        <f>R2226*W2226</f>
        <v>0</v>
      </c>
      <c r="Z2226" s="52">
        <f>S2226*W2226</f>
        <v>0</v>
      </c>
      <c r="AA2226" s="52">
        <f>T2226*W2226</f>
        <v>0</v>
      </c>
      <c r="AB2226" s="52">
        <f>V2226*W2226</f>
        <v>-18</v>
      </c>
      <c r="AC2226" s="53">
        <f>(R2226+V2226)*W2226</f>
        <v>-18</v>
      </c>
      <c r="AD2226" s="138">
        <v>0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109</v>
      </c>
      <c r="F2227" s="96" t="s">
        <v>111</v>
      </c>
      <c r="G2227" s="97">
        <v>46132</v>
      </c>
      <c r="H2227" s="98">
        <v>0.541261574074074</v>
      </c>
      <c r="I2227" s="50">
        <v>169002631</v>
      </c>
      <c r="J2227" s="96" t="s">
        <v>157</v>
      </c>
      <c r="K2227" s="49" t="s">
        <v>995</v>
      </c>
      <c r="L2227" s="39" t="s">
        <v>996</v>
      </c>
      <c r="M2227" s="49" t="s">
        <v>997</v>
      </c>
      <c r="N2227" s="39" t="s">
        <v>998</v>
      </c>
      <c r="O2227" s="96" t="s">
        <v>999</v>
      </c>
      <c r="P2227" s="49" t="s">
        <v>157</v>
      </c>
      <c r="Q2227" s="96" t="s">
        <v>104</v>
      </c>
      <c r="R2227" s="52">
        <v>29</v>
      </c>
      <c r="S2227" s="52">
        <f>R2227-T2227</f>
        <v>25.892857142857142</v>
      </c>
      <c r="T2227" s="52">
        <f>R2227*U2227/(U2227+100)</f>
        <v>3.107142857142857</v>
      </c>
      <c r="U2227" s="50">
        <v>12</v>
      </c>
      <c r="V2227" s="53">
        <v>0</v>
      </c>
      <c r="W2227" s="147">
        <v>1</v>
      </c>
      <c r="X2227" s="148" t="s">
        <v>945</v>
      </c>
      <c r="Y2227" s="54">
        <f>R2227*W2227</f>
        <v>29</v>
      </c>
      <c r="Z2227" s="52">
        <f>S2227*W2227</f>
        <v>25.892857142857142</v>
      </c>
      <c r="AA2227" s="52">
        <f>T2227*W2227</f>
        <v>3.107142857142857</v>
      </c>
      <c r="AB2227" s="52">
        <f>V2227*W2227</f>
        <v>0</v>
      </c>
      <c r="AC2227" s="53">
        <f>(R2227+V2227)*W2227</f>
        <v>29</v>
      </c>
      <c r="AD2227" s="138">
        <v>29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109</v>
      </c>
      <c r="F2228" s="96" t="s">
        <v>111</v>
      </c>
      <c r="G2228" s="97">
        <v>46132</v>
      </c>
      <c r="H2228" s="98">
        <v>0.5817824074074074</v>
      </c>
      <c r="I2228" s="50">
        <v>169002632</v>
      </c>
      <c r="J2228" s="96" t="s">
        <v>157</v>
      </c>
      <c r="K2228" s="49" t="s">
        <v>3218</v>
      </c>
      <c r="L2228" s="39" t="s">
        <v>3219</v>
      </c>
      <c r="M2228" s="49" t="s">
        <v>282</v>
      </c>
      <c r="N2228" s="39" t="s">
        <v>609</v>
      </c>
      <c r="O2228" s="96" t="s">
        <v>3220</v>
      </c>
      <c r="P2228" s="49" t="s">
        <v>157</v>
      </c>
      <c r="Q2228" s="96" t="s">
        <v>104</v>
      </c>
      <c r="R2228" s="52">
        <v>11.83</v>
      </c>
      <c r="S2228" s="52">
        <f>R2228-T2228</f>
        <v>10.5625</v>
      </c>
      <c r="T2228" s="52">
        <f>R2228*U2228/(U2228+100)</f>
        <v>1.2675</v>
      </c>
      <c r="U2228" s="50">
        <v>12</v>
      </c>
      <c r="V2228" s="53">
        <v>0</v>
      </c>
      <c r="W2228" s="147">
        <v>1</v>
      </c>
      <c r="X2228" s="148" t="s">
        <v>163</v>
      </c>
      <c r="Y2228" s="54">
        <f>R2228*W2228</f>
        <v>11.83</v>
      </c>
      <c r="Z2228" s="52">
        <f>S2228*W2228</f>
        <v>10.5625</v>
      </c>
      <c r="AA2228" s="52">
        <f>T2228*W2228</f>
        <v>1.2675</v>
      </c>
      <c r="AB2228" s="52">
        <f>V2228*W2228</f>
        <v>0</v>
      </c>
      <c r="AC2228" s="53">
        <f>(R2228+V2228)*W2228</f>
        <v>11.83</v>
      </c>
      <c r="AD2228" s="138">
        <v>16.9</v>
      </c>
      <c r="AE2228" s="137">
        <v>5.07</v>
      </c>
      <c r="AF2228" s="139">
        <v>5.07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109</v>
      </c>
      <c r="F2229" s="96" t="s">
        <v>111</v>
      </c>
      <c r="G2229" s="97">
        <v>46132</v>
      </c>
      <c r="H2229" s="98">
        <v>0.5817824074074074</v>
      </c>
      <c r="I2229" s="50">
        <v>169002632</v>
      </c>
      <c r="J2229" s="96" t="s">
        <v>157</v>
      </c>
      <c r="K2229" s="49" t="s">
        <v>2937</v>
      </c>
      <c r="L2229" s="39" t="s">
        <v>2938</v>
      </c>
      <c r="M2229" s="49" t="s">
        <v>282</v>
      </c>
      <c r="N2229" s="39" t="s">
        <v>609</v>
      </c>
      <c r="O2229" s="96" t="s">
        <v>2939</v>
      </c>
      <c r="P2229" s="49" t="s">
        <v>157</v>
      </c>
      <c r="Q2229" s="96" t="s">
        <v>104</v>
      </c>
      <c r="R2229" s="52">
        <v>8.33</v>
      </c>
      <c r="S2229" s="52">
        <f>R2229-T2229</f>
        <v>7.4375</v>
      </c>
      <c r="T2229" s="52">
        <f>R2229*U2229/(U2229+100)</f>
        <v>0.8925000000000001</v>
      </c>
      <c r="U2229" s="50">
        <v>12</v>
      </c>
      <c r="V2229" s="53">
        <v>0</v>
      </c>
      <c r="W2229" s="147">
        <v>1</v>
      </c>
      <c r="X2229" s="148" t="s">
        <v>163</v>
      </c>
      <c r="Y2229" s="54">
        <f>R2229*W2229</f>
        <v>8.33</v>
      </c>
      <c r="Z2229" s="52">
        <f>S2229*W2229</f>
        <v>7.4375</v>
      </c>
      <c r="AA2229" s="52">
        <f>T2229*W2229</f>
        <v>0.8925000000000001</v>
      </c>
      <c r="AB2229" s="52">
        <f>V2229*W2229</f>
        <v>0</v>
      </c>
      <c r="AC2229" s="53">
        <f>(R2229+V2229)*W2229</f>
        <v>8.33</v>
      </c>
      <c r="AD2229" s="138">
        <v>11.9</v>
      </c>
      <c r="AE2229" s="137">
        <v>3.57</v>
      </c>
      <c r="AF2229" s="139">
        <v>3.57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109</v>
      </c>
      <c r="F2230" s="96" t="s">
        <v>111</v>
      </c>
      <c r="G2230" s="97">
        <v>46132</v>
      </c>
      <c r="H2230" s="98">
        <v>0.5817824074074074</v>
      </c>
      <c r="I2230" s="50">
        <v>169002632</v>
      </c>
      <c r="J2230" s="96" t="s">
        <v>157</v>
      </c>
      <c r="K2230" s="49" t="s">
        <v>1888</v>
      </c>
      <c r="L2230" s="39" t="s">
        <v>1889</v>
      </c>
      <c r="M2230" s="49" t="s">
        <v>823</v>
      </c>
      <c r="N2230" s="39" t="s">
        <v>1890</v>
      </c>
      <c r="O2230" s="96" t="s">
        <v>1891</v>
      </c>
      <c r="P2230" s="49" t="s">
        <v>157</v>
      </c>
      <c r="Q2230" s="96" t="s">
        <v>104</v>
      </c>
      <c r="R2230" s="52">
        <v>23.9</v>
      </c>
      <c r="S2230" s="52">
        <f>R2230-T2230</f>
        <v>21.33928571428571</v>
      </c>
      <c r="T2230" s="52">
        <f>R2230*U2230/(U2230+100)</f>
        <v>2.5607142857142855</v>
      </c>
      <c r="U2230" s="50">
        <v>12</v>
      </c>
      <c r="V2230" s="53">
        <v>0</v>
      </c>
      <c r="W2230" s="147">
        <v>1</v>
      </c>
      <c r="X2230" s="148" t="s">
        <v>163</v>
      </c>
      <c r="Y2230" s="54">
        <f>R2230*W2230</f>
        <v>23.9</v>
      </c>
      <c r="Z2230" s="52">
        <f>S2230*W2230</f>
        <v>21.33928571428571</v>
      </c>
      <c r="AA2230" s="52">
        <f>T2230*W2230</f>
        <v>2.5607142857142855</v>
      </c>
      <c r="AB2230" s="52">
        <f>V2230*W2230</f>
        <v>0</v>
      </c>
      <c r="AC2230" s="53">
        <f>(R2230+V2230)*W2230</f>
        <v>23.9</v>
      </c>
      <c r="AD2230" s="138">
        <v>23.9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109</v>
      </c>
      <c r="F2231" s="96" t="s">
        <v>111</v>
      </c>
      <c r="G2231" s="97">
        <v>46132</v>
      </c>
      <c r="H2231" s="98">
        <v>0.5817824074074074</v>
      </c>
      <c r="I2231" s="50">
        <v>169002632</v>
      </c>
      <c r="J2231" s="96" t="s">
        <v>157</v>
      </c>
      <c r="K2231" s="49" t="s">
        <v>3239</v>
      </c>
      <c r="L2231" s="39" t="s">
        <v>3240</v>
      </c>
      <c r="M2231" s="49" t="s">
        <v>290</v>
      </c>
      <c r="N2231" s="39" t="s">
        <v>1890</v>
      </c>
      <c r="O2231" s="96" t="s">
        <v>3241</v>
      </c>
      <c r="P2231" s="49" t="s">
        <v>157</v>
      </c>
      <c r="Q2231" s="96" t="s">
        <v>104</v>
      </c>
      <c r="R2231" s="52">
        <v>29.9</v>
      </c>
      <c r="S2231" s="52">
        <f>R2231-T2231</f>
        <v>26.69642857142857</v>
      </c>
      <c r="T2231" s="52">
        <f>R2231*U2231/(U2231+100)</f>
        <v>3.2035714285714283</v>
      </c>
      <c r="U2231" s="50">
        <v>12</v>
      </c>
      <c r="V2231" s="53">
        <v>0</v>
      </c>
      <c r="W2231" s="147">
        <v>1</v>
      </c>
      <c r="X2231" s="148" t="s">
        <v>163</v>
      </c>
      <c r="Y2231" s="54">
        <f>R2231*W2231</f>
        <v>29.9</v>
      </c>
      <c r="Z2231" s="52">
        <f>S2231*W2231</f>
        <v>26.69642857142857</v>
      </c>
      <c r="AA2231" s="52">
        <f>T2231*W2231</f>
        <v>3.2035714285714283</v>
      </c>
      <c r="AB2231" s="52">
        <f>V2231*W2231</f>
        <v>0</v>
      </c>
      <c r="AC2231" s="53">
        <f>(R2231+V2231)*W2231</f>
        <v>29.9</v>
      </c>
      <c r="AD2231" s="138">
        <v>29.9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109</v>
      </c>
      <c r="F2232" s="96" t="s">
        <v>111</v>
      </c>
      <c r="G2232" s="97">
        <v>46132</v>
      </c>
      <c r="H2232" s="98">
        <v>0.5817824074074074</v>
      </c>
      <c r="I2232" s="50">
        <v>169002632</v>
      </c>
      <c r="J2232" s="96" t="s">
        <v>157</v>
      </c>
      <c r="K2232" s="49" t="s">
        <v>3239</v>
      </c>
      <c r="L2232" s="39" t="s">
        <v>3240</v>
      </c>
      <c r="M2232" s="49" t="s">
        <v>290</v>
      </c>
      <c r="N2232" s="39" t="s">
        <v>1890</v>
      </c>
      <c r="O2232" s="96" t="s">
        <v>3241</v>
      </c>
      <c r="P2232" s="49" t="s">
        <v>157</v>
      </c>
      <c r="Q2232" s="96" t="s">
        <v>104</v>
      </c>
      <c r="R2232" s="52">
        <v>29.9</v>
      </c>
      <c r="S2232" s="52">
        <f>R2232-T2232</f>
        <v>26.69642857142857</v>
      </c>
      <c r="T2232" s="52">
        <f>R2232*U2232/(U2232+100)</f>
        <v>3.2035714285714283</v>
      </c>
      <c r="U2232" s="50">
        <v>12</v>
      </c>
      <c r="V2232" s="53">
        <v>0</v>
      </c>
      <c r="W2232" s="147">
        <v>1</v>
      </c>
      <c r="X2232" s="148" t="s">
        <v>163</v>
      </c>
      <c r="Y2232" s="54">
        <f>R2232*W2232</f>
        <v>29.9</v>
      </c>
      <c r="Z2232" s="52">
        <f>S2232*W2232</f>
        <v>26.69642857142857</v>
      </c>
      <c r="AA2232" s="52">
        <f>T2232*W2232</f>
        <v>3.2035714285714283</v>
      </c>
      <c r="AB2232" s="52">
        <f>V2232*W2232</f>
        <v>0</v>
      </c>
      <c r="AC2232" s="53">
        <f>(R2232+V2232)*W2232</f>
        <v>29.9</v>
      </c>
      <c r="AD2232" s="138">
        <v>29.9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109</v>
      </c>
      <c r="F2233" s="96" t="s">
        <v>111</v>
      </c>
      <c r="G2233" s="97">
        <v>46132</v>
      </c>
      <c r="H2233" s="98">
        <v>0.5817824074074074</v>
      </c>
      <c r="I2233" s="50">
        <v>169002632</v>
      </c>
      <c r="J2233" s="96" t="s">
        <v>157</v>
      </c>
      <c r="K2233" s="49" t="s">
        <v>303</v>
      </c>
      <c r="L2233" s="39" t="s">
        <v>304</v>
      </c>
      <c r="M2233" s="49" t="s">
        <v>214</v>
      </c>
      <c r="N2233" s="39" t="s">
        <v>296</v>
      </c>
      <c r="O2233" s="96" t="s">
        <v>305</v>
      </c>
      <c r="P2233" s="49" t="s">
        <v>157</v>
      </c>
      <c r="Q2233" s="96" t="s">
        <v>104</v>
      </c>
      <c r="R2233" s="52">
        <v>11.9</v>
      </c>
      <c r="S2233" s="52">
        <f>R2233-T2233</f>
        <v>10.625</v>
      </c>
      <c r="T2233" s="52">
        <f>R2233*U2233/(U2233+100)</f>
        <v>1.2750000000000001</v>
      </c>
      <c r="U2233" s="50">
        <v>12</v>
      </c>
      <c r="V2233" s="53">
        <v>0</v>
      </c>
      <c r="W2233" s="147">
        <v>3</v>
      </c>
      <c r="X2233" s="148" t="s">
        <v>163</v>
      </c>
      <c r="Y2233" s="54">
        <f>R2233*W2233</f>
        <v>35.7</v>
      </c>
      <c r="Z2233" s="52">
        <f>S2233*W2233</f>
        <v>31.875</v>
      </c>
      <c r="AA2233" s="52">
        <f>T2233*W2233</f>
        <v>3.825</v>
      </c>
      <c r="AB2233" s="52">
        <f>V2233*W2233</f>
        <v>0</v>
      </c>
      <c r="AC2233" s="53">
        <f>(R2233+V2233)*W2233</f>
        <v>35.7</v>
      </c>
      <c r="AD2233" s="138">
        <v>11.9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109</v>
      </c>
      <c r="F2234" s="96" t="s">
        <v>111</v>
      </c>
      <c r="G2234" s="97">
        <v>46132</v>
      </c>
      <c r="H2234" s="98">
        <v>0.5817824074074074</v>
      </c>
      <c r="I2234" s="50">
        <v>169002632</v>
      </c>
      <c r="J2234" s="96" t="s">
        <v>157</v>
      </c>
      <c r="K2234" s="49" t="s">
        <v>553</v>
      </c>
      <c r="L2234" s="39" t="s">
        <v>104</v>
      </c>
      <c r="M2234" s="49" t="s">
        <v>554</v>
      </c>
      <c r="N2234" s="39" t="s">
        <v>296</v>
      </c>
      <c r="O2234" s="96" t="s">
        <v>555</v>
      </c>
      <c r="P2234" s="49" t="s">
        <v>157</v>
      </c>
      <c r="Q2234" s="96" t="s">
        <v>104</v>
      </c>
      <c r="R2234" s="52">
        <v>8.9</v>
      </c>
      <c r="S2234" s="52">
        <f>R2234-T2234</f>
        <v>7.946428571428572</v>
      </c>
      <c r="T2234" s="52">
        <f>R2234*U2234/(U2234+100)</f>
        <v>0.9535714285714286</v>
      </c>
      <c r="U2234" s="50">
        <v>12</v>
      </c>
      <c r="V2234" s="53">
        <v>0</v>
      </c>
      <c r="W2234" s="147">
        <v>5</v>
      </c>
      <c r="X2234" s="148" t="s">
        <v>163</v>
      </c>
      <c r="Y2234" s="54">
        <f>R2234*W2234</f>
        <v>44.5</v>
      </c>
      <c r="Z2234" s="52">
        <f>S2234*W2234</f>
        <v>39.73214285714286</v>
      </c>
      <c r="AA2234" s="52">
        <f>T2234*W2234</f>
        <v>4.767857142857143</v>
      </c>
      <c r="AB2234" s="52">
        <f>V2234*W2234</f>
        <v>0</v>
      </c>
      <c r="AC2234" s="53">
        <f>(R2234+V2234)*W2234</f>
        <v>44.5</v>
      </c>
      <c r="AD2234" s="138">
        <v>8.9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109</v>
      </c>
      <c r="F2235" s="96" t="s">
        <v>111</v>
      </c>
      <c r="G2235" s="97">
        <v>46132</v>
      </c>
      <c r="H2235" s="98">
        <v>0.5817824074074074</v>
      </c>
      <c r="I2235" s="50">
        <v>169002632</v>
      </c>
      <c r="J2235" s="96" t="s">
        <v>157</v>
      </c>
      <c r="K2235" s="49" t="s">
        <v>3242</v>
      </c>
      <c r="L2235" s="39" t="s">
        <v>104</v>
      </c>
      <c r="M2235" s="49" t="s">
        <v>554</v>
      </c>
      <c r="N2235" s="39" t="s">
        <v>513</v>
      </c>
      <c r="O2235" s="96" t="s">
        <v>3243</v>
      </c>
      <c r="P2235" s="49" t="s">
        <v>157</v>
      </c>
      <c r="Q2235" s="96" t="s">
        <v>104</v>
      </c>
      <c r="R2235" s="52">
        <v>69.9</v>
      </c>
      <c r="S2235" s="52">
        <f>R2235-T2235</f>
        <v>62.41071428571429</v>
      </c>
      <c r="T2235" s="52">
        <f>R2235*U2235/(U2235+100)</f>
        <v>7.489285714285715</v>
      </c>
      <c r="U2235" s="50">
        <v>12</v>
      </c>
      <c r="V2235" s="53">
        <v>0</v>
      </c>
      <c r="W2235" s="147">
        <v>1</v>
      </c>
      <c r="X2235" s="148" t="s">
        <v>163</v>
      </c>
      <c r="Y2235" s="54">
        <f>R2235*W2235</f>
        <v>69.9</v>
      </c>
      <c r="Z2235" s="52">
        <f>S2235*W2235</f>
        <v>62.41071428571429</v>
      </c>
      <c r="AA2235" s="52">
        <f>T2235*W2235</f>
        <v>7.489285714285715</v>
      </c>
      <c r="AB2235" s="52">
        <f>V2235*W2235</f>
        <v>0</v>
      </c>
      <c r="AC2235" s="53">
        <f>(R2235+V2235)*W2235</f>
        <v>69.9</v>
      </c>
      <c r="AD2235" s="138">
        <v>69.9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109</v>
      </c>
      <c r="F2236" s="96" t="s">
        <v>111</v>
      </c>
      <c r="G2236" s="97">
        <v>46132</v>
      </c>
      <c r="H2236" s="98">
        <v>0.5822685185185185</v>
      </c>
      <c r="I2236" s="50">
        <v>169002633</v>
      </c>
      <c r="J2236" s="96" t="s">
        <v>157</v>
      </c>
      <c r="K2236" s="49" t="s">
        <v>3244</v>
      </c>
      <c r="L2236" s="39" t="s">
        <v>3245</v>
      </c>
      <c r="M2236" s="49" t="s">
        <v>1756</v>
      </c>
      <c r="N2236" s="39" t="s">
        <v>505</v>
      </c>
      <c r="O2236" s="96" t="s">
        <v>3246</v>
      </c>
      <c r="P2236" s="49" t="s">
        <v>157</v>
      </c>
      <c r="Q2236" s="96" t="s">
        <v>104</v>
      </c>
      <c r="R2236" s="52">
        <v>84.9</v>
      </c>
      <c r="S2236" s="52">
        <f>R2236-T2236</f>
        <v>75.80357142857143</v>
      </c>
      <c r="T2236" s="52">
        <f>R2236*U2236/(U2236+100)</f>
        <v>9.096428571428572</v>
      </c>
      <c r="U2236" s="50">
        <v>12</v>
      </c>
      <c r="V2236" s="53">
        <v>0</v>
      </c>
      <c r="W2236" s="147">
        <v>1</v>
      </c>
      <c r="X2236" s="148" t="s">
        <v>163</v>
      </c>
      <c r="Y2236" s="54">
        <f>R2236*W2236</f>
        <v>84.9</v>
      </c>
      <c r="Z2236" s="52">
        <f>S2236*W2236</f>
        <v>75.80357142857143</v>
      </c>
      <c r="AA2236" s="52">
        <f>T2236*W2236</f>
        <v>9.096428571428572</v>
      </c>
      <c r="AB2236" s="52">
        <f>V2236*W2236</f>
        <v>0</v>
      </c>
      <c r="AC2236" s="53">
        <f>(R2236+V2236)*W2236</f>
        <v>84.9</v>
      </c>
      <c r="AD2236" s="138">
        <v>84.9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109</v>
      </c>
      <c r="F2237" s="96" t="s">
        <v>111</v>
      </c>
      <c r="G2237" s="97">
        <v>46132</v>
      </c>
      <c r="H2237" s="98">
        <v>0.5822685185185185</v>
      </c>
      <c r="I2237" s="50">
        <v>169002633</v>
      </c>
      <c r="J2237" s="96" t="s">
        <v>157</v>
      </c>
      <c r="K2237" s="49" t="s">
        <v>2730</v>
      </c>
      <c r="L2237" s="39" t="s">
        <v>2731</v>
      </c>
      <c r="M2237" s="49" t="s">
        <v>277</v>
      </c>
      <c r="N2237" s="39" t="s">
        <v>751</v>
      </c>
      <c r="O2237" s="96" t="s">
        <v>2732</v>
      </c>
      <c r="P2237" s="49" t="s">
        <v>235</v>
      </c>
      <c r="Q2237" s="96" t="s">
        <v>753</v>
      </c>
      <c r="R2237" s="52">
        <v>34.9</v>
      </c>
      <c r="S2237" s="52">
        <f>R2237-T2237</f>
        <v>31.160714285714285</v>
      </c>
      <c r="T2237" s="52">
        <f>R2237*U2237/(U2237+100)</f>
        <v>3.739285714285714</v>
      </c>
      <c r="U2237" s="50">
        <v>12</v>
      </c>
      <c r="V2237" s="53">
        <v>0</v>
      </c>
      <c r="W2237" s="147">
        <v>1</v>
      </c>
      <c r="X2237" s="148" t="s">
        <v>163</v>
      </c>
      <c r="Y2237" s="54">
        <f>R2237*W2237</f>
        <v>34.9</v>
      </c>
      <c r="Z2237" s="52">
        <f>S2237*W2237</f>
        <v>31.160714285714285</v>
      </c>
      <c r="AA2237" s="52">
        <f>T2237*W2237</f>
        <v>3.739285714285714</v>
      </c>
      <c r="AB2237" s="52">
        <f>V2237*W2237</f>
        <v>0</v>
      </c>
      <c r="AC2237" s="53">
        <f>(R2237+V2237)*W2237</f>
        <v>34.9</v>
      </c>
      <c r="AD2237" s="138">
        <v>34.9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109</v>
      </c>
      <c r="F2238" s="96" t="s">
        <v>111</v>
      </c>
      <c r="G2238" s="97">
        <v>46132</v>
      </c>
      <c r="H2238" s="98">
        <v>0.5822685185185185</v>
      </c>
      <c r="I2238" s="50">
        <v>169002633</v>
      </c>
      <c r="J2238" s="96" t="s">
        <v>157</v>
      </c>
      <c r="K2238" s="49" t="s">
        <v>3247</v>
      </c>
      <c r="L2238" s="39" t="s">
        <v>3248</v>
      </c>
      <c r="M2238" s="49" t="s">
        <v>3249</v>
      </c>
      <c r="N2238" s="39" t="s">
        <v>1804</v>
      </c>
      <c r="O2238" s="96" t="s">
        <v>3250</v>
      </c>
      <c r="P2238" s="49" t="s">
        <v>157</v>
      </c>
      <c r="Q2238" s="96" t="s">
        <v>104</v>
      </c>
      <c r="R2238" s="52">
        <v>64.9</v>
      </c>
      <c r="S2238" s="52">
        <f>R2238-T2238</f>
        <v>53.63636363636364</v>
      </c>
      <c r="T2238" s="52">
        <f>R2238*U2238/(U2238+100)</f>
        <v>11.263636363636364</v>
      </c>
      <c r="U2238" s="50">
        <v>21</v>
      </c>
      <c r="V2238" s="53">
        <v>0</v>
      </c>
      <c r="W2238" s="147">
        <v>1</v>
      </c>
      <c r="X2238" s="148" t="s">
        <v>163</v>
      </c>
      <c r="Y2238" s="54">
        <f>R2238*W2238</f>
        <v>64.9</v>
      </c>
      <c r="Z2238" s="52">
        <f>S2238*W2238</f>
        <v>53.63636363636364</v>
      </c>
      <c r="AA2238" s="52">
        <f>T2238*W2238</f>
        <v>11.263636363636364</v>
      </c>
      <c r="AB2238" s="52">
        <f>V2238*W2238</f>
        <v>0</v>
      </c>
      <c r="AC2238" s="53">
        <f>(R2238+V2238)*W2238</f>
        <v>64.9</v>
      </c>
      <c r="AD2238" s="138">
        <v>64.9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109</v>
      </c>
      <c r="F2239" s="96" t="s">
        <v>111</v>
      </c>
      <c r="G2239" s="97">
        <v>46132</v>
      </c>
      <c r="H2239" s="98">
        <v>0.5822685185185185</v>
      </c>
      <c r="I2239" s="50">
        <v>169002633</v>
      </c>
      <c r="J2239" s="96" t="s">
        <v>157</v>
      </c>
      <c r="K2239" s="49" t="s">
        <v>271</v>
      </c>
      <c r="L2239" s="39" t="s">
        <v>272</v>
      </c>
      <c r="M2239" s="49" t="s">
        <v>214</v>
      </c>
      <c r="N2239" s="39" t="s">
        <v>273</v>
      </c>
      <c r="O2239" s="96" t="s">
        <v>1715</v>
      </c>
      <c r="P2239" s="49" t="s">
        <v>157</v>
      </c>
      <c r="Q2239" s="96" t="s">
        <v>104</v>
      </c>
      <c r="R2239" s="52">
        <v>13.9</v>
      </c>
      <c r="S2239" s="52">
        <f>R2239-T2239</f>
        <v>12.410714285714286</v>
      </c>
      <c r="T2239" s="52">
        <f>R2239*U2239/(U2239+100)</f>
        <v>1.4892857142857143</v>
      </c>
      <c r="U2239" s="50">
        <v>12</v>
      </c>
      <c r="V2239" s="53">
        <v>0</v>
      </c>
      <c r="W2239" s="147">
        <v>4</v>
      </c>
      <c r="X2239" s="148" t="s">
        <v>163</v>
      </c>
      <c r="Y2239" s="54">
        <f>R2239*W2239</f>
        <v>55.6</v>
      </c>
      <c r="Z2239" s="52">
        <f>S2239*W2239</f>
        <v>49.642857142857146</v>
      </c>
      <c r="AA2239" s="52">
        <f>T2239*W2239</f>
        <v>5.957142857142857</v>
      </c>
      <c r="AB2239" s="52">
        <f>V2239*W2239</f>
        <v>0</v>
      </c>
      <c r="AC2239" s="53">
        <f>(R2239+V2239)*W2239</f>
        <v>55.6</v>
      </c>
      <c r="AD2239" s="138">
        <v>13.9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109</v>
      </c>
      <c r="F2240" s="96" t="s">
        <v>111</v>
      </c>
      <c r="G2240" s="97">
        <v>46132</v>
      </c>
      <c r="H2240" s="98">
        <v>0.5822685185185185</v>
      </c>
      <c r="I2240" s="50">
        <v>169002633</v>
      </c>
      <c r="J2240" s="96" t="s">
        <v>157</v>
      </c>
      <c r="K2240" s="49" t="s">
        <v>690</v>
      </c>
      <c r="L2240" s="39" t="s">
        <v>104</v>
      </c>
      <c r="M2240" s="49" t="s">
        <v>554</v>
      </c>
      <c r="N2240" s="39" t="s">
        <v>513</v>
      </c>
      <c r="O2240" s="96" t="s">
        <v>1515</v>
      </c>
      <c r="P2240" s="49" t="s">
        <v>157</v>
      </c>
      <c r="Q2240" s="96" t="s">
        <v>104</v>
      </c>
      <c r="R2240" s="52">
        <v>39.9</v>
      </c>
      <c r="S2240" s="52">
        <f>R2240-T2240</f>
        <v>35.625</v>
      </c>
      <c r="T2240" s="52">
        <f>R2240*U2240/(U2240+100)</f>
        <v>4.2749999999999995</v>
      </c>
      <c r="U2240" s="50">
        <v>12</v>
      </c>
      <c r="V2240" s="53">
        <v>0</v>
      </c>
      <c r="W2240" s="147">
        <v>1</v>
      </c>
      <c r="X2240" s="148" t="s">
        <v>163</v>
      </c>
      <c r="Y2240" s="54">
        <f>R2240*W2240</f>
        <v>39.9</v>
      </c>
      <c r="Z2240" s="52">
        <f>S2240*W2240</f>
        <v>35.625</v>
      </c>
      <c r="AA2240" s="52">
        <f>T2240*W2240</f>
        <v>4.2749999999999995</v>
      </c>
      <c r="AB2240" s="52">
        <f>V2240*W2240</f>
        <v>0</v>
      </c>
      <c r="AC2240" s="53">
        <f>(R2240+V2240)*W2240</f>
        <v>39.9</v>
      </c>
      <c r="AD2240" s="138">
        <v>39.9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109</v>
      </c>
      <c r="F2241" s="96" t="s">
        <v>111</v>
      </c>
      <c r="G2241" s="97">
        <v>46132</v>
      </c>
      <c r="H2241" s="98">
        <v>0.5826736111111112</v>
      </c>
      <c r="I2241" s="50">
        <v>169002634</v>
      </c>
      <c r="J2241" s="96" t="s">
        <v>157</v>
      </c>
      <c r="K2241" s="49" t="s">
        <v>1603</v>
      </c>
      <c r="L2241" s="39" t="s">
        <v>1604</v>
      </c>
      <c r="M2241" s="49" t="s">
        <v>232</v>
      </c>
      <c r="N2241" s="39" t="s">
        <v>167</v>
      </c>
      <c r="O2241" s="96" t="s">
        <v>1605</v>
      </c>
      <c r="P2241" s="49" t="s">
        <v>157</v>
      </c>
      <c r="Q2241" s="96" t="s">
        <v>104</v>
      </c>
      <c r="R2241" s="52">
        <v>32.9</v>
      </c>
      <c r="S2241" s="52">
        <f>R2241-T2241</f>
        <v>27.1900826446281</v>
      </c>
      <c r="T2241" s="52">
        <f>R2241*U2241/(U2241+100)</f>
        <v>5.709917355371901</v>
      </c>
      <c r="U2241" s="50">
        <v>21</v>
      </c>
      <c r="V2241" s="53">
        <v>0</v>
      </c>
      <c r="W2241" s="147">
        <v>1</v>
      </c>
      <c r="X2241" s="148" t="s">
        <v>163</v>
      </c>
      <c r="Y2241" s="54">
        <f>R2241*W2241</f>
        <v>32.9</v>
      </c>
      <c r="Z2241" s="52">
        <f>S2241*W2241</f>
        <v>27.1900826446281</v>
      </c>
      <c r="AA2241" s="52">
        <f>T2241*W2241</f>
        <v>5.709917355371901</v>
      </c>
      <c r="AB2241" s="52">
        <f>V2241*W2241</f>
        <v>0</v>
      </c>
      <c r="AC2241" s="53">
        <f>(R2241+V2241)*W2241</f>
        <v>32.9</v>
      </c>
      <c r="AD2241" s="138">
        <v>32.9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109</v>
      </c>
      <c r="F2242" s="96" t="s">
        <v>111</v>
      </c>
      <c r="G2242" s="97">
        <v>46132</v>
      </c>
      <c r="H2242" s="98">
        <v>0.5826736111111112</v>
      </c>
      <c r="I2242" s="50">
        <v>169002634</v>
      </c>
      <c r="J2242" s="96" t="s">
        <v>157</v>
      </c>
      <c r="K2242" s="49" t="s">
        <v>3251</v>
      </c>
      <c r="L2242" s="39" t="s">
        <v>3252</v>
      </c>
      <c r="M2242" s="49" t="s">
        <v>232</v>
      </c>
      <c r="N2242" s="39" t="s">
        <v>233</v>
      </c>
      <c r="O2242" s="96" t="s">
        <v>3253</v>
      </c>
      <c r="P2242" s="49" t="s">
        <v>157</v>
      </c>
      <c r="Q2242" s="96" t="s">
        <v>104</v>
      </c>
      <c r="R2242" s="52">
        <v>22.9</v>
      </c>
      <c r="S2242" s="52">
        <f>R2242-T2242</f>
        <v>18.925619834710744</v>
      </c>
      <c r="T2242" s="52">
        <f>R2242*U2242/(U2242+100)</f>
        <v>3.974380165289256</v>
      </c>
      <c r="U2242" s="50">
        <v>21</v>
      </c>
      <c r="V2242" s="53">
        <v>0</v>
      </c>
      <c r="W2242" s="147">
        <v>1</v>
      </c>
      <c r="X2242" s="148" t="s">
        <v>163</v>
      </c>
      <c r="Y2242" s="54">
        <f>R2242*W2242</f>
        <v>22.9</v>
      </c>
      <c r="Z2242" s="52">
        <f>S2242*W2242</f>
        <v>18.925619834710744</v>
      </c>
      <c r="AA2242" s="52">
        <f>T2242*W2242</f>
        <v>3.974380165289256</v>
      </c>
      <c r="AB2242" s="52">
        <f>V2242*W2242</f>
        <v>0</v>
      </c>
      <c r="AC2242" s="53">
        <f>(R2242+V2242)*W2242</f>
        <v>22.9</v>
      </c>
      <c r="AD2242" s="138">
        <v>22.9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109</v>
      </c>
      <c r="F2243" s="96" t="s">
        <v>111</v>
      </c>
      <c r="G2243" s="97">
        <v>46132</v>
      </c>
      <c r="H2243" s="98">
        <v>0.5836574074074075</v>
      </c>
      <c r="I2243" s="50">
        <v>169002635</v>
      </c>
      <c r="J2243" s="96" t="s">
        <v>157</v>
      </c>
      <c r="K2243" s="49" t="s">
        <v>884</v>
      </c>
      <c r="L2243" s="39" t="s">
        <v>885</v>
      </c>
      <c r="M2243" s="49" t="s">
        <v>886</v>
      </c>
      <c r="N2243" s="39" t="s">
        <v>309</v>
      </c>
      <c r="O2243" s="96" t="s">
        <v>1527</v>
      </c>
      <c r="P2243" s="49" t="s">
        <v>157</v>
      </c>
      <c r="Q2243" s="96" t="s">
        <v>104</v>
      </c>
      <c r="R2243" s="52">
        <v>16.9</v>
      </c>
      <c r="S2243" s="52">
        <f>R2243-T2243</f>
        <v>15.089285714285714</v>
      </c>
      <c r="T2243" s="52">
        <f>R2243*U2243/(U2243+100)</f>
        <v>1.8107142857142855</v>
      </c>
      <c r="U2243" s="50">
        <v>12</v>
      </c>
      <c r="V2243" s="53">
        <v>0</v>
      </c>
      <c r="W2243" s="147">
        <v>1</v>
      </c>
      <c r="X2243" s="148" t="s">
        <v>163</v>
      </c>
      <c r="Y2243" s="54">
        <f>R2243*W2243</f>
        <v>16.9</v>
      </c>
      <c r="Z2243" s="52">
        <f>S2243*W2243</f>
        <v>15.089285714285714</v>
      </c>
      <c r="AA2243" s="52">
        <f>T2243*W2243</f>
        <v>1.8107142857142855</v>
      </c>
      <c r="AB2243" s="52">
        <f>V2243*W2243</f>
        <v>0</v>
      </c>
      <c r="AC2243" s="53">
        <f>(R2243+V2243)*W2243</f>
        <v>16.9</v>
      </c>
      <c r="AD2243" s="138">
        <v>16.9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109</v>
      </c>
      <c r="F2244" s="96" t="s">
        <v>111</v>
      </c>
      <c r="G2244" s="97">
        <v>46132</v>
      </c>
      <c r="H2244" s="98">
        <v>0.5843981481481482</v>
      </c>
      <c r="I2244" s="50">
        <v>169002636</v>
      </c>
      <c r="J2244" s="96" t="s">
        <v>157</v>
      </c>
      <c r="K2244" s="49" t="s">
        <v>946</v>
      </c>
      <c r="L2244" s="39" t="s">
        <v>947</v>
      </c>
      <c r="M2244" s="49" t="s">
        <v>318</v>
      </c>
      <c r="N2244" s="39" t="s">
        <v>319</v>
      </c>
      <c r="O2244" s="96" t="s">
        <v>1512</v>
      </c>
      <c r="P2244" s="49" t="s">
        <v>235</v>
      </c>
      <c r="Q2244" s="96" t="s">
        <v>236</v>
      </c>
      <c r="R2244" s="52">
        <v>16.9</v>
      </c>
      <c r="S2244" s="52">
        <f>R2244-T2244</f>
        <v>15.089285714285714</v>
      </c>
      <c r="T2244" s="52">
        <f>R2244*U2244/(U2244+100)</f>
        <v>1.8107142857142855</v>
      </c>
      <c r="U2244" s="50">
        <v>12</v>
      </c>
      <c r="V2244" s="53">
        <v>0</v>
      </c>
      <c r="W2244" s="147">
        <v>1</v>
      </c>
      <c r="X2244" s="148" t="s">
        <v>163</v>
      </c>
      <c r="Y2244" s="54">
        <f>R2244*W2244</f>
        <v>16.9</v>
      </c>
      <c r="Z2244" s="52">
        <f>S2244*W2244</f>
        <v>15.089285714285714</v>
      </c>
      <c r="AA2244" s="52">
        <f>T2244*W2244</f>
        <v>1.8107142857142855</v>
      </c>
      <c r="AB2244" s="52">
        <f>V2244*W2244</f>
        <v>0</v>
      </c>
      <c r="AC2244" s="53">
        <f>(R2244+V2244)*W2244</f>
        <v>16.9</v>
      </c>
      <c r="AD2244" s="138">
        <v>16.9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109</v>
      </c>
      <c r="F2245" s="96" t="s">
        <v>111</v>
      </c>
      <c r="G2245" s="97">
        <v>46132</v>
      </c>
      <c r="H2245" s="98">
        <v>0.5843981481481482</v>
      </c>
      <c r="I2245" s="50">
        <v>169002636</v>
      </c>
      <c r="J2245" s="96" t="s">
        <v>157</v>
      </c>
      <c r="K2245" s="49" t="s">
        <v>3254</v>
      </c>
      <c r="L2245" s="39" t="s">
        <v>3255</v>
      </c>
      <c r="M2245" s="49" t="s">
        <v>2847</v>
      </c>
      <c r="N2245" s="39" t="s">
        <v>3129</v>
      </c>
      <c r="O2245" s="96" t="s">
        <v>3256</v>
      </c>
      <c r="P2245" s="49" t="s">
        <v>157</v>
      </c>
      <c r="Q2245" s="96" t="s">
        <v>104</v>
      </c>
      <c r="R2245" s="52">
        <v>129</v>
      </c>
      <c r="S2245" s="52">
        <f>R2245-T2245</f>
        <v>115.17857142857143</v>
      </c>
      <c r="T2245" s="52">
        <f>R2245*U2245/(U2245+100)</f>
        <v>13.821428571428571</v>
      </c>
      <c r="U2245" s="50">
        <v>12</v>
      </c>
      <c r="V2245" s="53">
        <v>0</v>
      </c>
      <c r="W2245" s="147">
        <v>0.174</v>
      </c>
      <c r="X2245" s="148" t="s">
        <v>193</v>
      </c>
      <c r="Y2245" s="54">
        <f>R2245*W2245</f>
        <v>22.445999999999998</v>
      </c>
      <c r="Z2245" s="52">
        <f>S2245*W2245</f>
        <v>20.041071428571428</v>
      </c>
      <c r="AA2245" s="52">
        <f>T2245*W2245</f>
        <v>2.404928571428571</v>
      </c>
      <c r="AB2245" s="52">
        <f>V2245*W2245</f>
        <v>0</v>
      </c>
      <c r="AC2245" s="53">
        <f>(R2245+V2245)*W2245</f>
        <v>22.445999999999998</v>
      </c>
      <c r="AD2245" s="138">
        <v>129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109</v>
      </c>
      <c r="F2246" s="96" t="s">
        <v>111</v>
      </c>
      <c r="G2246" s="97">
        <v>46132</v>
      </c>
      <c r="H2246" s="98">
        <v>0.5843981481481482</v>
      </c>
      <c r="I2246" s="50">
        <v>169002636</v>
      </c>
      <c r="J2246" s="96" t="s">
        <v>157</v>
      </c>
      <c r="K2246" s="49" t="s">
        <v>942</v>
      </c>
      <c r="L2246" s="39"/>
      <c r="M2246" s="49" t="s">
        <v>295</v>
      </c>
      <c r="N2246" s="39" t="s">
        <v>433</v>
      </c>
      <c r="O2246" s="96" t="s">
        <v>1332</v>
      </c>
      <c r="P2246" s="49" t="s">
        <v>235</v>
      </c>
      <c r="Q2246" s="96" t="s">
        <v>944</v>
      </c>
      <c r="R2246" s="52">
        <v>9.9</v>
      </c>
      <c r="S2246" s="52">
        <f>R2246-T2246</f>
        <v>8.839285714285715</v>
      </c>
      <c r="T2246" s="52">
        <f>R2246*U2246/(U2246+100)</f>
        <v>1.0607142857142857</v>
      </c>
      <c r="U2246" s="50">
        <v>12</v>
      </c>
      <c r="V2246" s="53">
        <v>0</v>
      </c>
      <c r="W2246" s="147">
        <v>1</v>
      </c>
      <c r="X2246" s="148" t="s">
        <v>945</v>
      </c>
      <c r="Y2246" s="54">
        <f>R2246*W2246</f>
        <v>9.9</v>
      </c>
      <c r="Z2246" s="52">
        <f>S2246*W2246</f>
        <v>8.839285714285715</v>
      </c>
      <c r="AA2246" s="52">
        <f>T2246*W2246</f>
        <v>1.0607142857142857</v>
      </c>
      <c r="AB2246" s="52">
        <f>V2246*W2246</f>
        <v>0</v>
      </c>
      <c r="AC2246" s="53">
        <f>(R2246+V2246)*W2246</f>
        <v>9.9</v>
      </c>
      <c r="AD2246" s="138">
        <v>9.9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109</v>
      </c>
      <c r="F2247" s="96" t="s">
        <v>111</v>
      </c>
      <c r="G2247" s="97">
        <v>46132</v>
      </c>
      <c r="H2247" s="98">
        <v>0.5848032407407407</v>
      </c>
      <c r="I2247" s="50">
        <v>169002637</v>
      </c>
      <c r="J2247" s="96" t="s">
        <v>157</v>
      </c>
      <c r="K2247" s="49" t="s">
        <v>507</v>
      </c>
      <c r="L2247" s="39" t="s">
        <v>508</v>
      </c>
      <c r="M2247" s="49" t="s">
        <v>509</v>
      </c>
      <c r="N2247" s="39" t="s">
        <v>256</v>
      </c>
      <c r="O2247" s="96" t="s">
        <v>1024</v>
      </c>
      <c r="P2247" s="49" t="s">
        <v>235</v>
      </c>
      <c r="Q2247" s="96" t="s">
        <v>236</v>
      </c>
      <c r="R2247" s="52">
        <v>15.9</v>
      </c>
      <c r="S2247" s="52">
        <f>R2247-T2247</f>
        <v>13.140495867768596</v>
      </c>
      <c r="T2247" s="52">
        <f>R2247*U2247/(U2247+100)</f>
        <v>2.759504132231405</v>
      </c>
      <c r="U2247" s="50">
        <v>21</v>
      </c>
      <c r="V2247" s="53">
        <v>0</v>
      </c>
      <c r="W2247" s="147">
        <v>4</v>
      </c>
      <c r="X2247" s="148" t="s">
        <v>163</v>
      </c>
      <c r="Y2247" s="54">
        <f>R2247*W2247</f>
        <v>63.6</v>
      </c>
      <c r="Z2247" s="52">
        <f>S2247*W2247</f>
        <v>52.561983471074385</v>
      </c>
      <c r="AA2247" s="52">
        <f>T2247*W2247</f>
        <v>11.03801652892562</v>
      </c>
      <c r="AB2247" s="52">
        <f>V2247*W2247</f>
        <v>0</v>
      </c>
      <c r="AC2247" s="53">
        <f>(R2247+V2247)*W2247</f>
        <v>63.6</v>
      </c>
      <c r="AD2247" s="138">
        <v>15.9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109</v>
      </c>
      <c r="F2248" s="96" t="s">
        <v>111</v>
      </c>
      <c r="G2248" s="97">
        <v>46132</v>
      </c>
      <c r="H2248" s="98">
        <v>0.5862037037037037</v>
      </c>
      <c r="I2248" s="50">
        <v>169002638</v>
      </c>
      <c r="J2248" s="96" t="s">
        <v>157</v>
      </c>
      <c r="K2248" s="49" t="s">
        <v>3257</v>
      </c>
      <c r="L2248" s="39" t="s">
        <v>3258</v>
      </c>
      <c r="M2248" s="49" t="s">
        <v>185</v>
      </c>
      <c r="N2248" s="39" t="s">
        <v>1757</v>
      </c>
      <c r="O2248" s="96" t="s">
        <v>3259</v>
      </c>
      <c r="P2248" s="49" t="s">
        <v>157</v>
      </c>
      <c r="Q2248" s="96" t="s">
        <v>104</v>
      </c>
      <c r="R2248" s="52">
        <v>19.9</v>
      </c>
      <c r="S2248" s="52">
        <f>R2248-T2248</f>
        <v>17.767857142857142</v>
      </c>
      <c r="T2248" s="52">
        <f>R2248*U2248/(U2248+100)</f>
        <v>2.132142857142857</v>
      </c>
      <c r="U2248" s="50">
        <v>12</v>
      </c>
      <c r="V2248" s="53">
        <v>0</v>
      </c>
      <c r="W2248" s="147">
        <v>1</v>
      </c>
      <c r="X2248" s="148" t="s">
        <v>163</v>
      </c>
      <c r="Y2248" s="54">
        <f>R2248*W2248</f>
        <v>19.9</v>
      </c>
      <c r="Z2248" s="52">
        <f>S2248*W2248</f>
        <v>17.767857142857142</v>
      </c>
      <c r="AA2248" s="52">
        <f>T2248*W2248</f>
        <v>2.132142857142857</v>
      </c>
      <c r="AB2248" s="52">
        <f>V2248*W2248</f>
        <v>0</v>
      </c>
      <c r="AC2248" s="53">
        <f>(R2248+V2248)*W2248</f>
        <v>19.9</v>
      </c>
      <c r="AD2248" s="138">
        <v>19.9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109</v>
      </c>
      <c r="F2249" s="96" t="s">
        <v>111</v>
      </c>
      <c r="G2249" s="97">
        <v>46132</v>
      </c>
      <c r="H2249" s="98">
        <v>0.5862037037037037</v>
      </c>
      <c r="I2249" s="50">
        <v>169002638</v>
      </c>
      <c r="J2249" s="96" t="s">
        <v>157</v>
      </c>
      <c r="K2249" s="49" t="s">
        <v>967</v>
      </c>
      <c r="L2249" s="39" t="s">
        <v>968</v>
      </c>
      <c r="M2249" s="49" t="s">
        <v>444</v>
      </c>
      <c r="N2249" s="39" t="s">
        <v>445</v>
      </c>
      <c r="O2249" s="96" t="s">
        <v>981</v>
      </c>
      <c r="P2249" s="49" t="s">
        <v>157</v>
      </c>
      <c r="Q2249" s="96" t="s">
        <v>104</v>
      </c>
      <c r="R2249" s="52">
        <v>16.9</v>
      </c>
      <c r="S2249" s="52">
        <f>R2249-T2249</f>
        <v>15.089285714285714</v>
      </c>
      <c r="T2249" s="52">
        <f>R2249*U2249/(U2249+100)</f>
        <v>1.8107142857142855</v>
      </c>
      <c r="U2249" s="50">
        <v>12</v>
      </c>
      <c r="V2249" s="53">
        <v>0</v>
      </c>
      <c r="W2249" s="147">
        <v>1</v>
      </c>
      <c r="X2249" s="148" t="s">
        <v>163</v>
      </c>
      <c r="Y2249" s="54">
        <f>R2249*W2249</f>
        <v>16.9</v>
      </c>
      <c r="Z2249" s="52">
        <f>S2249*W2249</f>
        <v>15.089285714285714</v>
      </c>
      <c r="AA2249" s="52">
        <f>T2249*W2249</f>
        <v>1.8107142857142855</v>
      </c>
      <c r="AB2249" s="52">
        <f>V2249*W2249</f>
        <v>0</v>
      </c>
      <c r="AC2249" s="53">
        <f>(R2249+V2249)*W2249</f>
        <v>16.9</v>
      </c>
      <c r="AD2249" s="138">
        <v>16.9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109</v>
      </c>
      <c r="F2250" s="96" t="s">
        <v>111</v>
      </c>
      <c r="G2250" s="97">
        <v>46132</v>
      </c>
      <c r="H2250" s="98">
        <v>0.5862037037037037</v>
      </c>
      <c r="I2250" s="50">
        <v>169002638</v>
      </c>
      <c r="J2250" s="96" t="s">
        <v>157</v>
      </c>
      <c r="K2250" s="49" t="s">
        <v>926</v>
      </c>
      <c r="L2250" s="39" t="s">
        <v>927</v>
      </c>
      <c r="M2250" s="49" t="s">
        <v>255</v>
      </c>
      <c r="N2250" s="39" t="s">
        <v>256</v>
      </c>
      <c r="O2250" s="96" t="s">
        <v>2368</v>
      </c>
      <c r="P2250" s="49" t="s">
        <v>157</v>
      </c>
      <c r="Q2250" s="96" t="s">
        <v>104</v>
      </c>
      <c r="R2250" s="52">
        <v>23.9</v>
      </c>
      <c r="S2250" s="52">
        <f>R2250-T2250</f>
        <v>19.752066115702476</v>
      </c>
      <c r="T2250" s="52">
        <f>R2250*U2250/(U2250+100)</f>
        <v>4.147933884297521</v>
      </c>
      <c r="U2250" s="50">
        <v>21</v>
      </c>
      <c r="V2250" s="53">
        <v>0</v>
      </c>
      <c r="W2250" s="147">
        <v>1</v>
      </c>
      <c r="X2250" s="148" t="s">
        <v>163</v>
      </c>
      <c r="Y2250" s="54">
        <f>R2250*W2250</f>
        <v>23.9</v>
      </c>
      <c r="Z2250" s="52">
        <f>S2250*W2250</f>
        <v>19.752066115702476</v>
      </c>
      <c r="AA2250" s="52">
        <f>T2250*W2250</f>
        <v>4.147933884297521</v>
      </c>
      <c r="AB2250" s="52">
        <f>V2250*W2250</f>
        <v>0</v>
      </c>
      <c r="AC2250" s="53">
        <f>(R2250+V2250)*W2250</f>
        <v>23.9</v>
      </c>
      <c r="AD2250" s="138">
        <v>23.9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109</v>
      </c>
      <c r="F2251" s="96" t="s">
        <v>111</v>
      </c>
      <c r="G2251" s="97">
        <v>46132</v>
      </c>
      <c r="H2251" s="98">
        <v>0.5862037037037037</v>
      </c>
      <c r="I2251" s="50">
        <v>169002638</v>
      </c>
      <c r="J2251" s="96" t="s">
        <v>157</v>
      </c>
      <c r="K2251" s="49" t="s">
        <v>926</v>
      </c>
      <c r="L2251" s="39" t="s">
        <v>927</v>
      </c>
      <c r="M2251" s="49" t="s">
        <v>255</v>
      </c>
      <c r="N2251" s="39" t="s">
        <v>256</v>
      </c>
      <c r="O2251" s="96" t="s">
        <v>2368</v>
      </c>
      <c r="P2251" s="49" t="s">
        <v>157</v>
      </c>
      <c r="Q2251" s="96" t="s">
        <v>104</v>
      </c>
      <c r="R2251" s="52">
        <v>23.9</v>
      </c>
      <c r="S2251" s="52">
        <f>R2251-T2251</f>
        <v>19.752066115702476</v>
      </c>
      <c r="T2251" s="52">
        <f>R2251*U2251/(U2251+100)</f>
        <v>4.147933884297521</v>
      </c>
      <c r="U2251" s="50">
        <v>21</v>
      </c>
      <c r="V2251" s="53">
        <v>0</v>
      </c>
      <c r="W2251" s="147">
        <v>1</v>
      </c>
      <c r="X2251" s="148" t="s">
        <v>163</v>
      </c>
      <c r="Y2251" s="54">
        <f>R2251*W2251</f>
        <v>23.9</v>
      </c>
      <c r="Z2251" s="52">
        <f>S2251*W2251</f>
        <v>19.752066115702476</v>
      </c>
      <c r="AA2251" s="52">
        <f>T2251*W2251</f>
        <v>4.147933884297521</v>
      </c>
      <c r="AB2251" s="52">
        <f>V2251*W2251</f>
        <v>0</v>
      </c>
      <c r="AC2251" s="53">
        <f>(R2251+V2251)*W2251</f>
        <v>23.9</v>
      </c>
      <c r="AD2251" s="138">
        <v>23.9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109</v>
      </c>
      <c r="F2252" s="96" t="s">
        <v>111</v>
      </c>
      <c r="G2252" s="97">
        <v>46132</v>
      </c>
      <c r="H2252" s="98">
        <v>0.5862037037037037</v>
      </c>
      <c r="I2252" s="50">
        <v>169002638</v>
      </c>
      <c r="J2252" s="96" t="s">
        <v>157</v>
      </c>
      <c r="K2252" s="49" t="s">
        <v>926</v>
      </c>
      <c r="L2252" s="39" t="s">
        <v>927</v>
      </c>
      <c r="M2252" s="49" t="s">
        <v>255</v>
      </c>
      <c r="N2252" s="39" t="s">
        <v>256</v>
      </c>
      <c r="O2252" s="96" t="s">
        <v>2368</v>
      </c>
      <c r="P2252" s="49" t="s">
        <v>157</v>
      </c>
      <c r="Q2252" s="96" t="s">
        <v>104</v>
      </c>
      <c r="R2252" s="52">
        <v>23.9</v>
      </c>
      <c r="S2252" s="52">
        <f>R2252-T2252</f>
        <v>19.752066115702476</v>
      </c>
      <c r="T2252" s="52">
        <f>R2252*U2252/(U2252+100)</f>
        <v>4.147933884297521</v>
      </c>
      <c r="U2252" s="50">
        <v>21</v>
      </c>
      <c r="V2252" s="53">
        <v>0</v>
      </c>
      <c r="W2252" s="147">
        <v>1</v>
      </c>
      <c r="X2252" s="148" t="s">
        <v>163</v>
      </c>
      <c r="Y2252" s="54">
        <f>R2252*W2252</f>
        <v>23.9</v>
      </c>
      <c r="Z2252" s="52">
        <f>S2252*W2252</f>
        <v>19.752066115702476</v>
      </c>
      <c r="AA2252" s="52">
        <f>T2252*W2252</f>
        <v>4.147933884297521</v>
      </c>
      <c r="AB2252" s="52">
        <f>V2252*W2252</f>
        <v>0</v>
      </c>
      <c r="AC2252" s="53">
        <f>(R2252+V2252)*W2252</f>
        <v>23.9</v>
      </c>
      <c r="AD2252" s="138">
        <v>23.9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109</v>
      </c>
      <c r="F2253" s="96" t="s">
        <v>111</v>
      </c>
      <c r="G2253" s="97">
        <v>46132</v>
      </c>
      <c r="H2253" s="98">
        <v>0.5862037037037037</v>
      </c>
      <c r="I2253" s="50">
        <v>169002638</v>
      </c>
      <c r="J2253" s="96" t="s">
        <v>157</v>
      </c>
      <c r="K2253" s="49" t="s">
        <v>1776</v>
      </c>
      <c r="L2253" s="39" t="s">
        <v>1777</v>
      </c>
      <c r="M2253" s="49" t="s">
        <v>1452</v>
      </c>
      <c r="N2253" s="39" t="s">
        <v>653</v>
      </c>
      <c r="O2253" s="96" t="s">
        <v>1778</v>
      </c>
      <c r="P2253" s="49" t="s">
        <v>235</v>
      </c>
      <c r="Q2253" s="96" t="s">
        <v>236</v>
      </c>
      <c r="R2253" s="52">
        <v>19.9</v>
      </c>
      <c r="S2253" s="52">
        <f>R2253-T2253</f>
        <v>16.446280991735534</v>
      </c>
      <c r="T2253" s="52">
        <f>R2253*U2253/(U2253+100)</f>
        <v>3.4537190082644624</v>
      </c>
      <c r="U2253" s="50">
        <v>21</v>
      </c>
      <c r="V2253" s="53">
        <v>0</v>
      </c>
      <c r="W2253" s="147">
        <v>1</v>
      </c>
      <c r="X2253" s="148" t="s">
        <v>163</v>
      </c>
      <c r="Y2253" s="54">
        <f>R2253*W2253</f>
        <v>19.9</v>
      </c>
      <c r="Z2253" s="52">
        <f>S2253*W2253</f>
        <v>16.446280991735534</v>
      </c>
      <c r="AA2253" s="52">
        <f>T2253*W2253</f>
        <v>3.4537190082644624</v>
      </c>
      <c r="AB2253" s="52">
        <f>V2253*W2253</f>
        <v>0</v>
      </c>
      <c r="AC2253" s="53">
        <f>(R2253+V2253)*W2253</f>
        <v>19.9</v>
      </c>
      <c r="AD2253" s="138">
        <v>19.9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109</v>
      </c>
      <c r="F2254" s="96" t="s">
        <v>111</v>
      </c>
      <c r="G2254" s="97">
        <v>46132</v>
      </c>
      <c r="H2254" s="98">
        <v>0.5862037037037037</v>
      </c>
      <c r="I2254" s="50">
        <v>169002638</v>
      </c>
      <c r="J2254" s="96" t="s">
        <v>157</v>
      </c>
      <c r="K2254" s="49" t="s">
        <v>622</v>
      </c>
      <c r="L2254" s="39" t="s">
        <v>623</v>
      </c>
      <c r="M2254" s="49" t="s">
        <v>190</v>
      </c>
      <c r="N2254" s="39" t="s">
        <v>191</v>
      </c>
      <c r="O2254" s="96" t="s">
        <v>624</v>
      </c>
      <c r="P2254" s="49" t="s">
        <v>157</v>
      </c>
      <c r="Q2254" s="96" t="s">
        <v>104</v>
      </c>
      <c r="R2254" s="52">
        <v>17.9</v>
      </c>
      <c r="S2254" s="52">
        <f>R2254-T2254</f>
        <v>15.982142857142856</v>
      </c>
      <c r="T2254" s="52">
        <f>R2254*U2254/(U2254+100)</f>
        <v>1.9178571428571427</v>
      </c>
      <c r="U2254" s="50">
        <v>12</v>
      </c>
      <c r="V2254" s="53">
        <v>0</v>
      </c>
      <c r="W2254" s="147">
        <v>0.194</v>
      </c>
      <c r="X2254" s="148" t="s">
        <v>193</v>
      </c>
      <c r="Y2254" s="54">
        <f>R2254*W2254</f>
        <v>3.4726</v>
      </c>
      <c r="Z2254" s="52">
        <f>S2254*W2254</f>
        <v>3.100535714285714</v>
      </c>
      <c r="AA2254" s="52">
        <f>T2254*W2254</f>
        <v>0.3720642857142857</v>
      </c>
      <c r="AB2254" s="52">
        <f>V2254*W2254</f>
        <v>0</v>
      </c>
      <c r="AC2254" s="53">
        <f>(R2254+V2254)*W2254</f>
        <v>3.4726</v>
      </c>
      <c r="AD2254" s="138">
        <v>17.9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109</v>
      </c>
      <c r="F2255" s="96" t="s">
        <v>111</v>
      </c>
      <c r="G2255" s="97">
        <v>46132</v>
      </c>
      <c r="H2255" s="98">
        <v>0.5862037037037037</v>
      </c>
      <c r="I2255" s="50">
        <v>169002638</v>
      </c>
      <c r="J2255" s="96" t="s">
        <v>157</v>
      </c>
      <c r="K2255" s="49" t="s">
        <v>336</v>
      </c>
      <c r="L2255" s="39" t="s">
        <v>337</v>
      </c>
      <c r="M2255" s="49" t="s">
        <v>190</v>
      </c>
      <c r="N2255" s="39" t="s">
        <v>191</v>
      </c>
      <c r="O2255" s="96" t="s">
        <v>338</v>
      </c>
      <c r="P2255" s="49" t="s">
        <v>157</v>
      </c>
      <c r="Q2255" s="96" t="s">
        <v>104</v>
      </c>
      <c r="R2255" s="52">
        <v>11.9</v>
      </c>
      <c r="S2255" s="52">
        <f>R2255-T2255</f>
        <v>10.625</v>
      </c>
      <c r="T2255" s="52">
        <f>R2255*U2255/(U2255+100)</f>
        <v>1.2750000000000001</v>
      </c>
      <c r="U2255" s="50">
        <v>12</v>
      </c>
      <c r="V2255" s="53">
        <v>0</v>
      </c>
      <c r="W2255" s="147">
        <v>0.258</v>
      </c>
      <c r="X2255" s="148" t="s">
        <v>193</v>
      </c>
      <c r="Y2255" s="54">
        <f>R2255*W2255</f>
        <v>3.0702000000000003</v>
      </c>
      <c r="Z2255" s="52">
        <f>S2255*W2255</f>
        <v>2.74125</v>
      </c>
      <c r="AA2255" s="52">
        <f>T2255*W2255</f>
        <v>0.32895</v>
      </c>
      <c r="AB2255" s="52">
        <f>V2255*W2255</f>
        <v>0</v>
      </c>
      <c r="AC2255" s="53">
        <f>(R2255+V2255)*W2255</f>
        <v>3.0702000000000003</v>
      </c>
      <c r="AD2255" s="138">
        <v>11.9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109</v>
      </c>
      <c r="F2256" s="96" t="s">
        <v>111</v>
      </c>
      <c r="G2256" s="97">
        <v>46132</v>
      </c>
      <c r="H2256" s="98">
        <v>0.5862037037037037</v>
      </c>
      <c r="I2256" s="50">
        <v>169002638</v>
      </c>
      <c r="J2256" s="96" t="s">
        <v>157</v>
      </c>
      <c r="K2256" s="49" t="s">
        <v>293</v>
      </c>
      <c r="L2256" s="39" t="s">
        <v>294</v>
      </c>
      <c r="M2256" s="49" t="s">
        <v>295</v>
      </c>
      <c r="N2256" s="39" t="s">
        <v>296</v>
      </c>
      <c r="O2256" s="96" t="s">
        <v>297</v>
      </c>
      <c r="P2256" s="49" t="s">
        <v>157</v>
      </c>
      <c r="Q2256" s="96" t="s">
        <v>104</v>
      </c>
      <c r="R2256" s="52">
        <v>2.9</v>
      </c>
      <c r="S2256" s="52">
        <f>R2256-T2256</f>
        <v>2.5892857142857144</v>
      </c>
      <c r="T2256" s="52">
        <f>R2256*U2256/(U2256+100)</f>
        <v>0.31071428571428567</v>
      </c>
      <c r="U2256" s="50">
        <v>12</v>
      </c>
      <c r="V2256" s="53">
        <v>0</v>
      </c>
      <c r="W2256" s="147">
        <v>6</v>
      </c>
      <c r="X2256" s="148" t="s">
        <v>163</v>
      </c>
      <c r="Y2256" s="54">
        <f>R2256*W2256</f>
        <v>17.4</v>
      </c>
      <c r="Z2256" s="52">
        <f>S2256*W2256</f>
        <v>15.535714285714286</v>
      </c>
      <c r="AA2256" s="52">
        <f>T2256*W2256</f>
        <v>1.8642857142857139</v>
      </c>
      <c r="AB2256" s="52">
        <f>V2256*W2256</f>
        <v>0</v>
      </c>
      <c r="AC2256" s="53">
        <f>(R2256+V2256)*W2256</f>
        <v>17.4</v>
      </c>
      <c r="AD2256" s="138">
        <v>2.9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109</v>
      </c>
      <c r="F2257" s="96" t="s">
        <v>111</v>
      </c>
      <c r="G2257" s="97">
        <v>46132</v>
      </c>
      <c r="H2257" s="98">
        <v>0.5874421296296296</v>
      </c>
      <c r="I2257" s="50">
        <v>169002639</v>
      </c>
      <c r="J2257" s="96" t="s">
        <v>157</v>
      </c>
      <c r="K2257" s="49" t="s">
        <v>3254</v>
      </c>
      <c r="L2257" s="39" t="s">
        <v>3255</v>
      </c>
      <c r="M2257" s="49" t="s">
        <v>2847</v>
      </c>
      <c r="N2257" s="39" t="s">
        <v>3129</v>
      </c>
      <c r="O2257" s="96" t="s">
        <v>3256</v>
      </c>
      <c r="P2257" s="49" t="s">
        <v>157</v>
      </c>
      <c r="Q2257" s="96" t="s">
        <v>104</v>
      </c>
      <c r="R2257" s="52">
        <v>129</v>
      </c>
      <c r="S2257" s="52">
        <f>R2257-T2257</f>
        <v>115.17857142857143</v>
      </c>
      <c r="T2257" s="52">
        <f>R2257*U2257/(U2257+100)</f>
        <v>13.821428571428571</v>
      </c>
      <c r="U2257" s="50">
        <v>12</v>
      </c>
      <c r="V2257" s="53">
        <v>0</v>
      </c>
      <c r="W2257" s="147">
        <v>0.22</v>
      </c>
      <c r="X2257" s="148" t="s">
        <v>193</v>
      </c>
      <c r="Y2257" s="54">
        <f>R2257*W2257</f>
        <v>28.38</v>
      </c>
      <c r="Z2257" s="52">
        <f>S2257*W2257</f>
        <v>25.339285714285715</v>
      </c>
      <c r="AA2257" s="52">
        <f>T2257*W2257</f>
        <v>3.0407142857142855</v>
      </c>
      <c r="AB2257" s="52">
        <f>V2257*W2257</f>
        <v>0</v>
      </c>
      <c r="AC2257" s="53">
        <f>(R2257+V2257)*W2257</f>
        <v>28.38</v>
      </c>
      <c r="AD2257" s="138">
        <v>129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109</v>
      </c>
      <c r="F2258" s="96" t="s">
        <v>111</v>
      </c>
      <c r="G2258" s="97">
        <v>46132</v>
      </c>
      <c r="H2258" s="98">
        <v>0.5874421296296296</v>
      </c>
      <c r="I2258" s="50">
        <v>169002639</v>
      </c>
      <c r="J2258" s="96" t="s">
        <v>157</v>
      </c>
      <c r="K2258" s="49" t="s">
        <v>3260</v>
      </c>
      <c r="L2258" s="39" t="s">
        <v>3261</v>
      </c>
      <c r="M2258" s="49" t="s">
        <v>3262</v>
      </c>
      <c r="N2258" s="39" t="s">
        <v>476</v>
      </c>
      <c r="O2258" s="96" t="s">
        <v>3263</v>
      </c>
      <c r="P2258" s="49" t="s">
        <v>157</v>
      </c>
      <c r="Q2258" s="96" t="s">
        <v>104</v>
      </c>
      <c r="R2258" s="52">
        <v>34.9</v>
      </c>
      <c r="S2258" s="52">
        <f>R2258-T2258</f>
        <v>31.160714285714285</v>
      </c>
      <c r="T2258" s="52">
        <f>R2258*U2258/(U2258+100)</f>
        <v>3.739285714285714</v>
      </c>
      <c r="U2258" s="50">
        <v>12</v>
      </c>
      <c r="V2258" s="53">
        <v>0</v>
      </c>
      <c r="W2258" s="147">
        <v>1</v>
      </c>
      <c r="X2258" s="148" t="s">
        <v>163</v>
      </c>
      <c r="Y2258" s="54">
        <f>R2258*W2258</f>
        <v>34.9</v>
      </c>
      <c r="Z2258" s="52">
        <f>S2258*W2258</f>
        <v>31.160714285714285</v>
      </c>
      <c r="AA2258" s="52">
        <f>T2258*W2258</f>
        <v>3.739285714285714</v>
      </c>
      <c r="AB2258" s="52">
        <f>V2258*W2258</f>
        <v>0</v>
      </c>
      <c r="AC2258" s="53">
        <f>(R2258+V2258)*W2258</f>
        <v>34.9</v>
      </c>
      <c r="AD2258" s="138">
        <v>34.9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109</v>
      </c>
      <c r="F2259" s="96" t="s">
        <v>111</v>
      </c>
      <c r="G2259" s="97">
        <v>46132</v>
      </c>
      <c r="H2259" s="98">
        <v>0.5874421296296296</v>
      </c>
      <c r="I2259" s="50">
        <v>169002639</v>
      </c>
      <c r="J2259" s="96" t="s">
        <v>157</v>
      </c>
      <c r="K2259" s="49" t="s">
        <v>3264</v>
      </c>
      <c r="L2259" s="39" t="s">
        <v>3265</v>
      </c>
      <c r="M2259" s="49" t="s">
        <v>954</v>
      </c>
      <c r="N2259" s="39" t="s">
        <v>1312</v>
      </c>
      <c r="O2259" s="96" t="s">
        <v>3266</v>
      </c>
      <c r="P2259" s="49" t="s">
        <v>157</v>
      </c>
      <c r="Q2259" s="96" t="s">
        <v>104</v>
      </c>
      <c r="R2259" s="52">
        <v>122.9</v>
      </c>
      <c r="S2259" s="52">
        <f>R2259-T2259</f>
        <v>101.5702479338843</v>
      </c>
      <c r="T2259" s="52">
        <f>R2259*U2259/(U2259+100)</f>
        <v>21.329752066115702</v>
      </c>
      <c r="U2259" s="50">
        <v>21</v>
      </c>
      <c r="V2259" s="53">
        <v>0</v>
      </c>
      <c r="W2259" s="147">
        <v>1</v>
      </c>
      <c r="X2259" s="148" t="s">
        <v>163</v>
      </c>
      <c r="Y2259" s="54">
        <f>R2259*W2259</f>
        <v>122.9</v>
      </c>
      <c r="Z2259" s="52">
        <f>S2259*W2259</f>
        <v>101.5702479338843</v>
      </c>
      <c r="AA2259" s="52">
        <f>T2259*W2259</f>
        <v>21.329752066115702</v>
      </c>
      <c r="AB2259" s="52">
        <f>V2259*W2259</f>
        <v>0</v>
      </c>
      <c r="AC2259" s="53">
        <f>(R2259+V2259)*W2259</f>
        <v>122.9</v>
      </c>
      <c r="AD2259" s="138">
        <v>122.9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109</v>
      </c>
      <c r="F2260" s="96" t="s">
        <v>111</v>
      </c>
      <c r="G2260" s="97">
        <v>46132</v>
      </c>
      <c r="H2260" s="98">
        <v>0.5874421296296296</v>
      </c>
      <c r="I2260" s="50">
        <v>169002639</v>
      </c>
      <c r="J2260" s="96" t="s">
        <v>157</v>
      </c>
      <c r="K2260" s="49" t="s">
        <v>530</v>
      </c>
      <c r="L2260" s="39" t="s">
        <v>531</v>
      </c>
      <c r="M2260" s="49" t="s">
        <v>190</v>
      </c>
      <c r="N2260" s="39" t="s">
        <v>532</v>
      </c>
      <c r="O2260" s="96" t="s">
        <v>533</v>
      </c>
      <c r="P2260" s="49" t="s">
        <v>157</v>
      </c>
      <c r="Q2260" s="96" t="s">
        <v>104</v>
      </c>
      <c r="R2260" s="52">
        <v>25.9</v>
      </c>
      <c r="S2260" s="52">
        <f>R2260-T2260</f>
        <v>23.125</v>
      </c>
      <c r="T2260" s="52">
        <f>R2260*U2260/(U2260+100)</f>
        <v>2.7749999999999995</v>
      </c>
      <c r="U2260" s="50">
        <v>12</v>
      </c>
      <c r="V2260" s="53">
        <v>0</v>
      </c>
      <c r="W2260" s="147">
        <v>0.71</v>
      </c>
      <c r="X2260" s="148" t="s">
        <v>193</v>
      </c>
      <c r="Y2260" s="54">
        <f>R2260*W2260</f>
        <v>18.389</v>
      </c>
      <c r="Z2260" s="52">
        <f>S2260*W2260</f>
        <v>16.41875</v>
      </c>
      <c r="AA2260" s="52">
        <f>T2260*W2260</f>
        <v>1.9702499999999996</v>
      </c>
      <c r="AB2260" s="52">
        <f>V2260*W2260</f>
        <v>0</v>
      </c>
      <c r="AC2260" s="53">
        <f>(R2260+V2260)*W2260</f>
        <v>18.389</v>
      </c>
      <c r="AD2260" s="138">
        <v>25.9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109</v>
      </c>
      <c r="F2261" s="96" t="s">
        <v>111</v>
      </c>
      <c r="G2261" s="97">
        <v>46132</v>
      </c>
      <c r="H2261" s="98">
        <v>0.5874421296296296</v>
      </c>
      <c r="I2261" s="50">
        <v>169002639</v>
      </c>
      <c r="J2261" s="96" t="s">
        <v>157</v>
      </c>
      <c r="K2261" s="49" t="s">
        <v>711</v>
      </c>
      <c r="L2261" s="39" t="s">
        <v>712</v>
      </c>
      <c r="M2261" s="49" t="s">
        <v>190</v>
      </c>
      <c r="N2261" s="39" t="s">
        <v>532</v>
      </c>
      <c r="O2261" s="96" t="s">
        <v>713</v>
      </c>
      <c r="P2261" s="49" t="s">
        <v>235</v>
      </c>
      <c r="Q2261" s="96" t="s">
        <v>236</v>
      </c>
      <c r="R2261" s="52">
        <v>27.9</v>
      </c>
      <c r="S2261" s="52">
        <f>R2261-T2261</f>
        <v>24.910714285714285</v>
      </c>
      <c r="T2261" s="52">
        <f>R2261*U2261/(U2261+100)</f>
        <v>2.989285714285714</v>
      </c>
      <c r="U2261" s="50">
        <v>12</v>
      </c>
      <c r="V2261" s="53">
        <v>0</v>
      </c>
      <c r="W2261" s="147">
        <v>0.608</v>
      </c>
      <c r="X2261" s="148" t="s">
        <v>193</v>
      </c>
      <c r="Y2261" s="54">
        <f>R2261*W2261</f>
        <v>16.963199999999997</v>
      </c>
      <c r="Z2261" s="52">
        <f>S2261*W2261</f>
        <v>15.145714285714284</v>
      </c>
      <c r="AA2261" s="52">
        <f>T2261*W2261</f>
        <v>1.817485714285714</v>
      </c>
      <c r="AB2261" s="52">
        <f>V2261*W2261</f>
        <v>0</v>
      </c>
      <c r="AC2261" s="53">
        <f>(R2261+V2261)*W2261</f>
        <v>16.963199999999997</v>
      </c>
      <c r="AD2261" s="138">
        <v>27.9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109</v>
      </c>
      <c r="F2262" s="96" t="s">
        <v>111</v>
      </c>
      <c r="G2262" s="97">
        <v>46132</v>
      </c>
      <c r="H2262" s="98">
        <v>0.5874421296296296</v>
      </c>
      <c r="I2262" s="50">
        <v>169002639</v>
      </c>
      <c r="J2262" s="96" t="s">
        <v>157</v>
      </c>
      <c r="K2262" s="49" t="s">
        <v>1085</v>
      </c>
      <c r="L2262" s="39" t="s">
        <v>1086</v>
      </c>
      <c r="M2262" s="49" t="s">
        <v>1087</v>
      </c>
      <c r="N2262" s="39" t="s">
        <v>1088</v>
      </c>
      <c r="O2262" s="96" t="s">
        <v>1089</v>
      </c>
      <c r="P2262" s="49" t="s">
        <v>157</v>
      </c>
      <c r="Q2262" s="96" t="s">
        <v>104</v>
      </c>
      <c r="R2262" s="52">
        <v>163.03</v>
      </c>
      <c r="S2262" s="52">
        <f>R2262-T2262</f>
        <v>145.5625</v>
      </c>
      <c r="T2262" s="52">
        <f>R2262*U2262/(U2262+100)</f>
        <v>17.4675</v>
      </c>
      <c r="U2262" s="50">
        <v>12</v>
      </c>
      <c r="V2262" s="53">
        <v>0</v>
      </c>
      <c r="W2262" s="147">
        <v>0.1</v>
      </c>
      <c r="X2262" s="148" t="s">
        <v>193</v>
      </c>
      <c r="Y2262" s="54">
        <f>R2262*W2262</f>
        <v>16.303</v>
      </c>
      <c r="Z2262" s="52">
        <f>S2262*W2262</f>
        <v>14.55625</v>
      </c>
      <c r="AA2262" s="52">
        <f>T2262*W2262</f>
        <v>1.7467500000000002</v>
      </c>
      <c r="AB2262" s="52">
        <f>V2262*W2262</f>
        <v>0</v>
      </c>
      <c r="AC2262" s="53">
        <f>(R2262+V2262)*W2262</f>
        <v>16.303</v>
      </c>
      <c r="AD2262" s="138">
        <v>232.9</v>
      </c>
      <c r="AE2262" s="137">
        <v>69.87</v>
      </c>
      <c r="AF2262" s="139">
        <v>6.987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109</v>
      </c>
      <c r="F2263" s="96" t="s">
        <v>111</v>
      </c>
      <c r="G2263" s="97">
        <v>46132</v>
      </c>
      <c r="H2263" s="98">
        <v>0.5874421296296296</v>
      </c>
      <c r="I2263" s="50">
        <v>169002639</v>
      </c>
      <c r="J2263" s="96" t="s">
        <v>157</v>
      </c>
      <c r="K2263" s="49" t="s">
        <v>303</v>
      </c>
      <c r="L2263" s="39" t="s">
        <v>304</v>
      </c>
      <c r="M2263" s="49" t="s">
        <v>214</v>
      </c>
      <c r="N2263" s="39" t="s">
        <v>296</v>
      </c>
      <c r="O2263" s="96" t="s">
        <v>305</v>
      </c>
      <c r="P2263" s="49" t="s">
        <v>157</v>
      </c>
      <c r="Q2263" s="96" t="s">
        <v>104</v>
      </c>
      <c r="R2263" s="52">
        <v>11.9</v>
      </c>
      <c r="S2263" s="52">
        <f>R2263-T2263</f>
        <v>10.625</v>
      </c>
      <c r="T2263" s="52">
        <f>R2263*U2263/(U2263+100)</f>
        <v>1.2750000000000001</v>
      </c>
      <c r="U2263" s="50">
        <v>12</v>
      </c>
      <c r="V2263" s="53">
        <v>0</v>
      </c>
      <c r="W2263" s="147">
        <v>2</v>
      </c>
      <c r="X2263" s="148" t="s">
        <v>163</v>
      </c>
      <c r="Y2263" s="54">
        <f>R2263*W2263</f>
        <v>23.8</v>
      </c>
      <c r="Z2263" s="52">
        <f>S2263*W2263</f>
        <v>21.25</v>
      </c>
      <c r="AA2263" s="52">
        <f>T2263*W2263</f>
        <v>2.5500000000000003</v>
      </c>
      <c r="AB2263" s="52">
        <f>V2263*W2263</f>
        <v>0</v>
      </c>
      <c r="AC2263" s="53">
        <f>(R2263+V2263)*W2263</f>
        <v>23.8</v>
      </c>
      <c r="AD2263" s="138">
        <v>11.9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109</v>
      </c>
      <c r="F2264" s="96" t="s">
        <v>111</v>
      </c>
      <c r="G2264" s="97">
        <v>46132</v>
      </c>
      <c r="H2264" s="98">
        <v>0.5874421296296296</v>
      </c>
      <c r="I2264" s="50">
        <v>169002639</v>
      </c>
      <c r="J2264" s="96" t="s">
        <v>157</v>
      </c>
      <c r="K2264" s="49" t="s">
        <v>686</v>
      </c>
      <c r="L2264" s="39" t="s">
        <v>687</v>
      </c>
      <c r="M2264" s="49" t="s">
        <v>369</v>
      </c>
      <c r="N2264" s="39" t="s">
        <v>688</v>
      </c>
      <c r="O2264" s="96" t="s">
        <v>1341</v>
      </c>
      <c r="P2264" s="49" t="s">
        <v>157</v>
      </c>
      <c r="Q2264" s="96" t="s">
        <v>104</v>
      </c>
      <c r="R2264" s="52">
        <v>227.9</v>
      </c>
      <c r="S2264" s="52">
        <f>R2264-T2264</f>
        <v>203.48214285714286</v>
      </c>
      <c r="T2264" s="52">
        <f>R2264*U2264/(U2264+100)</f>
        <v>24.417857142857144</v>
      </c>
      <c r="U2264" s="50">
        <v>12</v>
      </c>
      <c r="V2264" s="53">
        <v>0</v>
      </c>
      <c r="W2264" s="147">
        <v>0.1</v>
      </c>
      <c r="X2264" s="148" t="s">
        <v>193</v>
      </c>
      <c r="Y2264" s="54">
        <f>R2264*W2264</f>
        <v>22.790000000000003</v>
      </c>
      <c r="Z2264" s="52">
        <f>S2264*W2264</f>
        <v>20.34821428571429</v>
      </c>
      <c r="AA2264" s="52">
        <f>T2264*W2264</f>
        <v>2.4417857142857144</v>
      </c>
      <c r="AB2264" s="52">
        <f>V2264*W2264</f>
        <v>0</v>
      </c>
      <c r="AC2264" s="53">
        <f>(R2264+V2264)*W2264</f>
        <v>22.790000000000003</v>
      </c>
      <c r="AD2264" s="138">
        <v>227.9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109</v>
      </c>
      <c r="F2265" s="96" t="s">
        <v>111</v>
      </c>
      <c r="G2265" s="97">
        <v>46132</v>
      </c>
      <c r="H2265" s="98">
        <v>0.5874421296296296</v>
      </c>
      <c r="I2265" s="50">
        <v>169002639</v>
      </c>
      <c r="J2265" s="96" t="s">
        <v>157</v>
      </c>
      <c r="K2265" s="49" t="s">
        <v>1056</v>
      </c>
      <c r="L2265" s="39" t="s">
        <v>1057</v>
      </c>
      <c r="M2265" s="49" t="s">
        <v>403</v>
      </c>
      <c r="N2265" s="39" t="s">
        <v>688</v>
      </c>
      <c r="O2265" s="96" t="s">
        <v>1058</v>
      </c>
      <c r="P2265" s="49" t="s">
        <v>157</v>
      </c>
      <c r="Q2265" s="96" t="s">
        <v>104</v>
      </c>
      <c r="R2265" s="52">
        <v>199.9</v>
      </c>
      <c r="S2265" s="52">
        <f>R2265-T2265</f>
        <v>178.48214285714286</v>
      </c>
      <c r="T2265" s="52">
        <f>R2265*U2265/(U2265+100)</f>
        <v>21.417857142857144</v>
      </c>
      <c r="U2265" s="50">
        <v>12</v>
      </c>
      <c r="V2265" s="53">
        <v>0</v>
      </c>
      <c r="W2265" s="147">
        <v>0.1</v>
      </c>
      <c r="X2265" s="148" t="s">
        <v>193</v>
      </c>
      <c r="Y2265" s="54">
        <f>R2265*W2265</f>
        <v>19.990000000000002</v>
      </c>
      <c r="Z2265" s="52">
        <f>S2265*W2265</f>
        <v>17.84821428571429</v>
      </c>
      <c r="AA2265" s="52">
        <f>T2265*W2265</f>
        <v>2.1417857142857146</v>
      </c>
      <c r="AB2265" s="52">
        <f>V2265*W2265</f>
        <v>0</v>
      </c>
      <c r="AC2265" s="53">
        <f>(R2265+V2265)*W2265</f>
        <v>19.990000000000002</v>
      </c>
      <c r="AD2265" s="138">
        <v>199.9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109</v>
      </c>
      <c r="F2266" s="96" t="s">
        <v>111</v>
      </c>
      <c r="G2266" s="97">
        <v>46132</v>
      </c>
      <c r="H2266" s="98">
        <v>0.5874421296296296</v>
      </c>
      <c r="I2266" s="50">
        <v>169002639</v>
      </c>
      <c r="J2266" s="96" t="s">
        <v>157</v>
      </c>
      <c r="K2266" s="49" t="s">
        <v>553</v>
      </c>
      <c r="L2266" s="39" t="s">
        <v>104</v>
      </c>
      <c r="M2266" s="49" t="s">
        <v>554</v>
      </c>
      <c r="N2266" s="39" t="s">
        <v>296</v>
      </c>
      <c r="O2266" s="96" t="s">
        <v>555</v>
      </c>
      <c r="P2266" s="49" t="s">
        <v>157</v>
      </c>
      <c r="Q2266" s="96" t="s">
        <v>104</v>
      </c>
      <c r="R2266" s="52">
        <v>8.9</v>
      </c>
      <c r="S2266" s="52">
        <f>R2266-T2266</f>
        <v>7.946428571428572</v>
      </c>
      <c r="T2266" s="52">
        <f>R2266*U2266/(U2266+100)</f>
        <v>0.9535714285714286</v>
      </c>
      <c r="U2266" s="50">
        <v>12</v>
      </c>
      <c r="V2266" s="53">
        <v>0</v>
      </c>
      <c r="W2266" s="147">
        <v>2</v>
      </c>
      <c r="X2266" s="148" t="s">
        <v>163</v>
      </c>
      <c r="Y2266" s="54">
        <f>R2266*W2266</f>
        <v>17.8</v>
      </c>
      <c r="Z2266" s="52">
        <f>S2266*W2266</f>
        <v>15.892857142857144</v>
      </c>
      <c r="AA2266" s="52">
        <f>T2266*W2266</f>
        <v>1.9071428571428573</v>
      </c>
      <c r="AB2266" s="52">
        <f>V2266*W2266</f>
        <v>0</v>
      </c>
      <c r="AC2266" s="53">
        <f>(R2266+V2266)*W2266</f>
        <v>17.8</v>
      </c>
      <c r="AD2266" s="138">
        <v>8.9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109</v>
      </c>
      <c r="F2267" s="96" t="s">
        <v>111</v>
      </c>
      <c r="G2267" s="97">
        <v>46132</v>
      </c>
      <c r="H2267" s="98">
        <v>0.5874421296296296</v>
      </c>
      <c r="I2267" s="50">
        <v>169002639</v>
      </c>
      <c r="J2267" s="96" t="s">
        <v>157</v>
      </c>
      <c r="K2267" s="49" t="s">
        <v>690</v>
      </c>
      <c r="L2267" s="39" t="s">
        <v>104</v>
      </c>
      <c r="M2267" s="49" t="s">
        <v>554</v>
      </c>
      <c r="N2267" s="39" t="s">
        <v>513</v>
      </c>
      <c r="O2267" s="96" t="s">
        <v>1515</v>
      </c>
      <c r="P2267" s="49" t="s">
        <v>157</v>
      </c>
      <c r="Q2267" s="96" t="s">
        <v>104</v>
      </c>
      <c r="R2267" s="52">
        <v>39.9</v>
      </c>
      <c r="S2267" s="52">
        <f>R2267-T2267</f>
        <v>35.625</v>
      </c>
      <c r="T2267" s="52">
        <f>R2267*U2267/(U2267+100)</f>
        <v>4.2749999999999995</v>
      </c>
      <c r="U2267" s="50">
        <v>12</v>
      </c>
      <c r="V2267" s="53">
        <v>0</v>
      </c>
      <c r="W2267" s="147">
        <v>1</v>
      </c>
      <c r="X2267" s="148" t="s">
        <v>163</v>
      </c>
      <c r="Y2267" s="54">
        <f>R2267*W2267</f>
        <v>39.9</v>
      </c>
      <c r="Z2267" s="52">
        <f>S2267*W2267</f>
        <v>35.625</v>
      </c>
      <c r="AA2267" s="52">
        <f>T2267*W2267</f>
        <v>4.2749999999999995</v>
      </c>
      <c r="AB2267" s="52">
        <f>V2267*W2267</f>
        <v>0</v>
      </c>
      <c r="AC2267" s="53">
        <f>(R2267+V2267)*W2267</f>
        <v>39.9</v>
      </c>
      <c r="AD2267" s="138">
        <v>39.9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109</v>
      </c>
      <c r="F2268" s="96" t="s">
        <v>111</v>
      </c>
      <c r="G2268" s="97">
        <v>46132</v>
      </c>
      <c r="H2268" s="98">
        <v>0.5878587962962963</v>
      </c>
      <c r="I2268" s="50">
        <v>169002640</v>
      </c>
      <c r="J2268" s="96" t="s">
        <v>157</v>
      </c>
      <c r="K2268" s="49" t="s">
        <v>3267</v>
      </c>
      <c r="L2268" s="39" t="s">
        <v>3268</v>
      </c>
      <c r="M2268" s="49" t="s">
        <v>268</v>
      </c>
      <c r="N2268" s="39" t="s">
        <v>513</v>
      </c>
      <c r="O2268" s="96" t="s">
        <v>3269</v>
      </c>
      <c r="P2268" s="49" t="s">
        <v>157</v>
      </c>
      <c r="Q2268" s="96" t="s">
        <v>104</v>
      </c>
      <c r="R2268" s="52">
        <v>36.9</v>
      </c>
      <c r="S2268" s="52">
        <f>R2268-T2268</f>
        <v>32.94642857142857</v>
      </c>
      <c r="T2268" s="52">
        <f>R2268*U2268/(U2268+100)</f>
        <v>3.9535714285714283</v>
      </c>
      <c r="U2268" s="50">
        <v>12</v>
      </c>
      <c r="V2268" s="53">
        <v>0</v>
      </c>
      <c r="W2268" s="147">
        <v>1</v>
      </c>
      <c r="X2268" s="148" t="s">
        <v>163</v>
      </c>
      <c r="Y2268" s="54">
        <f>R2268*W2268</f>
        <v>36.9</v>
      </c>
      <c r="Z2268" s="52">
        <f>S2268*W2268</f>
        <v>32.94642857142857</v>
      </c>
      <c r="AA2268" s="52">
        <f>T2268*W2268</f>
        <v>3.9535714285714283</v>
      </c>
      <c r="AB2268" s="52">
        <f>V2268*W2268</f>
        <v>0</v>
      </c>
      <c r="AC2268" s="53">
        <f>(R2268+V2268)*W2268</f>
        <v>36.9</v>
      </c>
      <c r="AD2268" s="138">
        <v>36.9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109</v>
      </c>
      <c r="F2269" s="96" t="s">
        <v>111</v>
      </c>
      <c r="G2269" s="97">
        <v>46132</v>
      </c>
      <c r="H2269" s="98">
        <v>0.5878587962962963</v>
      </c>
      <c r="I2269" s="50">
        <v>169002640</v>
      </c>
      <c r="J2269" s="96" t="s">
        <v>157</v>
      </c>
      <c r="K2269" s="49" t="s">
        <v>266</v>
      </c>
      <c r="L2269" s="39" t="s">
        <v>267</v>
      </c>
      <c r="M2269" s="49" t="s">
        <v>268</v>
      </c>
      <c r="N2269" s="39" t="s">
        <v>269</v>
      </c>
      <c r="O2269" s="96" t="s">
        <v>1249</v>
      </c>
      <c r="P2269" s="49" t="s">
        <v>235</v>
      </c>
      <c r="Q2269" s="96" t="s">
        <v>236</v>
      </c>
      <c r="R2269" s="52">
        <v>11.9</v>
      </c>
      <c r="S2269" s="52">
        <f>R2269-T2269</f>
        <v>10.625</v>
      </c>
      <c r="T2269" s="52">
        <f>R2269*U2269/(U2269+100)</f>
        <v>1.2750000000000001</v>
      </c>
      <c r="U2269" s="50">
        <v>12</v>
      </c>
      <c r="V2269" s="53">
        <v>0</v>
      </c>
      <c r="W2269" s="147">
        <v>2</v>
      </c>
      <c r="X2269" s="148" t="s">
        <v>163</v>
      </c>
      <c r="Y2269" s="54">
        <f>R2269*W2269</f>
        <v>23.8</v>
      </c>
      <c r="Z2269" s="52">
        <f>S2269*W2269</f>
        <v>21.25</v>
      </c>
      <c r="AA2269" s="52">
        <f>T2269*W2269</f>
        <v>2.5500000000000003</v>
      </c>
      <c r="AB2269" s="52">
        <f>V2269*W2269</f>
        <v>0</v>
      </c>
      <c r="AC2269" s="53">
        <f>(R2269+V2269)*W2269</f>
        <v>23.8</v>
      </c>
      <c r="AD2269" s="138">
        <v>11.9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109</v>
      </c>
      <c r="F2270" s="96" t="s">
        <v>111</v>
      </c>
      <c r="G2270" s="97">
        <v>46132</v>
      </c>
      <c r="H2270" s="98">
        <v>0.5878587962962963</v>
      </c>
      <c r="I2270" s="50">
        <v>169002640</v>
      </c>
      <c r="J2270" s="96" t="s">
        <v>157</v>
      </c>
      <c r="K2270" s="49" t="s">
        <v>293</v>
      </c>
      <c r="L2270" s="39" t="s">
        <v>294</v>
      </c>
      <c r="M2270" s="49" t="s">
        <v>295</v>
      </c>
      <c r="N2270" s="39" t="s">
        <v>296</v>
      </c>
      <c r="O2270" s="96" t="s">
        <v>297</v>
      </c>
      <c r="P2270" s="49" t="s">
        <v>157</v>
      </c>
      <c r="Q2270" s="96" t="s">
        <v>104</v>
      </c>
      <c r="R2270" s="52">
        <v>2.9</v>
      </c>
      <c r="S2270" s="52">
        <f>R2270-T2270</f>
        <v>2.5892857142857144</v>
      </c>
      <c r="T2270" s="52">
        <f>R2270*U2270/(U2270+100)</f>
        <v>0.31071428571428567</v>
      </c>
      <c r="U2270" s="50">
        <v>12</v>
      </c>
      <c r="V2270" s="53">
        <v>0</v>
      </c>
      <c r="W2270" s="147">
        <v>4</v>
      </c>
      <c r="X2270" s="148" t="s">
        <v>163</v>
      </c>
      <c r="Y2270" s="54">
        <f>R2270*W2270</f>
        <v>11.6</v>
      </c>
      <c r="Z2270" s="52">
        <f>S2270*W2270</f>
        <v>10.357142857142858</v>
      </c>
      <c r="AA2270" s="52">
        <f>T2270*W2270</f>
        <v>1.2428571428571427</v>
      </c>
      <c r="AB2270" s="52">
        <f>V2270*W2270</f>
        <v>0</v>
      </c>
      <c r="AC2270" s="53">
        <f>(R2270+V2270)*W2270</f>
        <v>11.6</v>
      </c>
      <c r="AD2270" s="138">
        <v>2.9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109</v>
      </c>
      <c r="F2271" s="96" t="s">
        <v>111</v>
      </c>
      <c r="G2271" s="97">
        <v>46132</v>
      </c>
      <c r="H2271" s="98">
        <v>0.5879745370370371</v>
      </c>
      <c r="I2271" s="50">
        <v>169002641</v>
      </c>
      <c r="J2271" s="96" t="s">
        <v>157</v>
      </c>
      <c r="K2271" s="49" t="s">
        <v>3270</v>
      </c>
      <c r="L2271" s="39" t="s">
        <v>3271</v>
      </c>
      <c r="M2271" s="49" t="s">
        <v>429</v>
      </c>
      <c r="N2271" s="39" t="s">
        <v>1178</v>
      </c>
      <c r="O2271" s="96" t="s">
        <v>3272</v>
      </c>
      <c r="P2271" s="49" t="s">
        <v>157</v>
      </c>
      <c r="Q2271" s="96" t="s">
        <v>104</v>
      </c>
      <c r="R2271" s="52">
        <v>69.9</v>
      </c>
      <c r="S2271" s="52">
        <f>R2271-T2271</f>
        <v>62.41071428571429</v>
      </c>
      <c r="T2271" s="52">
        <f>R2271*U2271/(U2271+100)</f>
        <v>7.489285714285715</v>
      </c>
      <c r="U2271" s="50">
        <v>12</v>
      </c>
      <c r="V2271" s="53">
        <v>0</v>
      </c>
      <c r="W2271" s="147">
        <v>1</v>
      </c>
      <c r="X2271" s="148" t="s">
        <v>163</v>
      </c>
      <c r="Y2271" s="54">
        <f>R2271*W2271</f>
        <v>69.9</v>
      </c>
      <c r="Z2271" s="52">
        <f>S2271*W2271</f>
        <v>62.41071428571429</v>
      </c>
      <c r="AA2271" s="52">
        <f>T2271*W2271</f>
        <v>7.489285714285715</v>
      </c>
      <c r="AB2271" s="52">
        <f>V2271*W2271</f>
        <v>0</v>
      </c>
      <c r="AC2271" s="53">
        <f>(R2271+V2271)*W2271</f>
        <v>69.9</v>
      </c>
      <c r="AD2271" s="138">
        <v>69.9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109</v>
      </c>
      <c r="F2272" s="96" t="s">
        <v>111</v>
      </c>
      <c r="G2272" s="97">
        <v>46132</v>
      </c>
      <c r="H2272" s="98">
        <v>0.58875</v>
      </c>
      <c r="I2272" s="50">
        <v>169002642</v>
      </c>
      <c r="J2272" s="96" t="s">
        <v>157</v>
      </c>
      <c r="K2272" s="49" t="s">
        <v>303</v>
      </c>
      <c r="L2272" s="39" t="s">
        <v>304</v>
      </c>
      <c r="M2272" s="49" t="s">
        <v>214</v>
      </c>
      <c r="N2272" s="39" t="s">
        <v>296</v>
      </c>
      <c r="O2272" s="96" t="s">
        <v>305</v>
      </c>
      <c r="P2272" s="49" t="s">
        <v>157</v>
      </c>
      <c r="Q2272" s="96" t="s">
        <v>104</v>
      </c>
      <c r="R2272" s="52">
        <v>11.9</v>
      </c>
      <c r="S2272" s="52">
        <f>R2272-T2272</f>
        <v>10.625</v>
      </c>
      <c r="T2272" s="52">
        <f>R2272*U2272/(U2272+100)</f>
        <v>1.2750000000000001</v>
      </c>
      <c r="U2272" s="50">
        <v>12</v>
      </c>
      <c r="V2272" s="53">
        <v>0</v>
      </c>
      <c r="W2272" s="147">
        <v>6</v>
      </c>
      <c r="X2272" s="148" t="s">
        <v>163</v>
      </c>
      <c r="Y2272" s="54">
        <f>R2272*W2272</f>
        <v>71.4</v>
      </c>
      <c r="Z2272" s="52">
        <f>S2272*W2272</f>
        <v>63.75</v>
      </c>
      <c r="AA2272" s="52">
        <f>T2272*W2272</f>
        <v>7.65</v>
      </c>
      <c r="AB2272" s="52">
        <f>V2272*W2272</f>
        <v>0</v>
      </c>
      <c r="AC2272" s="53">
        <f>(R2272+V2272)*W2272</f>
        <v>71.4</v>
      </c>
      <c r="AD2272" s="138">
        <v>11.9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109</v>
      </c>
      <c r="F2273" s="96" t="s">
        <v>111</v>
      </c>
      <c r="G2273" s="97">
        <v>46132</v>
      </c>
      <c r="H2273" s="98">
        <v>0.5894907407407407</v>
      </c>
      <c r="I2273" s="50">
        <v>169002643</v>
      </c>
      <c r="J2273" s="96" t="s">
        <v>157</v>
      </c>
      <c r="K2273" s="49" t="s">
        <v>1555</v>
      </c>
      <c r="L2273" s="39" t="s">
        <v>1556</v>
      </c>
      <c r="M2273" s="49" t="s">
        <v>425</v>
      </c>
      <c r="N2273" s="39" t="s">
        <v>197</v>
      </c>
      <c r="O2273" s="96" t="s">
        <v>1557</v>
      </c>
      <c r="P2273" s="49" t="s">
        <v>235</v>
      </c>
      <c r="Q2273" s="96" t="s">
        <v>236</v>
      </c>
      <c r="R2273" s="52">
        <v>5.9</v>
      </c>
      <c r="S2273" s="52">
        <f>R2273-T2273</f>
        <v>5.267857142857143</v>
      </c>
      <c r="T2273" s="52">
        <f>R2273*U2273/(U2273+100)</f>
        <v>0.6321428571428572</v>
      </c>
      <c r="U2273" s="50">
        <v>12</v>
      </c>
      <c r="V2273" s="53">
        <v>0</v>
      </c>
      <c r="W2273" s="147">
        <v>1</v>
      </c>
      <c r="X2273" s="148" t="s">
        <v>163</v>
      </c>
      <c r="Y2273" s="54">
        <f>R2273*W2273</f>
        <v>5.9</v>
      </c>
      <c r="Z2273" s="52">
        <f>S2273*W2273</f>
        <v>5.267857142857143</v>
      </c>
      <c r="AA2273" s="52">
        <f>T2273*W2273</f>
        <v>0.6321428571428572</v>
      </c>
      <c r="AB2273" s="52">
        <f>V2273*W2273</f>
        <v>0</v>
      </c>
      <c r="AC2273" s="53">
        <f>(R2273+V2273)*W2273</f>
        <v>5.9</v>
      </c>
      <c r="AD2273" s="138">
        <v>5.9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109</v>
      </c>
      <c r="F2274" s="96" t="s">
        <v>111</v>
      </c>
      <c r="G2274" s="97">
        <v>46132</v>
      </c>
      <c r="H2274" s="98">
        <v>0.5894907407407407</v>
      </c>
      <c r="I2274" s="50">
        <v>169002643</v>
      </c>
      <c r="J2274" s="96" t="s">
        <v>157</v>
      </c>
      <c r="K2274" s="49" t="s">
        <v>1555</v>
      </c>
      <c r="L2274" s="39" t="s">
        <v>1556</v>
      </c>
      <c r="M2274" s="49" t="s">
        <v>425</v>
      </c>
      <c r="N2274" s="39" t="s">
        <v>197</v>
      </c>
      <c r="O2274" s="96" t="s">
        <v>1557</v>
      </c>
      <c r="P2274" s="49" t="s">
        <v>235</v>
      </c>
      <c r="Q2274" s="96" t="s">
        <v>236</v>
      </c>
      <c r="R2274" s="52">
        <v>5.9</v>
      </c>
      <c r="S2274" s="52">
        <f>R2274-T2274</f>
        <v>5.267857142857143</v>
      </c>
      <c r="T2274" s="52">
        <f>R2274*U2274/(U2274+100)</f>
        <v>0.6321428571428572</v>
      </c>
      <c r="U2274" s="50">
        <v>12</v>
      </c>
      <c r="V2274" s="53">
        <v>0</v>
      </c>
      <c r="W2274" s="147">
        <v>1</v>
      </c>
      <c r="X2274" s="148" t="s">
        <v>163</v>
      </c>
      <c r="Y2274" s="54">
        <f>R2274*W2274</f>
        <v>5.9</v>
      </c>
      <c r="Z2274" s="52">
        <f>S2274*W2274</f>
        <v>5.267857142857143</v>
      </c>
      <c r="AA2274" s="52">
        <f>T2274*W2274</f>
        <v>0.6321428571428572</v>
      </c>
      <c r="AB2274" s="52">
        <f>V2274*W2274</f>
        <v>0</v>
      </c>
      <c r="AC2274" s="53">
        <f>(R2274+V2274)*W2274</f>
        <v>5.9</v>
      </c>
      <c r="AD2274" s="138">
        <v>5.9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109</v>
      </c>
      <c r="F2275" s="96" t="s">
        <v>111</v>
      </c>
      <c r="G2275" s="97">
        <v>46132</v>
      </c>
      <c r="H2275" s="98">
        <v>0.5894907407407407</v>
      </c>
      <c r="I2275" s="50">
        <v>169002643</v>
      </c>
      <c r="J2275" s="96" t="s">
        <v>157</v>
      </c>
      <c r="K2275" s="49" t="s">
        <v>3273</v>
      </c>
      <c r="L2275" s="39" t="s">
        <v>3274</v>
      </c>
      <c r="M2275" s="49" t="s">
        <v>243</v>
      </c>
      <c r="N2275" s="39" t="s">
        <v>244</v>
      </c>
      <c r="O2275" s="96" t="s">
        <v>3275</v>
      </c>
      <c r="P2275" s="49" t="s">
        <v>157</v>
      </c>
      <c r="Q2275" s="96" t="s">
        <v>104</v>
      </c>
      <c r="R2275" s="52">
        <v>27.9</v>
      </c>
      <c r="S2275" s="52">
        <f>R2275-T2275</f>
        <v>24.910714285714285</v>
      </c>
      <c r="T2275" s="52">
        <f>R2275*U2275/(U2275+100)</f>
        <v>2.989285714285714</v>
      </c>
      <c r="U2275" s="50">
        <v>12</v>
      </c>
      <c r="V2275" s="53">
        <v>0</v>
      </c>
      <c r="W2275" s="147">
        <v>1</v>
      </c>
      <c r="X2275" s="148" t="s">
        <v>163</v>
      </c>
      <c r="Y2275" s="54">
        <f>R2275*W2275</f>
        <v>27.9</v>
      </c>
      <c r="Z2275" s="52">
        <f>S2275*W2275</f>
        <v>24.910714285714285</v>
      </c>
      <c r="AA2275" s="52">
        <f>T2275*W2275</f>
        <v>2.989285714285714</v>
      </c>
      <c r="AB2275" s="52">
        <f>V2275*W2275</f>
        <v>0</v>
      </c>
      <c r="AC2275" s="53">
        <f>(R2275+V2275)*W2275</f>
        <v>27.9</v>
      </c>
      <c r="AD2275" s="138">
        <v>27.9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109</v>
      </c>
      <c r="F2276" s="96" t="s">
        <v>111</v>
      </c>
      <c r="G2276" s="97">
        <v>46132</v>
      </c>
      <c r="H2276" s="98">
        <v>0.5894907407407407</v>
      </c>
      <c r="I2276" s="50">
        <v>169002643</v>
      </c>
      <c r="J2276" s="96" t="s">
        <v>157</v>
      </c>
      <c r="K2276" s="49" t="s">
        <v>1835</v>
      </c>
      <c r="L2276" s="39" t="s">
        <v>1836</v>
      </c>
      <c r="M2276" s="49" t="s">
        <v>429</v>
      </c>
      <c r="N2276" s="39" t="s">
        <v>239</v>
      </c>
      <c r="O2276" s="96" t="s">
        <v>1837</v>
      </c>
      <c r="P2276" s="49" t="s">
        <v>157</v>
      </c>
      <c r="Q2276" s="96" t="s">
        <v>104</v>
      </c>
      <c r="R2276" s="52">
        <v>39.9</v>
      </c>
      <c r="S2276" s="52">
        <f>R2276-T2276</f>
        <v>35.625</v>
      </c>
      <c r="T2276" s="52">
        <f>R2276*U2276/(U2276+100)</f>
        <v>4.2749999999999995</v>
      </c>
      <c r="U2276" s="50">
        <v>12</v>
      </c>
      <c r="V2276" s="53">
        <v>0</v>
      </c>
      <c r="W2276" s="147">
        <v>1</v>
      </c>
      <c r="X2276" s="148" t="s">
        <v>163</v>
      </c>
      <c r="Y2276" s="54">
        <f>R2276*W2276</f>
        <v>39.9</v>
      </c>
      <c r="Z2276" s="52">
        <f>S2276*W2276</f>
        <v>35.625</v>
      </c>
      <c r="AA2276" s="52">
        <f>T2276*W2276</f>
        <v>4.2749999999999995</v>
      </c>
      <c r="AB2276" s="52">
        <f>V2276*W2276</f>
        <v>0</v>
      </c>
      <c r="AC2276" s="53">
        <f>(R2276+V2276)*W2276</f>
        <v>39.9</v>
      </c>
      <c r="AD2276" s="138">
        <v>39.9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109</v>
      </c>
      <c r="F2277" s="96" t="s">
        <v>111</v>
      </c>
      <c r="G2277" s="97">
        <v>46132</v>
      </c>
      <c r="H2277" s="98">
        <v>0.5894907407407407</v>
      </c>
      <c r="I2277" s="50">
        <v>169002643</v>
      </c>
      <c r="J2277" s="96" t="s">
        <v>157</v>
      </c>
      <c r="K2277" s="49" t="s">
        <v>3108</v>
      </c>
      <c r="L2277" s="39" t="s">
        <v>3109</v>
      </c>
      <c r="M2277" s="49" t="s">
        <v>171</v>
      </c>
      <c r="N2277" s="39" t="s">
        <v>404</v>
      </c>
      <c r="O2277" s="96" t="s">
        <v>3110</v>
      </c>
      <c r="P2277" s="49" t="s">
        <v>157</v>
      </c>
      <c r="Q2277" s="96" t="s">
        <v>104</v>
      </c>
      <c r="R2277" s="52">
        <v>19.9</v>
      </c>
      <c r="S2277" s="52">
        <f>R2277-T2277</f>
        <v>17.767857142857142</v>
      </c>
      <c r="T2277" s="52">
        <f>R2277*U2277/(U2277+100)</f>
        <v>2.132142857142857</v>
      </c>
      <c r="U2277" s="50">
        <v>12</v>
      </c>
      <c r="V2277" s="53">
        <v>0</v>
      </c>
      <c r="W2277" s="147">
        <v>1</v>
      </c>
      <c r="X2277" s="148" t="s">
        <v>163</v>
      </c>
      <c r="Y2277" s="54">
        <f>R2277*W2277</f>
        <v>19.9</v>
      </c>
      <c r="Z2277" s="52">
        <f>S2277*W2277</f>
        <v>17.767857142857142</v>
      </c>
      <c r="AA2277" s="52">
        <f>T2277*W2277</f>
        <v>2.132142857142857</v>
      </c>
      <c r="AB2277" s="52">
        <f>V2277*W2277</f>
        <v>0</v>
      </c>
      <c r="AC2277" s="53">
        <f>(R2277+V2277)*W2277</f>
        <v>19.9</v>
      </c>
      <c r="AD2277" s="138">
        <v>19.9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109</v>
      </c>
      <c r="F2278" s="96" t="s">
        <v>111</v>
      </c>
      <c r="G2278" s="97">
        <v>46132</v>
      </c>
      <c r="H2278" s="98">
        <v>0.5894907407407407</v>
      </c>
      <c r="I2278" s="50">
        <v>169002643</v>
      </c>
      <c r="J2278" s="96" t="s">
        <v>157</v>
      </c>
      <c r="K2278" s="49" t="s">
        <v>1852</v>
      </c>
      <c r="L2278" s="39" t="s">
        <v>1853</v>
      </c>
      <c r="M2278" s="49" t="s">
        <v>232</v>
      </c>
      <c r="N2278" s="39" t="s">
        <v>233</v>
      </c>
      <c r="O2278" s="96" t="s">
        <v>1854</v>
      </c>
      <c r="P2278" s="49" t="s">
        <v>157</v>
      </c>
      <c r="Q2278" s="96" t="s">
        <v>104</v>
      </c>
      <c r="R2278" s="52">
        <v>22.9</v>
      </c>
      <c r="S2278" s="52">
        <f>R2278-T2278</f>
        <v>18.925619834710744</v>
      </c>
      <c r="T2278" s="52">
        <f>R2278*U2278/(U2278+100)</f>
        <v>3.974380165289256</v>
      </c>
      <c r="U2278" s="50">
        <v>21</v>
      </c>
      <c r="V2278" s="53">
        <v>0</v>
      </c>
      <c r="W2278" s="147">
        <v>1</v>
      </c>
      <c r="X2278" s="148" t="s">
        <v>163</v>
      </c>
      <c r="Y2278" s="54">
        <f>R2278*W2278</f>
        <v>22.9</v>
      </c>
      <c r="Z2278" s="52">
        <f>S2278*W2278</f>
        <v>18.925619834710744</v>
      </c>
      <c r="AA2278" s="52">
        <f>T2278*W2278</f>
        <v>3.974380165289256</v>
      </c>
      <c r="AB2278" s="52">
        <f>V2278*W2278</f>
        <v>0</v>
      </c>
      <c r="AC2278" s="53">
        <f>(R2278+V2278)*W2278</f>
        <v>22.9</v>
      </c>
      <c r="AD2278" s="138">
        <v>22.9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109</v>
      </c>
      <c r="F2279" s="96" t="s">
        <v>111</v>
      </c>
      <c r="G2279" s="97">
        <v>46132</v>
      </c>
      <c r="H2279" s="98">
        <v>0.5894907407407407</v>
      </c>
      <c r="I2279" s="50">
        <v>169002643</v>
      </c>
      <c r="J2279" s="96" t="s">
        <v>157</v>
      </c>
      <c r="K2279" s="49" t="s">
        <v>3276</v>
      </c>
      <c r="L2279" s="39" t="s">
        <v>3277</v>
      </c>
      <c r="M2279" s="49" t="s">
        <v>2371</v>
      </c>
      <c r="N2279" s="39" t="s">
        <v>653</v>
      </c>
      <c r="O2279" s="96" t="s">
        <v>3278</v>
      </c>
      <c r="P2279" s="49" t="s">
        <v>157</v>
      </c>
      <c r="Q2279" s="96" t="s">
        <v>104</v>
      </c>
      <c r="R2279" s="52">
        <v>39.9</v>
      </c>
      <c r="S2279" s="52">
        <f>R2279-T2279</f>
        <v>32.97520661157024</v>
      </c>
      <c r="T2279" s="52">
        <f>R2279*U2279/(U2279+100)</f>
        <v>6.924793388429752</v>
      </c>
      <c r="U2279" s="50">
        <v>21</v>
      </c>
      <c r="V2279" s="53">
        <v>0</v>
      </c>
      <c r="W2279" s="147">
        <v>1</v>
      </c>
      <c r="X2279" s="148" t="s">
        <v>163</v>
      </c>
      <c r="Y2279" s="54">
        <f>R2279*W2279</f>
        <v>39.9</v>
      </c>
      <c r="Z2279" s="52">
        <f>S2279*W2279</f>
        <v>32.97520661157024</v>
      </c>
      <c r="AA2279" s="52">
        <f>T2279*W2279</f>
        <v>6.924793388429752</v>
      </c>
      <c r="AB2279" s="52">
        <f>V2279*W2279</f>
        <v>0</v>
      </c>
      <c r="AC2279" s="53">
        <f>(R2279+V2279)*W2279</f>
        <v>39.9</v>
      </c>
      <c r="AD2279" s="138">
        <v>39.9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109</v>
      </c>
      <c r="F2280" s="96" t="s">
        <v>111</v>
      </c>
      <c r="G2280" s="97">
        <v>46132</v>
      </c>
      <c r="H2280" s="98">
        <v>0.5894907407407407</v>
      </c>
      <c r="I2280" s="50">
        <v>169002643</v>
      </c>
      <c r="J2280" s="96" t="s">
        <v>157</v>
      </c>
      <c r="K2280" s="49" t="s">
        <v>3279</v>
      </c>
      <c r="L2280" s="39" t="s">
        <v>3280</v>
      </c>
      <c r="M2280" s="49" t="s">
        <v>3281</v>
      </c>
      <c r="N2280" s="39" t="s">
        <v>653</v>
      </c>
      <c r="O2280" s="96" t="s">
        <v>3282</v>
      </c>
      <c r="P2280" s="49" t="s">
        <v>157</v>
      </c>
      <c r="Q2280" s="96" t="s">
        <v>104</v>
      </c>
      <c r="R2280" s="52">
        <v>47.9</v>
      </c>
      <c r="S2280" s="52">
        <f>R2280-T2280</f>
        <v>39.58677685950413</v>
      </c>
      <c r="T2280" s="52">
        <f>R2280*U2280/(U2280+100)</f>
        <v>8.313223140495868</v>
      </c>
      <c r="U2280" s="50">
        <v>21</v>
      </c>
      <c r="V2280" s="53">
        <v>0</v>
      </c>
      <c r="W2280" s="147">
        <v>1</v>
      </c>
      <c r="X2280" s="148" t="s">
        <v>163</v>
      </c>
      <c r="Y2280" s="54">
        <f>R2280*W2280</f>
        <v>47.9</v>
      </c>
      <c r="Z2280" s="52">
        <f>S2280*W2280</f>
        <v>39.58677685950413</v>
      </c>
      <c r="AA2280" s="52">
        <f>T2280*W2280</f>
        <v>8.313223140495868</v>
      </c>
      <c r="AB2280" s="52">
        <f>V2280*W2280</f>
        <v>0</v>
      </c>
      <c r="AC2280" s="53">
        <f>(R2280+V2280)*W2280</f>
        <v>47.9</v>
      </c>
      <c r="AD2280" s="138">
        <v>47.9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109</v>
      </c>
      <c r="F2281" s="96" t="s">
        <v>111</v>
      </c>
      <c r="G2281" s="97">
        <v>46132</v>
      </c>
      <c r="H2281" s="98">
        <v>0.5894907407407407</v>
      </c>
      <c r="I2281" s="50">
        <v>169002643</v>
      </c>
      <c r="J2281" s="96" t="s">
        <v>157</v>
      </c>
      <c r="K2281" s="49" t="s">
        <v>266</v>
      </c>
      <c r="L2281" s="39" t="s">
        <v>267</v>
      </c>
      <c r="M2281" s="49" t="s">
        <v>268</v>
      </c>
      <c r="N2281" s="39" t="s">
        <v>269</v>
      </c>
      <c r="O2281" s="96" t="s">
        <v>1249</v>
      </c>
      <c r="P2281" s="49" t="s">
        <v>235</v>
      </c>
      <c r="Q2281" s="96" t="s">
        <v>236</v>
      </c>
      <c r="R2281" s="52">
        <v>11.9</v>
      </c>
      <c r="S2281" s="52">
        <f>R2281-T2281</f>
        <v>10.625</v>
      </c>
      <c r="T2281" s="52">
        <f>R2281*U2281/(U2281+100)</f>
        <v>1.2750000000000001</v>
      </c>
      <c r="U2281" s="50">
        <v>12</v>
      </c>
      <c r="V2281" s="53">
        <v>0</v>
      </c>
      <c r="W2281" s="147">
        <v>1</v>
      </c>
      <c r="X2281" s="148" t="s">
        <v>163</v>
      </c>
      <c r="Y2281" s="54">
        <f>R2281*W2281</f>
        <v>11.9</v>
      </c>
      <c r="Z2281" s="52">
        <f>S2281*W2281</f>
        <v>10.625</v>
      </c>
      <c r="AA2281" s="52">
        <f>T2281*W2281</f>
        <v>1.2750000000000001</v>
      </c>
      <c r="AB2281" s="52">
        <f>V2281*W2281</f>
        <v>0</v>
      </c>
      <c r="AC2281" s="53">
        <f>(R2281+V2281)*W2281</f>
        <v>11.9</v>
      </c>
      <c r="AD2281" s="138">
        <v>11.9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109</v>
      </c>
      <c r="F2282" s="96" t="s">
        <v>111</v>
      </c>
      <c r="G2282" s="97">
        <v>46132</v>
      </c>
      <c r="H2282" s="98">
        <v>0.5894907407407407</v>
      </c>
      <c r="I2282" s="50">
        <v>169002643</v>
      </c>
      <c r="J2282" s="96" t="s">
        <v>157</v>
      </c>
      <c r="K2282" s="49" t="s">
        <v>303</v>
      </c>
      <c r="L2282" s="39" t="s">
        <v>304</v>
      </c>
      <c r="M2282" s="49" t="s">
        <v>214</v>
      </c>
      <c r="N2282" s="39" t="s">
        <v>296</v>
      </c>
      <c r="O2282" s="96" t="s">
        <v>305</v>
      </c>
      <c r="P2282" s="49" t="s">
        <v>157</v>
      </c>
      <c r="Q2282" s="96" t="s">
        <v>104</v>
      </c>
      <c r="R2282" s="52">
        <v>11.9</v>
      </c>
      <c r="S2282" s="52">
        <f>R2282-T2282</f>
        <v>10.625</v>
      </c>
      <c r="T2282" s="52">
        <f>R2282*U2282/(U2282+100)</f>
        <v>1.2750000000000001</v>
      </c>
      <c r="U2282" s="50">
        <v>12</v>
      </c>
      <c r="V2282" s="53">
        <v>0</v>
      </c>
      <c r="W2282" s="147">
        <v>2</v>
      </c>
      <c r="X2282" s="148" t="s">
        <v>163</v>
      </c>
      <c r="Y2282" s="54">
        <f>R2282*W2282</f>
        <v>23.8</v>
      </c>
      <c r="Z2282" s="52">
        <f>S2282*W2282</f>
        <v>21.25</v>
      </c>
      <c r="AA2282" s="52">
        <f>T2282*W2282</f>
        <v>2.5500000000000003</v>
      </c>
      <c r="AB2282" s="52">
        <f>V2282*W2282</f>
        <v>0</v>
      </c>
      <c r="AC2282" s="53">
        <f>(R2282+V2282)*W2282</f>
        <v>23.8</v>
      </c>
      <c r="AD2282" s="138">
        <v>11.9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109</v>
      </c>
      <c r="F2283" s="96" t="s">
        <v>111</v>
      </c>
      <c r="G2283" s="97">
        <v>46132</v>
      </c>
      <c r="H2283" s="98">
        <v>0.5894907407407407</v>
      </c>
      <c r="I2283" s="50">
        <v>169002643</v>
      </c>
      <c r="J2283" s="96" t="s">
        <v>157</v>
      </c>
      <c r="K2283" s="49" t="s">
        <v>390</v>
      </c>
      <c r="L2283" s="39" t="s">
        <v>391</v>
      </c>
      <c r="M2283" s="49" t="s">
        <v>214</v>
      </c>
      <c r="N2283" s="39" t="s">
        <v>273</v>
      </c>
      <c r="O2283" s="96" t="s">
        <v>1110</v>
      </c>
      <c r="P2283" s="49" t="s">
        <v>157</v>
      </c>
      <c r="Q2283" s="96" t="s">
        <v>104</v>
      </c>
      <c r="R2283" s="52">
        <v>15.9</v>
      </c>
      <c r="S2283" s="52">
        <f>R2283-T2283</f>
        <v>14.196428571428571</v>
      </c>
      <c r="T2283" s="52">
        <f>R2283*U2283/(U2283+100)</f>
        <v>1.7035714285714287</v>
      </c>
      <c r="U2283" s="50">
        <v>12</v>
      </c>
      <c r="V2283" s="53">
        <v>0</v>
      </c>
      <c r="W2283" s="147">
        <v>1</v>
      </c>
      <c r="X2283" s="148" t="s">
        <v>163</v>
      </c>
      <c r="Y2283" s="54">
        <f>R2283*W2283</f>
        <v>15.9</v>
      </c>
      <c r="Z2283" s="52">
        <f>S2283*W2283</f>
        <v>14.196428571428571</v>
      </c>
      <c r="AA2283" s="52">
        <f>T2283*W2283</f>
        <v>1.7035714285714287</v>
      </c>
      <c r="AB2283" s="52">
        <f>V2283*W2283</f>
        <v>0</v>
      </c>
      <c r="AC2283" s="53">
        <f>(R2283+V2283)*W2283</f>
        <v>15.9</v>
      </c>
      <c r="AD2283" s="138">
        <v>15.9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109</v>
      </c>
      <c r="F2284" s="96" t="s">
        <v>111</v>
      </c>
      <c r="G2284" s="97">
        <v>46132</v>
      </c>
      <c r="H2284" s="98">
        <v>0.5894907407407407</v>
      </c>
      <c r="I2284" s="50">
        <v>169002643</v>
      </c>
      <c r="J2284" s="96" t="s">
        <v>157</v>
      </c>
      <c r="K2284" s="49" t="s">
        <v>517</v>
      </c>
      <c r="L2284" s="39" t="s">
        <v>518</v>
      </c>
      <c r="M2284" s="49" t="s">
        <v>214</v>
      </c>
      <c r="N2284" s="39" t="s">
        <v>273</v>
      </c>
      <c r="O2284" s="96" t="s">
        <v>1111</v>
      </c>
      <c r="P2284" s="49" t="s">
        <v>157</v>
      </c>
      <c r="Q2284" s="96" t="s">
        <v>104</v>
      </c>
      <c r="R2284" s="52">
        <v>15.9</v>
      </c>
      <c r="S2284" s="52">
        <f>R2284-T2284</f>
        <v>14.196428571428571</v>
      </c>
      <c r="T2284" s="52">
        <f>R2284*U2284/(U2284+100)</f>
        <v>1.7035714285714287</v>
      </c>
      <c r="U2284" s="50">
        <v>12</v>
      </c>
      <c r="V2284" s="53">
        <v>0</v>
      </c>
      <c r="W2284" s="147">
        <v>1</v>
      </c>
      <c r="X2284" s="148" t="s">
        <v>163</v>
      </c>
      <c r="Y2284" s="54">
        <f>R2284*W2284</f>
        <v>15.9</v>
      </c>
      <c r="Z2284" s="52">
        <f>S2284*W2284</f>
        <v>14.196428571428571</v>
      </c>
      <c r="AA2284" s="52">
        <f>T2284*W2284</f>
        <v>1.7035714285714287</v>
      </c>
      <c r="AB2284" s="52">
        <f>V2284*W2284</f>
        <v>0</v>
      </c>
      <c r="AC2284" s="53">
        <f>(R2284+V2284)*W2284</f>
        <v>15.9</v>
      </c>
      <c r="AD2284" s="138">
        <v>15.9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109</v>
      </c>
      <c r="F2285" s="96" t="s">
        <v>111</v>
      </c>
      <c r="G2285" s="97">
        <v>46132</v>
      </c>
      <c r="H2285" s="98">
        <v>0.5894907407407407</v>
      </c>
      <c r="I2285" s="50">
        <v>169002643</v>
      </c>
      <c r="J2285" s="96" t="s">
        <v>157</v>
      </c>
      <c r="K2285" s="49" t="s">
        <v>553</v>
      </c>
      <c r="L2285" s="39" t="s">
        <v>104</v>
      </c>
      <c r="M2285" s="49" t="s">
        <v>554</v>
      </c>
      <c r="N2285" s="39" t="s">
        <v>296</v>
      </c>
      <c r="O2285" s="96" t="s">
        <v>555</v>
      </c>
      <c r="P2285" s="49" t="s">
        <v>157</v>
      </c>
      <c r="Q2285" s="96" t="s">
        <v>104</v>
      </c>
      <c r="R2285" s="52">
        <v>8.9</v>
      </c>
      <c r="S2285" s="52">
        <f>R2285-T2285</f>
        <v>7.946428571428572</v>
      </c>
      <c r="T2285" s="52">
        <f>R2285*U2285/(U2285+100)</f>
        <v>0.9535714285714286</v>
      </c>
      <c r="U2285" s="50">
        <v>12</v>
      </c>
      <c r="V2285" s="53">
        <v>0</v>
      </c>
      <c r="W2285" s="147">
        <v>1</v>
      </c>
      <c r="X2285" s="148" t="s">
        <v>163</v>
      </c>
      <c r="Y2285" s="54">
        <f>R2285*W2285</f>
        <v>8.9</v>
      </c>
      <c r="Z2285" s="52">
        <f>S2285*W2285</f>
        <v>7.946428571428572</v>
      </c>
      <c r="AA2285" s="52">
        <f>T2285*W2285</f>
        <v>0.9535714285714286</v>
      </c>
      <c r="AB2285" s="52">
        <f>V2285*W2285</f>
        <v>0</v>
      </c>
      <c r="AC2285" s="53">
        <f>(R2285+V2285)*W2285</f>
        <v>8.9</v>
      </c>
      <c r="AD2285" s="138">
        <v>8.9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109</v>
      </c>
      <c r="F2286" s="96" t="s">
        <v>111</v>
      </c>
      <c r="G2286" s="97">
        <v>46132</v>
      </c>
      <c r="H2286" s="98">
        <v>0.5909375</v>
      </c>
      <c r="I2286" s="50">
        <v>169002644</v>
      </c>
      <c r="J2286" s="96" t="s">
        <v>157</v>
      </c>
      <c r="K2286" s="49" t="s">
        <v>3283</v>
      </c>
      <c r="L2286" s="39" t="s">
        <v>3284</v>
      </c>
      <c r="M2286" s="49" t="s">
        <v>171</v>
      </c>
      <c r="N2286" s="39" t="s">
        <v>348</v>
      </c>
      <c r="O2286" s="96" t="s">
        <v>3285</v>
      </c>
      <c r="P2286" s="49" t="s">
        <v>157</v>
      </c>
      <c r="Q2286" s="96" t="s">
        <v>104</v>
      </c>
      <c r="R2286" s="52">
        <v>15.9</v>
      </c>
      <c r="S2286" s="52">
        <f>R2286-T2286</f>
        <v>14.196428571428571</v>
      </c>
      <c r="T2286" s="52">
        <f>R2286*U2286/(U2286+100)</f>
        <v>1.7035714285714287</v>
      </c>
      <c r="U2286" s="50">
        <v>12</v>
      </c>
      <c r="V2286" s="53">
        <v>0</v>
      </c>
      <c r="W2286" s="147">
        <v>1</v>
      </c>
      <c r="X2286" s="148" t="s">
        <v>163</v>
      </c>
      <c r="Y2286" s="54">
        <f>R2286*W2286</f>
        <v>15.9</v>
      </c>
      <c r="Z2286" s="52">
        <f>S2286*W2286</f>
        <v>14.196428571428571</v>
      </c>
      <c r="AA2286" s="52">
        <f>T2286*W2286</f>
        <v>1.7035714285714287</v>
      </c>
      <c r="AB2286" s="52">
        <f>V2286*W2286</f>
        <v>0</v>
      </c>
      <c r="AC2286" s="53">
        <f>(R2286+V2286)*W2286</f>
        <v>15.9</v>
      </c>
      <c r="AD2286" s="138">
        <v>15.9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109</v>
      </c>
      <c r="F2287" s="96" t="s">
        <v>111</v>
      </c>
      <c r="G2287" s="97">
        <v>46132</v>
      </c>
      <c r="H2287" s="98">
        <v>0.5913194444444444</v>
      </c>
      <c r="I2287" s="50">
        <v>169002645</v>
      </c>
      <c r="J2287" s="96" t="s">
        <v>157</v>
      </c>
      <c r="K2287" s="49" t="s">
        <v>2522</v>
      </c>
      <c r="L2287" s="39" t="s">
        <v>2523</v>
      </c>
      <c r="M2287" s="49" t="s">
        <v>219</v>
      </c>
      <c r="N2287" s="39" t="s">
        <v>641</v>
      </c>
      <c r="O2287" s="96" t="s">
        <v>2524</v>
      </c>
      <c r="P2287" s="49" t="s">
        <v>157</v>
      </c>
      <c r="Q2287" s="96" t="s">
        <v>104</v>
      </c>
      <c r="R2287" s="52">
        <v>35.9</v>
      </c>
      <c r="S2287" s="52">
        <f>R2287-T2287</f>
        <v>32.05357142857143</v>
      </c>
      <c r="T2287" s="52">
        <f>R2287*U2287/(U2287+100)</f>
        <v>3.846428571428571</v>
      </c>
      <c r="U2287" s="50">
        <v>12</v>
      </c>
      <c r="V2287" s="53">
        <v>0</v>
      </c>
      <c r="W2287" s="147">
        <v>1</v>
      </c>
      <c r="X2287" s="148" t="s">
        <v>163</v>
      </c>
      <c r="Y2287" s="54">
        <f>R2287*W2287</f>
        <v>35.9</v>
      </c>
      <c r="Z2287" s="52">
        <f>S2287*W2287</f>
        <v>32.05357142857143</v>
      </c>
      <c r="AA2287" s="52">
        <f>T2287*W2287</f>
        <v>3.846428571428571</v>
      </c>
      <c r="AB2287" s="52">
        <f>V2287*W2287</f>
        <v>0</v>
      </c>
      <c r="AC2287" s="53">
        <f>(R2287+V2287)*W2287</f>
        <v>35.9</v>
      </c>
      <c r="AD2287" s="138">
        <v>35.9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109</v>
      </c>
      <c r="F2288" s="96" t="s">
        <v>111</v>
      </c>
      <c r="G2288" s="97">
        <v>46132</v>
      </c>
      <c r="H2288" s="98">
        <v>0.5913194444444444</v>
      </c>
      <c r="I2288" s="50">
        <v>169002645</v>
      </c>
      <c r="J2288" s="96" t="s">
        <v>157</v>
      </c>
      <c r="K2288" s="49" t="s">
        <v>2522</v>
      </c>
      <c r="L2288" s="39" t="s">
        <v>2523</v>
      </c>
      <c r="M2288" s="49" t="s">
        <v>219</v>
      </c>
      <c r="N2288" s="39" t="s">
        <v>641</v>
      </c>
      <c r="O2288" s="96" t="s">
        <v>2524</v>
      </c>
      <c r="P2288" s="49" t="s">
        <v>157</v>
      </c>
      <c r="Q2288" s="96" t="s">
        <v>104</v>
      </c>
      <c r="R2288" s="52">
        <v>35.9</v>
      </c>
      <c r="S2288" s="52">
        <f>R2288-T2288</f>
        <v>32.05357142857143</v>
      </c>
      <c r="T2288" s="52">
        <f>R2288*U2288/(U2288+100)</f>
        <v>3.846428571428571</v>
      </c>
      <c r="U2288" s="50">
        <v>12</v>
      </c>
      <c r="V2288" s="53">
        <v>0</v>
      </c>
      <c r="W2288" s="147">
        <v>1</v>
      </c>
      <c r="X2288" s="148" t="s">
        <v>163</v>
      </c>
      <c r="Y2288" s="54">
        <f>R2288*W2288</f>
        <v>35.9</v>
      </c>
      <c r="Z2288" s="52">
        <f>S2288*W2288</f>
        <v>32.05357142857143</v>
      </c>
      <c r="AA2288" s="52">
        <f>T2288*W2288</f>
        <v>3.846428571428571</v>
      </c>
      <c r="AB2288" s="52">
        <f>V2288*W2288</f>
        <v>0</v>
      </c>
      <c r="AC2288" s="53">
        <f>(R2288+V2288)*W2288</f>
        <v>35.9</v>
      </c>
      <c r="AD2288" s="138">
        <v>35.9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109</v>
      </c>
      <c r="F2289" s="96" t="s">
        <v>111</v>
      </c>
      <c r="G2289" s="97">
        <v>46132</v>
      </c>
      <c r="H2289" s="98">
        <v>0.5913194444444444</v>
      </c>
      <c r="I2289" s="50">
        <v>169002645</v>
      </c>
      <c r="J2289" s="96" t="s">
        <v>157</v>
      </c>
      <c r="K2289" s="49" t="s">
        <v>2483</v>
      </c>
      <c r="L2289" s="39" t="s">
        <v>2484</v>
      </c>
      <c r="M2289" s="49" t="s">
        <v>219</v>
      </c>
      <c r="N2289" s="39" t="s">
        <v>244</v>
      </c>
      <c r="O2289" s="96" t="s">
        <v>2485</v>
      </c>
      <c r="P2289" s="49" t="s">
        <v>157</v>
      </c>
      <c r="Q2289" s="96" t="s">
        <v>104</v>
      </c>
      <c r="R2289" s="52">
        <v>35.9</v>
      </c>
      <c r="S2289" s="52">
        <f>R2289-T2289</f>
        <v>32.05357142857143</v>
      </c>
      <c r="T2289" s="52">
        <f>R2289*U2289/(U2289+100)</f>
        <v>3.846428571428571</v>
      </c>
      <c r="U2289" s="50">
        <v>12</v>
      </c>
      <c r="V2289" s="53">
        <v>0</v>
      </c>
      <c r="W2289" s="147">
        <v>1</v>
      </c>
      <c r="X2289" s="148" t="s">
        <v>163</v>
      </c>
      <c r="Y2289" s="54">
        <f>R2289*W2289</f>
        <v>35.9</v>
      </c>
      <c r="Z2289" s="52">
        <f>S2289*W2289</f>
        <v>32.05357142857143</v>
      </c>
      <c r="AA2289" s="52">
        <f>T2289*W2289</f>
        <v>3.846428571428571</v>
      </c>
      <c r="AB2289" s="52">
        <f>V2289*W2289</f>
        <v>0</v>
      </c>
      <c r="AC2289" s="53">
        <f>(R2289+V2289)*W2289</f>
        <v>35.9</v>
      </c>
      <c r="AD2289" s="138">
        <v>35.9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109</v>
      </c>
      <c r="F2290" s="96" t="s">
        <v>111</v>
      </c>
      <c r="G2290" s="97">
        <v>46132</v>
      </c>
      <c r="H2290" s="98">
        <v>0.5916087962962963</v>
      </c>
      <c r="I2290" s="50">
        <v>169002646</v>
      </c>
      <c r="J2290" s="96" t="s">
        <v>157</v>
      </c>
      <c r="K2290" s="49" t="s">
        <v>303</v>
      </c>
      <c r="L2290" s="39" t="s">
        <v>304</v>
      </c>
      <c r="M2290" s="49" t="s">
        <v>214</v>
      </c>
      <c r="N2290" s="39" t="s">
        <v>296</v>
      </c>
      <c r="O2290" s="96" t="s">
        <v>305</v>
      </c>
      <c r="P2290" s="49" t="s">
        <v>157</v>
      </c>
      <c r="Q2290" s="96" t="s">
        <v>104</v>
      </c>
      <c r="R2290" s="52">
        <v>11.9</v>
      </c>
      <c r="S2290" s="52">
        <f>R2290-T2290</f>
        <v>10.625</v>
      </c>
      <c r="T2290" s="52">
        <f>R2290*U2290/(U2290+100)</f>
        <v>1.2750000000000001</v>
      </c>
      <c r="U2290" s="50">
        <v>12</v>
      </c>
      <c r="V2290" s="53">
        <v>0</v>
      </c>
      <c r="W2290" s="147">
        <v>2</v>
      </c>
      <c r="X2290" s="148" t="s">
        <v>163</v>
      </c>
      <c r="Y2290" s="54">
        <f>R2290*W2290</f>
        <v>23.8</v>
      </c>
      <c r="Z2290" s="52">
        <f>S2290*W2290</f>
        <v>21.25</v>
      </c>
      <c r="AA2290" s="52">
        <f>T2290*W2290</f>
        <v>2.5500000000000003</v>
      </c>
      <c r="AB2290" s="52">
        <f>V2290*W2290</f>
        <v>0</v>
      </c>
      <c r="AC2290" s="53">
        <f>(R2290+V2290)*W2290</f>
        <v>23.8</v>
      </c>
      <c r="AD2290" s="138">
        <v>11.9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109</v>
      </c>
      <c r="F2291" s="96" t="s">
        <v>111</v>
      </c>
      <c r="G2291" s="97">
        <v>46132</v>
      </c>
      <c r="H2291" s="98">
        <v>0.592037037037037</v>
      </c>
      <c r="I2291" s="50">
        <v>169002647</v>
      </c>
      <c r="J2291" s="96" t="s">
        <v>157</v>
      </c>
      <c r="K2291" s="49" t="s">
        <v>3286</v>
      </c>
      <c r="L2291" s="39" t="s">
        <v>3287</v>
      </c>
      <c r="M2291" s="49" t="s">
        <v>429</v>
      </c>
      <c r="N2291" s="39" t="s">
        <v>348</v>
      </c>
      <c r="O2291" s="96" t="s">
        <v>3288</v>
      </c>
      <c r="P2291" s="49" t="s">
        <v>157</v>
      </c>
      <c r="Q2291" s="96" t="s">
        <v>104</v>
      </c>
      <c r="R2291" s="52">
        <v>27.9</v>
      </c>
      <c r="S2291" s="52">
        <f>R2291-T2291</f>
        <v>24.910714285714285</v>
      </c>
      <c r="T2291" s="52">
        <f>R2291*U2291/(U2291+100)</f>
        <v>2.989285714285714</v>
      </c>
      <c r="U2291" s="50">
        <v>12</v>
      </c>
      <c r="V2291" s="53">
        <v>0</v>
      </c>
      <c r="W2291" s="147">
        <v>1</v>
      </c>
      <c r="X2291" s="148" t="s">
        <v>163</v>
      </c>
      <c r="Y2291" s="54">
        <f>R2291*W2291</f>
        <v>27.9</v>
      </c>
      <c r="Z2291" s="52">
        <f>S2291*W2291</f>
        <v>24.910714285714285</v>
      </c>
      <c r="AA2291" s="52">
        <f>T2291*W2291</f>
        <v>2.989285714285714</v>
      </c>
      <c r="AB2291" s="52">
        <f>V2291*W2291</f>
        <v>0</v>
      </c>
      <c r="AC2291" s="53">
        <f>(R2291+V2291)*W2291</f>
        <v>27.9</v>
      </c>
      <c r="AD2291" s="138">
        <v>27.9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109</v>
      </c>
      <c r="F2292" s="96" t="s">
        <v>111</v>
      </c>
      <c r="G2292" s="97">
        <v>46132</v>
      </c>
      <c r="H2292" s="98">
        <v>0.592037037037037</v>
      </c>
      <c r="I2292" s="50">
        <v>169002647</v>
      </c>
      <c r="J2292" s="96" t="s">
        <v>157</v>
      </c>
      <c r="K2292" s="49" t="s">
        <v>321</v>
      </c>
      <c r="L2292" s="39" t="s">
        <v>322</v>
      </c>
      <c r="M2292" s="49" t="s">
        <v>232</v>
      </c>
      <c r="N2292" s="39" t="s">
        <v>233</v>
      </c>
      <c r="O2292" s="96" t="s">
        <v>2927</v>
      </c>
      <c r="P2292" s="49" t="s">
        <v>157</v>
      </c>
      <c r="Q2292" s="96" t="s">
        <v>104</v>
      </c>
      <c r="R2292" s="52">
        <v>24.9</v>
      </c>
      <c r="S2292" s="52">
        <f>R2292-T2292</f>
        <v>20.578512396694215</v>
      </c>
      <c r="T2292" s="52">
        <f>R2292*U2292/(U2292+100)</f>
        <v>4.321487603305785</v>
      </c>
      <c r="U2292" s="50">
        <v>21</v>
      </c>
      <c r="V2292" s="53">
        <v>0</v>
      </c>
      <c r="W2292" s="147">
        <v>1</v>
      </c>
      <c r="X2292" s="148" t="s">
        <v>163</v>
      </c>
      <c r="Y2292" s="54">
        <f>R2292*W2292</f>
        <v>24.9</v>
      </c>
      <c r="Z2292" s="52">
        <f>S2292*W2292</f>
        <v>20.578512396694215</v>
      </c>
      <c r="AA2292" s="52">
        <f>T2292*W2292</f>
        <v>4.321487603305785</v>
      </c>
      <c r="AB2292" s="52">
        <f>V2292*W2292</f>
        <v>0</v>
      </c>
      <c r="AC2292" s="53">
        <f>(R2292+V2292)*W2292</f>
        <v>24.9</v>
      </c>
      <c r="AD2292" s="138">
        <v>24.9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109</v>
      </c>
      <c r="F2293" s="96" t="s">
        <v>111</v>
      </c>
      <c r="G2293" s="97">
        <v>46132</v>
      </c>
      <c r="H2293" s="98">
        <v>0.5924074074074074</v>
      </c>
      <c r="I2293" s="50">
        <v>169002648</v>
      </c>
      <c r="J2293" s="96" t="s">
        <v>157</v>
      </c>
      <c r="K2293" s="49" t="s">
        <v>595</v>
      </c>
      <c r="L2293" s="39" t="s">
        <v>596</v>
      </c>
      <c r="M2293" s="49" t="s">
        <v>429</v>
      </c>
      <c r="N2293" s="39" t="s">
        <v>239</v>
      </c>
      <c r="O2293" s="96" t="s">
        <v>597</v>
      </c>
      <c r="P2293" s="49" t="s">
        <v>157</v>
      </c>
      <c r="Q2293" s="96" t="s">
        <v>104</v>
      </c>
      <c r="R2293" s="52">
        <v>19.9</v>
      </c>
      <c r="S2293" s="52">
        <f>R2293-T2293</f>
        <v>17.767857142857142</v>
      </c>
      <c r="T2293" s="52">
        <f>R2293*U2293/(U2293+100)</f>
        <v>2.132142857142857</v>
      </c>
      <c r="U2293" s="50">
        <v>12</v>
      </c>
      <c r="V2293" s="53">
        <v>0</v>
      </c>
      <c r="W2293" s="147">
        <v>1</v>
      </c>
      <c r="X2293" s="148" t="s">
        <v>163</v>
      </c>
      <c r="Y2293" s="54">
        <f>R2293*W2293</f>
        <v>19.9</v>
      </c>
      <c r="Z2293" s="52">
        <f>S2293*W2293</f>
        <v>17.767857142857142</v>
      </c>
      <c r="AA2293" s="52">
        <f>T2293*W2293</f>
        <v>2.132142857142857</v>
      </c>
      <c r="AB2293" s="52">
        <f>V2293*W2293</f>
        <v>0</v>
      </c>
      <c r="AC2293" s="53">
        <f>(R2293+V2293)*W2293</f>
        <v>19.9</v>
      </c>
      <c r="AD2293" s="138">
        <v>19.9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109</v>
      </c>
      <c r="F2294" s="96" t="s">
        <v>111</v>
      </c>
      <c r="G2294" s="97">
        <v>46132</v>
      </c>
      <c r="H2294" s="98">
        <v>0.5924074074074074</v>
      </c>
      <c r="I2294" s="50">
        <v>169002648</v>
      </c>
      <c r="J2294" s="96" t="s">
        <v>157</v>
      </c>
      <c r="K2294" s="49" t="s">
        <v>3289</v>
      </c>
      <c r="L2294" s="39" t="s">
        <v>3290</v>
      </c>
      <c r="M2294" s="49" t="s">
        <v>792</v>
      </c>
      <c r="N2294" s="39" t="s">
        <v>793</v>
      </c>
      <c r="O2294" s="96" t="s">
        <v>3291</v>
      </c>
      <c r="P2294" s="49" t="s">
        <v>157</v>
      </c>
      <c r="Q2294" s="96" t="s">
        <v>104</v>
      </c>
      <c r="R2294" s="52">
        <v>16.9</v>
      </c>
      <c r="S2294" s="52">
        <f>R2294-T2294</f>
        <v>15.089285714285714</v>
      </c>
      <c r="T2294" s="52">
        <f>R2294*U2294/(U2294+100)</f>
        <v>1.8107142857142855</v>
      </c>
      <c r="U2294" s="50">
        <v>12</v>
      </c>
      <c r="V2294" s="53">
        <v>0</v>
      </c>
      <c r="W2294" s="147">
        <v>1</v>
      </c>
      <c r="X2294" s="148" t="s">
        <v>163</v>
      </c>
      <c r="Y2294" s="54">
        <f>R2294*W2294</f>
        <v>16.9</v>
      </c>
      <c r="Z2294" s="52">
        <f>S2294*W2294</f>
        <v>15.089285714285714</v>
      </c>
      <c r="AA2294" s="52">
        <f>T2294*W2294</f>
        <v>1.8107142857142855</v>
      </c>
      <c r="AB2294" s="52">
        <f>V2294*W2294</f>
        <v>0</v>
      </c>
      <c r="AC2294" s="53">
        <f>(R2294+V2294)*W2294</f>
        <v>16.9</v>
      </c>
      <c r="AD2294" s="138">
        <v>16.9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109</v>
      </c>
      <c r="F2295" s="96" t="s">
        <v>111</v>
      </c>
      <c r="G2295" s="97">
        <v>46132</v>
      </c>
      <c r="H2295" s="98">
        <v>0.5924074074074074</v>
      </c>
      <c r="I2295" s="50">
        <v>169002648</v>
      </c>
      <c r="J2295" s="96" t="s">
        <v>157</v>
      </c>
      <c r="K2295" s="49" t="s">
        <v>3010</v>
      </c>
      <c r="L2295" s="39" t="s">
        <v>3011</v>
      </c>
      <c r="M2295" s="49" t="s">
        <v>792</v>
      </c>
      <c r="N2295" s="39" t="s">
        <v>404</v>
      </c>
      <c r="O2295" s="96" t="s">
        <v>3012</v>
      </c>
      <c r="P2295" s="49" t="s">
        <v>157</v>
      </c>
      <c r="Q2295" s="96" t="s">
        <v>104</v>
      </c>
      <c r="R2295" s="52">
        <v>16.9</v>
      </c>
      <c r="S2295" s="52">
        <f>R2295-T2295</f>
        <v>15.089285714285714</v>
      </c>
      <c r="T2295" s="52">
        <f>R2295*U2295/(U2295+100)</f>
        <v>1.8107142857142855</v>
      </c>
      <c r="U2295" s="50">
        <v>12</v>
      </c>
      <c r="V2295" s="53">
        <v>0</v>
      </c>
      <c r="W2295" s="147">
        <v>1</v>
      </c>
      <c r="X2295" s="148" t="s">
        <v>163</v>
      </c>
      <c r="Y2295" s="54">
        <f>R2295*W2295</f>
        <v>16.9</v>
      </c>
      <c r="Z2295" s="52">
        <f>S2295*W2295</f>
        <v>15.089285714285714</v>
      </c>
      <c r="AA2295" s="52">
        <f>T2295*W2295</f>
        <v>1.8107142857142855</v>
      </c>
      <c r="AB2295" s="52">
        <f>V2295*W2295</f>
        <v>0</v>
      </c>
      <c r="AC2295" s="53">
        <f>(R2295+V2295)*W2295</f>
        <v>16.9</v>
      </c>
      <c r="AD2295" s="138">
        <v>16.9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109</v>
      </c>
      <c r="F2296" s="96" t="s">
        <v>111</v>
      </c>
      <c r="G2296" s="97">
        <v>46132</v>
      </c>
      <c r="H2296" s="98">
        <v>0.5924074074074074</v>
      </c>
      <c r="I2296" s="50">
        <v>169002648</v>
      </c>
      <c r="J2296" s="96" t="s">
        <v>157</v>
      </c>
      <c r="K2296" s="49" t="s">
        <v>3292</v>
      </c>
      <c r="L2296" s="39" t="s">
        <v>3293</v>
      </c>
      <c r="M2296" s="49" t="s">
        <v>792</v>
      </c>
      <c r="N2296" s="39" t="s">
        <v>793</v>
      </c>
      <c r="O2296" s="96" t="s">
        <v>3294</v>
      </c>
      <c r="P2296" s="49" t="s">
        <v>157</v>
      </c>
      <c r="Q2296" s="96" t="s">
        <v>104</v>
      </c>
      <c r="R2296" s="52">
        <v>16.9</v>
      </c>
      <c r="S2296" s="52">
        <f>R2296-T2296</f>
        <v>15.089285714285714</v>
      </c>
      <c r="T2296" s="52">
        <f>R2296*U2296/(U2296+100)</f>
        <v>1.8107142857142855</v>
      </c>
      <c r="U2296" s="50">
        <v>12</v>
      </c>
      <c r="V2296" s="53">
        <v>0</v>
      </c>
      <c r="W2296" s="147">
        <v>1</v>
      </c>
      <c r="X2296" s="148" t="s">
        <v>163</v>
      </c>
      <c r="Y2296" s="54">
        <f>R2296*W2296</f>
        <v>16.9</v>
      </c>
      <c r="Z2296" s="52">
        <f>S2296*W2296</f>
        <v>15.089285714285714</v>
      </c>
      <c r="AA2296" s="52">
        <f>T2296*W2296</f>
        <v>1.8107142857142855</v>
      </c>
      <c r="AB2296" s="52">
        <f>V2296*W2296</f>
        <v>0</v>
      </c>
      <c r="AC2296" s="53">
        <f>(R2296+V2296)*W2296</f>
        <v>16.9</v>
      </c>
      <c r="AD2296" s="138">
        <v>16.9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109</v>
      </c>
      <c r="F2297" s="96" t="s">
        <v>111</v>
      </c>
      <c r="G2297" s="97">
        <v>46132</v>
      </c>
      <c r="H2297" s="98">
        <v>0.5924074074074074</v>
      </c>
      <c r="I2297" s="50">
        <v>169002648</v>
      </c>
      <c r="J2297" s="96" t="s">
        <v>157</v>
      </c>
      <c r="K2297" s="49" t="s">
        <v>3292</v>
      </c>
      <c r="L2297" s="39" t="s">
        <v>3293</v>
      </c>
      <c r="M2297" s="49" t="s">
        <v>792</v>
      </c>
      <c r="N2297" s="39" t="s">
        <v>793</v>
      </c>
      <c r="O2297" s="96" t="s">
        <v>3294</v>
      </c>
      <c r="P2297" s="49" t="s">
        <v>157</v>
      </c>
      <c r="Q2297" s="96" t="s">
        <v>104</v>
      </c>
      <c r="R2297" s="52">
        <v>16.9</v>
      </c>
      <c r="S2297" s="52">
        <f>R2297-T2297</f>
        <v>15.089285714285714</v>
      </c>
      <c r="T2297" s="52">
        <f>R2297*U2297/(U2297+100)</f>
        <v>1.8107142857142855</v>
      </c>
      <c r="U2297" s="50">
        <v>12</v>
      </c>
      <c r="V2297" s="53">
        <v>0</v>
      </c>
      <c r="W2297" s="147">
        <v>1</v>
      </c>
      <c r="X2297" s="148" t="s">
        <v>163</v>
      </c>
      <c r="Y2297" s="54">
        <f>R2297*W2297</f>
        <v>16.9</v>
      </c>
      <c r="Z2297" s="52">
        <f>S2297*W2297</f>
        <v>15.089285714285714</v>
      </c>
      <c r="AA2297" s="52">
        <f>T2297*W2297</f>
        <v>1.8107142857142855</v>
      </c>
      <c r="AB2297" s="52">
        <f>V2297*W2297</f>
        <v>0</v>
      </c>
      <c r="AC2297" s="53">
        <f>(R2297+V2297)*W2297</f>
        <v>16.9</v>
      </c>
      <c r="AD2297" s="138">
        <v>16.9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109</v>
      </c>
      <c r="F2298" s="96" t="s">
        <v>111</v>
      </c>
      <c r="G2298" s="97">
        <v>46132</v>
      </c>
      <c r="H2298" s="98">
        <v>0.5924074074074074</v>
      </c>
      <c r="I2298" s="50">
        <v>169002648</v>
      </c>
      <c r="J2298" s="96" t="s">
        <v>157</v>
      </c>
      <c r="K2298" s="49" t="s">
        <v>3295</v>
      </c>
      <c r="L2298" s="39" t="s">
        <v>3296</v>
      </c>
      <c r="M2298" s="49" t="s">
        <v>792</v>
      </c>
      <c r="N2298" s="39" t="s">
        <v>793</v>
      </c>
      <c r="O2298" s="96" t="s">
        <v>3297</v>
      </c>
      <c r="P2298" s="49" t="s">
        <v>157</v>
      </c>
      <c r="Q2298" s="96" t="s">
        <v>104</v>
      </c>
      <c r="R2298" s="52">
        <v>16.9</v>
      </c>
      <c r="S2298" s="52">
        <f>R2298-T2298</f>
        <v>15.089285714285714</v>
      </c>
      <c r="T2298" s="52">
        <f>R2298*U2298/(U2298+100)</f>
        <v>1.8107142857142855</v>
      </c>
      <c r="U2298" s="50">
        <v>12</v>
      </c>
      <c r="V2298" s="53">
        <v>0</v>
      </c>
      <c r="W2298" s="147">
        <v>1</v>
      </c>
      <c r="X2298" s="148" t="s">
        <v>163</v>
      </c>
      <c r="Y2298" s="54">
        <f>R2298*W2298</f>
        <v>16.9</v>
      </c>
      <c r="Z2298" s="52">
        <f>S2298*W2298</f>
        <v>15.089285714285714</v>
      </c>
      <c r="AA2298" s="52">
        <f>T2298*W2298</f>
        <v>1.8107142857142855</v>
      </c>
      <c r="AB2298" s="52">
        <f>V2298*W2298</f>
        <v>0</v>
      </c>
      <c r="AC2298" s="53">
        <f>(R2298+V2298)*W2298</f>
        <v>16.9</v>
      </c>
      <c r="AD2298" s="138">
        <v>16.9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109</v>
      </c>
      <c r="F2299" s="96" t="s">
        <v>111</v>
      </c>
      <c r="G2299" s="97">
        <v>46132</v>
      </c>
      <c r="H2299" s="98">
        <v>0.5933564814814815</v>
      </c>
      <c r="I2299" s="50">
        <v>169002649</v>
      </c>
      <c r="J2299" s="96" t="s">
        <v>157</v>
      </c>
      <c r="K2299" s="49" t="s">
        <v>2234</v>
      </c>
      <c r="L2299" s="39" t="s">
        <v>2235</v>
      </c>
      <c r="M2299" s="49" t="s">
        <v>185</v>
      </c>
      <c r="N2299" s="39" t="s">
        <v>2236</v>
      </c>
      <c r="O2299" s="96" t="s">
        <v>2237</v>
      </c>
      <c r="P2299" s="49" t="s">
        <v>157</v>
      </c>
      <c r="Q2299" s="96" t="s">
        <v>104</v>
      </c>
      <c r="R2299" s="52">
        <v>14.9</v>
      </c>
      <c r="S2299" s="52">
        <f>R2299-T2299</f>
        <v>13.303571428571429</v>
      </c>
      <c r="T2299" s="52">
        <f>R2299*U2299/(U2299+100)</f>
        <v>1.5964285714285715</v>
      </c>
      <c r="U2299" s="50">
        <v>12</v>
      </c>
      <c r="V2299" s="53">
        <v>0</v>
      </c>
      <c r="W2299" s="147">
        <v>1</v>
      </c>
      <c r="X2299" s="148" t="s">
        <v>163</v>
      </c>
      <c r="Y2299" s="54">
        <f>R2299*W2299</f>
        <v>14.9</v>
      </c>
      <c r="Z2299" s="52">
        <f>S2299*W2299</f>
        <v>13.303571428571429</v>
      </c>
      <c r="AA2299" s="52">
        <f>T2299*W2299</f>
        <v>1.5964285714285715</v>
      </c>
      <c r="AB2299" s="52">
        <f>V2299*W2299</f>
        <v>0</v>
      </c>
      <c r="AC2299" s="53">
        <f>(R2299+V2299)*W2299</f>
        <v>14.9</v>
      </c>
      <c r="AD2299" s="138">
        <v>14.9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109</v>
      </c>
      <c r="F2300" s="96" t="s">
        <v>111</v>
      </c>
      <c r="G2300" s="97">
        <v>46132</v>
      </c>
      <c r="H2300" s="98">
        <v>0.5933564814814815</v>
      </c>
      <c r="I2300" s="50">
        <v>169002649</v>
      </c>
      <c r="J2300" s="96" t="s">
        <v>157</v>
      </c>
      <c r="K2300" s="49" t="s">
        <v>266</v>
      </c>
      <c r="L2300" s="39" t="s">
        <v>267</v>
      </c>
      <c r="M2300" s="49" t="s">
        <v>268</v>
      </c>
      <c r="N2300" s="39" t="s">
        <v>269</v>
      </c>
      <c r="O2300" s="96" t="s">
        <v>1249</v>
      </c>
      <c r="P2300" s="49" t="s">
        <v>235</v>
      </c>
      <c r="Q2300" s="96" t="s">
        <v>236</v>
      </c>
      <c r="R2300" s="52">
        <v>11.9</v>
      </c>
      <c r="S2300" s="52">
        <f>R2300-T2300</f>
        <v>10.625</v>
      </c>
      <c r="T2300" s="52">
        <f>R2300*U2300/(U2300+100)</f>
        <v>1.2750000000000001</v>
      </c>
      <c r="U2300" s="50">
        <v>12</v>
      </c>
      <c r="V2300" s="53">
        <v>0</v>
      </c>
      <c r="W2300" s="147">
        <v>1</v>
      </c>
      <c r="X2300" s="148" t="s">
        <v>163</v>
      </c>
      <c r="Y2300" s="54">
        <f>R2300*W2300</f>
        <v>11.9</v>
      </c>
      <c r="Z2300" s="52">
        <f>S2300*W2300</f>
        <v>10.625</v>
      </c>
      <c r="AA2300" s="52">
        <f>T2300*W2300</f>
        <v>1.2750000000000001</v>
      </c>
      <c r="AB2300" s="52">
        <f>V2300*W2300</f>
        <v>0</v>
      </c>
      <c r="AC2300" s="53">
        <f>(R2300+V2300)*W2300</f>
        <v>11.9</v>
      </c>
      <c r="AD2300" s="138">
        <v>11.9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109</v>
      </c>
      <c r="F2301" s="96" t="s">
        <v>111</v>
      </c>
      <c r="G2301" s="97">
        <v>46132</v>
      </c>
      <c r="H2301" s="98">
        <v>0.5933564814814815</v>
      </c>
      <c r="I2301" s="50">
        <v>169002649</v>
      </c>
      <c r="J2301" s="96" t="s">
        <v>157</v>
      </c>
      <c r="K2301" s="49" t="s">
        <v>303</v>
      </c>
      <c r="L2301" s="39" t="s">
        <v>304</v>
      </c>
      <c r="M2301" s="49" t="s">
        <v>214</v>
      </c>
      <c r="N2301" s="39" t="s">
        <v>296</v>
      </c>
      <c r="O2301" s="96" t="s">
        <v>305</v>
      </c>
      <c r="P2301" s="49" t="s">
        <v>157</v>
      </c>
      <c r="Q2301" s="96" t="s">
        <v>104</v>
      </c>
      <c r="R2301" s="52">
        <v>11.9</v>
      </c>
      <c r="S2301" s="52">
        <f>R2301-T2301</f>
        <v>10.625</v>
      </c>
      <c r="T2301" s="52">
        <f>R2301*U2301/(U2301+100)</f>
        <v>1.2750000000000001</v>
      </c>
      <c r="U2301" s="50">
        <v>12</v>
      </c>
      <c r="V2301" s="53">
        <v>0</v>
      </c>
      <c r="W2301" s="147">
        <v>1</v>
      </c>
      <c r="X2301" s="148" t="s">
        <v>163</v>
      </c>
      <c r="Y2301" s="54">
        <f>R2301*W2301</f>
        <v>11.9</v>
      </c>
      <c r="Z2301" s="52">
        <f>S2301*W2301</f>
        <v>10.625</v>
      </c>
      <c r="AA2301" s="52">
        <f>T2301*W2301</f>
        <v>1.2750000000000001</v>
      </c>
      <c r="AB2301" s="52">
        <f>V2301*W2301</f>
        <v>0</v>
      </c>
      <c r="AC2301" s="53">
        <f>(R2301+V2301)*W2301</f>
        <v>11.9</v>
      </c>
      <c r="AD2301" s="138">
        <v>11.9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109</v>
      </c>
      <c r="F2302" s="96" t="s">
        <v>111</v>
      </c>
      <c r="G2302" s="97">
        <v>46132</v>
      </c>
      <c r="H2302" s="98">
        <v>0.5933564814814815</v>
      </c>
      <c r="I2302" s="50">
        <v>169002649</v>
      </c>
      <c r="J2302" s="96" t="s">
        <v>157</v>
      </c>
      <c r="K2302" s="49" t="s">
        <v>1300</v>
      </c>
      <c r="L2302" s="39" t="s">
        <v>1301</v>
      </c>
      <c r="M2302" s="49" t="s">
        <v>997</v>
      </c>
      <c r="N2302" s="39" t="s">
        <v>998</v>
      </c>
      <c r="O2302" s="96" t="s">
        <v>1302</v>
      </c>
      <c r="P2302" s="49" t="s">
        <v>157</v>
      </c>
      <c r="Q2302" s="96" t="s">
        <v>104</v>
      </c>
      <c r="R2302" s="52">
        <v>24</v>
      </c>
      <c r="S2302" s="52">
        <f>R2302-T2302</f>
        <v>21.428571428571427</v>
      </c>
      <c r="T2302" s="52">
        <f>R2302*U2302/(U2302+100)</f>
        <v>2.5714285714285716</v>
      </c>
      <c r="U2302" s="50">
        <v>12</v>
      </c>
      <c r="V2302" s="53">
        <v>0</v>
      </c>
      <c r="W2302" s="147">
        <v>1</v>
      </c>
      <c r="X2302" s="148" t="s">
        <v>945</v>
      </c>
      <c r="Y2302" s="54">
        <f>R2302*W2302</f>
        <v>24</v>
      </c>
      <c r="Z2302" s="52">
        <f>S2302*W2302</f>
        <v>21.428571428571427</v>
      </c>
      <c r="AA2302" s="52">
        <f>T2302*W2302</f>
        <v>2.5714285714285716</v>
      </c>
      <c r="AB2302" s="52">
        <f>V2302*W2302</f>
        <v>0</v>
      </c>
      <c r="AC2302" s="53">
        <f>(R2302+V2302)*W2302</f>
        <v>24</v>
      </c>
      <c r="AD2302" s="138">
        <v>24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109</v>
      </c>
      <c r="F2303" s="96" t="s">
        <v>111</v>
      </c>
      <c r="G2303" s="97">
        <v>46132</v>
      </c>
      <c r="H2303" s="98">
        <v>0.5942939814814815</v>
      </c>
      <c r="I2303" s="50">
        <v>169002650</v>
      </c>
      <c r="J2303" s="96" t="s">
        <v>157</v>
      </c>
      <c r="K2303" s="49" t="s">
        <v>1829</v>
      </c>
      <c r="L2303" s="39" t="s">
        <v>1830</v>
      </c>
      <c r="M2303" s="49" t="s">
        <v>196</v>
      </c>
      <c r="N2303" s="39" t="s">
        <v>197</v>
      </c>
      <c r="O2303" s="96" t="s">
        <v>1831</v>
      </c>
      <c r="P2303" s="49" t="s">
        <v>157</v>
      </c>
      <c r="Q2303" s="96" t="s">
        <v>104</v>
      </c>
      <c r="R2303" s="52">
        <v>7.4</v>
      </c>
      <c r="S2303" s="52">
        <f>R2303-T2303</f>
        <v>6.607142857142858</v>
      </c>
      <c r="T2303" s="52">
        <f>R2303*U2303/(U2303+100)</f>
        <v>0.7928571428571429</v>
      </c>
      <c r="U2303" s="50">
        <v>12</v>
      </c>
      <c r="V2303" s="53">
        <v>0</v>
      </c>
      <c r="W2303" s="147">
        <v>4</v>
      </c>
      <c r="X2303" s="148" t="s">
        <v>163</v>
      </c>
      <c r="Y2303" s="54">
        <f>R2303*W2303</f>
        <v>29.6</v>
      </c>
      <c r="Z2303" s="52">
        <f>S2303*W2303</f>
        <v>26.42857142857143</v>
      </c>
      <c r="AA2303" s="52">
        <f>T2303*W2303</f>
        <v>3.1714285714285717</v>
      </c>
      <c r="AB2303" s="52">
        <f>V2303*W2303</f>
        <v>0</v>
      </c>
      <c r="AC2303" s="53">
        <f>(R2303+V2303)*W2303</f>
        <v>29.6</v>
      </c>
      <c r="AD2303" s="138">
        <v>7.4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109</v>
      </c>
      <c r="F2304" s="96" t="s">
        <v>111</v>
      </c>
      <c r="G2304" s="97">
        <v>46132</v>
      </c>
      <c r="H2304" s="98">
        <v>0.5942939814814815</v>
      </c>
      <c r="I2304" s="50">
        <v>169002650</v>
      </c>
      <c r="J2304" s="96" t="s">
        <v>157</v>
      </c>
      <c r="K2304" s="49" t="s">
        <v>2334</v>
      </c>
      <c r="L2304" s="39" t="s">
        <v>2335</v>
      </c>
      <c r="M2304" s="49" t="s">
        <v>166</v>
      </c>
      <c r="N2304" s="39" t="s">
        <v>167</v>
      </c>
      <c r="O2304" s="96" t="s">
        <v>2336</v>
      </c>
      <c r="P2304" s="49" t="s">
        <v>157</v>
      </c>
      <c r="Q2304" s="96" t="s">
        <v>104</v>
      </c>
      <c r="R2304" s="52">
        <v>23.9</v>
      </c>
      <c r="S2304" s="52">
        <f>R2304-T2304</f>
        <v>19.752066115702476</v>
      </c>
      <c r="T2304" s="52">
        <f>R2304*U2304/(U2304+100)</f>
        <v>4.147933884297521</v>
      </c>
      <c r="U2304" s="50">
        <v>21</v>
      </c>
      <c r="V2304" s="53">
        <v>0</v>
      </c>
      <c r="W2304" s="147">
        <v>1</v>
      </c>
      <c r="X2304" s="148" t="s">
        <v>163</v>
      </c>
      <c r="Y2304" s="54">
        <f>R2304*W2304</f>
        <v>23.9</v>
      </c>
      <c r="Z2304" s="52">
        <f>S2304*W2304</f>
        <v>19.752066115702476</v>
      </c>
      <c r="AA2304" s="52">
        <f>T2304*W2304</f>
        <v>4.147933884297521</v>
      </c>
      <c r="AB2304" s="52">
        <f>V2304*W2304</f>
        <v>0</v>
      </c>
      <c r="AC2304" s="53">
        <f>(R2304+V2304)*W2304</f>
        <v>23.9</v>
      </c>
      <c r="AD2304" s="138">
        <v>23.9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109</v>
      </c>
      <c r="F2305" s="96" t="s">
        <v>111</v>
      </c>
      <c r="G2305" s="97">
        <v>46132</v>
      </c>
      <c r="H2305" s="98">
        <v>0.5942939814814815</v>
      </c>
      <c r="I2305" s="50">
        <v>169002650</v>
      </c>
      <c r="J2305" s="96" t="s">
        <v>157</v>
      </c>
      <c r="K2305" s="49" t="s">
        <v>164</v>
      </c>
      <c r="L2305" s="39" t="s">
        <v>165</v>
      </c>
      <c r="M2305" s="49" t="s">
        <v>166</v>
      </c>
      <c r="N2305" s="39" t="s">
        <v>167</v>
      </c>
      <c r="O2305" s="96" t="s">
        <v>1349</v>
      </c>
      <c r="P2305" s="49" t="s">
        <v>157</v>
      </c>
      <c r="Q2305" s="96" t="s">
        <v>104</v>
      </c>
      <c r="R2305" s="52">
        <v>23.9</v>
      </c>
      <c r="S2305" s="52">
        <f>R2305-T2305</f>
        <v>19.752066115702476</v>
      </c>
      <c r="T2305" s="52">
        <f>R2305*U2305/(U2305+100)</f>
        <v>4.147933884297521</v>
      </c>
      <c r="U2305" s="50">
        <v>21</v>
      </c>
      <c r="V2305" s="53">
        <v>0</v>
      </c>
      <c r="W2305" s="147">
        <v>1</v>
      </c>
      <c r="X2305" s="148" t="s">
        <v>163</v>
      </c>
      <c r="Y2305" s="54">
        <f>R2305*W2305</f>
        <v>23.9</v>
      </c>
      <c r="Z2305" s="52">
        <f>S2305*W2305</f>
        <v>19.752066115702476</v>
      </c>
      <c r="AA2305" s="52">
        <f>T2305*W2305</f>
        <v>4.147933884297521</v>
      </c>
      <c r="AB2305" s="52">
        <f>V2305*W2305</f>
        <v>0</v>
      </c>
      <c r="AC2305" s="53">
        <f>(R2305+V2305)*W2305</f>
        <v>23.9</v>
      </c>
      <c r="AD2305" s="138">
        <v>23.9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109</v>
      </c>
      <c r="F2306" s="96" t="s">
        <v>111</v>
      </c>
      <c r="G2306" s="97">
        <v>46132</v>
      </c>
      <c r="H2306" s="98">
        <v>0.5942939814814815</v>
      </c>
      <c r="I2306" s="50">
        <v>169002650</v>
      </c>
      <c r="J2306" s="96" t="s">
        <v>157</v>
      </c>
      <c r="K2306" s="49" t="s">
        <v>293</v>
      </c>
      <c r="L2306" s="39" t="s">
        <v>294</v>
      </c>
      <c r="M2306" s="49" t="s">
        <v>295</v>
      </c>
      <c r="N2306" s="39" t="s">
        <v>296</v>
      </c>
      <c r="O2306" s="96" t="s">
        <v>297</v>
      </c>
      <c r="P2306" s="49" t="s">
        <v>157</v>
      </c>
      <c r="Q2306" s="96" t="s">
        <v>104</v>
      </c>
      <c r="R2306" s="52">
        <v>2.9</v>
      </c>
      <c r="S2306" s="52">
        <f>R2306-T2306</f>
        <v>2.5892857142857144</v>
      </c>
      <c r="T2306" s="52">
        <f>R2306*U2306/(U2306+100)</f>
        <v>0.31071428571428567</v>
      </c>
      <c r="U2306" s="50">
        <v>12</v>
      </c>
      <c r="V2306" s="53">
        <v>0</v>
      </c>
      <c r="W2306" s="147">
        <v>10</v>
      </c>
      <c r="X2306" s="148" t="s">
        <v>163</v>
      </c>
      <c r="Y2306" s="54">
        <f>R2306*W2306</f>
        <v>29</v>
      </c>
      <c r="Z2306" s="52">
        <f>S2306*W2306</f>
        <v>25.892857142857146</v>
      </c>
      <c r="AA2306" s="52">
        <f>T2306*W2306</f>
        <v>3.1071428571428568</v>
      </c>
      <c r="AB2306" s="52">
        <f>V2306*W2306</f>
        <v>0</v>
      </c>
      <c r="AC2306" s="53">
        <f>(R2306+V2306)*W2306</f>
        <v>29</v>
      </c>
      <c r="AD2306" s="138">
        <v>2.9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109</v>
      </c>
      <c r="F2307" s="96" t="s">
        <v>111</v>
      </c>
      <c r="G2307" s="97">
        <v>46132</v>
      </c>
      <c r="H2307" s="98">
        <v>0.5951736111111111</v>
      </c>
      <c r="I2307" s="50">
        <v>169002651</v>
      </c>
      <c r="J2307" s="96" t="s">
        <v>157</v>
      </c>
      <c r="K2307" s="49" t="s">
        <v>3298</v>
      </c>
      <c r="L2307" s="39" t="s">
        <v>3299</v>
      </c>
      <c r="M2307" s="49" t="s">
        <v>893</v>
      </c>
      <c r="N2307" s="39" t="s">
        <v>202</v>
      </c>
      <c r="O2307" s="96" t="s">
        <v>3300</v>
      </c>
      <c r="P2307" s="49" t="s">
        <v>157</v>
      </c>
      <c r="Q2307" s="96" t="s">
        <v>104</v>
      </c>
      <c r="R2307" s="52">
        <v>31.9</v>
      </c>
      <c r="S2307" s="52">
        <f>R2307-T2307</f>
        <v>28.482142857142858</v>
      </c>
      <c r="T2307" s="52">
        <f>R2307*U2307/(U2307+100)</f>
        <v>3.4178571428571423</v>
      </c>
      <c r="U2307" s="50">
        <v>12</v>
      </c>
      <c r="V2307" s="53">
        <v>0</v>
      </c>
      <c r="W2307" s="147">
        <v>1</v>
      </c>
      <c r="X2307" s="148" t="s">
        <v>163</v>
      </c>
      <c r="Y2307" s="54">
        <f>R2307*W2307</f>
        <v>31.9</v>
      </c>
      <c r="Z2307" s="52">
        <f>S2307*W2307</f>
        <v>28.482142857142858</v>
      </c>
      <c r="AA2307" s="52">
        <f>T2307*W2307</f>
        <v>3.4178571428571423</v>
      </c>
      <c r="AB2307" s="52">
        <f>V2307*W2307</f>
        <v>0</v>
      </c>
      <c r="AC2307" s="53">
        <f>(R2307+V2307)*W2307</f>
        <v>31.9</v>
      </c>
      <c r="AD2307" s="138">
        <v>31.9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109</v>
      </c>
      <c r="F2308" s="96" t="s">
        <v>111</v>
      </c>
      <c r="G2308" s="97">
        <v>46132</v>
      </c>
      <c r="H2308" s="98">
        <v>0.5951736111111111</v>
      </c>
      <c r="I2308" s="50">
        <v>169002651</v>
      </c>
      <c r="J2308" s="96" t="s">
        <v>157</v>
      </c>
      <c r="K2308" s="49" t="s">
        <v>3298</v>
      </c>
      <c r="L2308" s="39" t="s">
        <v>3299</v>
      </c>
      <c r="M2308" s="49" t="s">
        <v>893</v>
      </c>
      <c r="N2308" s="39" t="s">
        <v>202</v>
      </c>
      <c r="O2308" s="96" t="s">
        <v>3300</v>
      </c>
      <c r="P2308" s="49" t="s">
        <v>157</v>
      </c>
      <c r="Q2308" s="96" t="s">
        <v>104</v>
      </c>
      <c r="R2308" s="52">
        <v>31.9</v>
      </c>
      <c r="S2308" s="52">
        <f>R2308-T2308</f>
        <v>28.482142857142858</v>
      </c>
      <c r="T2308" s="52">
        <f>R2308*U2308/(U2308+100)</f>
        <v>3.4178571428571423</v>
      </c>
      <c r="U2308" s="50">
        <v>12</v>
      </c>
      <c r="V2308" s="53">
        <v>0</v>
      </c>
      <c r="W2308" s="147">
        <v>1</v>
      </c>
      <c r="X2308" s="148" t="s">
        <v>163</v>
      </c>
      <c r="Y2308" s="54">
        <f>R2308*W2308</f>
        <v>31.9</v>
      </c>
      <c r="Z2308" s="52">
        <f>S2308*W2308</f>
        <v>28.482142857142858</v>
      </c>
      <c r="AA2308" s="52">
        <f>T2308*W2308</f>
        <v>3.4178571428571423</v>
      </c>
      <c r="AB2308" s="52">
        <f>V2308*W2308</f>
        <v>0</v>
      </c>
      <c r="AC2308" s="53">
        <f>(R2308+V2308)*W2308</f>
        <v>31.9</v>
      </c>
      <c r="AD2308" s="138">
        <v>31.9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109</v>
      </c>
      <c r="F2309" s="96" t="s">
        <v>111</v>
      </c>
      <c r="G2309" s="97">
        <v>46132</v>
      </c>
      <c r="H2309" s="98">
        <v>0.5951736111111111</v>
      </c>
      <c r="I2309" s="50">
        <v>169002651</v>
      </c>
      <c r="J2309" s="96" t="s">
        <v>157</v>
      </c>
      <c r="K2309" s="49" t="s">
        <v>3298</v>
      </c>
      <c r="L2309" s="39" t="s">
        <v>3299</v>
      </c>
      <c r="M2309" s="49" t="s">
        <v>893</v>
      </c>
      <c r="N2309" s="39" t="s">
        <v>202</v>
      </c>
      <c r="O2309" s="96" t="s">
        <v>3300</v>
      </c>
      <c r="P2309" s="49" t="s">
        <v>157</v>
      </c>
      <c r="Q2309" s="96" t="s">
        <v>104</v>
      </c>
      <c r="R2309" s="52">
        <v>31.9</v>
      </c>
      <c r="S2309" s="52">
        <f>R2309-T2309</f>
        <v>28.482142857142858</v>
      </c>
      <c r="T2309" s="52">
        <f>R2309*U2309/(U2309+100)</f>
        <v>3.4178571428571423</v>
      </c>
      <c r="U2309" s="50">
        <v>12</v>
      </c>
      <c r="V2309" s="53">
        <v>0</v>
      </c>
      <c r="W2309" s="147">
        <v>1</v>
      </c>
      <c r="X2309" s="148" t="s">
        <v>163</v>
      </c>
      <c r="Y2309" s="54">
        <f>R2309*W2309</f>
        <v>31.9</v>
      </c>
      <c r="Z2309" s="52">
        <f>S2309*W2309</f>
        <v>28.482142857142858</v>
      </c>
      <c r="AA2309" s="52">
        <f>T2309*W2309</f>
        <v>3.4178571428571423</v>
      </c>
      <c r="AB2309" s="52">
        <f>V2309*W2309</f>
        <v>0</v>
      </c>
      <c r="AC2309" s="53">
        <f>(R2309+V2309)*W2309</f>
        <v>31.9</v>
      </c>
      <c r="AD2309" s="138">
        <v>31.9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109</v>
      </c>
      <c r="F2310" s="96" t="s">
        <v>111</v>
      </c>
      <c r="G2310" s="97">
        <v>46132</v>
      </c>
      <c r="H2310" s="98">
        <v>0.5951736111111111</v>
      </c>
      <c r="I2310" s="50">
        <v>169002651</v>
      </c>
      <c r="J2310" s="96" t="s">
        <v>157</v>
      </c>
      <c r="K2310" s="49" t="s">
        <v>3298</v>
      </c>
      <c r="L2310" s="39" t="s">
        <v>3299</v>
      </c>
      <c r="M2310" s="49" t="s">
        <v>893</v>
      </c>
      <c r="N2310" s="39" t="s">
        <v>202</v>
      </c>
      <c r="O2310" s="96" t="s">
        <v>3300</v>
      </c>
      <c r="P2310" s="49" t="s">
        <v>157</v>
      </c>
      <c r="Q2310" s="96" t="s">
        <v>104</v>
      </c>
      <c r="R2310" s="52">
        <v>31.9</v>
      </c>
      <c r="S2310" s="52">
        <f>R2310-T2310</f>
        <v>28.482142857142858</v>
      </c>
      <c r="T2310" s="52">
        <f>R2310*U2310/(U2310+100)</f>
        <v>3.4178571428571423</v>
      </c>
      <c r="U2310" s="50">
        <v>12</v>
      </c>
      <c r="V2310" s="53">
        <v>0</v>
      </c>
      <c r="W2310" s="147">
        <v>1</v>
      </c>
      <c r="X2310" s="148" t="s">
        <v>163</v>
      </c>
      <c r="Y2310" s="54">
        <f>R2310*W2310</f>
        <v>31.9</v>
      </c>
      <c r="Z2310" s="52">
        <f>S2310*W2310</f>
        <v>28.482142857142858</v>
      </c>
      <c r="AA2310" s="52">
        <f>T2310*W2310</f>
        <v>3.4178571428571423</v>
      </c>
      <c r="AB2310" s="52">
        <f>V2310*W2310</f>
        <v>0</v>
      </c>
      <c r="AC2310" s="53">
        <f>(R2310+V2310)*W2310</f>
        <v>31.9</v>
      </c>
      <c r="AD2310" s="138">
        <v>31.9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109</v>
      </c>
      <c r="F2311" s="96" t="s">
        <v>111</v>
      </c>
      <c r="G2311" s="97">
        <v>46132</v>
      </c>
      <c r="H2311" s="98">
        <v>0.5951736111111111</v>
      </c>
      <c r="I2311" s="50">
        <v>169002651</v>
      </c>
      <c r="J2311" s="96" t="s">
        <v>157</v>
      </c>
      <c r="K2311" s="49" t="s">
        <v>303</v>
      </c>
      <c r="L2311" s="39" t="s">
        <v>304</v>
      </c>
      <c r="M2311" s="49" t="s">
        <v>214</v>
      </c>
      <c r="N2311" s="39" t="s">
        <v>296</v>
      </c>
      <c r="O2311" s="96" t="s">
        <v>305</v>
      </c>
      <c r="P2311" s="49" t="s">
        <v>157</v>
      </c>
      <c r="Q2311" s="96" t="s">
        <v>104</v>
      </c>
      <c r="R2311" s="52">
        <v>11.9</v>
      </c>
      <c r="S2311" s="52">
        <f>R2311-T2311</f>
        <v>10.625</v>
      </c>
      <c r="T2311" s="52">
        <f>R2311*U2311/(U2311+100)</f>
        <v>1.2750000000000001</v>
      </c>
      <c r="U2311" s="50">
        <v>12</v>
      </c>
      <c r="V2311" s="53">
        <v>0</v>
      </c>
      <c r="W2311" s="147">
        <v>3</v>
      </c>
      <c r="X2311" s="148" t="s">
        <v>163</v>
      </c>
      <c r="Y2311" s="54">
        <f>R2311*W2311</f>
        <v>35.7</v>
      </c>
      <c r="Z2311" s="52">
        <f>S2311*W2311</f>
        <v>31.875</v>
      </c>
      <c r="AA2311" s="52">
        <f>T2311*W2311</f>
        <v>3.825</v>
      </c>
      <c r="AB2311" s="52">
        <f>V2311*W2311</f>
        <v>0</v>
      </c>
      <c r="AC2311" s="53">
        <f>(R2311+V2311)*W2311</f>
        <v>35.7</v>
      </c>
      <c r="AD2311" s="138">
        <v>11.9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109</v>
      </c>
      <c r="F2312" s="96" t="s">
        <v>111</v>
      </c>
      <c r="G2312" s="97">
        <v>46132</v>
      </c>
      <c r="H2312" s="98">
        <v>0.5951736111111111</v>
      </c>
      <c r="I2312" s="50">
        <v>169002651</v>
      </c>
      <c r="J2312" s="96" t="s">
        <v>157</v>
      </c>
      <c r="K2312" s="49" t="s">
        <v>3301</v>
      </c>
      <c r="L2312" s="39" t="s">
        <v>3302</v>
      </c>
      <c r="M2312" s="49" t="s">
        <v>277</v>
      </c>
      <c r="N2312" s="39" t="s">
        <v>490</v>
      </c>
      <c r="O2312" s="96" t="s">
        <v>3303</v>
      </c>
      <c r="P2312" s="49" t="s">
        <v>157</v>
      </c>
      <c r="Q2312" s="96" t="s">
        <v>104</v>
      </c>
      <c r="R2312" s="52">
        <v>29.9</v>
      </c>
      <c r="S2312" s="52">
        <f>R2312-T2312</f>
        <v>26.69642857142857</v>
      </c>
      <c r="T2312" s="52">
        <f>R2312*U2312/(U2312+100)</f>
        <v>3.2035714285714283</v>
      </c>
      <c r="U2312" s="50">
        <v>12</v>
      </c>
      <c r="V2312" s="53">
        <v>0</v>
      </c>
      <c r="W2312" s="147">
        <v>1</v>
      </c>
      <c r="X2312" s="148" t="s">
        <v>163</v>
      </c>
      <c r="Y2312" s="54">
        <f>R2312*W2312</f>
        <v>29.9</v>
      </c>
      <c r="Z2312" s="52">
        <f>S2312*W2312</f>
        <v>26.69642857142857</v>
      </c>
      <c r="AA2312" s="52">
        <f>T2312*W2312</f>
        <v>3.2035714285714283</v>
      </c>
      <c r="AB2312" s="52">
        <f>V2312*W2312</f>
        <v>0</v>
      </c>
      <c r="AC2312" s="53">
        <f>(R2312+V2312)*W2312</f>
        <v>29.9</v>
      </c>
      <c r="AD2312" s="138">
        <v>29.9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109</v>
      </c>
      <c r="F2313" s="96" t="s">
        <v>111</v>
      </c>
      <c r="G2313" s="97">
        <v>46132</v>
      </c>
      <c r="H2313" s="98">
        <v>0.5951736111111111</v>
      </c>
      <c r="I2313" s="50">
        <v>169002651</v>
      </c>
      <c r="J2313" s="96" t="s">
        <v>157</v>
      </c>
      <c r="K2313" s="49" t="s">
        <v>3301</v>
      </c>
      <c r="L2313" s="39" t="s">
        <v>3302</v>
      </c>
      <c r="M2313" s="49" t="s">
        <v>277</v>
      </c>
      <c r="N2313" s="39" t="s">
        <v>490</v>
      </c>
      <c r="O2313" s="96" t="s">
        <v>3303</v>
      </c>
      <c r="P2313" s="49" t="s">
        <v>157</v>
      </c>
      <c r="Q2313" s="96" t="s">
        <v>104</v>
      </c>
      <c r="R2313" s="52">
        <v>29.9</v>
      </c>
      <c r="S2313" s="52">
        <f>R2313-T2313</f>
        <v>26.69642857142857</v>
      </c>
      <c r="T2313" s="52">
        <f>R2313*U2313/(U2313+100)</f>
        <v>3.2035714285714283</v>
      </c>
      <c r="U2313" s="50">
        <v>12</v>
      </c>
      <c r="V2313" s="53">
        <v>0</v>
      </c>
      <c r="W2313" s="147">
        <v>1</v>
      </c>
      <c r="X2313" s="148" t="s">
        <v>163</v>
      </c>
      <c r="Y2313" s="54">
        <f>R2313*W2313</f>
        <v>29.9</v>
      </c>
      <c r="Z2313" s="52">
        <f>S2313*W2313</f>
        <v>26.69642857142857</v>
      </c>
      <c r="AA2313" s="52">
        <f>T2313*W2313</f>
        <v>3.2035714285714283</v>
      </c>
      <c r="AB2313" s="52">
        <f>V2313*W2313</f>
        <v>0</v>
      </c>
      <c r="AC2313" s="53">
        <f>(R2313+V2313)*W2313</f>
        <v>29.9</v>
      </c>
      <c r="AD2313" s="138">
        <v>29.9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109</v>
      </c>
      <c r="F2314" s="96" t="s">
        <v>111</v>
      </c>
      <c r="G2314" s="97">
        <v>46132</v>
      </c>
      <c r="H2314" s="98">
        <v>0.5951736111111111</v>
      </c>
      <c r="I2314" s="50">
        <v>169002651</v>
      </c>
      <c r="J2314" s="96" t="s">
        <v>157</v>
      </c>
      <c r="K2314" s="49" t="s">
        <v>553</v>
      </c>
      <c r="L2314" s="39" t="s">
        <v>104</v>
      </c>
      <c r="M2314" s="49" t="s">
        <v>554</v>
      </c>
      <c r="N2314" s="39" t="s">
        <v>296</v>
      </c>
      <c r="O2314" s="96" t="s">
        <v>555</v>
      </c>
      <c r="P2314" s="49" t="s">
        <v>157</v>
      </c>
      <c r="Q2314" s="96" t="s">
        <v>104</v>
      </c>
      <c r="R2314" s="52">
        <v>8.9</v>
      </c>
      <c r="S2314" s="52">
        <f>R2314-T2314</f>
        <v>7.946428571428572</v>
      </c>
      <c r="T2314" s="52">
        <f>R2314*U2314/(U2314+100)</f>
        <v>0.9535714285714286</v>
      </c>
      <c r="U2314" s="50">
        <v>12</v>
      </c>
      <c r="V2314" s="53">
        <v>0</v>
      </c>
      <c r="W2314" s="147">
        <v>6</v>
      </c>
      <c r="X2314" s="148" t="s">
        <v>163</v>
      </c>
      <c r="Y2314" s="54">
        <f>R2314*W2314</f>
        <v>53.400000000000006</v>
      </c>
      <c r="Z2314" s="52">
        <f>S2314*W2314</f>
        <v>47.67857142857143</v>
      </c>
      <c r="AA2314" s="52">
        <f>T2314*W2314</f>
        <v>5.7214285714285715</v>
      </c>
      <c r="AB2314" s="52">
        <f>V2314*W2314</f>
        <v>0</v>
      </c>
      <c r="AC2314" s="53">
        <f>(R2314+V2314)*W2314</f>
        <v>53.400000000000006</v>
      </c>
      <c r="AD2314" s="138">
        <v>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109</v>
      </c>
      <c r="F2315" s="96" t="s">
        <v>111</v>
      </c>
      <c r="G2315" s="97">
        <v>46132</v>
      </c>
      <c r="H2315" s="98">
        <v>0.5951736111111111</v>
      </c>
      <c r="I2315" s="50">
        <v>169002651</v>
      </c>
      <c r="J2315" s="96" t="s">
        <v>157</v>
      </c>
      <c r="K2315" s="49" t="s">
        <v>690</v>
      </c>
      <c r="L2315" s="39" t="s">
        <v>104</v>
      </c>
      <c r="M2315" s="49" t="s">
        <v>554</v>
      </c>
      <c r="N2315" s="39" t="s">
        <v>513</v>
      </c>
      <c r="O2315" s="96" t="s">
        <v>1515</v>
      </c>
      <c r="P2315" s="49" t="s">
        <v>157</v>
      </c>
      <c r="Q2315" s="96" t="s">
        <v>104</v>
      </c>
      <c r="R2315" s="52">
        <v>39.9</v>
      </c>
      <c r="S2315" s="52">
        <f>R2315-T2315</f>
        <v>35.625</v>
      </c>
      <c r="T2315" s="52">
        <f>R2315*U2315/(U2315+100)</f>
        <v>4.2749999999999995</v>
      </c>
      <c r="U2315" s="50">
        <v>12</v>
      </c>
      <c r="V2315" s="53">
        <v>0</v>
      </c>
      <c r="W2315" s="147">
        <v>1</v>
      </c>
      <c r="X2315" s="148" t="s">
        <v>163</v>
      </c>
      <c r="Y2315" s="54">
        <f>R2315*W2315</f>
        <v>39.9</v>
      </c>
      <c r="Z2315" s="52">
        <f>S2315*W2315</f>
        <v>35.625</v>
      </c>
      <c r="AA2315" s="52">
        <f>T2315*W2315</f>
        <v>4.2749999999999995</v>
      </c>
      <c r="AB2315" s="52">
        <f>V2315*W2315</f>
        <v>0</v>
      </c>
      <c r="AC2315" s="53">
        <f>(R2315+V2315)*W2315</f>
        <v>39.9</v>
      </c>
      <c r="AD2315" s="138">
        <v>39.9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109</v>
      </c>
      <c r="F2316" s="96" t="s">
        <v>111</v>
      </c>
      <c r="G2316" s="97">
        <v>46132</v>
      </c>
      <c r="H2316" s="98">
        <v>0.5965046296296296</v>
      </c>
      <c r="I2316" s="50">
        <v>169002652</v>
      </c>
      <c r="J2316" s="96" t="s">
        <v>157</v>
      </c>
      <c r="K2316" s="49" t="s">
        <v>1346</v>
      </c>
      <c r="L2316" s="39" t="s">
        <v>1347</v>
      </c>
      <c r="M2316" s="49" t="s">
        <v>185</v>
      </c>
      <c r="N2316" s="39" t="s">
        <v>244</v>
      </c>
      <c r="O2316" s="96" t="s">
        <v>1348</v>
      </c>
      <c r="P2316" s="49" t="s">
        <v>157</v>
      </c>
      <c r="Q2316" s="96" t="s">
        <v>104</v>
      </c>
      <c r="R2316" s="52">
        <v>14.9</v>
      </c>
      <c r="S2316" s="52">
        <f>R2316-T2316</f>
        <v>13.303571428571429</v>
      </c>
      <c r="T2316" s="52">
        <f>R2316*U2316/(U2316+100)</f>
        <v>1.5964285714285715</v>
      </c>
      <c r="U2316" s="50">
        <v>12</v>
      </c>
      <c r="V2316" s="53">
        <v>0</v>
      </c>
      <c r="W2316" s="147">
        <v>1</v>
      </c>
      <c r="X2316" s="148" t="s">
        <v>163</v>
      </c>
      <c r="Y2316" s="54">
        <f>R2316*W2316</f>
        <v>14.9</v>
      </c>
      <c r="Z2316" s="52">
        <f>S2316*W2316</f>
        <v>13.303571428571429</v>
      </c>
      <c r="AA2316" s="52">
        <f>T2316*W2316</f>
        <v>1.5964285714285715</v>
      </c>
      <c r="AB2316" s="52">
        <f>V2316*W2316</f>
        <v>0</v>
      </c>
      <c r="AC2316" s="53">
        <f>(R2316+V2316)*W2316</f>
        <v>14.9</v>
      </c>
      <c r="AD2316" s="138">
        <v>14.9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109</v>
      </c>
      <c r="F2317" s="96" t="s">
        <v>111</v>
      </c>
      <c r="G2317" s="97">
        <v>46132</v>
      </c>
      <c r="H2317" s="98">
        <v>0.5965046296296296</v>
      </c>
      <c r="I2317" s="50">
        <v>169002652</v>
      </c>
      <c r="J2317" s="96" t="s">
        <v>157</v>
      </c>
      <c r="K2317" s="49" t="s">
        <v>603</v>
      </c>
      <c r="L2317" s="39" t="s">
        <v>604</v>
      </c>
      <c r="M2317" s="49" t="s">
        <v>600</v>
      </c>
      <c r="N2317" s="39" t="s">
        <v>601</v>
      </c>
      <c r="O2317" s="96" t="s">
        <v>1369</v>
      </c>
      <c r="P2317" s="49" t="s">
        <v>235</v>
      </c>
      <c r="Q2317" s="96" t="s">
        <v>236</v>
      </c>
      <c r="R2317" s="52">
        <v>29.9</v>
      </c>
      <c r="S2317" s="52">
        <f>R2317-T2317</f>
        <v>26.69642857142857</v>
      </c>
      <c r="T2317" s="52">
        <f>R2317*U2317/(U2317+100)</f>
        <v>3.2035714285714283</v>
      </c>
      <c r="U2317" s="50">
        <v>12</v>
      </c>
      <c r="V2317" s="53">
        <v>0</v>
      </c>
      <c r="W2317" s="147">
        <v>1</v>
      </c>
      <c r="X2317" s="148" t="s">
        <v>163</v>
      </c>
      <c r="Y2317" s="54">
        <f>R2317*W2317</f>
        <v>29.9</v>
      </c>
      <c r="Z2317" s="52">
        <f>S2317*W2317</f>
        <v>26.69642857142857</v>
      </c>
      <c r="AA2317" s="52">
        <f>T2317*W2317</f>
        <v>3.2035714285714283</v>
      </c>
      <c r="AB2317" s="52">
        <f>V2317*W2317</f>
        <v>0</v>
      </c>
      <c r="AC2317" s="53">
        <f>(R2317+V2317)*W2317</f>
        <v>29.9</v>
      </c>
      <c r="AD2317" s="138">
        <v>29.9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109</v>
      </c>
      <c r="F2318" s="96" t="s">
        <v>111</v>
      </c>
      <c r="G2318" s="97">
        <v>46132</v>
      </c>
      <c r="H2318" s="98">
        <v>0.5965046296296296</v>
      </c>
      <c r="I2318" s="50">
        <v>169002652</v>
      </c>
      <c r="J2318" s="96" t="s">
        <v>157</v>
      </c>
      <c r="K2318" s="49" t="s">
        <v>3304</v>
      </c>
      <c r="L2318" s="39" t="s">
        <v>3305</v>
      </c>
      <c r="M2318" s="49" t="s">
        <v>300</v>
      </c>
      <c r="N2318" s="39" t="s">
        <v>1518</v>
      </c>
      <c r="O2318" s="96" t="s">
        <v>3306</v>
      </c>
      <c r="P2318" s="49" t="s">
        <v>157</v>
      </c>
      <c r="Q2318" s="96" t="s">
        <v>104</v>
      </c>
      <c r="R2318" s="52">
        <v>4.9</v>
      </c>
      <c r="S2318" s="52">
        <f>R2318-T2318</f>
        <v>4.375</v>
      </c>
      <c r="T2318" s="52">
        <f>R2318*U2318/(U2318+100)</f>
        <v>0.525</v>
      </c>
      <c r="U2318" s="50">
        <v>12</v>
      </c>
      <c r="V2318" s="53">
        <v>0</v>
      </c>
      <c r="W2318" s="147">
        <v>1</v>
      </c>
      <c r="X2318" s="148" t="s">
        <v>163</v>
      </c>
      <c r="Y2318" s="54">
        <f>R2318*W2318</f>
        <v>4.9</v>
      </c>
      <c r="Z2318" s="52">
        <f>S2318*W2318</f>
        <v>4.375</v>
      </c>
      <c r="AA2318" s="52">
        <f>T2318*W2318</f>
        <v>0.525</v>
      </c>
      <c r="AB2318" s="52">
        <f>V2318*W2318</f>
        <v>0</v>
      </c>
      <c r="AC2318" s="53">
        <f>(R2318+V2318)*W2318</f>
        <v>4.9</v>
      </c>
      <c r="AD2318" s="138">
        <v>4.9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109</v>
      </c>
      <c r="F2319" s="96" t="s">
        <v>111</v>
      </c>
      <c r="G2319" s="97">
        <v>46132</v>
      </c>
      <c r="H2319" s="98">
        <v>0.5965046296296296</v>
      </c>
      <c r="I2319" s="50">
        <v>169002652</v>
      </c>
      <c r="J2319" s="96" t="s">
        <v>157</v>
      </c>
      <c r="K2319" s="49" t="s">
        <v>3304</v>
      </c>
      <c r="L2319" s="39" t="s">
        <v>3305</v>
      </c>
      <c r="M2319" s="49" t="s">
        <v>300</v>
      </c>
      <c r="N2319" s="39" t="s">
        <v>1518</v>
      </c>
      <c r="O2319" s="96" t="s">
        <v>3306</v>
      </c>
      <c r="P2319" s="49" t="s">
        <v>157</v>
      </c>
      <c r="Q2319" s="96" t="s">
        <v>104</v>
      </c>
      <c r="R2319" s="52">
        <v>4.9</v>
      </c>
      <c r="S2319" s="52">
        <f>R2319-T2319</f>
        <v>4.375</v>
      </c>
      <c r="T2319" s="52">
        <f>R2319*U2319/(U2319+100)</f>
        <v>0.525</v>
      </c>
      <c r="U2319" s="50">
        <v>12</v>
      </c>
      <c r="V2319" s="53">
        <v>0</v>
      </c>
      <c r="W2319" s="147">
        <v>1</v>
      </c>
      <c r="X2319" s="148" t="s">
        <v>163</v>
      </c>
      <c r="Y2319" s="54">
        <f>R2319*W2319</f>
        <v>4.9</v>
      </c>
      <c r="Z2319" s="52">
        <f>S2319*W2319</f>
        <v>4.375</v>
      </c>
      <c r="AA2319" s="52">
        <f>T2319*W2319</f>
        <v>0.525</v>
      </c>
      <c r="AB2319" s="52">
        <f>V2319*W2319</f>
        <v>0</v>
      </c>
      <c r="AC2319" s="53">
        <f>(R2319+V2319)*W2319</f>
        <v>4.9</v>
      </c>
      <c r="AD2319" s="138">
        <v>4.9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109</v>
      </c>
      <c r="F2320" s="96" t="s">
        <v>111</v>
      </c>
      <c r="G2320" s="97">
        <v>46132</v>
      </c>
      <c r="H2320" s="98">
        <v>0.5965046296296296</v>
      </c>
      <c r="I2320" s="50">
        <v>169002652</v>
      </c>
      <c r="J2320" s="96" t="s">
        <v>157</v>
      </c>
      <c r="K2320" s="49" t="s">
        <v>3307</v>
      </c>
      <c r="L2320" s="39" t="s">
        <v>3308</v>
      </c>
      <c r="M2320" s="49" t="s">
        <v>2137</v>
      </c>
      <c r="N2320" s="39" t="s">
        <v>2692</v>
      </c>
      <c r="O2320" s="96" t="s">
        <v>3309</v>
      </c>
      <c r="P2320" s="49" t="s">
        <v>157</v>
      </c>
      <c r="Q2320" s="96" t="s">
        <v>104</v>
      </c>
      <c r="R2320" s="52">
        <v>10.9</v>
      </c>
      <c r="S2320" s="52">
        <f>R2320-T2320</f>
        <v>9.732142857142858</v>
      </c>
      <c r="T2320" s="52">
        <f>R2320*U2320/(U2320+100)</f>
        <v>1.167857142857143</v>
      </c>
      <c r="U2320" s="50">
        <v>12</v>
      </c>
      <c r="V2320" s="53">
        <v>0</v>
      </c>
      <c r="W2320" s="147">
        <v>1</v>
      </c>
      <c r="X2320" s="148" t="s">
        <v>163</v>
      </c>
      <c r="Y2320" s="54">
        <f>R2320*W2320</f>
        <v>10.9</v>
      </c>
      <c r="Z2320" s="52">
        <f>S2320*W2320</f>
        <v>9.732142857142858</v>
      </c>
      <c r="AA2320" s="52">
        <f>T2320*W2320</f>
        <v>1.167857142857143</v>
      </c>
      <c r="AB2320" s="52">
        <f>V2320*W2320</f>
        <v>0</v>
      </c>
      <c r="AC2320" s="53">
        <f>(R2320+V2320)*W2320</f>
        <v>10.9</v>
      </c>
      <c r="AD2320" s="138">
        <v>10.9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109</v>
      </c>
      <c r="F2321" s="96" t="s">
        <v>111</v>
      </c>
      <c r="G2321" s="97">
        <v>46132</v>
      </c>
      <c r="H2321" s="98">
        <v>0.5965046296296296</v>
      </c>
      <c r="I2321" s="50">
        <v>169002652</v>
      </c>
      <c r="J2321" s="96" t="s">
        <v>157</v>
      </c>
      <c r="K2321" s="49" t="s">
        <v>758</v>
      </c>
      <c r="L2321" s="39" t="s">
        <v>759</v>
      </c>
      <c r="M2321" s="49" t="s">
        <v>201</v>
      </c>
      <c r="N2321" s="39" t="s">
        <v>202</v>
      </c>
      <c r="O2321" s="96" t="s">
        <v>1235</v>
      </c>
      <c r="P2321" s="49" t="s">
        <v>235</v>
      </c>
      <c r="Q2321" s="96" t="s">
        <v>236</v>
      </c>
      <c r="R2321" s="52">
        <v>19.9</v>
      </c>
      <c r="S2321" s="52">
        <f>R2321-T2321</f>
        <v>17.767857142857142</v>
      </c>
      <c r="T2321" s="52">
        <f>R2321*U2321/(U2321+100)</f>
        <v>2.132142857142857</v>
      </c>
      <c r="U2321" s="50">
        <v>12</v>
      </c>
      <c r="V2321" s="53">
        <v>0</v>
      </c>
      <c r="W2321" s="147">
        <v>1</v>
      </c>
      <c r="X2321" s="148" t="s">
        <v>163</v>
      </c>
      <c r="Y2321" s="54">
        <f>R2321*W2321</f>
        <v>19.9</v>
      </c>
      <c r="Z2321" s="52">
        <f>S2321*W2321</f>
        <v>17.767857142857142</v>
      </c>
      <c r="AA2321" s="52">
        <f>T2321*W2321</f>
        <v>2.132142857142857</v>
      </c>
      <c r="AB2321" s="52">
        <f>V2321*W2321</f>
        <v>0</v>
      </c>
      <c r="AC2321" s="53">
        <f>(R2321+V2321)*W2321</f>
        <v>19.9</v>
      </c>
      <c r="AD2321" s="138">
        <v>19.9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109</v>
      </c>
      <c r="F2322" s="96" t="s">
        <v>111</v>
      </c>
      <c r="G2322" s="97">
        <v>46132</v>
      </c>
      <c r="H2322" s="98">
        <v>0.5965046296296296</v>
      </c>
      <c r="I2322" s="50">
        <v>169002652</v>
      </c>
      <c r="J2322" s="96" t="s">
        <v>157</v>
      </c>
      <c r="K2322" s="49" t="s">
        <v>758</v>
      </c>
      <c r="L2322" s="39" t="s">
        <v>759</v>
      </c>
      <c r="M2322" s="49" t="s">
        <v>201</v>
      </c>
      <c r="N2322" s="39" t="s">
        <v>202</v>
      </c>
      <c r="O2322" s="96" t="s">
        <v>1235</v>
      </c>
      <c r="P2322" s="49" t="s">
        <v>235</v>
      </c>
      <c r="Q2322" s="96" t="s">
        <v>236</v>
      </c>
      <c r="R2322" s="52">
        <v>19.9</v>
      </c>
      <c r="S2322" s="52">
        <f>R2322-T2322</f>
        <v>17.767857142857142</v>
      </c>
      <c r="T2322" s="52">
        <f>R2322*U2322/(U2322+100)</f>
        <v>2.132142857142857</v>
      </c>
      <c r="U2322" s="50">
        <v>12</v>
      </c>
      <c r="V2322" s="53">
        <v>0</v>
      </c>
      <c r="W2322" s="147">
        <v>1</v>
      </c>
      <c r="X2322" s="148" t="s">
        <v>163</v>
      </c>
      <c r="Y2322" s="54">
        <f>R2322*W2322</f>
        <v>19.9</v>
      </c>
      <c r="Z2322" s="52">
        <f>S2322*W2322</f>
        <v>17.767857142857142</v>
      </c>
      <c r="AA2322" s="52">
        <f>T2322*W2322</f>
        <v>2.132142857142857</v>
      </c>
      <c r="AB2322" s="52">
        <f>V2322*W2322</f>
        <v>0</v>
      </c>
      <c r="AC2322" s="53">
        <f>(R2322+V2322)*W2322</f>
        <v>19.9</v>
      </c>
      <c r="AD2322" s="138">
        <v>19.9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109</v>
      </c>
      <c r="F2323" s="96" t="s">
        <v>111</v>
      </c>
      <c r="G2323" s="97">
        <v>46132</v>
      </c>
      <c r="H2323" s="98">
        <v>0.5965046296296296</v>
      </c>
      <c r="I2323" s="50">
        <v>169002652</v>
      </c>
      <c r="J2323" s="96" t="s">
        <v>157</v>
      </c>
      <c r="K2323" s="49" t="s">
        <v>1606</v>
      </c>
      <c r="L2323" s="39" t="s">
        <v>1607</v>
      </c>
      <c r="M2323" s="49" t="s">
        <v>620</v>
      </c>
      <c r="N2323" s="39" t="s">
        <v>167</v>
      </c>
      <c r="O2323" s="96" t="s">
        <v>1608</v>
      </c>
      <c r="P2323" s="49" t="s">
        <v>157</v>
      </c>
      <c r="Q2323" s="96" t="s">
        <v>104</v>
      </c>
      <c r="R2323" s="52">
        <v>14.9</v>
      </c>
      <c r="S2323" s="52">
        <f>R2323-T2323</f>
        <v>12.31404958677686</v>
      </c>
      <c r="T2323" s="52">
        <f>R2323*U2323/(U2323+100)</f>
        <v>2.5859504132231406</v>
      </c>
      <c r="U2323" s="50">
        <v>21</v>
      </c>
      <c r="V2323" s="53">
        <v>0</v>
      </c>
      <c r="W2323" s="147">
        <v>1</v>
      </c>
      <c r="X2323" s="148" t="s">
        <v>163</v>
      </c>
      <c r="Y2323" s="54">
        <f>R2323*W2323</f>
        <v>14.9</v>
      </c>
      <c r="Z2323" s="52">
        <f>S2323*W2323</f>
        <v>12.31404958677686</v>
      </c>
      <c r="AA2323" s="52">
        <f>T2323*W2323</f>
        <v>2.5859504132231406</v>
      </c>
      <c r="AB2323" s="52">
        <f>V2323*W2323</f>
        <v>0</v>
      </c>
      <c r="AC2323" s="53">
        <f>(R2323+V2323)*W2323</f>
        <v>14.9</v>
      </c>
      <c r="AD2323" s="138">
        <v>14.9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109</v>
      </c>
      <c r="F2324" s="96" t="s">
        <v>111</v>
      </c>
      <c r="G2324" s="97">
        <v>46132</v>
      </c>
      <c r="H2324" s="98">
        <v>0.5965046296296296</v>
      </c>
      <c r="I2324" s="50">
        <v>169002652</v>
      </c>
      <c r="J2324" s="96" t="s">
        <v>157</v>
      </c>
      <c r="K2324" s="49" t="s">
        <v>2852</v>
      </c>
      <c r="L2324" s="39" t="s">
        <v>104</v>
      </c>
      <c r="M2324" s="49" t="s">
        <v>190</v>
      </c>
      <c r="N2324" s="39" t="s">
        <v>462</v>
      </c>
      <c r="O2324" s="96" t="s">
        <v>2853</v>
      </c>
      <c r="P2324" s="49" t="s">
        <v>157</v>
      </c>
      <c r="Q2324" s="96" t="s">
        <v>104</v>
      </c>
      <c r="R2324" s="52">
        <v>16.9</v>
      </c>
      <c r="S2324" s="52">
        <f>R2324-T2324</f>
        <v>15.089285714285714</v>
      </c>
      <c r="T2324" s="52">
        <f>R2324*U2324/(U2324+100)</f>
        <v>1.8107142857142855</v>
      </c>
      <c r="U2324" s="50">
        <v>12</v>
      </c>
      <c r="V2324" s="53">
        <v>0</v>
      </c>
      <c r="W2324" s="147">
        <v>2</v>
      </c>
      <c r="X2324" s="148" t="s">
        <v>163</v>
      </c>
      <c r="Y2324" s="54">
        <f>R2324*W2324</f>
        <v>33.8</v>
      </c>
      <c r="Z2324" s="52">
        <f>S2324*W2324</f>
        <v>30.178571428571427</v>
      </c>
      <c r="AA2324" s="52">
        <f>T2324*W2324</f>
        <v>3.621428571428571</v>
      </c>
      <c r="AB2324" s="52">
        <f>V2324*W2324</f>
        <v>0</v>
      </c>
      <c r="AC2324" s="53">
        <f>(R2324+V2324)*W2324</f>
        <v>33.8</v>
      </c>
      <c r="AD2324" s="138">
        <v>16.9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109</v>
      </c>
      <c r="F2325" s="96" t="s">
        <v>111</v>
      </c>
      <c r="G2325" s="97">
        <v>46132</v>
      </c>
      <c r="H2325" s="98">
        <v>0.5965046296296296</v>
      </c>
      <c r="I2325" s="50">
        <v>169002652</v>
      </c>
      <c r="J2325" s="96" t="s">
        <v>157</v>
      </c>
      <c r="K2325" s="49" t="s">
        <v>628</v>
      </c>
      <c r="L2325" s="39" t="s">
        <v>629</v>
      </c>
      <c r="M2325" s="49" t="s">
        <v>214</v>
      </c>
      <c r="N2325" s="39" t="s">
        <v>296</v>
      </c>
      <c r="O2325" s="96" t="s">
        <v>630</v>
      </c>
      <c r="P2325" s="49" t="s">
        <v>157</v>
      </c>
      <c r="Q2325" s="96" t="s">
        <v>104</v>
      </c>
      <c r="R2325" s="52">
        <v>9.9</v>
      </c>
      <c r="S2325" s="52">
        <f>R2325-T2325</f>
        <v>8.839285714285715</v>
      </c>
      <c r="T2325" s="52">
        <f>R2325*U2325/(U2325+100)</f>
        <v>1.0607142857142857</v>
      </c>
      <c r="U2325" s="50">
        <v>12</v>
      </c>
      <c r="V2325" s="53">
        <v>0</v>
      </c>
      <c r="W2325" s="147">
        <v>3</v>
      </c>
      <c r="X2325" s="148" t="s">
        <v>163</v>
      </c>
      <c r="Y2325" s="54">
        <f>R2325*W2325</f>
        <v>29.700000000000003</v>
      </c>
      <c r="Z2325" s="52">
        <f>S2325*W2325</f>
        <v>26.517857142857146</v>
      </c>
      <c r="AA2325" s="52">
        <f>T2325*W2325</f>
        <v>3.182142857142857</v>
      </c>
      <c r="AB2325" s="52">
        <f>V2325*W2325</f>
        <v>0</v>
      </c>
      <c r="AC2325" s="53">
        <f>(R2325+V2325)*W2325</f>
        <v>29.700000000000003</v>
      </c>
      <c r="AD2325" s="138">
        <v>9.9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109</v>
      </c>
      <c r="F2326" s="96" t="s">
        <v>111</v>
      </c>
      <c r="G2326" s="97">
        <v>46132</v>
      </c>
      <c r="H2326" s="98">
        <v>0.5969212962962963</v>
      </c>
      <c r="I2326" s="50">
        <v>169002653</v>
      </c>
      <c r="J2326" s="96" t="s">
        <v>157</v>
      </c>
      <c r="K2326" s="49" t="s">
        <v>3310</v>
      </c>
      <c r="L2326" s="39" t="s">
        <v>3311</v>
      </c>
      <c r="M2326" s="49" t="s">
        <v>444</v>
      </c>
      <c r="N2326" s="39" t="s">
        <v>228</v>
      </c>
      <c r="O2326" s="96" t="s">
        <v>3312</v>
      </c>
      <c r="P2326" s="49" t="s">
        <v>157</v>
      </c>
      <c r="Q2326" s="96" t="s">
        <v>104</v>
      </c>
      <c r="R2326" s="52">
        <v>17.9</v>
      </c>
      <c r="S2326" s="52">
        <f>R2326-T2326</f>
        <v>15.982142857142856</v>
      </c>
      <c r="T2326" s="52">
        <f>R2326*U2326/(U2326+100)</f>
        <v>1.9178571428571427</v>
      </c>
      <c r="U2326" s="50">
        <v>12</v>
      </c>
      <c r="V2326" s="53">
        <v>0</v>
      </c>
      <c r="W2326" s="147">
        <v>1</v>
      </c>
      <c r="X2326" s="148" t="s">
        <v>163</v>
      </c>
      <c r="Y2326" s="54">
        <f>R2326*W2326</f>
        <v>17.9</v>
      </c>
      <c r="Z2326" s="52">
        <f>S2326*W2326</f>
        <v>15.982142857142856</v>
      </c>
      <c r="AA2326" s="52">
        <f>T2326*W2326</f>
        <v>1.9178571428571427</v>
      </c>
      <c r="AB2326" s="52">
        <f>V2326*W2326</f>
        <v>0</v>
      </c>
      <c r="AC2326" s="53">
        <f>(R2326+V2326)*W2326</f>
        <v>17.9</v>
      </c>
      <c r="AD2326" s="138">
        <v>17.9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109</v>
      </c>
      <c r="F2327" s="96" t="s">
        <v>111</v>
      </c>
      <c r="G2327" s="97">
        <v>46132</v>
      </c>
      <c r="H2327" s="98">
        <v>0.5969212962962963</v>
      </c>
      <c r="I2327" s="50">
        <v>169002653</v>
      </c>
      <c r="J2327" s="96" t="s">
        <v>157</v>
      </c>
      <c r="K2327" s="49" t="s">
        <v>3310</v>
      </c>
      <c r="L2327" s="39" t="s">
        <v>3311</v>
      </c>
      <c r="M2327" s="49" t="s">
        <v>444</v>
      </c>
      <c r="N2327" s="39" t="s">
        <v>228</v>
      </c>
      <c r="O2327" s="96" t="s">
        <v>3312</v>
      </c>
      <c r="P2327" s="49" t="s">
        <v>157</v>
      </c>
      <c r="Q2327" s="96" t="s">
        <v>104</v>
      </c>
      <c r="R2327" s="52">
        <v>17.9</v>
      </c>
      <c r="S2327" s="52">
        <f>R2327-T2327</f>
        <v>15.982142857142856</v>
      </c>
      <c r="T2327" s="52">
        <f>R2327*U2327/(U2327+100)</f>
        <v>1.9178571428571427</v>
      </c>
      <c r="U2327" s="50">
        <v>12</v>
      </c>
      <c r="V2327" s="53">
        <v>0</v>
      </c>
      <c r="W2327" s="147">
        <v>1</v>
      </c>
      <c r="X2327" s="148" t="s">
        <v>163</v>
      </c>
      <c r="Y2327" s="54">
        <f>R2327*W2327</f>
        <v>17.9</v>
      </c>
      <c r="Z2327" s="52">
        <f>S2327*W2327</f>
        <v>15.982142857142856</v>
      </c>
      <c r="AA2327" s="52">
        <f>T2327*W2327</f>
        <v>1.9178571428571427</v>
      </c>
      <c r="AB2327" s="52">
        <f>V2327*W2327</f>
        <v>0</v>
      </c>
      <c r="AC2327" s="53">
        <f>(R2327+V2327)*W2327</f>
        <v>17.9</v>
      </c>
      <c r="AD2327" s="138">
        <v>17.9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109</v>
      </c>
      <c r="F2328" s="96" t="s">
        <v>111</v>
      </c>
      <c r="G2328" s="97">
        <v>46132</v>
      </c>
      <c r="H2328" s="98">
        <v>0.5969212962962963</v>
      </c>
      <c r="I2328" s="50">
        <v>169002653</v>
      </c>
      <c r="J2328" s="96" t="s">
        <v>157</v>
      </c>
      <c r="K2328" s="49" t="s">
        <v>3313</v>
      </c>
      <c r="L2328" s="39" t="s">
        <v>3314</v>
      </c>
      <c r="M2328" s="49" t="s">
        <v>2371</v>
      </c>
      <c r="N2328" s="39" t="s">
        <v>1131</v>
      </c>
      <c r="O2328" s="96" t="s">
        <v>3315</v>
      </c>
      <c r="P2328" s="49" t="s">
        <v>157</v>
      </c>
      <c r="Q2328" s="96" t="s">
        <v>104</v>
      </c>
      <c r="R2328" s="52">
        <v>39.9</v>
      </c>
      <c r="S2328" s="52">
        <f>R2328-T2328</f>
        <v>32.97520661157024</v>
      </c>
      <c r="T2328" s="52">
        <f>R2328*U2328/(U2328+100)</f>
        <v>6.924793388429752</v>
      </c>
      <c r="U2328" s="50">
        <v>21</v>
      </c>
      <c r="V2328" s="53">
        <v>0</v>
      </c>
      <c r="W2328" s="147">
        <v>1</v>
      </c>
      <c r="X2328" s="148" t="s">
        <v>163</v>
      </c>
      <c r="Y2328" s="54">
        <f>R2328*W2328</f>
        <v>39.9</v>
      </c>
      <c r="Z2328" s="52">
        <f>S2328*W2328</f>
        <v>32.97520661157024</v>
      </c>
      <c r="AA2328" s="52">
        <f>T2328*W2328</f>
        <v>6.924793388429752</v>
      </c>
      <c r="AB2328" s="52">
        <f>V2328*W2328</f>
        <v>0</v>
      </c>
      <c r="AC2328" s="53">
        <f>(R2328+V2328)*W2328</f>
        <v>39.9</v>
      </c>
      <c r="AD2328" s="138">
        <v>39.9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109</v>
      </c>
      <c r="F2329" s="96" t="s">
        <v>111</v>
      </c>
      <c r="G2329" s="97">
        <v>46132</v>
      </c>
      <c r="H2329" s="98">
        <v>0.5969212962962963</v>
      </c>
      <c r="I2329" s="50">
        <v>169002653</v>
      </c>
      <c r="J2329" s="96" t="s">
        <v>157</v>
      </c>
      <c r="K2329" s="49" t="s">
        <v>271</v>
      </c>
      <c r="L2329" s="39" t="s">
        <v>272</v>
      </c>
      <c r="M2329" s="49" t="s">
        <v>214</v>
      </c>
      <c r="N2329" s="39" t="s">
        <v>273</v>
      </c>
      <c r="O2329" s="96" t="s">
        <v>1715</v>
      </c>
      <c r="P2329" s="49" t="s">
        <v>157</v>
      </c>
      <c r="Q2329" s="96" t="s">
        <v>104</v>
      </c>
      <c r="R2329" s="52">
        <v>13.9</v>
      </c>
      <c r="S2329" s="52">
        <f>R2329-T2329</f>
        <v>12.410714285714286</v>
      </c>
      <c r="T2329" s="52">
        <f>R2329*U2329/(U2329+100)</f>
        <v>1.4892857142857143</v>
      </c>
      <c r="U2329" s="50">
        <v>12</v>
      </c>
      <c r="V2329" s="53">
        <v>0</v>
      </c>
      <c r="W2329" s="147">
        <v>2</v>
      </c>
      <c r="X2329" s="148" t="s">
        <v>163</v>
      </c>
      <c r="Y2329" s="54">
        <f>R2329*W2329</f>
        <v>27.8</v>
      </c>
      <c r="Z2329" s="52">
        <f>S2329*W2329</f>
        <v>24.821428571428573</v>
      </c>
      <c r="AA2329" s="52">
        <f>T2329*W2329</f>
        <v>2.9785714285714286</v>
      </c>
      <c r="AB2329" s="52">
        <f>V2329*W2329</f>
        <v>0</v>
      </c>
      <c r="AC2329" s="53">
        <f>(R2329+V2329)*W2329</f>
        <v>27.8</v>
      </c>
      <c r="AD2329" s="138">
        <v>13.9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109</v>
      </c>
      <c r="F2330" s="96" t="s">
        <v>111</v>
      </c>
      <c r="G2330" s="97">
        <v>46132</v>
      </c>
      <c r="H2330" s="98">
        <v>0.5969212962962963</v>
      </c>
      <c r="I2330" s="50">
        <v>169002653</v>
      </c>
      <c r="J2330" s="96" t="s">
        <v>157</v>
      </c>
      <c r="K2330" s="49" t="s">
        <v>2324</v>
      </c>
      <c r="L2330" s="39" t="s">
        <v>2325</v>
      </c>
      <c r="M2330" s="49" t="s">
        <v>522</v>
      </c>
      <c r="N2330" s="39" t="s">
        <v>373</v>
      </c>
      <c r="O2330" s="96" t="s">
        <v>2326</v>
      </c>
      <c r="P2330" s="49" t="s">
        <v>235</v>
      </c>
      <c r="Q2330" s="96" t="s">
        <v>236</v>
      </c>
      <c r="R2330" s="52">
        <v>159</v>
      </c>
      <c r="S2330" s="52">
        <f>R2330-T2330</f>
        <v>141.96428571428572</v>
      </c>
      <c r="T2330" s="52">
        <f>R2330*U2330/(U2330+100)</f>
        <v>17.035714285714285</v>
      </c>
      <c r="U2330" s="50">
        <v>12</v>
      </c>
      <c r="V2330" s="53">
        <v>0</v>
      </c>
      <c r="W2330" s="147">
        <v>0.48</v>
      </c>
      <c r="X2330" s="148" t="s">
        <v>193</v>
      </c>
      <c r="Y2330" s="54">
        <f>R2330*W2330</f>
        <v>76.32</v>
      </c>
      <c r="Z2330" s="52">
        <f>S2330*W2330</f>
        <v>68.14285714285714</v>
      </c>
      <c r="AA2330" s="52">
        <f>T2330*W2330</f>
        <v>8.177142857142856</v>
      </c>
      <c r="AB2330" s="52">
        <f>V2330*W2330</f>
        <v>0</v>
      </c>
      <c r="AC2330" s="53">
        <f>(R2330+V2330)*W2330</f>
        <v>76.32</v>
      </c>
      <c r="AD2330" s="138">
        <v>159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109</v>
      </c>
      <c r="F2331" s="96" t="s">
        <v>111</v>
      </c>
      <c r="G2331" s="97">
        <v>46132</v>
      </c>
      <c r="H2331" s="98">
        <v>0.5973726851851852</v>
      </c>
      <c r="I2331" s="50">
        <v>169002654</v>
      </c>
      <c r="J2331" s="96" t="s">
        <v>157</v>
      </c>
      <c r="K2331" s="49" t="s">
        <v>3316</v>
      </c>
      <c r="L2331" s="39" t="s">
        <v>3317</v>
      </c>
      <c r="M2331" s="49" t="s">
        <v>480</v>
      </c>
      <c r="N2331" s="39" t="s">
        <v>2093</v>
      </c>
      <c r="O2331" s="96" t="s">
        <v>3318</v>
      </c>
      <c r="P2331" s="49" t="s">
        <v>157</v>
      </c>
      <c r="Q2331" s="96" t="s">
        <v>104</v>
      </c>
      <c r="R2331" s="52">
        <v>27.9</v>
      </c>
      <c r="S2331" s="52">
        <f>R2331-T2331</f>
        <v>24.910714285714285</v>
      </c>
      <c r="T2331" s="52">
        <f>R2331*U2331/(U2331+100)</f>
        <v>2.989285714285714</v>
      </c>
      <c r="U2331" s="50">
        <v>12</v>
      </c>
      <c r="V2331" s="53">
        <v>0</v>
      </c>
      <c r="W2331" s="147">
        <v>1</v>
      </c>
      <c r="X2331" s="148" t="s">
        <v>163</v>
      </c>
      <c r="Y2331" s="54">
        <f>R2331*W2331</f>
        <v>27.9</v>
      </c>
      <c r="Z2331" s="52">
        <f>S2331*W2331</f>
        <v>24.910714285714285</v>
      </c>
      <c r="AA2331" s="52">
        <f>T2331*W2331</f>
        <v>2.989285714285714</v>
      </c>
      <c r="AB2331" s="52">
        <f>V2331*W2331</f>
        <v>0</v>
      </c>
      <c r="AC2331" s="53">
        <f>(R2331+V2331)*W2331</f>
        <v>27.9</v>
      </c>
      <c r="AD2331" s="138">
        <v>27.9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109</v>
      </c>
      <c r="F2332" s="96" t="s">
        <v>111</v>
      </c>
      <c r="G2332" s="97">
        <v>46132</v>
      </c>
      <c r="H2332" s="98">
        <v>0.5973726851851852</v>
      </c>
      <c r="I2332" s="50">
        <v>169002654</v>
      </c>
      <c r="J2332" s="96" t="s">
        <v>157</v>
      </c>
      <c r="K2332" s="49" t="s">
        <v>3316</v>
      </c>
      <c r="L2332" s="39" t="s">
        <v>3317</v>
      </c>
      <c r="M2332" s="49" t="s">
        <v>480</v>
      </c>
      <c r="N2332" s="39" t="s">
        <v>2093</v>
      </c>
      <c r="O2332" s="96" t="s">
        <v>3318</v>
      </c>
      <c r="P2332" s="49" t="s">
        <v>157</v>
      </c>
      <c r="Q2332" s="96" t="s">
        <v>104</v>
      </c>
      <c r="R2332" s="52">
        <v>27.9</v>
      </c>
      <c r="S2332" s="52">
        <f>R2332-T2332</f>
        <v>24.910714285714285</v>
      </c>
      <c r="T2332" s="52">
        <f>R2332*U2332/(U2332+100)</f>
        <v>2.989285714285714</v>
      </c>
      <c r="U2332" s="50">
        <v>12</v>
      </c>
      <c r="V2332" s="53">
        <v>0</v>
      </c>
      <c r="W2332" s="147">
        <v>1</v>
      </c>
      <c r="X2332" s="148" t="s">
        <v>163</v>
      </c>
      <c r="Y2332" s="54">
        <f>R2332*W2332</f>
        <v>27.9</v>
      </c>
      <c r="Z2332" s="52">
        <f>S2332*W2332</f>
        <v>24.910714285714285</v>
      </c>
      <c r="AA2332" s="52">
        <f>T2332*W2332</f>
        <v>2.989285714285714</v>
      </c>
      <c r="AB2332" s="52">
        <f>V2332*W2332</f>
        <v>0</v>
      </c>
      <c r="AC2332" s="53">
        <f>(R2332+V2332)*W2332</f>
        <v>27.9</v>
      </c>
      <c r="AD2332" s="138">
        <v>27.9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109</v>
      </c>
      <c r="F2333" s="96" t="s">
        <v>111</v>
      </c>
      <c r="G2333" s="97">
        <v>46132</v>
      </c>
      <c r="H2333" s="98">
        <v>0.5973726851851852</v>
      </c>
      <c r="I2333" s="50">
        <v>169002654</v>
      </c>
      <c r="J2333" s="96" t="s">
        <v>157</v>
      </c>
      <c r="K2333" s="49" t="s">
        <v>3319</v>
      </c>
      <c r="L2333" s="39" t="s">
        <v>3320</v>
      </c>
      <c r="M2333" s="49" t="s">
        <v>823</v>
      </c>
      <c r="N2333" s="39" t="s">
        <v>319</v>
      </c>
      <c r="O2333" s="96" t="s">
        <v>3321</v>
      </c>
      <c r="P2333" s="49" t="s">
        <v>157</v>
      </c>
      <c r="Q2333" s="96" t="s">
        <v>104</v>
      </c>
      <c r="R2333" s="52">
        <v>17.9</v>
      </c>
      <c r="S2333" s="52">
        <f>R2333-T2333</f>
        <v>15.982142857142856</v>
      </c>
      <c r="T2333" s="52">
        <f>R2333*U2333/(U2333+100)</f>
        <v>1.9178571428571427</v>
      </c>
      <c r="U2333" s="50">
        <v>12</v>
      </c>
      <c r="V2333" s="53">
        <v>0</v>
      </c>
      <c r="W2333" s="147">
        <v>1</v>
      </c>
      <c r="X2333" s="148" t="s">
        <v>163</v>
      </c>
      <c r="Y2333" s="54">
        <f>R2333*W2333</f>
        <v>17.9</v>
      </c>
      <c r="Z2333" s="52">
        <f>S2333*W2333</f>
        <v>15.982142857142856</v>
      </c>
      <c r="AA2333" s="52">
        <f>T2333*W2333</f>
        <v>1.9178571428571427</v>
      </c>
      <c r="AB2333" s="52">
        <f>V2333*W2333</f>
        <v>0</v>
      </c>
      <c r="AC2333" s="53">
        <f>(R2333+V2333)*W2333</f>
        <v>17.9</v>
      </c>
      <c r="AD2333" s="138">
        <v>17.9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109</v>
      </c>
      <c r="F2334" s="96" t="s">
        <v>111</v>
      </c>
      <c r="G2334" s="97">
        <v>46132</v>
      </c>
      <c r="H2334" s="98">
        <v>0.5973726851851852</v>
      </c>
      <c r="I2334" s="50">
        <v>169002654</v>
      </c>
      <c r="J2334" s="96" t="s">
        <v>157</v>
      </c>
      <c r="K2334" s="49" t="s">
        <v>1865</v>
      </c>
      <c r="L2334" s="39" t="s">
        <v>1866</v>
      </c>
      <c r="M2334" s="49" t="s">
        <v>190</v>
      </c>
      <c r="N2334" s="39" t="s">
        <v>191</v>
      </c>
      <c r="O2334" s="96" t="s">
        <v>1867</v>
      </c>
      <c r="P2334" s="49" t="s">
        <v>157</v>
      </c>
      <c r="Q2334" s="96" t="s">
        <v>104</v>
      </c>
      <c r="R2334" s="52">
        <v>14.9</v>
      </c>
      <c r="S2334" s="52">
        <f>R2334-T2334</f>
        <v>13.303571428571429</v>
      </c>
      <c r="T2334" s="52">
        <f>R2334*U2334/(U2334+100)</f>
        <v>1.5964285714285715</v>
      </c>
      <c r="U2334" s="50">
        <v>12</v>
      </c>
      <c r="V2334" s="53">
        <v>0</v>
      </c>
      <c r="W2334" s="147">
        <v>0.392</v>
      </c>
      <c r="X2334" s="148" t="s">
        <v>193</v>
      </c>
      <c r="Y2334" s="54">
        <f>R2334*W2334</f>
        <v>5.840800000000001</v>
      </c>
      <c r="Z2334" s="52">
        <f>S2334*W2334</f>
        <v>5.215</v>
      </c>
      <c r="AA2334" s="52">
        <f>T2334*W2334</f>
        <v>0.6258</v>
      </c>
      <c r="AB2334" s="52">
        <f>V2334*W2334</f>
        <v>0</v>
      </c>
      <c r="AC2334" s="53">
        <f>(R2334+V2334)*W2334</f>
        <v>5.840800000000001</v>
      </c>
      <c r="AD2334" s="138">
        <v>14.9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109</v>
      </c>
      <c r="F2335" s="96" t="s">
        <v>111</v>
      </c>
      <c r="G2335" s="97">
        <v>46132</v>
      </c>
      <c r="H2335" s="98">
        <v>0.5973726851851852</v>
      </c>
      <c r="I2335" s="50">
        <v>169002654</v>
      </c>
      <c r="J2335" s="96" t="s">
        <v>157</v>
      </c>
      <c r="K2335" s="49" t="s">
        <v>1085</v>
      </c>
      <c r="L2335" s="39" t="s">
        <v>1086</v>
      </c>
      <c r="M2335" s="49" t="s">
        <v>1087</v>
      </c>
      <c r="N2335" s="39" t="s">
        <v>1088</v>
      </c>
      <c r="O2335" s="96" t="s">
        <v>1089</v>
      </c>
      <c r="P2335" s="49" t="s">
        <v>157</v>
      </c>
      <c r="Q2335" s="96" t="s">
        <v>104</v>
      </c>
      <c r="R2335" s="52">
        <v>163.03</v>
      </c>
      <c r="S2335" s="52">
        <f>R2335-T2335</f>
        <v>145.5625</v>
      </c>
      <c r="T2335" s="52">
        <f>R2335*U2335/(U2335+100)</f>
        <v>17.4675</v>
      </c>
      <c r="U2335" s="50">
        <v>12</v>
      </c>
      <c r="V2335" s="53">
        <v>0</v>
      </c>
      <c r="W2335" s="147">
        <v>0.1</v>
      </c>
      <c r="X2335" s="148" t="s">
        <v>193</v>
      </c>
      <c r="Y2335" s="54">
        <f>R2335*W2335</f>
        <v>16.303</v>
      </c>
      <c r="Z2335" s="52">
        <f>S2335*W2335</f>
        <v>14.55625</v>
      </c>
      <c r="AA2335" s="52">
        <f>T2335*W2335</f>
        <v>1.7467500000000002</v>
      </c>
      <c r="AB2335" s="52">
        <f>V2335*W2335</f>
        <v>0</v>
      </c>
      <c r="AC2335" s="53">
        <f>(R2335+V2335)*W2335</f>
        <v>16.303</v>
      </c>
      <c r="AD2335" s="138">
        <v>232.9</v>
      </c>
      <c r="AE2335" s="137">
        <v>69.87</v>
      </c>
      <c r="AF2335" s="139">
        <v>6.987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109</v>
      </c>
      <c r="F2336" s="96" t="s">
        <v>111</v>
      </c>
      <c r="G2336" s="97">
        <v>46132</v>
      </c>
      <c r="H2336" s="98">
        <v>0.5973726851851852</v>
      </c>
      <c r="I2336" s="50">
        <v>169002654</v>
      </c>
      <c r="J2336" s="96" t="s">
        <v>157</v>
      </c>
      <c r="K2336" s="49" t="s">
        <v>1245</v>
      </c>
      <c r="L2336" s="39" t="s">
        <v>1246</v>
      </c>
      <c r="M2336" s="49" t="s">
        <v>522</v>
      </c>
      <c r="N2336" s="39" t="s">
        <v>1247</v>
      </c>
      <c r="O2336" s="96" t="s">
        <v>1248</v>
      </c>
      <c r="P2336" s="49" t="s">
        <v>157</v>
      </c>
      <c r="Q2336" s="96" t="s">
        <v>104</v>
      </c>
      <c r="R2336" s="52">
        <v>189.9</v>
      </c>
      <c r="S2336" s="52">
        <f>R2336-T2336</f>
        <v>169.55357142857144</v>
      </c>
      <c r="T2336" s="52">
        <f>R2336*U2336/(U2336+100)</f>
        <v>20.34642857142857</v>
      </c>
      <c r="U2336" s="50">
        <v>12</v>
      </c>
      <c r="V2336" s="53">
        <v>0</v>
      </c>
      <c r="W2336" s="147">
        <v>0.206</v>
      </c>
      <c r="X2336" s="148" t="s">
        <v>193</v>
      </c>
      <c r="Y2336" s="54">
        <f>R2336*W2336</f>
        <v>39.1194</v>
      </c>
      <c r="Z2336" s="52">
        <f>S2336*W2336</f>
        <v>34.92803571428571</v>
      </c>
      <c r="AA2336" s="52">
        <f>T2336*W2336</f>
        <v>4.191364285714285</v>
      </c>
      <c r="AB2336" s="52">
        <f>V2336*W2336</f>
        <v>0</v>
      </c>
      <c r="AC2336" s="53">
        <f>(R2336+V2336)*W2336</f>
        <v>39.1194</v>
      </c>
      <c r="AD2336" s="138">
        <v>189.9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109</v>
      </c>
      <c r="F2337" s="96" t="s">
        <v>111</v>
      </c>
      <c r="G2337" s="97">
        <v>46132</v>
      </c>
      <c r="H2337" s="98">
        <v>0.5979513888888889</v>
      </c>
      <c r="I2337" s="50">
        <v>169002655</v>
      </c>
      <c r="J2337" s="96" t="s">
        <v>157</v>
      </c>
      <c r="K2337" s="49" t="s">
        <v>261</v>
      </c>
      <c r="L2337" s="39" t="s">
        <v>262</v>
      </c>
      <c r="M2337" s="49" t="s">
        <v>263</v>
      </c>
      <c r="N2337" s="39" t="s">
        <v>264</v>
      </c>
      <c r="O2337" s="96" t="s">
        <v>1544</v>
      </c>
      <c r="P2337" s="49" t="s">
        <v>157</v>
      </c>
      <c r="Q2337" s="96" t="s">
        <v>104</v>
      </c>
      <c r="R2337" s="52">
        <v>37.9</v>
      </c>
      <c r="S2337" s="52">
        <f>R2337-T2337</f>
        <v>33.839285714285715</v>
      </c>
      <c r="T2337" s="52">
        <f>R2337*U2337/(U2337+100)</f>
        <v>4.060714285714285</v>
      </c>
      <c r="U2337" s="50">
        <v>12</v>
      </c>
      <c r="V2337" s="53">
        <v>0</v>
      </c>
      <c r="W2337" s="147">
        <v>1</v>
      </c>
      <c r="X2337" s="148" t="s">
        <v>163</v>
      </c>
      <c r="Y2337" s="54">
        <f>R2337*W2337</f>
        <v>37.9</v>
      </c>
      <c r="Z2337" s="52">
        <f>S2337*W2337</f>
        <v>33.839285714285715</v>
      </c>
      <c r="AA2337" s="52">
        <f>T2337*W2337</f>
        <v>4.060714285714285</v>
      </c>
      <c r="AB2337" s="52">
        <f>V2337*W2337</f>
        <v>0</v>
      </c>
      <c r="AC2337" s="53">
        <f>(R2337+V2337)*W2337</f>
        <v>37.9</v>
      </c>
      <c r="AD2337" s="138">
        <v>37.9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109</v>
      </c>
      <c r="F2338" s="96" t="s">
        <v>111</v>
      </c>
      <c r="G2338" s="97">
        <v>46132</v>
      </c>
      <c r="H2338" s="98">
        <v>0.5979513888888889</v>
      </c>
      <c r="I2338" s="50">
        <v>169002655</v>
      </c>
      <c r="J2338" s="96" t="s">
        <v>157</v>
      </c>
      <c r="K2338" s="49" t="s">
        <v>3322</v>
      </c>
      <c r="L2338" s="39" t="s">
        <v>3323</v>
      </c>
      <c r="M2338" s="49" t="s">
        <v>1153</v>
      </c>
      <c r="N2338" s="39" t="s">
        <v>1083</v>
      </c>
      <c r="O2338" s="96" t="s">
        <v>3324</v>
      </c>
      <c r="P2338" s="49" t="s">
        <v>157</v>
      </c>
      <c r="Q2338" s="96" t="s">
        <v>104</v>
      </c>
      <c r="R2338" s="52">
        <v>15.9</v>
      </c>
      <c r="S2338" s="52">
        <f>R2338-T2338</f>
        <v>14.196428571428571</v>
      </c>
      <c r="T2338" s="52">
        <f>R2338*U2338/(U2338+100)</f>
        <v>1.7035714285714287</v>
      </c>
      <c r="U2338" s="50">
        <v>12</v>
      </c>
      <c r="V2338" s="53">
        <v>0</v>
      </c>
      <c r="W2338" s="147">
        <v>1</v>
      </c>
      <c r="X2338" s="148" t="s">
        <v>163</v>
      </c>
      <c r="Y2338" s="54">
        <f>R2338*W2338</f>
        <v>15.9</v>
      </c>
      <c r="Z2338" s="52">
        <f>S2338*W2338</f>
        <v>14.196428571428571</v>
      </c>
      <c r="AA2338" s="52">
        <f>T2338*W2338</f>
        <v>1.7035714285714287</v>
      </c>
      <c r="AB2338" s="52">
        <f>V2338*W2338</f>
        <v>0</v>
      </c>
      <c r="AC2338" s="53">
        <f>(R2338+V2338)*W2338</f>
        <v>15.9</v>
      </c>
      <c r="AD2338" s="138">
        <v>15.9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109</v>
      </c>
      <c r="F2339" s="96" t="s">
        <v>111</v>
      </c>
      <c r="G2339" s="97">
        <v>46132</v>
      </c>
      <c r="H2339" s="98">
        <v>0.5979513888888889</v>
      </c>
      <c r="I2339" s="50">
        <v>169002655</v>
      </c>
      <c r="J2339" s="96" t="s">
        <v>157</v>
      </c>
      <c r="K2339" s="49" t="s">
        <v>3322</v>
      </c>
      <c r="L2339" s="39" t="s">
        <v>3323</v>
      </c>
      <c r="M2339" s="49" t="s">
        <v>1153</v>
      </c>
      <c r="N2339" s="39" t="s">
        <v>1083</v>
      </c>
      <c r="O2339" s="96" t="s">
        <v>3324</v>
      </c>
      <c r="P2339" s="49" t="s">
        <v>157</v>
      </c>
      <c r="Q2339" s="96" t="s">
        <v>104</v>
      </c>
      <c r="R2339" s="52">
        <v>15.9</v>
      </c>
      <c r="S2339" s="52">
        <f>R2339-T2339</f>
        <v>14.196428571428571</v>
      </c>
      <c r="T2339" s="52">
        <f>R2339*U2339/(U2339+100)</f>
        <v>1.7035714285714287</v>
      </c>
      <c r="U2339" s="50">
        <v>12</v>
      </c>
      <c r="V2339" s="53">
        <v>0</v>
      </c>
      <c r="W2339" s="147">
        <v>1</v>
      </c>
      <c r="X2339" s="148" t="s">
        <v>163</v>
      </c>
      <c r="Y2339" s="54">
        <f>R2339*W2339</f>
        <v>15.9</v>
      </c>
      <c r="Z2339" s="52">
        <f>S2339*W2339</f>
        <v>14.196428571428571</v>
      </c>
      <c r="AA2339" s="52">
        <f>T2339*W2339</f>
        <v>1.7035714285714287</v>
      </c>
      <c r="AB2339" s="52">
        <f>V2339*W2339</f>
        <v>0</v>
      </c>
      <c r="AC2339" s="53">
        <f>(R2339+V2339)*W2339</f>
        <v>15.9</v>
      </c>
      <c r="AD2339" s="138">
        <v>15.9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109</v>
      </c>
      <c r="F2340" s="96" t="s">
        <v>111</v>
      </c>
      <c r="G2340" s="97">
        <v>46132</v>
      </c>
      <c r="H2340" s="98">
        <v>0.5979513888888889</v>
      </c>
      <c r="I2340" s="50">
        <v>169002655</v>
      </c>
      <c r="J2340" s="96" t="s">
        <v>157</v>
      </c>
      <c r="K2340" s="49" t="s">
        <v>770</v>
      </c>
      <c r="L2340" s="39" t="s">
        <v>771</v>
      </c>
      <c r="M2340" s="49" t="s">
        <v>232</v>
      </c>
      <c r="N2340" s="39" t="s">
        <v>233</v>
      </c>
      <c r="O2340" s="96" t="s">
        <v>1775</v>
      </c>
      <c r="P2340" s="49" t="s">
        <v>235</v>
      </c>
      <c r="Q2340" s="96" t="s">
        <v>236</v>
      </c>
      <c r="R2340" s="52">
        <v>24.9</v>
      </c>
      <c r="S2340" s="52">
        <f>R2340-T2340</f>
        <v>20.578512396694215</v>
      </c>
      <c r="T2340" s="52">
        <f>R2340*U2340/(U2340+100)</f>
        <v>4.321487603305785</v>
      </c>
      <c r="U2340" s="50">
        <v>21</v>
      </c>
      <c r="V2340" s="53">
        <v>0</v>
      </c>
      <c r="W2340" s="147">
        <v>1</v>
      </c>
      <c r="X2340" s="148" t="s">
        <v>163</v>
      </c>
      <c r="Y2340" s="54">
        <f>R2340*W2340</f>
        <v>24.9</v>
      </c>
      <c r="Z2340" s="52">
        <f>S2340*W2340</f>
        <v>20.578512396694215</v>
      </c>
      <c r="AA2340" s="52">
        <f>T2340*W2340</f>
        <v>4.321487603305785</v>
      </c>
      <c r="AB2340" s="52">
        <f>V2340*W2340</f>
        <v>0</v>
      </c>
      <c r="AC2340" s="53">
        <f>(R2340+V2340)*W2340</f>
        <v>24.9</v>
      </c>
      <c r="AD2340" s="138">
        <v>24.9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109</v>
      </c>
      <c r="F2341" s="96" t="s">
        <v>111</v>
      </c>
      <c r="G2341" s="97">
        <v>46132</v>
      </c>
      <c r="H2341" s="98">
        <v>0.5979513888888889</v>
      </c>
      <c r="I2341" s="50">
        <v>169002655</v>
      </c>
      <c r="J2341" s="96" t="s">
        <v>157</v>
      </c>
      <c r="K2341" s="49" t="s">
        <v>303</v>
      </c>
      <c r="L2341" s="39" t="s">
        <v>304</v>
      </c>
      <c r="M2341" s="49" t="s">
        <v>214</v>
      </c>
      <c r="N2341" s="39" t="s">
        <v>296</v>
      </c>
      <c r="O2341" s="96" t="s">
        <v>305</v>
      </c>
      <c r="P2341" s="49" t="s">
        <v>157</v>
      </c>
      <c r="Q2341" s="96" t="s">
        <v>104</v>
      </c>
      <c r="R2341" s="52">
        <v>11.9</v>
      </c>
      <c r="S2341" s="52">
        <f>R2341-T2341</f>
        <v>10.625</v>
      </c>
      <c r="T2341" s="52">
        <f>R2341*U2341/(U2341+100)</f>
        <v>1.2750000000000001</v>
      </c>
      <c r="U2341" s="50">
        <v>12</v>
      </c>
      <c r="V2341" s="53">
        <v>0</v>
      </c>
      <c r="W2341" s="147">
        <v>2</v>
      </c>
      <c r="X2341" s="148" t="s">
        <v>163</v>
      </c>
      <c r="Y2341" s="54">
        <f>R2341*W2341</f>
        <v>23.8</v>
      </c>
      <c r="Z2341" s="52">
        <f>S2341*W2341</f>
        <v>21.25</v>
      </c>
      <c r="AA2341" s="52">
        <f>T2341*W2341</f>
        <v>2.5500000000000003</v>
      </c>
      <c r="AB2341" s="52">
        <f>V2341*W2341</f>
        <v>0</v>
      </c>
      <c r="AC2341" s="53">
        <f>(R2341+V2341)*W2341</f>
        <v>23.8</v>
      </c>
      <c r="AD2341" s="138">
        <v>11.9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109</v>
      </c>
      <c r="F2342" s="96" t="s">
        <v>111</v>
      </c>
      <c r="G2342" s="97">
        <v>46132</v>
      </c>
      <c r="H2342" s="98">
        <v>0.5979513888888889</v>
      </c>
      <c r="I2342" s="50">
        <v>169002655</v>
      </c>
      <c r="J2342" s="96" t="s">
        <v>157</v>
      </c>
      <c r="K2342" s="49" t="s">
        <v>3325</v>
      </c>
      <c r="L2342" s="39" t="s">
        <v>3326</v>
      </c>
      <c r="M2342" s="49" t="s">
        <v>295</v>
      </c>
      <c r="N2342" s="39" t="s">
        <v>433</v>
      </c>
      <c r="O2342" s="96" t="s">
        <v>3327</v>
      </c>
      <c r="P2342" s="49" t="s">
        <v>235</v>
      </c>
      <c r="Q2342" s="96" t="s">
        <v>236</v>
      </c>
      <c r="R2342" s="52">
        <v>39.9</v>
      </c>
      <c r="S2342" s="52">
        <f>R2342-T2342</f>
        <v>35.625</v>
      </c>
      <c r="T2342" s="52">
        <f>R2342*U2342/(U2342+100)</f>
        <v>4.2749999999999995</v>
      </c>
      <c r="U2342" s="50">
        <v>12</v>
      </c>
      <c r="V2342" s="53">
        <v>0</v>
      </c>
      <c r="W2342" s="147">
        <v>1</v>
      </c>
      <c r="X2342" s="148" t="s">
        <v>163</v>
      </c>
      <c r="Y2342" s="54">
        <f>R2342*W2342</f>
        <v>39.9</v>
      </c>
      <c r="Z2342" s="52">
        <f>S2342*W2342</f>
        <v>35.625</v>
      </c>
      <c r="AA2342" s="52">
        <f>T2342*W2342</f>
        <v>4.2749999999999995</v>
      </c>
      <c r="AB2342" s="52">
        <f>V2342*W2342</f>
        <v>0</v>
      </c>
      <c r="AC2342" s="53">
        <f>(R2342+V2342)*W2342</f>
        <v>39.9</v>
      </c>
      <c r="AD2342" s="138">
        <v>39.9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109</v>
      </c>
      <c r="F2343" s="96" t="s">
        <v>111</v>
      </c>
      <c r="G2343" s="97">
        <v>46132</v>
      </c>
      <c r="H2343" s="98">
        <v>0.5979513888888889</v>
      </c>
      <c r="I2343" s="50">
        <v>169002655</v>
      </c>
      <c r="J2343" s="96" t="s">
        <v>157</v>
      </c>
      <c r="K2343" s="49" t="s">
        <v>293</v>
      </c>
      <c r="L2343" s="39" t="s">
        <v>294</v>
      </c>
      <c r="M2343" s="49" t="s">
        <v>295</v>
      </c>
      <c r="N2343" s="39" t="s">
        <v>296</v>
      </c>
      <c r="O2343" s="96" t="s">
        <v>297</v>
      </c>
      <c r="P2343" s="49" t="s">
        <v>157</v>
      </c>
      <c r="Q2343" s="96" t="s">
        <v>104</v>
      </c>
      <c r="R2343" s="52">
        <v>2.9</v>
      </c>
      <c r="S2343" s="52">
        <f>R2343-T2343</f>
        <v>2.5892857142857144</v>
      </c>
      <c r="T2343" s="52">
        <f>R2343*U2343/(U2343+100)</f>
        <v>0.31071428571428567</v>
      </c>
      <c r="U2343" s="50">
        <v>12</v>
      </c>
      <c r="V2343" s="53">
        <v>0</v>
      </c>
      <c r="W2343" s="147">
        <v>4</v>
      </c>
      <c r="X2343" s="148" t="s">
        <v>163</v>
      </c>
      <c r="Y2343" s="54">
        <f>R2343*W2343</f>
        <v>11.6</v>
      </c>
      <c r="Z2343" s="52">
        <f>S2343*W2343</f>
        <v>10.357142857142858</v>
      </c>
      <c r="AA2343" s="52">
        <f>T2343*W2343</f>
        <v>1.2428571428571427</v>
      </c>
      <c r="AB2343" s="52">
        <f>V2343*W2343</f>
        <v>0</v>
      </c>
      <c r="AC2343" s="53">
        <f>(R2343+V2343)*W2343</f>
        <v>11.6</v>
      </c>
      <c r="AD2343" s="138">
        <v>2.9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109</v>
      </c>
      <c r="F2344" s="96" t="s">
        <v>111</v>
      </c>
      <c r="G2344" s="97">
        <v>46132</v>
      </c>
      <c r="H2344" s="98">
        <v>0.5979513888888889</v>
      </c>
      <c r="I2344" s="50">
        <v>169002655</v>
      </c>
      <c r="J2344" s="96" t="s">
        <v>157</v>
      </c>
      <c r="K2344" s="49" t="s">
        <v>553</v>
      </c>
      <c r="L2344" s="39" t="s">
        <v>104</v>
      </c>
      <c r="M2344" s="49" t="s">
        <v>554</v>
      </c>
      <c r="N2344" s="39" t="s">
        <v>296</v>
      </c>
      <c r="O2344" s="96" t="s">
        <v>555</v>
      </c>
      <c r="P2344" s="49" t="s">
        <v>157</v>
      </c>
      <c r="Q2344" s="96" t="s">
        <v>104</v>
      </c>
      <c r="R2344" s="52">
        <v>8.9</v>
      </c>
      <c r="S2344" s="52">
        <f>R2344-T2344</f>
        <v>7.946428571428572</v>
      </c>
      <c r="T2344" s="52">
        <f>R2344*U2344/(U2344+100)</f>
        <v>0.9535714285714286</v>
      </c>
      <c r="U2344" s="50">
        <v>12</v>
      </c>
      <c r="V2344" s="53">
        <v>0</v>
      </c>
      <c r="W2344" s="147">
        <v>2</v>
      </c>
      <c r="X2344" s="148" t="s">
        <v>163</v>
      </c>
      <c r="Y2344" s="54">
        <f>R2344*W2344</f>
        <v>17.8</v>
      </c>
      <c r="Z2344" s="52">
        <f>S2344*W2344</f>
        <v>15.892857142857144</v>
      </c>
      <c r="AA2344" s="52">
        <f>T2344*W2344</f>
        <v>1.9071428571428573</v>
      </c>
      <c r="AB2344" s="52">
        <f>V2344*W2344</f>
        <v>0</v>
      </c>
      <c r="AC2344" s="53">
        <f>(R2344+V2344)*W2344</f>
        <v>17.8</v>
      </c>
      <c r="AD2344" s="138">
        <v>8.9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109</v>
      </c>
      <c r="F2345" s="96" t="s">
        <v>111</v>
      </c>
      <c r="G2345" s="97">
        <v>46132</v>
      </c>
      <c r="H2345" s="98">
        <v>0.5982407407407407</v>
      </c>
      <c r="I2345" s="50">
        <v>169002656</v>
      </c>
      <c r="J2345" s="96" t="s">
        <v>157</v>
      </c>
      <c r="K2345" s="49" t="s">
        <v>1034</v>
      </c>
      <c r="L2345" s="39" t="s">
        <v>1035</v>
      </c>
      <c r="M2345" s="49" t="s">
        <v>190</v>
      </c>
      <c r="N2345" s="39" t="s">
        <v>191</v>
      </c>
      <c r="O2345" s="96" t="s">
        <v>1036</v>
      </c>
      <c r="P2345" s="49" t="s">
        <v>157</v>
      </c>
      <c r="Q2345" s="96" t="s">
        <v>104</v>
      </c>
      <c r="R2345" s="52">
        <v>109.9</v>
      </c>
      <c r="S2345" s="52">
        <f>R2345-T2345</f>
        <v>98.125</v>
      </c>
      <c r="T2345" s="52">
        <f>R2345*U2345/(U2345+100)</f>
        <v>11.775000000000002</v>
      </c>
      <c r="U2345" s="50">
        <v>12</v>
      </c>
      <c r="V2345" s="53">
        <v>0</v>
      </c>
      <c r="W2345" s="147">
        <v>0.216</v>
      </c>
      <c r="X2345" s="148" t="s">
        <v>193</v>
      </c>
      <c r="Y2345" s="54">
        <f>R2345*W2345</f>
        <v>23.738400000000002</v>
      </c>
      <c r="Z2345" s="52">
        <f>S2345*W2345</f>
        <v>21.195</v>
      </c>
      <c r="AA2345" s="52">
        <f>T2345*W2345</f>
        <v>2.5434000000000005</v>
      </c>
      <c r="AB2345" s="52">
        <f>V2345*W2345</f>
        <v>0</v>
      </c>
      <c r="AC2345" s="53">
        <f>(R2345+V2345)*W2345</f>
        <v>23.738400000000002</v>
      </c>
      <c r="AD2345" s="138">
        <v>109.9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109</v>
      </c>
      <c r="F2346" s="96" t="s">
        <v>111</v>
      </c>
      <c r="G2346" s="97">
        <v>46132</v>
      </c>
      <c r="H2346" s="98">
        <v>0.5985648148148148</v>
      </c>
      <c r="I2346" s="50">
        <v>169002657</v>
      </c>
      <c r="J2346" s="96" t="s">
        <v>157</v>
      </c>
      <c r="K2346" s="49" t="s">
        <v>3328</v>
      </c>
      <c r="L2346" s="39" t="s">
        <v>3329</v>
      </c>
      <c r="M2346" s="49" t="s">
        <v>1466</v>
      </c>
      <c r="N2346" s="39" t="s">
        <v>1467</v>
      </c>
      <c r="O2346" s="96" t="s">
        <v>3330</v>
      </c>
      <c r="P2346" s="49" t="s">
        <v>157</v>
      </c>
      <c r="Q2346" s="96" t="s">
        <v>104</v>
      </c>
      <c r="R2346" s="52">
        <v>13.9</v>
      </c>
      <c r="S2346" s="52">
        <f>R2346-T2346</f>
        <v>12.410714285714286</v>
      </c>
      <c r="T2346" s="52">
        <f>R2346*U2346/(U2346+100)</f>
        <v>1.4892857142857143</v>
      </c>
      <c r="U2346" s="50">
        <v>12</v>
      </c>
      <c r="V2346" s="53">
        <v>0</v>
      </c>
      <c r="W2346" s="147">
        <v>1</v>
      </c>
      <c r="X2346" s="148" t="s">
        <v>163</v>
      </c>
      <c r="Y2346" s="54">
        <f>R2346*W2346</f>
        <v>13.9</v>
      </c>
      <c r="Z2346" s="52">
        <f>S2346*W2346</f>
        <v>12.410714285714286</v>
      </c>
      <c r="AA2346" s="52">
        <f>T2346*W2346</f>
        <v>1.4892857142857143</v>
      </c>
      <c r="AB2346" s="52">
        <f>V2346*W2346</f>
        <v>0</v>
      </c>
      <c r="AC2346" s="53">
        <f>(R2346+V2346)*W2346</f>
        <v>13.9</v>
      </c>
      <c r="AD2346" s="138">
        <v>13.9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109</v>
      </c>
      <c r="F2347" s="96" t="s">
        <v>111</v>
      </c>
      <c r="G2347" s="97">
        <v>46132</v>
      </c>
      <c r="H2347" s="98">
        <v>0.5985648148148148</v>
      </c>
      <c r="I2347" s="50">
        <v>169002657</v>
      </c>
      <c r="J2347" s="96" t="s">
        <v>157</v>
      </c>
      <c r="K2347" s="49" t="s">
        <v>1501</v>
      </c>
      <c r="L2347" s="39" t="s">
        <v>1502</v>
      </c>
      <c r="M2347" s="49" t="s">
        <v>466</v>
      </c>
      <c r="N2347" s="39" t="s">
        <v>609</v>
      </c>
      <c r="O2347" s="96" t="s">
        <v>1503</v>
      </c>
      <c r="P2347" s="49" t="s">
        <v>157</v>
      </c>
      <c r="Q2347" s="96" t="s">
        <v>104</v>
      </c>
      <c r="R2347" s="52">
        <v>14.9</v>
      </c>
      <c r="S2347" s="52">
        <f>R2347-T2347</f>
        <v>13.303571428571429</v>
      </c>
      <c r="T2347" s="52">
        <f>R2347*U2347/(U2347+100)</f>
        <v>1.5964285714285715</v>
      </c>
      <c r="U2347" s="50">
        <v>12</v>
      </c>
      <c r="V2347" s="53">
        <v>0</v>
      </c>
      <c r="W2347" s="147">
        <v>1</v>
      </c>
      <c r="X2347" s="148" t="s">
        <v>163</v>
      </c>
      <c r="Y2347" s="54">
        <f>R2347*W2347</f>
        <v>14.9</v>
      </c>
      <c r="Z2347" s="52">
        <f>S2347*W2347</f>
        <v>13.303571428571429</v>
      </c>
      <c r="AA2347" s="52">
        <f>T2347*W2347</f>
        <v>1.5964285714285715</v>
      </c>
      <c r="AB2347" s="52">
        <f>V2347*W2347</f>
        <v>0</v>
      </c>
      <c r="AC2347" s="53">
        <f>(R2347+V2347)*W2347</f>
        <v>14.9</v>
      </c>
      <c r="AD2347" s="138">
        <v>14.9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109</v>
      </c>
      <c r="F2348" s="96" t="s">
        <v>111</v>
      </c>
      <c r="G2348" s="97">
        <v>46132</v>
      </c>
      <c r="H2348" s="98">
        <v>0.5985648148148148</v>
      </c>
      <c r="I2348" s="50">
        <v>169002657</v>
      </c>
      <c r="J2348" s="96" t="s">
        <v>157</v>
      </c>
      <c r="K2348" s="49" t="s">
        <v>1501</v>
      </c>
      <c r="L2348" s="39" t="s">
        <v>1502</v>
      </c>
      <c r="M2348" s="49" t="s">
        <v>466</v>
      </c>
      <c r="N2348" s="39" t="s">
        <v>609</v>
      </c>
      <c r="O2348" s="96" t="s">
        <v>1503</v>
      </c>
      <c r="P2348" s="49" t="s">
        <v>157</v>
      </c>
      <c r="Q2348" s="96" t="s">
        <v>104</v>
      </c>
      <c r="R2348" s="52">
        <v>14.9</v>
      </c>
      <c r="S2348" s="52">
        <f>R2348-T2348</f>
        <v>13.303571428571429</v>
      </c>
      <c r="T2348" s="52">
        <f>R2348*U2348/(U2348+100)</f>
        <v>1.5964285714285715</v>
      </c>
      <c r="U2348" s="50">
        <v>12</v>
      </c>
      <c r="V2348" s="53">
        <v>0</v>
      </c>
      <c r="W2348" s="147">
        <v>1</v>
      </c>
      <c r="X2348" s="148" t="s">
        <v>163</v>
      </c>
      <c r="Y2348" s="54">
        <f>R2348*W2348</f>
        <v>14.9</v>
      </c>
      <c r="Z2348" s="52">
        <f>S2348*W2348</f>
        <v>13.303571428571429</v>
      </c>
      <c r="AA2348" s="52">
        <f>T2348*W2348</f>
        <v>1.5964285714285715</v>
      </c>
      <c r="AB2348" s="52">
        <f>V2348*W2348</f>
        <v>0</v>
      </c>
      <c r="AC2348" s="53">
        <f>(R2348+V2348)*W2348</f>
        <v>14.9</v>
      </c>
      <c r="AD2348" s="138">
        <v>14.9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109</v>
      </c>
      <c r="F2349" s="96" t="s">
        <v>111</v>
      </c>
      <c r="G2349" s="97">
        <v>46132</v>
      </c>
      <c r="H2349" s="98">
        <v>0.5985648148148148</v>
      </c>
      <c r="I2349" s="50">
        <v>169002657</v>
      </c>
      <c r="J2349" s="96" t="s">
        <v>157</v>
      </c>
      <c r="K2349" s="49" t="s">
        <v>992</v>
      </c>
      <c r="L2349" s="39" t="s">
        <v>993</v>
      </c>
      <c r="M2349" s="49" t="s">
        <v>214</v>
      </c>
      <c r="N2349" s="39" t="s">
        <v>501</v>
      </c>
      <c r="O2349" s="96" t="s">
        <v>994</v>
      </c>
      <c r="P2349" s="49" t="s">
        <v>157</v>
      </c>
      <c r="Q2349" s="96" t="s">
        <v>104</v>
      </c>
      <c r="R2349" s="52">
        <v>6.9</v>
      </c>
      <c r="S2349" s="52">
        <f>R2349-T2349</f>
        <v>6.160714285714286</v>
      </c>
      <c r="T2349" s="52">
        <f>R2349*U2349/(U2349+100)</f>
        <v>0.7392857142857144</v>
      </c>
      <c r="U2349" s="50">
        <v>12</v>
      </c>
      <c r="V2349" s="53">
        <v>0</v>
      </c>
      <c r="W2349" s="147">
        <v>2</v>
      </c>
      <c r="X2349" s="148" t="s">
        <v>163</v>
      </c>
      <c r="Y2349" s="54">
        <f>R2349*W2349</f>
        <v>13.8</v>
      </c>
      <c r="Z2349" s="52">
        <f>S2349*W2349</f>
        <v>12.321428571428571</v>
      </c>
      <c r="AA2349" s="52">
        <f>T2349*W2349</f>
        <v>1.4785714285714289</v>
      </c>
      <c r="AB2349" s="52">
        <f>V2349*W2349</f>
        <v>0</v>
      </c>
      <c r="AC2349" s="53">
        <f>(R2349+V2349)*W2349</f>
        <v>13.8</v>
      </c>
      <c r="AD2349" s="138">
        <v>6.9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109</v>
      </c>
      <c r="F2350" s="96" t="s">
        <v>111</v>
      </c>
      <c r="G2350" s="97">
        <v>46132</v>
      </c>
      <c r="H2350" s="98">
        <v>0.5985648148148148</v>
      </c>
      <c r="I2350" s="50">
        <v>169002657</v>
      </c>
      <c r="J2350" s="96" t="s">
        <v>157</v>
      </c>
      <c r="K2350" s="49" t="s">
        <v>942</v>
      </c>
      <c r="L2350" s="39"/>
      <c r="M2350" s="49" t="s">
        <v>295</v>
      </c>
      <c r="N2350" s="39" t="s">
        <v>433</v>
      </c>
      <c r="O2350" s="96" t="s">
        <v>1332</v>
      </c>
      <c r="P2350" s="49" t="s">
        <v>235</v>
      </c>
      <c r="Q2350" s="96" t="s">
        <v>944</v>
      </c>
      <c r="R2350" s="52">
        <v>9.9</v>
      </c>
      <c r="S2350" s="52">
        <f>R2350-T2350</f>
        <v>8.839285714285715</v>
      </c>
      <c r="T2350" s="52">
        <f>R2350*U2350/(U2350+100)</f>
        <v>1.0607142857142857</v>
      </c>
      <c r="U2350" s="50">
        <v>12</v>
      </c>
      <c r="V2350" s="53">
        <v>0</v>
      </c>
      <c r="W2350" s="147">
        <v>1</v>
      </c>
      <c r="X2350" s="148" t="s">
        <v>945</v>
      </c>
      <c r="Y2350" s="54">
        <f>R2350*W2350</f>
        <v>9.9</v>
      </c>
      <c r="Z2350" s="52">
        <f>S2350*W2350</f>
        <v>8.839285714285715</v>
      </c>
      <c r="AA2350" s="52">
        <f>T2350*W2350</f>
        <v>1.0607142857142857</v>
      </c>
      <c r="AB2350" s="52">
        <f>V2350*W2350</f>
        <v>0</v>
      </c>
      <c r="AC2350" s="53">
        <f>(R2350+V2350)*W2350</f>
        <v>9.9</v>
      </c>
      <c r="AD2350" s="138">
        <v>9.9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109</v>
      </c>
      <c r="F2351" s="96" t="s">
        <v>111</v>
      </c>
      <c r="G2351" s="97">
        <v>46132</v>
      </c>
      <c r="H2351" s="98">
        <v>0.5995254629629629</v>
      </c>
      <c r="I2351" s="50">
        <v>169002658</v>
      </c>
      <c r="J2351" s="96" t="s">
        <v>157</v>
      </c>
      <c r="K2351" s="49" t="s">
        <v>946</v>
      </c>
      <c r="L2351" s="39" t="s">
        <v>947</v>
      </c>
      <c r="M2351" s="49" t="s">
        <v>318</v>
      </c>
      <c r="N2351" s="39" t="s">
        <v>319</v>
      </c>
      <c r="O2351" s="96" t="s">
        <v>1512</v>
      </c>
      <c r="P2351" s="49" t="s">
        <v>235</v>
      </c>
      <c r="Q2351" s="96" t="s">
        <v>236</v>
      </c>
      <c r="R2351" s="52">
        <v>16.9</v>
      </c>
      <c r="S2351" s="52">
        <f>R2351-T2351</f>
        <v>15.089285714285714</v>
      </c>
      <c r="T2351" s="52">
        <f>R2351*U2351/(U2351+100)</f>
        <v>1.8107142857142855</v>
      </c>
      <c r="U2351" s="50">
        <v>12</v>
      </c>
      <c r="V2351" s="53">
        <v>0</v>
      </c>
      <c r="W2351" s="147">
        <v>1</v>
      </c>
      <c r="X2351" s="148" t="s">
        <v>163</v>
      </c>
      <c r="Y2351" s="54">
        <f>R2351*W2351</f>
        <v>16.9</v>
      </c>
      <c r="Z2351" s="52">
        <f>S2351*W2351</f>
        <v>15.089285714285714</v>
      </c>
      <c r="AA2351" s="52">
        <f>T2351*W2351</f>
        <v>1.8107142857142855</v>
      </c>
      <c r="AB2351" s="52">
        <f>V2351*W2351</f>
        <v>0</v>
      </c>
      <c r="AC2351" s="53">
        <f>(R2351+V2351)*W2351</f>
        <v>16.9</v>
      </c>
      <c r="AD2351" s="138">
        <v>16.9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109</v>
      </c>
      <c r="F2352" s="96" t="s">
        <v>111</v>
      </c>
      <c r="G2352" s="97">
        <v>46132</v>
      </c>
      <c r="H2352" s="98">
        <v>0.5995254629629629</v>
      </c>
      <c r="I2352" s="50">
        <v>169002658</v>
      </c>
      <c r="J2352" s="96" t="s">
        <v>157</v>
      </c>
      <c r="K2352" s="49" t="s">
        <v>946</v>
      </c>
      <c r="L2352" s="39" t="s">
        <v>947</v>
      </c>
      <c r="M2352" s="49" t="s">
        <v>318</v>
      </c>
      <c r="N2352" s="39" t="s">
        <v>319</v>
      </c>
      <c r="O2352" s="96" t="s">
        <v>1512</v>
      </c>
      <c r="P2352" s="49" t="s">
        <v>235</v>
      </c>
      <c r="Q2352" s="96" t="s">
        <v>236</v>
      </c>
      <c r="R2352" s="52">
        <v>16.9</v>
      </c>
      <c r="S2352" s="52">
        <f>R2352-T2352</f>
        <v>15.089285714285714</v>
      </c>
      <c r="T2352" s="52">
        <f>R2352*U2352/(U2352+100)</f>
        <v>1.8107142857142855</v>
      </c>
      <c r="U2352" s="50">
        <v>12</v>
      </c>
      <c r="V2352" s="53">
        <v>0</v>
      </c>
      <c r="W2352" s="147">
        <v>1</v>
      </c>
      <c r="X2352" s="148" t="s">
        <v>163</v>
      </c>
      <c r="Y2352" s="54">
        <f>R2352*W2352</f>
        <v>16.9</v>
      </c>
      <c r="Z2352" s="52">
        <f>S2352*W2352</f>
        <v>15.089285714285714</v>
      </c>
      <c r="AA2352" s="52">
        <f>T2352*W2352</f>
        <v>1.8107142857142855</v>
      </c>
      <c r="AB2352" s="52">
        <f>V2352*W2352</f>
        <v>0</v>
      </c>
      <c r="AC2352" s="53">
        <f>(R2352+V2352)*W2352</f>
        <v>16.9</v>
      </c>
      <c r="AD2352" s="138">
        <v>16.9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109</v>
      </c>
      <c r="F2353" s="96" t="s">
        <v>111</v>
      </c>
      <c r="G2353" s="97">
        <v>46132</v>
      </c>
      <c r="H2353" s="98">
        <v>0.5995254629629629</v>
      </c>
      <c r="I2353" s="50">
        <v>169002658</v>
      </c>
      <c r="J2353" s="96" t="s">
        <v>157</v>
      </c>
      <c r="K2353" s="49" t="s">
        <v>303</v>
      </c>
      <c r="L2353" s="39" t="s">
        <v>304</v>
      </c>
      <c r="M2353" s="49" t="s">
        <v>214</v>
      </c>
      <c r="N2353" s="39" t="s">
        <v>296</v>
      </c>
      <c r="O2353" s="96" t="s">
        <v>305</v>
      </c>
      <c r="P2353" s="49" t="s">
        <v>157</v>
      </c>
      <c r="Q2353" s="96" t="s">
        <v>104</v>
      </c>
      <c r="R2353" s="52">
        <v>11.9</v>
      </c>
      <c r="S2353" s="52">
        <f>R2353-T2353</f>
        <v>10.625</v>
      </c>
      <c r="T2353" s="52">
        <f>R2353*U2353/(U2353+100)</f>
        <v>1.2750000000000001</v>
      </c>
      <c r="U2353" s="50">
        <v>12</v>
      </c>
      <c r="V2353" s="53">
        <v>0</v>
      </c>
      <c r="W2353" s="147">
        <v>4</v>
      </c>
      <c r="X2353" s="148" t="s">
        <v>163</v>
      </c>
      <c r="Y2353" s="54">
        <f>R2353*W2353</f>
        <v>47.6</v>
      </c>
      <c r="Z2353" s="52">
        <f>S2353*W2353</f>
        <v>42.5</v>
      </c>
      <c r="AA2353" s="52">
        <f>T2353*W2353</f>
        <v>5.1000000000000005</v>
      </c>
      <c r="AB2353" s="52">
        <f>V2353*W2353</f>
        <v>0</v>
      </c>
      <c r="AC2353" s="53">
        <f>(R2353+V2353)*W2353</f>
        <v>47.6</v>
      </c>
      <c r="AD2353" s="138">
        <v>11.9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109</v>
      </c>
      <c r="F2354" s="96" t="s">
        <v>111</v>
      </c>
      <c r="G2354" s="97">
        <v>46132</v>
      </c>
      <c r="H2354" s="98">
        <v>0.6011574074074074</v>
      </c>
      <c r="I2354" s="50">
        <v>169002659</v>
      </c>
      <c r="J2354" s="96" t="s">
        <v>157</v>
      </c>
      <c r="K2354" s="49" t="s">
        <v>3331</v>
      </c>
      <c r="L2354" s="39" t="s">
        <v>3332</v>
      </c>
      <c r="M2354" s="49" t="s">
        <v>282</v>
      </c>
      <c r="N2354" s="39" t="s">
        <v>609</v>
      </c>
      <c r="O2354" s="96" t="s">
        <v>3333</v>
      </c>
      <c r="P2354" s="49" t="s">
        <v>157</v>
      </c>
      <c r="Q2354" s="96" t="s">
        <v>104</v>
      </c>
      <c r="R2354" s="52">
        <v>8.9</v>
      </c>
      <c r="S2354" s="52">
        <f>R2354-T2354</f>
        <v>7.946428571428572</v>
      </c>
      <c r="T2354" s="52">
        <f>R2354*U2354/(U2354+100)</f>
        <v>0.9535714285714286</v>
      </c>
      <c r="U2354" s="50">
        <v>12</v>
      </c>
      <c r="V2354" s="53">
        <v>0</v>
      </c>
      <c r="W2354" s="147">
        <v>1</v>
      </c>
      <c r="X2354" s="148" t="s">
        <v>163</v>
      </c>
      <c r="Y2354" s="54">
        <f>R2354*W2354</f>
        <v>8.9</v>
      </c>
      <c r="Z2354" s="52">
        <f>S2354*W2354</f>
        <v>7.946428571428572</v>
      </c>
      <c r="AA2354" s="52">
        <f>T2354*W2354</f>
        <v>0.9535714285714286</v>
      </c>
      <c r="AB2354" s="52">
        <f>V2354*W2354</f>
        <v>0</v>
      </c>
      <c r="AC2354" s="53">
        <f>(R2354+V2354)*W2354</f>
        <v>8.9</v>
      </c>
      <c r="AD2354" s="138">
        <v>8.9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109</v>
      </c>
      <c r="F2355" s="96" t="s">
        <v>111</v>
      </c>
      <c r="G2355" s="97">
        <v>46132</v>
      </c>
      <c r="H2355" s="98">
        <v>0.6011574074074074</v>
      </c>
      <c r="I2355" s="50">
        <v>169002659</v>
      </c>
      <c r="J2355" s="96" t="s">
        <v>157</v>
      </c>
      <c r="K2355" s="49" t="s">
        <v>932</v>
      </c>
      <c r="L2355" s="39" t="s">
        <v>933</v>
      </c>
      <c r="M2355" s="49" t="s">
        <v>823</v>
      </c>
      <c r="N2355" s="39" t="s">
        <v>609</v>
      </c>
      <c r="O2355" s="96" t="s">
        <v>1472</v>
      </c>
      <c r="P2355" s="49" t="s">
        <v>157</v>
      </c>
      <c r="Q2355" s="96" t="s">
        <v>104</v>
      </c>
      <c r="R2355" s="52">
        <v>16.9</v>
      </c>
      <c r="S2355" s="52">
        <f>R2355-T2355</f>
        <v>15.089285714285714</v>
      </c>
      <c r="T2355" s="52">
        <f>R2355*U2355/(U2355+100)</f>
        <v>1.8107142857142855</v>
      </c>
      <c r="U2355" s="50">
        <v>12</v>
      </c>
      <c r="V2355" s="53">
        <v>0</v>
      </c>
      <c r="W2355" s="147">
        <v>1</v>
      </c>
      <c r="X2355" s="148" t="s">
        <v>163</v>
      </c>
      <c r="Y2355" s="54">
        <f>R2355*W2355</f>
        <v>16.9</v>
      </c>
      <c r="Z2355" s="52">
        <f>S2355*W2355</f>
        <v>15.089285714285714</v>
      </c>
      <c r="AA2355" s="52">
        <f>T2355*W2355</f>
        <v>1.8107142857142855</v>
      </c>
      <c r="AB2355" s="52">
        <f>V2355*W2355</f>
        <v>0</v>
      </c>
      <c r="AC2355" s="53">
        <f>(R2355+V2355)*W2355</f>
        <v>16.9</v>
      </c>
      <c r="AD2355" s="138">
        <v>16.9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109</v>
      </c>
      <c r="F2356" s="96" t="s">
        <v>111</v>
      </c>
      <c r="G2356" s="97">
        <v>46132</v>
      </c>
      <c r="H2356" s="98">
        <v>0.6011574074074074</v>
      </c>
      <c r="I2356" s="50">
        <v>169002659</v>
      </c>
      <c r="J2356" s="96" t="s">
        <v>157</v>
      </c>
      <c r="K2356" s="49" t="s">
        <v>1240</v>
      </c>
      <c r="L2356" s="39" t="s">
        <v>1241</v>
      </c>
      <c r="M2356" s="49" t="s">
        <v>185</v>
      </c>
      <c r="N2356" s="39" t="s">
        <v>1242</v>
      </c>
      <c r="O2356" s="96" t="s">
        <v>1243</v>
      </c>
      <c r="P2356" s="49" t="s">
        <v>157</v>
      </c>
      <c r="Q2356" s="96" t="s">
        <v>104</v>
      </c>
      <c r="R2356" s="52">
        <v>29.9</v>
      </c>
      <c r="S2356" s="52">
        <f>R2356-T2356</f>
        <v>24.710743801652892</v>
      </c>
      <c r="T2356" s="52">
        <f>R2356*U2356/(U2356+100)</f>
        <v>5.189256198347107</v>
      </c>
      <c r="U2356" s="50">
        <v>21</v>
      </c>
      <c r="V2356" s="53">
        <v>0</v>
      </c>
      <c r="W2356" s="147">
        <v>1</v>
      </c>
      <c r="X2356" s="148" t="s">
        <v>163</v>
      </c>
      <c r="Y2356" s="54">
        <f>R2356*W2356</f>
        <v>29.9</v>
      </c>
      <c r="Z2356" s="52">
        <f>S2356*W2356</f>
        <v>24.710743801652892</v>
      </c>
      <c r="AA2356" s="52">
        <f>T2356*W2356</f>
        <v>5.189256198347107</v>
      </c>
      <c r="AB2356" s="52">
        <f>V2356*W2356</f>
        <v>0</v>
      </c>
      <c r="AC2356" s="53">
        <f>(R2356+V2356)*W2356</f>
        <v>29.9</v>
      </c>
      <c r="AD2356" s="138">
        <v>29.9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109</v>
      </c>
      <c r="F2357" s="96" t="s">
        <v>111</v>
      </c>
      <c r="G2357" s="97">
        <v>46132</v>
      </c>
      <c r="H2357" s="98">
        <v>0.6011574074074074</v>
      </c>
      <c r="I2357" s="50">
        <v>169002659</v>
      </c>
      <c r="J2357" s="96" t="s">
        <v>157</v>
      </c>
      <c r="K2357" s="49" t="s">
        <v>293</v>
      </c>
      <c r="L2357" s="39" t="s">
        <v>294</v>
      </c>
      <c r="M2357" s="49" t="s">
        <v>295</v>
      </c>
      <c r="N2357" s="39" t="s">
        <v>296</v>
      </c>
      <c r="O2357" s="96" t="s">
        <v>297</v>
      </c>
      <c r="P2357" s="49" t="s">
        <v>157</v>
      </c>
      <c r="Q2357" s="96" t="s">
        <v>104</v>
      </c>
      <c r="R2357" s="52">
        <v>2.9</v>
      </c>
      <c r="S2357" s="52">
        <f>R2357-T2357</f>
        <v>2.5892857142857144</v>
      </c>
      <c r="T2357" s="52">
        <f>R2357*U2357/(U2357+100)</f>
        <v>0.31071428571428567</v>
      </c>
      <c r="U2357" s="50">
        <v>12</v>
      </c>
      <c r="V2357" s="53">
        <v>0</v>
      </c>
      <c r="W2357" s="147">
        <v>8</v>
      </c>
      <c r="X2357" s="148" t="s">
        <v>163</v>
      </c>
      <c r="Y2357" s="54">
        <f>R2357*W2357</f>
        <v>23.2</v>
      </c>
      <c r="Z2357" s="52">
        <f>S2357*W2357</f>
        <v>20.714285714285715</v>
      </c>
      <c r="AA2357" s="52">
        <f>T2357*W2357</f>
        <v>2.4857142857142853</v>
      </c>
      <c r="AB2357" s="52">
        <f>V2357*W2357</f>
        <v>0</v>
      </c>
      <c r="AC2357" s="53">
        <f>(R2357+V2357)*W2357</f>
        <v>23.2</v>
      </c>
      <c r="AD2357" s="138">
        <v>2.9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109</v>
      </c>
      <c r="F2358" s="96" t="s">
        <v>111</v>
      </c>
      <c r="G2358" s="97">
        <v>46132</v>
      </c>
      <c r="H2358" s="98">
        <v>0.6016550925925926</v>
      </c>
      <c r="I2358" s="50">
        <v>169002660</v>
      </c>
      <c r="J2358" s="96" t="s">
        <v>157</v>
      </c>
      <c r="K2358" s="49" t="s">
        <v>3334</v>
      </c>
      <c r="L2358" s="39" t="s">
        <v>3335</v>
      </c>
      <c r="M2358" s="49" t="s">
        <v>620</v>
      </c>
      <c r="N2358" s="39" t="s">
        <v>1042</v>
      </c>
      <c r="O2358" s="96" t="s">
        <v>3336</v>
      </c>
      <c r="P2358" s="49" t="s">
        <v>157</v>
      </c>
      <c r="Q2358" s="96" t="s">
        <v>104</v>
      </c>
      <c r="R2358" s="52">
        <v>19.9</v>
      </c>
      <c r="S2358" s="52">
        <f>R2358-T2358</f>
        <v>17.767857142857142</v>
      </c>
      <c r="T2358" s="52">
        <f>R2358*U2358/(U2358+100)</f>
        <v>2.132142857142857</v>
      </c>
      <c r="U2358" s="50">
        <v>12</v>
      </c>
      <c r="V2358" s="53">
        <v>0</v>
      </c>
      <c r="W2358" s="147">
        <v>1</v>
      </c>
      <c r="X2358" s="148" t="s">
        <v>163</v>
      </c>
      <c r="Y2358" s="54">
        <f>R2358*W2358</f>
        <v>19.9</v>
      </c>
      <c r="Z2358" s="52">
        <f>S2358*W2358</f>
        <v>17.767857142857142</v>
      </c>
      <c r="AA2358" s="52">
        <f>T2358*W2358</f>
        <v>2.132142857142857</v>
      </c>
      <c r="AB2358" s="52">
        <f>V2358*W2358</f>
        <v>0</v>
      </c>
      <c r="AC2358" s="53">
        <f>(R2358+V2358)*W2358</f>
        <v>19.9</v>
      </c>
      <c r="AD2358" s="138">
        <v>19.9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109</v>
      </c>
      <c r="F2359" s="96" t="s">
        <v>111</v>
      </c>
      <c r="G2359" s="97">
        <v>46132</v>
      </c>
      <c r="H2359" s="98">
        <v>0.601875</v>
      </c>
      <c r="I2359" s="50">
        <v>169002661</v>
      </c>
      <c r="J2359" s="96" t="s">
        <v>157</v>
      </c>
      <c r="K2359" s="49" t="s">
        <v>339</v>
      </c>
      <c r="L2359" s="39" t="s">
        <v>340</v>
      </c>
      <c r="M2359" s="49" t="s">
        <v>341</v>
      </c>
      <c r="N2359" s="39" t="s">
        <v>233</v>
      </c>
      <c r="O2359" s="96" t="s">
        <v>2387</v>
      </c>
      <c r="P2359" s="49" t="s">
        <v>157</v>
      </c>
      <c r="Q2359" s="96" t="s">
        <v>104</v>
      </c>
      <c r="R2359" s="52">
        <v>18.9</v>
      </c>
      <c r="S2359" s="52">
        <f>R2359-T2359</f>
        <v>15.6198347107438</v>
      </c>
      <c r="T2359" s="52">
        <f>R2359*U2359/(U2359+100)</f>
        <v>3.2801652892561983</v>
      </c>
      <c r="U2359" s="50">
        <v>21</v>
      </c>
      <c r="V2359" s="53">
        <v>0</v>
      </c>
      <c r="W2359" s="147">
        <v>1</v>
      </c>
      <c r="X2359" s="148" t="s">
        <v>163</v>
      </c>
      <c r="Y2359" s="54">
        <f>R2359*W2359</f>
        <v>18.9</v>
      </c>
      <c r="Z2359" s="52">
        <f>S2359*W2359</f>
        <v>15.6198347107438</v>
      </c>
      <c r="AA2359" s="52">
        <f>T2359*W2359</f>
        <v>3.2801652892561983</v>
      </c>
      <c r="AB2359" s="52">
        <f>V2359*W2359</f>
        <v>0</v>
      </c>
      <c r="AC2359" s="53">
        <f>(R2359+V2359)*W2359</f>
        <v>18.9</v>
      </c>
      <c r="AD2359" s="138">
        <v>18.9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109</v>
      </c>
      <c r="F2360" s="96" t="s">
        <v>111</v>
      </c>
      <c r="G2360" s="97">
        <v>46132</v>
      </c>
      <c r="H2360" s="98">
        <v>0.601875</v>
      </c>
      <c r="I2360" s="50">
        <v>169002661</v>
      </c>
      <c r="J2360" s="96" t="s">
        <v>157</v>
      </c>
      <c r="K2360" s="49" t="s">
        <v>3337</v>
      </c>
      <c r="L2360" s="39" t="s">
        <v>3338</v>
      </c>
      <c r="M2360" s="49" t="s">
        <v>341</v>
      </c>
      <c r="N2360" s="39" t="s">
        <v>233</v>
      </c>
      <c r="O2360" s="96" t="s">
        <v>3339</v>
      </c>
      <c r="P2360" s="49" t="s">
        <v>157</v>
      </c>
      <c r="Q2360" s="96" t="s">
        <v>104</v>
      </c>
      <c r="R2360" s="52">
        <v>18.9</v>
      </c>
      <c r="S2360" s="52">
        <f>R2360-T2360</f>
        <v>15.6198347107438</v>
      </c>
      <c r="T2360" s="52">
        <f>R2360*U2360/(U2360+100)</f>
        <v>3.2801652892561983</v>
      </c>
      <c r="U2360" s="50">
        <v>21</v>
      </c>
      <c r="V2360" s="53">
        <v>0</v>
      </c>
      <c r="W2360" s="147">
        <v>1</v>
      </c>
      <c r="X2360" s="148" t="s">
        <v>163</v>
      </c>
      <c r="Y2360" s="54">
        <f>R2360*W2360</f>
        <v>18.9</v>
      </c>
      <c r="Z2360" s="52">
        <f>S2360*W2360</f>
        <v>15.6198347107438</v>
      </c>
      <c r="AA2360" s="52">
        <f>T2360*W2360</f>
        <v>3.2801652892561983</v>
      </c>
      <c r="AB2360" s="52">
        <f>V2360*W2360</f>
        <v>0</v>
      </c>
      <c r="AC2360" s="53">
        <f>(R2360+V2360)*W2360</f>
        <v>18.9</v>
      </c>
      <c r="AD2360" s="138">
        <v>18.9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109</v>
      </c>
      <c r="F2361" s="96" t="s">
        <v>111</v>
      </c>
      <c r="G2361" s="97">
        <v>46132</v>
      </c>
      <c r="H2361" s="98">
        <v>0.601875</v>
      </c>
      <c r="I2361" s="50">
        <v>169002661</v>
      </c>
      <c r="J2361" s="96" t="s">
        <v>157</v>
      </c>
      <c r="K2361" s="49" t="s">
        <v>1413</v>
      </c>
      <c r="L2361" s="39" t="s">
        <v>104</v>
      </c>
      <c r="M2361" s="49" t="s">
        <v>190</v>
      </c>
      <c r="N2361" s="39" t="s">
        <v>1414</v>
      </c>
      <c r="O2361" s="96" t="s">
        <v>1415</v>
      </c>
      <c r="P2361" s="49" t="s">
        <v>157</v>
      </c>
      <c r="Q2361" s="96" t="s">
        <v>104</v>
      </c>
      <c r="R2361" s="52">
        <v>23.9</v>
      </c>
      <c r="S2361" s="52">
        <f>R2361-T2361</f>
        <v>21.33928571428571</v>
      </c>
      <c r="T2361" s="52">
        <f>R2361*U2361/(U2361+100)</f>
        <v>2.5607142857142855</v>
      </c>
      <c r="U2361" s="50">
        <v>12</v>
      </c>
      <c r="V2361" s="53">
        <v>0</v>
      </c>
      <c r="W2361" s="147">
        <v>1</v>
      </c>
      <c r="X2361" s="148" t="s">
        <v>163</v>
      </c>
      <c r="Y2361" s="54">
        <f>R2361*W2361</f>
        <v>23.9</v>
      </c>
      <c r="Z2361" s="52">
        <f>S2361*W2361</f>
        <v>21.33928571428571</v>
      </c>
      <c r="AA2361" s="52">
        <f>T2361*W2361</f>
        <v>2.5607142857142855</v>
      </c>
      <c r="AB2361" s="52">
        <f>V2361*W2361</f>
        <v>0</v>
      </c>
      <c r="AC2361" s="53">
        <f>(R2361+V2361)*W2361</f>
        <v>23.9</v>
      </c>
      <c r="AD2361" s="138">
        <v>23.9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109</v>
      </c>
      <c r="F2362" s="96" t="s">
        <v>111</v>
      </c>
      <c r="G2362" s="97">
        <v>46132</v>
      </c>
      <c r="H2362" s="98">
        <v>0.6022106481481482</v>
      </c>
      <c r="I2362" s="50">
        <v>169002662</v>
      </c>
      <c r="J2362" s="96" t="s">
        <v>157</v>
      </c>
      <c r="K2362" s="49" t="s">
        <v>3340</v>
      </c>
      <c r="L2362" s="39" t="s">
        <v>3341</v>
      </c>
      <c r="M2362" s="49" t="s">
        <v>1153</v>
      </c>
      <c r="N2362" s="39" t="s">
        <v>239</v>
      </c>
      <c r="O2362" s="96" t="s">
        <v>3342</v>
      </c>
      <c r="P2362" s="49" t="s">
        <v>157</v>
      </c>
      <c r="Q2362" s="96" t="s">
        <v>104</v>
      </c>
      <c r="R2362" s="52">
        <v>22.9</v>
      </c>
      <c r="S2362" s="52">
        <f>R2362-T2362</f>
        <v>20.44642857142857</v>
      </c>
      <c r="T2362" s="52">
        <f>R2362*U2362/(U2362+100)</f>
        <v>2.4535714285714283</v>
      </c>
      <c r="U2362" s="50">
        <v>12</v>
      </c>
      <c r="V2362" s="53">
        <v>0</v>
      </c>
      <c r="W2362" s="147">
        <v>1</v>
      </c>
      <c r="X2362" s="148" t="s">
        <v>163</v>
      </c>
      <c r="Y2362" s="54">
        <f>R2362*W2362</f>
        <v>22.9</v>
      </c>
      <c r="Z2362" s="52">
        <f>S2362*W2362</f>
        <v>20.44642857142857</v>
      </c>
      <c r="AA2362" s="52">
        <f>T2362*W2362</f>
        <v>2.4535714285714283</v>
      </c>
      <c r="AB2362" s="52">
        <f>V2362*W2362</f>
        <v>0</v>
      </c>
      <c r="AC2362" s="53">
        <f>(R2362+V2362)*W2362</f>
        <v>22.9</v>
      </c>
      <c r="AD2362" s="138">
        <v>22.9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109</v>
      </c>
      <c r="F2363" s="96" t="s">
        <v>111</v>
      </c>
      <c r="G2363" s="97">
        <v>46132</v>
      </c>
      <c r="H2363" s="98">
        <v>0.6024074074074074</v>
      </c>
      <c r="I2363" s="50">
        <v>169002663</v>
      </c>
      <c r="J2363" s="96" t="s">
        <v>157</v>
      </c>
      <c r="K2363" s="49" t="s">
        <v>2625</v>
      </c>
      <c r="L2363" s="39" t="s">
        <v>2626</v>
      </c>
      <c r="M2363" s="49" t="s">
        <v>255</v>
      </c>
      <c r="N2363" s="39" t="s">
        <v>256</v>
      </c>
      <c r="O2363" s="96" t="s">
        <v>2627</v>
      </c>
      <c r="P2363" s="49" t="s">
        <v>157</v>
      </c>
      <c r="Q2363" s="96" t="s">
        <v>104</v>
      </c>
      <c r="R2363" s="52">
        <v>23.9</v>
      </c>
      <c r="S2363" s="52">
        <f>R2363-T2363</f>
        <v>19.752066115702476</v>
      </c>
      <c r="T2363" s="52">
        <f>R2363*U2363/(U2363+100)</f>
        <v>4.147933884297521</v>
      </c>
      <c r="U2363" s="50">
        <v>21</v>
      </c>
      <c r="V2363" s="53">
        <v>0</v>
      </c>
      <c r="W2363" s="147">
        <v>1</v>
      </c>
      <c r="X2363" s="148" t="s">
        <v>163</v>
      </c>
      <c r="Y2363" s="54">
        <f>R2363*W2363</f>
        <v>23.9</v>
      </c>
      <c r="Z2363" s="52">
        <f>S2363*W2363</f>
        <v>19.752066115702476</v>
      </c>
      <c r="AA2363" s="52">
        <f>T2363*W2363</f>
        <v>4.147933884297521</v>
      </c>
      <c r="AB2363" s="52">
        <f>V2363*W2363</f>
        <v>0</v>
      </c>
      <c r="AC2363" s="53">
        <f>(R2363+V2363)*W2363</f>
        <v>23.9</v>
      </c>
      <c r="AD2363" s="138">
        <v>23.9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109</v>
      </c>
      <c r="F2364" s="96" t="s">
        <v>111</v>
      </c>
      <c r="G2364" s="97">
        <v>46132</v>
      </c>
      <c r="H2364" s="98">
        <v>0.6024074074074074</v>
      </c>
      <c r="I2364" s="50">
        <v>169002663</v>
      </c>
      <c r="J2364" s="96" t="s">
        <v>157</v>
      </c>
      <c r="K2364" s="49" t="s">
        <v>2625</v>
      </c>
      <c r="L2364" s="39" t="s">
        <v>2626</v>
      </c>
      <c r="M2364" s="49" t="s">
        <v>255</v>
      </c>
      <c r="N2364" s="39" t="s">
        <v>256</v>
      </c>
      <c r="O2364" s="96" t="s">
        <v>2627</v>
      </c>
      <c r="P2364" s="49" t="s">
        <v>157</v>
      </c>
      <c r="Q2364" s="96" t="s">
        <v>104</v>
      </c>
      <c r="R2364" s="52">
        <v>23.9</v>
      </c>
      <c r="S2364" s="52">
        <f>R2364-T2364</f>
        <v>19.752066115702476</v>
      </c>
      <c r="T2364" s="52">
        <f>R2364*U2364/(U2364+100)</f>
        <v>4.147933884297521</v>
      </c>
      <c r="U2364" s="50">
        <v>21</v>
      </c>
      <c r="V2364" s="53">
        <v>0</v>
      </c>
      <c r="W2364" s="147">
        <v>1</v>
      </c>
      <c r="X2364" s="148" t="s">
        <v>163</v>
      </c>
      <c r="Y2364" s="54">
        <f>R2364*W2364</f>
        <v>23.9</v>
      </c>
      <c r="Z2364" s="52">
        <f>S2364*W2364</f>
        <v>19.752066115702476</v>
      </c>
      <c r="AA2364" s="52">
        <f>T2364*W2364</f>
        <v>4.147933884297521</v>
      </c>
      <c r="AB2364" s="52">
        <f>V2364*W2364</f>
        <v>0</v>
      </c>
      <c r="AC2364" s="53">
        <f>(R2364+V2364)*W2364</f>
        <v>23.9</v>
      </c>
      <c r="AD2364" s="138">
        <v>23.9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109</v>
      </c>
      <c r="F2365" s="96" t="s">
        <v>111</v>
      </c>
      <c r="G2365" s="97">
        <v>46132</v>
      </c>
      <c r="H2365" s="98">
        <v>0.6028472222222222</v>
      </c>
      <c r="I2365" s="50">
        <v>169002664</v>
      </c>
      <c r="J2365" s="96" t="s">
        <v>157</v>
      </c>
      <c r="K2365" s="49" t="s">
        <v>1817</v>
      </c>
      <c r="L2365" s="39" t="s">
        <v>1818</v>
      </c>
      <c r="M2365" s="49" t="s">
        <v>277</v>
      </c>
      <c r="N2365" s="39" t="s">
        <v>490</v>
      </c>
      <c r="O2365" s="96" t="s">
        <v>1819</v>
      </c>
      <c r="P2365" s="49" t="s">
        <v>157</v>
      </c>
      <c r="Q2365" s="96" t="s">
        <v>104</v>
      </c>
      <c r="R2365" s="52">
        <v>35.9</v>
      </c>
      <c r="S2365" s="52">
        <f>R2365-T2365</f>
        <v>32.05357142857143</v>
      </c>
      <c r="T2365" s="52">
        <f>R2365*U2365/(U2365+100)</f>
        <v>3.846428571428571</v>
      </c>
      <c r="U2365" s="50">
        <v>12</v>
      </c>
      <c r="V2365" s="53">
        <v>0</v>
      </c>
      <c r="W2365" s="147">
        <v>1</v>
      </c>
      <c r="X2365" s="148" t="s">
        <v>163</v>
      </c>
      <c r="Y2365" s="54">
        <f>R2365*W2365</f>
        <v>35.9</v>
      </c>
      <c r="Z2365" s="52">
        <f>S2365*W2365</f>
        <v>32.05357142857143</v>
      </c>
      <c r="AA2365" s="52">
        <f>T2365*W2365</f>
        <v>3.846428571428571</v>
      </c>
      <c r="AB2365" s="52">
        <f>V2365*W2365</f>
        <v>0</v>
      </c>
      <c r="AC2365" s="53">
        <f>(R2365+V2365)*W2365</f>
        <v>35.9</v>
      </c>
      <c r="AD2365" s="138">
        <v>35.9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109</v>
      </c>
      <c r="F2366" s="96" t="s">
        <v>111</v>
      </c>
      <c r="G2366" s="97">
        <v>46132</v>
      </c>
      <c r="H2366" s="98">
        <v>0.6028472222222222</v>
      </c>
      <c r="I2366" s="50">
        <v>169002664</v>
      </c>
      <c r="J2366" s="96" t="s">
        <v>157</v>
      </c>
      <c r="K2366" s="49" t="s">
        <v>3343</v>
      </c>
      <c r="L2366" s="39" t="s">
        <v>3344</v>
      </c>
      <c r="M2366" s="49" t="s">
        <v>277</v>
      </c>
      <c r="N2366" s="39" t="s">
        <v>490</v>
      </c>
      <c r="O2366" s="96" t="s">
        <v>3345</v>
      </c>
      <c r="P2366" s="49" t="s">
        <v>157</v>
      </c>
      <c r="Q2366" s="96" t="s">
        <v>104</v>
      </c>
      <c r="R2366" s="52">
        <v>47.9</v>
      </c>
      <c r="S2366" s="52">
        <f>R2366-T2366</f>
        <v>42.76785714285714</v>
      </c>
      <c r="T2366" s="52">
        <f>R2366*U2366/(U2366+100)</f>
        <v>5.132142857142857</v>
      </c>
      <c r="U2366" s="50">
        <v>12</v>
      </c>
      <c r="V2366" s="53">
        <v>0</v>
      </c>
      <c r="W2366" s="147">
        <v>1</v>
      </c>
      <c r="X2366" s="148" t="s">
        <v>163</v>
      </c>
      <c r="Y2366" s="54">
        <f>R2366*W2366</f>
        <v>47.9</v>
      </c>
      <c r="Z2366" s="52">
        <f>S2366*W2366</f>
        <v>42.76785714285714</v>
      </c>
      <c r="AA2366" s="52">
        <f>T2366*W2366</f>
        <v>5.132142857142857</v>
      </c>
      <c r="AB2366" s="52">
        <f>V2366*W2366</f>
        <v>0</v>
      </c>
      <c r="AC2366" s="53">
        <f>(R2366+V2366)*W2366</f>
        <v>47.9</v>
      </c>
      <c r="AD2366" s="138">
        <v>47.9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109</v>
      </c>
      <c r="F2367" s="96" t="s">
        <v>111</v>
      </c>
      <c r="G2367" s="97">
        <v>46132</v>
      </c>
      <c r="H2367" s="98">
        <v>0.6032060185185185</v>
      </c>
      <c r="I2367" s="50">
        <v>169002665</v>
      </c>
      <c r="J2367" s="96" t="s">
        <v>157</v>
      </c>
      <c r="K2367" s="49" t="s">
        <v>3346</v>
      </c>
      <c r="L2367" s="39" t="s">
        <v>3347</v>
      </c>
      <c r="M2367" s="49" t="s">
        <v>2137</v>
      </c>
      <c r="N2367" s="39" t="s">
        <v>2692</v>
      </c>
      <c r="O2367" s="96" t="s">
        <v>3348</v>
      </c>
      <c r="P2367" s="49" t="s">
        <v>157</v>
      </c>
      <c r="Q2367" s="96" t="s">
        <v>104</v>
      </c>
      <c r="R2367" s="52">
        <v>13.9</v>
      </c>
      <c r="S2367" s="52">
        <f>R2367-T2367</f>
        <v>12.410714285714286</v>
      </c>
      <c r="T2367" s="52">
        <f>R2367*U2367/(U2367+100)</f>
        <v>1.4892857142857143</v>
      </c>
      <c r="U2367" s="50">
        <v>12</v>
      </c>
      <c r="V2367" s="53">
        <v>0</v>
      </c>
      <c r="W2367" s="147">
        <v>1</v>
      </c>
      <c r="X2367" s="148" t="s">
        <v>163</v>
      </c>
      <c r="Y2367" s="54">
        <f>R2367*W2367</f>
        <v>13.9</v>
      </c>
      <c r="Z2367" s="52">
        <f>S2367*W2367</f>
        <v>12.410714285714286</v>
      </c>
      <c r="AA2367" s="52">
        <f>T2367*W2367</f>
        <v>1.4892857142857143</v>
      </c>
      <c r="AB2367" s="52">
        <f>V2367*W2367</f>
        <v>0</v>
      </c>
      <c r="AC2367" s="53">
        <f>(R2367+V2367)*W2367</f>
        <v>13.9</v>
      </c>
      <c r="AD2367" s="138">
        <v>13.9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109</v>
      </c>
      <c r="F2368" s="96" t="s">
        <v>111</v>
      </c>
      <c r="G2368" s="97">
        <v>46132</v>
      </c>
      <c r="H2368" s="98">
        <v>0.6032060185185185</v>
      </c>
      <c r="I2368" s="50">
        <v>169002665</v>
      </c>
      <c r="J2368" s="96" t="s">
        <v>157</v>
      </c>
      <c r="K2368" s="49" t="s">
        <v>3349</v>
      </c>
      <c r="L2368" s="39" t="s">
        <v>3350</v>
      </c>
      <c r="M2368" s="49" t="s">
        <v>2137</v>
      </c>
      <c r="N2368" s="39" t="s">
        <v>2692</v>
      </c>
      <c r="O2368" s="96" t="s">
        <v>3351</v>
      </c>
      <c r="P2368" s="49" t="s">
        <v>157</v>
      </c>
      <c r="Q2368" s="96" t="s">
        <v>104</v>
      </c>
      <c r="R2368" s="52">
        <v>13.9</v>
      </c>
      <c r="S2368" s="52">
        <f>R2368-T2368</f>
        <v>12.410714285714286</v>
      </c>
      <c r="T2368" s="52">
        <f>R2368*U2368/(U2368+100)</f>
        <v>1.4892857142857143</v>
      </c>
      <c r="U2368" s="50">
        <v>12</v>
      </c>
      <c r="V2368" s="53">
        <v>0</v>
      </c>
      <c r="W2368" s="147">
        <v>1</v>
      </c>
      <c r="X2368" s="148" t="s">
        <v>163</v>
      </c>
      <c r="Y2368" s="54">
        <f>R2368*W2368</f>
        <v>13.9</v>
      </c>
      <c r="Z2368" s="52">
        <f>S2368*W2368</f>
        <v>12.410714285714286</v>
      </c>
      <c r="AA2368" s="52">
        <f>T2368*W2368</f>
        <v>1.4892857142857143</v>
      </c>
      <c r="AB2368" s="52">
        <f>V2368*W2368</f>
        <v>0</v>
      </c>
      <c r="AC2368" s="53">
        <f>(R2368+V2368)*W2368</f>
        <v>13.9</v>
      </c>
      <c r="AD2368" s="138">
        <v>13.9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109</v>
      </c>
      <c r="F2369" s="96" t="s">
        <v>111</v>
      </c>
      <c r="G2369" s="97">
        <v>46132</v>
      </c>
      <c r="H2369" s="98">
        <v>0.6032060185185185</v>
      </c>
      <c r="I2369" s="50">
        <v>169002665</v>
      </c>
      <c r="J2369" s="96" t="s">
        <v>157</v>
      </c>
      <c r="K2369" s="49" t="s">
        <v>3352</v>
      </c>
      <c r="L2369" s="39" t="s">
        <v>3353</v>
      </c>
      <c r="M2369" s="49" t="s">
        <v>2137</v>
      </c>
      <c r="N2369" s="39" t="s">
        <v>2692</v>
      </c>
      <c r="O2369" s="96" t="s">
        <v>3354</v>
      </c>
      <c r="P2369" s="49" t="s">
        <v>157</v>
      </c>
      <c r="Q2369" s="96" t="s">
        <v>104</v>
      </c>
      <c r="R2369" s="52">
        <v>13.9</v>
      </c>
      <c r="S2369" s="52">
        <f>R2369-T2369</f>
        <v>12.410714285714286</v>
      </c>
      <c r="T2369" s="52">
        <f>R2369*U2369/(U2369+100)</f>
        <v>1.4892857142857143</v>
      </c>
      <c r="U2369" s="50">
        <v>12</v>
      </c>
      <c r="V2369" s="53">
        <v>0</v>
      </c>
      <c r="W2369" s="147">
        <v>1</v>
      </c>
      <c r="X2369" s="148" t="s">
        <v>163</v>
      </c>
      <c r="Y2369" s="54">
        <f>R2369*W2369</f>
        <v>13.9</v>
      </c>
      <c r="Z2369" s="52">
        <f>S2369*W2369</f>
        <v>12.410714285714286</v>
      </c>
      <c r="AA2369" s="52">
        <f>T2369*W2369</f>
        <v>1.4892857142857143</v>
      </c>
      <c r="AB2369" s="52">
        <f>V2369*W2369</f>
        <v>0</v>
      </c>
      <c r="AC2369" s="53">
        <f>(R2369+V2369)*W2369</f>
        <v>13.9</v>
      </c>
      <c r="AD2369" s="138">
        <v>13.9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109</v>
      </c>
      <c r="F2370" s="96" t="s">
        <v>111</v>
      </c>
      <c r="G2370" s="97">
        <v>46132</v>
      </c>
      <c r="H2370" s="98">
        <v>0.6032060185185185</v>
      </c>
      <c r="I2370" s="50">
        <v>169002665</v>
      </c>
      <c r="J2370" s="96" t="s">
        <v>157</v>
      </c>
      <c r="K2370" s="49" t="s">
        <v>2958</v>
      </c>
      <c r="L2370" s="39" t="s">
        <v>2959</v>
      </c>
      <c r="M2370" s="49" t="s">
        <v>2137</v>
      </c>
      <c r="N2370" s="39" t="s">
        <v>2093</v>
      </c>
      <c r="O2370" s="96" t="s">
        <v>2960</v>
      </c>
      <c r="P2370" s="49" t="s">
        <v>157</v>
      </c>
      <c r="Q2370" s="96" t="s">
        <v>104</v>
      </c>
      <c r="R2370" s="52">
        <v>23.9</v>
      </c>
      <c r="S2370" s="52">
        <f>R2370-T2370</f>
        <v>21.33928571428571</v>
      </c>
      <c r="T2370" s="52">
        <f>R2370*U2370/(U2370+100)</f>
        <v>2.5607142857142855</v>
      </c>
      <c r="U2370" s="50">
        <v>12</v>
      </c>
      <c r="V2370" s="53">
        <v>0</v>
      </c>
      <c r="W2370" s="147">
        <v>1</v>
      </c>
      <c r="X2370" s="148" t="s">
        <v>163</v>
      </c>
      <c r="Y2370" s="54">
        <f>R2370*W2370</f>
        <v>23.9</v>
      </c>
      <c r="Z2370" s="52">
        <f>S2370*W2370</f>
        <v>21.33928571428571</v>
      </c>
      <c r="AA2370" s="52">
        <f>T2370*W2370</f>
        <v>2.5607142857142855</v>
      </c>
      <c r="AB2370" s="52">
        <f>V2370*W2370</f>
        <v>0</v>
      </c>
      <c r="AC2370" s="53">
        <f>(R2370+V2370)*W2370</f>
        <v>23.9</v>
      </c>
      <c r="AD2370" s="138">
        <v>23.9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109</v>
      </c>
      <c r="F2371" s="96" t="s">
        <v>111</v>
      </c>
      <c r="G2371" s="97">
        <v>46132</v>
      </c>
      <c r="H2371" s="98">
        <v>0.6032060185185185</v>
      </c>
      <c r="I2371" s="50">
        <v>169002665</v>
      </c>
      <c r="J2371" s="96" t="s">
        <v>157</v>
      </c>
      <c r="K2371" s="49" t="s">
        <v>2958</v>
      </c>
      <c r="L2371" s="39" t="s">
        <v>2959</v>
      </c>
      <c r="M2371" s="49" t="s">
        <v>2137</v>
      </c>
      <c r="N2371" s="39" t="s">
        <v>2093</v>
      </c>
      <c r="O2371" s="96" t="s">
        <v>2960</v>
      </c>
      <c r="P2371" s="49" t="s">
        <v>157</v>
      </c>
      <c r="Q2371" s="96" t="s">
        <v>104</v>
      </c>
      <c r="R2371" s="52">
        <v>23.9</v>
      </c>
      <c r="S2371" s="52">
        <f>R2371-T2371</f>
        <v>21.33928571428571</v>
      </c>
      <c r="T2371" s="52">
        <f>R2371*U2371/(U2371+100)</f>
        <v>2.5607142857142855</v>
      </c>
      <c r="U2371" s="50">
        <v>12</v>
      </c>
      <c r="V2371" s="53">
        <v>0</v>
      </c>
      <c r="W2371" s="147">
        <v>1</v>
      </c>
      <c r="X2371" s="148" t="s">
        <v>163</v>
      </c>
      <c r="Y2371" s="54">
        <f>R2371*W2371</f>
        <v>23.9</v>
      </c>
      <c r="Z2371" s="52">
        <f>S2371*W2371</f>
        <v>21.33928571428571</v>
      </c>
      <c r="AA2371" s="52">
        <f>T2371*W2371</f>
        <v>2.5607142857142855</v>
      </c>
      <c r="AB2371" s="52">
        <f>V2371*W2371</f>
        <v>0</v>
      </c>
      <c r="AC2371" s="53">
        <f>(R2371+V2371)*W2371</f>
        <v>23.9</v>
      </c>
      <c r="AD2371" s="138">
        <v>23.9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109</v>
      </c>
      <c r="F2372" s="96" t="s">
        <v>111</v>
      </c>
      <c r="G2372" s="97">
        <v>46132</v>
      </c>
      <c r="H2372" s="98">
        <v>0.603738425925926</v>
      </c>
      <c r="I2372" s="50">
        <v>169002666</v>
      </c>
      <c r="J2372" s="96" t="s">
        <v>157</v>
      </c>
      <c r="K2372" s="49" t="s">
        <v>507</v>
      </c>
      <c r="L2372" s="39" t="s">
        <v>508</v>
      </c>
      <c r="M2372" s="49" t="s">
        <v>509</v>
      </c>
      <c r="N2372" s="39" t="s">
        <v>256</v>
      </c>
      <c r="O2372" s="96" t="s">
        <v>1024</v>
      </c>
      <c r="P2372" s="49" t="s">
        <v>235</v>
      </c>
      <c r="Q2372" s="96" t="s">
        <v>236</v>
      </c>
      <c r="R2372" s="52">
        <v>15.9</v>
      </c>
      <c r="S2372" s="52">
        <f>R2372-T2372</f>
        <v>13.140495867768596</v>
      </c>
      <c r="T2372" s="52">
        <f>R2372*U2372/(U2372+100)</f>
        <v>2.759504132231405</v>
      </c>
      <c r="U2372" s="50">
        <v>21</v>
      </c>
      <c r="V2372" s="53">
        <v>0</v>
      </c>
      <c r="W2372" s="147">
        <v>12</v>
      </c>
      <c r="X2372" s="148" t="s">
        <v>163</v>
      </c>
      <c r="Y2372" s="54">
        <f>R2372*W2372</f>
        <v>190.8</v>
      </c>
      <c r="Z2372" s="52">
        <f>S2372*W2372</f>
        <v>157.68595041322317</v>
      </c>
      <c r="AA2372" s="52">
        <f>T2372*W2372</f>
        <v>33.11404958677686</v>
      </c>
      <c r="AB2372" s="52">
        <f>V2372*W2372</f>
        <v>0</v>
      </c>
      <c r="AC2372" s="53">
        <f>(R2372+V2372)*W2372</f>
        <v>190.8</v>
      </c>
      <c r="AD2372" s="138">
        <v>15.9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109</v>
      </c>
      <c r="F2373" s="96" t="s">
        <v>111</v>
      </c>
      <c r="G2373" s="97">
        <v>46132</v>
      </c>
      <c r="H2373" s="98">
        <v>0.6050810185185185</v>
      </c>
      <c r="I2373" s="50">
        <v>169002667</v>
      </c>
      <c r="J2373" s="96" t="s">
        <v>157</v>
      </c>
      <c r="K2373" s="49" t="s">
        <v>2765</v>
      </c>
      <c r="L2373" s="39" t="s">
        <v>2766</v>
      </c>
      <c r="M2373" s="49" t="s">
        <v>792</v>
      </c>
      <c r="N2373" s="39" t="s">
        <v>793</v>
      </c>
      <c r="O2373" s="96" t="s">
        <v>2767</v>
      </c>
      <c r="P2373" s="49" t="s">
        <v>157</v>
      </c>
      <c r="Q2373" s="96" t="s">
        <v>104</v>
      </c>
      <c r="R2373" s="52">
        <v>16.9</v>
      </c>
      <c r="S2373" s="52">
        <f>R2373-T2373</f>
        <v>15.089285714285714</v>
      </c>
      <c r="T2373" s="52">
        <f>R2373*U2373/(U2373+100)</f>
        <v>1.8107142857142855</v>
      </c>
      <c r="U2373" s="50">
        <v>12</v>
      </c>
      <c r="V2373" s="53">
        <v>0</v>
      </c>
      <c r="W2373" s="147">
        <v>1</v>
      </c>
      <c r="X2373" s="148" t="s">
        <v>163</v>
      </c>
      <c r="Y2373" s="54">
        <f>R2373*W2373</f>
        <v>16.9</v>
      </c>
      <c r="Z2373" s="52">
        <f>S2373*W2373</f>
        <v>15.089285714285714</v>
      </c>
      <c r="AA2373" s="52">
        <f>T2373*W2373</f>
        <v>1.8107142857142855</v>
      </c>
      <c r="AB2373" s="52">
        <f>V2373*W2373</f>
        <v>0</v>
      </c>
      <c r="AC2373" s="53">
        <f>(R2373+V2373)*W2373</f>
        <v>16.9</v>
      </c>
      <c r="AD2373" s="138">
        <v>16.9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109</v>
      </c>
      <c r="F2374" s="96" t="s">
        <v>111</v>
      </c>
      <c r="G2374" s="97">
        <v>46132</v>
      </c>
      <c r="H2374" s="98">
        <v>0.6050810185185185</v>
      </c>
      <c r="I2374" s="50">
        <v>169002667</v>
      </c>
      <c r="J2374" s="96" t="s">
        <v>157</v>
      </c>
      <c r="K2374" s="49" t="s">
        <v>2765</v>
      </c>
      <c r="L2374" s="39" t="s">
        <v>2766</v>
      </c>
      <c r="M2374" s="49" t="s">
        <v>792</v>
      </c>
      <c r="N2374" s="39" t="s">
        <v>793</v>
      </c>
      <c r="O2374" s="96" t="s">
        <v>2767</v>
      </c>
      <c r="P2374" s="49" t="s">
        <v>157</v>
      </c>
      <c r="Q2374" s="96" t="s">
        <v>104</v>
      </c>
      <c r="R2374" s="52">
        <v>16.9</v>
      </c>
      <c r="S2374" s="52">
        <f>R2374-T2374</f>
        <v>15.089285714285714</v>
      </c>
      <c r="T2374" s="52">
        <f>R2374*U2374/(U2374+100)</f>
        <v>1.8107142857142855</v>
      </c>
      <c r="U2374" s="50">
        <v>12</v>
      </c>
      <c r="V2374" s="53">
        <v>0</v>
      </c>
      <c r="W2374" s="147">
        <v>1</v>
      </c>
      <c r="X2374" s="148" t="s">
        <v>163</v>
      </c>
      <c r="Y2374" s="54">
        <f>R2374*W2374</f>
        <v>16.9</v>
      </c>
      <c r="Z2374" s="52">
        <f>S2374*W2374</f>
        <v>15.089285714285714</v>
      </c>
      <c r="AA2374" s="52">
        <f>T2374*W2374</f>
        <v>1.8107142857142855</v>
      </c>
      <c r="AB2374" s="52">
        <f>V2374*W2374</f>
        <v>0</v>
      </c>
      <c r="AC2374" s="53">
        <f>(R2374+V2374)*W2374</f>
        <v>16.9</v>
      </c>
      <c r="AD2374" s="138">
        <v>16.9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109</v>
      </c>
      <c r="F2375" s="96" t="s">
        <v>111</v>
      </c>
      <c r="G2375" s="97">
        <v>46132</v>
      </c>
      <c r="H2375" s="98">
        <v>0.6050810185185185</v>
      </c>
      <c r="I2375" s="50">
        <v>169002667</v>
      </c>
      <c r="J2375" s="96" t="s">
        <v>157</v>
      </c>
      <c r="K2375" s="49" t="s">
        <v>329</v>
      </c>
      <c r="L2375" s="39" t="s">
        <v>330</v>
      </c>
      <c r="M2375" s="49" t="s">
        <v>185</v>
      </c>
      <c r="N2375" s="39" t="s">
        <v>331</v>
      </c>
      <c r="O2375" s="96" t="s">
        <v>1640</v>
      </c>
      <c r="P2375" s="49" t="s">
        <v>157</v>
      </c>
      <c r="Q2375" s="96" t="s">
        <v>104</v>
      </c>
      <c r="R2375" s="52">
        <v>49.9</v>
      </c>
      <c r="S2375" s="52">
        <f>R2375-T2375</f>
        <v>44.55357142857143</v>
      </c>
      <c r="T2375" s="52">
        <f>R2375*U2375/(U2375+100)</f>
        <v>5.346428571428571</v>
      </c>
      <c r="U2375" s="50">
        <v>12</v>
      </c>
      <c r="V2375" s="53">
        <v>0</v>
      </c>
      <c r="W2375" s="147">
        <v>1</v>
      </c>
      <c r="X2375" s="148" t="s">
        <v>163</v>
      </c>
      <c r="Y2375" s="54">
        <f>R2375*W2375</f>
        <v>49.9</v>
      </c>
      <c r="Z2375" s="52">
        <f>S2375*W2375</f>
        <v>44.55357142857143</v>
      </c>
      <c r="AA2375" s="52">
        <f>T2375*W2375</f>
        <v>5.346428571428571</v>
      </c>
      <c r="AB2375" s="52">
        <f>V2375*W2375</f>
        <v>0</v>
      </c>
      <c r="AC2375" s="53">
        <f>(R2375+V2375)*W2375</f>
        <v>49.9</v>
      </c>
      <c r="AD2375" s="138">
        <v>49.9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109</v>
      </c>
      <c r="F2376" s="96" t="s">
        <v>111</v>
      </c>
      <c r="G2376" s="97">
        <v>46132</v>
      </c>
      <c r="H2376" s="98">
        <v>0.6055092592592592</v>
      </c>
      <c r="I2376" s="50">
        <v>169002668</v>
      </c>
      <c r="J2376" s="96" t="s">
        <v>157</v>
      </c>
      <c r="K2376" s="49" t="s">
        <v>3295</v>
      </c>
      <c r="L2376" s="39" t="s">
        <v>3296</v>
      </c>
      <c r="M2376" s="49" t="s">
        <v>792</v>
      </c>
      <c r="N2376" s="39" t="s">
        <v>793</v>
      </c>
      <c r="O2376" s="96" t="s">
        <v>3297</v>
      </c>
      <c r="P2376" s="49" t="s">
        <v>157</v>
      </c>
      <c r="Q2376" s="96" t="s">
        <v>104</v>
      </c>
      <c r="R2376" s="52">
        <v>16.9</v>
      </c>
      <c r="S2376" s="52">
        <f>R2376-T2376</f>
        <v>15.089285714285714</v>
      </c>
      <c r="T2376" s="52">
        <f>R2376*U2376/(U2376+100)</f>
        <v>1.8107142857142855</v>
      </c>
      <c r="U2376" s="50">
        <v>12</v>
      </c>
      <c r="V2376" s="53">
        <v>0</v>
      </c>
      <c r="W2376" s="147">
        <v>1</v>
      </c>
      <c r="X2376" s="148" t="s">
        <v>163</v>
      </c>
      <c r="Y2376" s="54">
        <f>R2376*W2376</f>
        <v>16.9</v>
      </c>
      <c r="Z2376" s="52">
        <f>S2376*W2376</f>
        <v>15.089285714285714</v>
      </c>
      <c r="AA2376" s="52">
        <f>T2376*W2376</f>
        <v>1.8107142857142855</v>
      </c>
      <c r="AB2376" s="52">
        <f>V2376*W2376</f>
        <v>0</v>
      </c>
      <c r="AC2376" s="53">
        <f>(R2376+V2376)*W2376</f>
        <v>16.9</v>
      </c>
      <c r="AD2376" s="138">
        <v>16.9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109</v>
      </c>
      <c r="F2377" s="96" t="s">
        <v>111</v>
      </c>
      <c r="G2377" s="97">
        <v>46132</v>
      </c>
      <c r="H2377" s="98">
        <v>0.6055092592592592</v>
      </c>
      <c r="I2377" s="50">
        <v>169002668</v>
      </c>
      <c r="J2377" s="96" t="s">
        <v>157</v>
      </c>
      <c r="K2377" s="49" t="s">
        <v>3355</v>
      </c>
      <c r="L2377" s="39" t="s">
        <v>3356</v>
      </c>
      <c r="M2377" s="49" t="s">
        <v>3357</v>
      </c>
      <c r="N2377" s="39" t="s">
        <v>1410</v>
      </c>
      <c r="O2377" s="96" t="s">
        <v>3358</v>
      </c>
      <c r="P2377" s="49" t="s">
        <v>157</v>
      </c>
      <c r="Q2377" s="96" t="s">
        <v>104</v>
      </c>
      <c r="R2377" s="52">
        <v>10.4</v>
      </c>
      <c r="S2377" s="52">
        <f>R2377-T2377</f>
        <v>9.285714285714286</v>
      </c>
      <c r="T2377" s="52">
        <f>R2377*U2377/(U2377+100)</f>
        <v>1.1142857142857143</v>
      </c>
      <c r="U2377" s="50">
        <v>12</v>
      </c>
      <c r="V2377" s="53">
        <v>0</v>
      </c>
      <c r="W2377" s="147">
        <v>1</v>
      </c>
      <c r="X2377" s="148" t="s">
        <v>163</v>
      </c>
      <c r="Y2377" s="54">
        <f>R2377*W2377</f>
        <v>10.4</v>
      </c>
      <c r="Z2377" s="52">
        <f>S2377*W2377</f>
        <v>9.285714285714286</v>
      </c>
      <c r="AA2377" s="52">
        <f>T2377*W2377</f>
        <v>1.1142857142857143</v>
      </c>
      <c r="AB2377" s="52">
        <f>V2377*W2377</f>
        <v>0</v>
      </c>
      <c r="AC2377" s="53">
        <f>(R2377+V2377)*W2377</f>
        <v>10.4</v>
      </c>
      <c r="AD2377" s="138">
        <v>10.4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109</v>
      </c>
      <c r="F2378" s="96" t="s">
        <v>111</v>
      </c>
      <c r="G2378" s="97">
        <v>46132</v>
      </c>
      <c r="H2378" s="98">
        <v>0.6055092592592592</v>
      </c>
      <c r="I2378" s="50">
        <v>169002668</v>
      </c>
      <c r="J2378" s="96" t="s">
        <v>157</v>
      </c>
      <c r="K2378" s="49" t="s">
        <v>3359</v>
      </c>
      <c r="L2378" s="39" t="s">
        <v>3360</v>
      </c>
      <c r="M2378" s="49" t="s">
        <v>232</v>
      </c>
      <c r="N2378" s="39" t="s">
        <v>233</v>
      </c>
      <c r="O2378" s="96" t="s">
        <v>3361</v>
      </c>
      <c r="P2378" s="49" t="s">
        <v>157</v>
      </c>
      <c r="Q2378" s="96" t="s">
        <v>104</v>
      </c>
      <c r="R2378" s="52">
        <v>19.9</v>
      </c>
      <c r="S2378" s="52">
        <f>R2378-T2378</f>
        <v>16.446280991735534</v>
      </c>
      <c r="T2378" s="52">
        <f>R2378*U2378/(U2378+100)</f>
        <v>3.4537190082644624</v>
      </c>
      <c r="U2378" s="50">
        <v>21</v>
      </c>
      <c r="V2378" s="53">
        <v>0</v>
      </c>
      <c r="W2378" s="147">
        <v>1</v>
      </c>
      <c r="X2378" s="148" t="s">
        <v>163</v>
      </c>
      <c r="Y2378" s="54">
        <f>R2378*W2378</f>
        <v>19.9</v>
      </c>
      <c r="Z2378" s="52">
        <f>S2378*W2378</f>
        <v>16.446280991735534</v>
      </c>
      <c r="AA2378" s="52">
        <f>T2378*W2378</f>
        <v>3.4537190082644624</v>
      </c>
      <c r="AB2378" s="52">
        <f>V2378*W2378</f>
        <v>0</v>
      </c>
      <c r="AC2378" s="53">
        <f>(R2378+V2378)*W2378</f>
        <v>19.9</v>
      </c>
      <c r="AD2378" s="138">
        <v>19.9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109</v>
      </c>
      <c r="F2379" s="96" t="s">
        <v>111</v>
      </c>
      <c r="G2379" s="97">
        <v>46132</v>
      </c>
      <c r="H2379" s="98">
        <v>0.6055092592592592</v>
      </c>
      <c r="I2379" s="50">
        <v>169002668</v>
      </c>
      <c r="J2379" s="96" t="s">
        <v>157</v>
      </c>
      <c r="K2379" s="49" t="s">
        <v>989</v>
      </c>
      <c r="L2379" s="39" t="s">
        <v>990</v>
      </c>
      <c r="M2379" s="49" t="s">
        <v>219</v>
      </c>
      <c r="N2379" s="39" t="s">
        <v>388</v>
      </c>
      <c r="O2379" s="96" t="s">
        <v>991</v>
      </c>
      <c r="P2379" s="49" t="s">
        <v>157</v>
      </c>
      <c r="Q2379" s="96" t="s">
        <v>104</v>
      </c>
      <c r="R2379" s="52">
        <v>35.9</v>
      </c>
      <c r="S2379" s="52">
        <f>R2379-T2379</f>
        <v>29.669421487603305</v>
      </c>
      <c r="T2379" s="52">
        <f>R2379*U2379/(U2379+100)</f>
        <v>6.230578512396694</v>
      </c>
      <c r="U2379" s="50">
        <v>21</v>
      </c>
      <c r="V2379" s="53">
        <v>0</v>
      </c>
      <c r="W2379" s="147">
        <v>1</v>
      </c>
      <c r="X2379" s="148" t="s">
        <v>163</v>
      </c>
      <c r="Y2379" s="54">
        <f>R2379*W2379</f>
        <v>35.9</v>
      </c>
      <c r="Z2379" s="52">
        <f>S2379*W2379</f>
        <v>29.669421487603305</v>
      </c>
      <c r="AA2379" s="52">
        <f>T2379*W2379</f>
        <v>6.230578512396694</v>
      </c>
      <c r="AB2379" s="52">
        <f>V2379*W2379</f>
        <v>0</v>
      </c>
      <c r="AC2379" s="53">
        <f>(R2379+V2379)*W2379</f>
        <v>35.9</v>
      </c>
      <c r="AD2379" s="138">
        <v>35.9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109</v>
      </c>
      <c r="F2380" s="96" t="s">
        <v>111</v>
      </c>
      <c r="G2380" s="97">
        <v>46132</v>
      </c>
      <c r="H2380" s="98">
        <v>0.6055092592592592</v>
      </c>
      <c r="I2380" s="50">
        <v>169002668</v>
      </c>
      <c r="J2380" s="96" t="s">
        <v>157</v>
      </c>
      <c r="K2380" s="49" t="s">
        <v>1776</v>
      </c>
      <c r="L2380" s="39" t="s">
        <v>1777</v>
      </c>
      <c r="M2380" s="49" t="s">
        <v>1452</v>
      </c>
      <c r="N2380" s="39" t="s">
        <v>653</v>
      </c>
      <c r="O2380" s="96" t="s">
        <v>1778</v>
      </c>
      <c r="P2380" s="49" t="s">
        <v>235</v>
      </c>
      <c r="Q2380" s="96" t="s">
        <v>236</v>
      </c>
      <c r="R2380" s="52">
        <v>19.9</v>
      </c>
      <c r="S2380" s="52">
        <f>R2380-T2380</f>
        <v>16.446280991735534</v>
      </c>
      <c r="T2380" s="52">
        <f>R2380*U2380/(U2380+100)</f>
        <v>3.4537190082644624</v>
      </c>
      <c r="U2380" s="50">
        <v>21</v>
      </c>
      <c r="V2380" s="53">
        <v>0</v>
      </c>
      <c r="W2380" s="147">
        <v>1</v>
      </c>
      <c r="X2380" s="148" t="s">
        <v>163</v>
      </c>
      <c r="Y2380" s="54">
        <f>R2380*W2380</f>
        <v>19.9</v>
      </c>
      <c r="Z2380" s="52">
        <f>S2380*W2380</f>
        <v>16.446280991735534</v>
      </c>
      <c r="AA2380" s="52">
        <f>T2380*W2380</f>
        <v>3.4537190082644624</v>
      </c>
      <c r="AB2380" s="52">
        <f>V2380*W2380</f>
        <v>0</v>
      </c>
      <c r="AC2380" s="53">
        <f>(R2380+V2380)*W2380</f>
        <v>19.9</v>
      </c>
      <c r="AD2380" s="138">
        <v>19.9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109</v>
      </c>
      <c r="F2381" s="96" t="s">
        <v>111</v>
      </c>
      <c r="G2381" s="97">
        <v>46132</v>
      </c>
      <c r="H2381" s="98">
        <v>0.6059837962962963</v>
      </c>
      <c r="I2381" s="50">
        <v>169002669</v>
      </c>
      <c r="J2381" s="96" t="s">
        <v>157</v>
      </c>
      <c r="K2381" s="49" t="s">
        <v>3362</v>
      </c>
      <c r="L2381" s="39" t="s">
        <v>3363</v>
      </c>
      <c r="M2381" s="49" t="s">
        <v>1401</v>
      </c>
      <c r="N2381" s="39" t="s">
        <v>244</v>
      </c>
      <c r="O2381" s="96" t="s">
        <v>3364</v>
      </c>
      <c r="P2381" s="49" t="s">
        <v>157</v>
      </c>
      <c r="Q2381" s="96" t="s">
        <v>104</v>
      </c>
      <c r="R2381" s="52">
        <v>27.9</v>
      </c>
      <c r="S2381" s="52">
        <f>R2381-T2381</f>
        <v>24.910714285714285</v>
      </c>
      <c r="T2381" s="52">
        <f>R2381*U2381/(U2381+100)</f>
        <v>2.989285714285714</v>
      </c>
      <c r="U2381" s="50">
        <v>12</v>
      </c>
      <c r="V2381" s="53">
        <v>0</v>
      </c>
      <c r="W2381" s="147">
        <v>1</v>
      </c>
      <c r="X2381" s="148" t="s">
        <v>163</v>
      </c>
      <c r="Y2381" s="54">
        <f>R2381*W2381</f>
        <v>27.9</v>
      </c>
      <c r="Z2381" s="52">
        <f>S2381*W2381</f>
        <v>24.910714285714285</v>
      </c>
      <c r="AA2381" s="52">
        <f>T2381*W2381</f>
        <v>2.989285714285714</v>
      </c>
      <c r="AB2381" s="52">
        <f>V2381*W2381</f>
        <v>0</v>
      </c>
      <c r="AC2381" s="53">
        <f>(R2381+V2381)*W2381</f>
        <v>27.9</v>
      </c>
      <c r="AD2381" s="138">
        <v>27.9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109</v>
      </c>
      <c r="F2382" s="96" t="s">
        <v>111</v>
      </c>
      <c r="G2382" s="97">
        <v>46132</v>
      </c>
      <c r="H2382" s="98">
        <v>0.6059837962962963</v>
      </c>
      <c r="I2382" s="50">
        <v>169002669</v>
      </c>
      <c r="J2382" s="96" t="s">
        <v>157</v>
      </c>
      <c r="K2382" s="49" t="s">
        <v>3365</v>
      </c>
      <c r="L2382" s="39" t="s">
        <v>3366</v>
      </c>
      <c r="M2382" s="49" t="s">
        <v>171</v>
      </c>
      <c r="N2382" s="39" t="s">
        <v>404</v>
      </c>
      <c r="O2382" s="96" t="s">
        <v>3367</v>
      </c>
      <c r="P2382" s="49" t="s">
        <v>157</v>
      </c>
      <c r="Q2382" s="96" t="s">
        <v>104</v>
      </c>
      <c r="R2382" s="52">
        <v>19.9</v>
      </c>
      <c r="S2382" s="52">
        <f>R2382-T2382</f>
        <v>17.767857142857142</v>
      </c>
      <c r="T2382" s="52">
        <f>R2382*U2382/(U2382+100)</f>
        <v>2.132142857142857</v>
      </c>
      <c r="U2382" s="50">
        <v>12</v>
      </c>
      <c r="V2382" s="53">
        <v>0</v>
      </c>
      <c r="W2382" s="147">
        <v>1</v>
      </c>
      <c r="X2382" s="148" t="s">
        <v>163</v>
      </c>
      <c r="Y2382" s="54">
        <f>R2382*W2382</f>
        <v>19.9</v>
      </c>
      <c r="Z2382" s="52">
        <f>S2382*W2382</f>
        <v>17.767857142857142</v>
      </c>
      <c r="AA2382" s="52">
        <f>T2382*W2382</f>
        <v>2.132142857142857</v>
      </c>
      <c r="AB2382" s="52">
        <f>V2382*W2382</f>
        <v>0</v>
      </c>
      <c r="AC2382" s="53">
        <f>(R2382+V2382)*W2382</f>
        <v>19.9</v>
      </c>
      <c r="AD2382" s="138">
        <v>19.9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109</v>
      </c>
      <c r="F2383" s="96" t="s">
        <v>111</v>
      </c>
      <c r="G2383" s="97">
        <v>46132</v>
      </c>
      <c r="H2383" s="98">
        <v>0.6059837962962963</v>
      </c>
      <c r="I2383" s="50">
        <v>169002669</v>
      </c>
      <c r="J2383" s="96" t="s">
        <v>157</v>
      </c>
      <c r="K2383" s="49" t="s">
        <v>3368</v>
      </c>
      <c r="L2383" s="39" t="s">
        <v>3369</v>
      </c>
      <c r="M2383" s="49" t="s">
        <v>255</v>
      </c>
      <c r="N2383" s="39" t="s">
        <v>256</v>
      </c>
      <c r="O2383" s="96" t="s">
        <v>3370</v>
      </c>
      <c r="P2383" s="49" t="s">
        <v>157</v>
      </c>
      <c r="Q2383" s="96" t="s">
        <v>104</v>
      </c>
      <c r="R2383" s="52">
        <v>39.9</v>
      </c>
      <c r="S2383" s="52">
        <f>R2383-T2383</f>
        <v>32.97520661157024</v>
      </c>
      <c r="T2383" s="52">
        <f>R2383*U2383/(U2383+100)</f>
        <v>6.924793388429752</v>
      </c>
      <c r="U2383" s="50">
        <v>21</v>
      </c>
      <c r="V2383" s="53">
        <v>0</v>
      </c>
      <c r="W2383" s="147">
        <v>1</v>
      </c>
      <c r="X2383" s="148" t="s">
        <v>163</v>
      </c>
      <c r="Y2383" s="54">
        <f>R2383*W2383</f>
        <v>39.9</v>
      </c>
      <c r="Z2383" s="52">
        <f>S2383*W2383</f>
        <v>32.97520661157024</v>
      </c>
      <c r="AA2383" s="52">
        <f>T2383*W2383</f>
        <v>6.924793388429752</v>
      </c>
      <c r="AB2383" s="52">
        <f>V2383*W2383</f>
        <v>0</v>
      </c>
      <c r="AC2383" s="53">
        <f>(R2383+V2383)*W2383</f>
        <v>39.9</v>
      </c>
      <c r="AD2383" s="138">
        <v>39.9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109</v>
      </c>
      <c r="F2384" s="96" t="s">
        <v>111</v>
      </c>
      <c r="G2384" s="97">
        <v>46132</v>
      </c>
      <c r="H2384" s="98">
        <v>0.6059837962962963</v>
      </c>
      <c r="I2384" s="50">
        <v>169002669</v>
      </c>
      <c r="J2384" s="96" t="s">
        <v>157</v>
      </c>
      <c r="K2384" s="49" t="s">
        <v>507</v>
      </c>
      <c r="L2384" s="39" t="s">
        <v>508</v>
      </c>
      <c r="M2384" s="49" t="s">
        <v>509</v>
      </c>
      <c r="N2384" s="39" t="s">
        <v>256</v>
      </c>
      <c r="O2384" s="96" t="s">
        <v>1024</v>
      </c>
      <c r="P2384" s="49" t="s">
        <v>235</v>
      </c>
      <c r="Q2384" s="96" t="s">
        <v>236</v>
      </c>
      <c r="R2384" s="52">
        <v>15.9</v>
      </c>
      <c r="S2384" s="52">
        <f>R2384-T2384</f>
        <v>13.140495867768596</v>
      </c>
      <c r="T2384" s="52">
        <f>R2384*U2384/(U2384+100)</f>
        <v>2.759504132231405</v>
      </c>
      <c r="U2384" s="50">
        <v>21</v>
      </c>
      <c r="V2384" s="53">
        <v>0</v>
      </c>
      <c r="W2384" s="147">
        <v>7</v>
      </c>
      <c r="X2384" s="148" t="s">
        <v>163</v>
      </c>
      <c r="Y2384" s="54">
        <f>R2384*W2384</f>
        <v>111.3</v>
      </c>
      <c r="Z2384" s="52">
        <f>S2384*W2384</f>
        <v>91.98347107438018</v>
      </c>
      <c r="AA2384" s="52">
        <f>T2384*W2384</f>
        <v>19.316528925619835</v>
      </c>
      <c r="AB2384" s="52">
        <f>V2384*W2384</f>
        <v>0</v>
      </c>
      <c r="AC2384" s="53">
        <f>(R2384+V2384)*W2384</f>
        <v>111.3</v>
      </c>
      <c r="AD2384" s="138">
        <v>15.9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109</v>
      </c>
      <c r="F2385" s="96" t="s">
        <v>111</v>
      </c>
      <c r="G2385" s="97">
        <v>46132</v>
      </c>
      <c r="H2385" s="98">
        <v>0.6061458333333334</v>
      </c>
      <c r="I2385" s="50">
        <v>169002670</v>
      </c>
      <c r="J2385" s="96" t="s">
        <v>157</v>
      </c>
      <c r="K2385" s="49" t="s">
        <v>865</v>
      </c>
      <c r="L2385" s="39" t="s">
        <v>866</v>
      </c>
      <c r="M2385" s="49" t="s">
        <v>425</v>
      </c>
      <c r="N2385" s="39" t="s">
        <v>197</v>
      </c>
      <c r="O2385" s="96" t="s">
        <v>3146</v>
      </c>
      <c r="P2385" s="49" t="s">
        <v>157</v>
      </c>
      <c r="Q2385" s="96" t="s">
        <v>104</v>
      </c>
      <c r="R2385" s="52">
        <v>17.9</v>
      </c>
      <c r="S2385" s="52">
        <f>R2385-T2385</f>
        <v>15.982142857142856</v>
      </c>
      <c r="T2385" s="52">
        <f>R2385*U2385/(U2385+100)</f>
        <v>1.9178571428571427</v>
      </c>
      <c r="U2385" s="50">
        <v>12</v>
      </c>
      <c r="V2385" s="53">
        <v>0</v>
      </c>
      <c r="W2385" s="147">
        <v>1</v>
      </c>
      <c r="X2385" s="148" t="s">
        <v>163</v>
      </c>
      <c r="Y2385" s="54">
        <f>R2385*W2385</f>
        <v>17.9</v>
      </c>
      <c r="Z2385" s="52">
        <f>S2385*W2385</f>
        <v>15.982142857142856</v>
      </c>
      <c r="AA2385" s="52">
        <f>T2385*W2385</f>
        <v>1.9178571428571427</v>
      </c>
      <c r="AB2385" s="52">
        <f>V2385*W2385</f>
        <v>0</v>
      </c>
      <c r="AC2385" s="53">
        <f>(R2385+V2385)*W2385</f>
        <v>17.9</v>
      </c>
      <c r="AD2385" s="138">
        <v>17.9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109</v>
      </c>
      <c r="F2386" s="96" t="s">
        <v>111</v>
      </c>
      <c r="G2386" s="97">
        <v>46132</v>
      </c>
      <c r="H2386" s="98">
        <v>0.6061458333333334</v>
      </c>
      <c r="I2386" s="50">
        <v>169002670</v>
      </c>
      <c r="J2386" s="96" t="s">
        <v>157</v>
      </c>
      <c r="K2386" s="49" t="s">
        <v>868</v>
      </c>
      <c r="L2386" s="39" t="s">
        <v>869</v>
      </c>
      <c r="M2386" s="49" t="s">
        <v>360</v>
      </c>
      <c r="N2386" s="39" t="s">
        <v>220</v>
      </c>
      <c r="O2386" s="96" t="s">
        <v>2857</v>
      </c>
      <c r="P2386" s="49" t="s">
        <v>157</v>
      </c>
      <c r="Q2386" s="96" t="s">
        <v>104</v>
      </c>
      <c r="R2386" s="52">
        <v>11.4</v>
      </c>
      <c r="S2386" s="52">
        <f>R2386-T2386</f>
        <v>9.421487603305785</v>
      </c>
      <c r="T2386" s="52">
        <f>R2386*U2386/(U2386+100)</f>
        <v>1.9785123966942149</v>
      </c>
      <c r="U2386" s="50">
        <v>21</v>
      </c>
      <c r="V2386" s="53">
        <v>0</v>
      </c>
      <c r="W2386" s="147">
        <v>1</v>
      </c>
      <c r="X2386" s="148" t="s">
        <v>163</v>
      </c>
      <c r="Y2386" s="54">
        <f>R2386*W2386</f>
        <v>11.4</v>
      </c>
      <c r="Z2386" s="52">
        <f>S2386*W2386</f>
        <v>9.421487603305785</v>
      </c>
      <c r="AA2386" s="52">
        <f>T2386*W2386</f>
        <v>1.9785123966942149</v>
      </c>
      <c r="AB2386" s="52">
        <f>V2386*W2386</f>
        <v>0</v>
      </c>
      <c r="AC2386" s="53">
        <f>(R2386+V2386)*W2386</f>
        <v>11.4</v>
      </c>
      <c r="AD2386" s="138">
        <v>11.4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109</v>
      </c>
      <c r="F2387" s="96" t="s">
        <v>111</v>
      </c>
      <c r="G2387" s="97">
        <v>46132</v>
      </c>
      <c r="H2387" s="98">
        <v>0.6070949074074075</v>
      </c>
      <c r="I2387" s="50">
        <v>169002671</v>
      </c>
      <c r="J2387" s="96" t="s">
        <v>157</v>
      </c>
      <c r="K2387" s="49" t="s">
        <v>1555</v>
      </c>
      <c r="L2387" s="39" t="s">
        <v>1556</v>
      </c>
      <c r="M2387" s="49" t="s">
        <v>425</v>
      </c>
      <c r="N2387" s="39" t="s">
        <v>197</v>
      </c>
      <c r="O2387" s="96" t="s">
        <v>1557</v>
      </c>
      <c r="P2387" s="49" t="s">
        <v>235</v>
      </c>
      <c r="Q2387" s="96" t="s">
        <v>236</v>
      </c>
      <c r="R2387" s="52">
        <v>5.9</v>
      </c>
      <c r="S2387" s="52">
        <f>R2387-T2387</f>
        <v>5.267857142857143</v>
      </c>
      <c r="T2387" s="52">
        <f>R2387*U2387/(U2387+100)</f>
        <v>0.6321428571428572</v>
      </c>
      <c r="U2387" s="50">
        <v>12</v>
      </c>
      <c r="V2387" s="53">
        <v>0</v>
      </c>
      <c r="W2387" s="147">
        <v>1</v>
      </c>
      <c r="X2387" s="148" t="s">
        <v>163</v>
      </c>
      <c r="Y2387" s="54">
        <f>R2387*W2387</f>
        <v>5.9</v>
      </c>
      <c r="Z2387" s="52">
        <f>S2387*W2387</f>
        <v>5.267857142857143</v>
      </c>
      <c r="AA2387" s="52">
        <f>T2387*W2387</f>
        <v>0.6321428571428572</v>
      </c>
      <c r="AB2387" s="52">
        <f>V2387*W2387</f>
        <v>0</v>
      </c>
      <c r="AC2387" s="53">
        <f>(R2387+V2387)*W2387</f>
        <v>5.9</v>
      </c>
      <c r="AD2387" s="138">
        <v>5.9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109</v>
      </c>
      <c r="F2388" s="96" t="s">
        <v>111</v>
      </c>
      <c r="G2388" s="97">
        <v>46132</v>
      </c>
      <c r="H2388" s="98">
        <v>0.6070949074074075</v>
      </c>
      <c r="I2388" s="50">
        <v>169002671</v>
      </c>
      <c r="J2388" s="96" t="s">
        <v>157</v>
      </c>
      <c r="K2388" s="49" t="s">
        <v>1555</v>
      </c>
      <c r="L2388" s="39" t="s">
        <v>1556</v>
      </c>
      <c r="M2388" s="49" t="s">
        <v>425</v>
      </c>
      <c r="N2388" s="39" t="s">
        <v>197</v>
      </c>
      <c r="O2388" s="96" t="s">
        <v>1557</v>
      </c>
      <c r="P2388" s="49" t="s">
        <v>235</v>
      </c>
      <c r="Q2388" s="96" t="s">
        <v>236</v>
      </c>
      <c r="R2388" s="52">
        <v>5.9</v>
      </c>
      <c r="S2388" s="52">
        <f>R2388-T2388</f>
        <v>5.267857142857143</v>
      </c>
      <c r="T2388" s="52">
        <f>R2388*U2388/(U2388+100)</f>
        <v>0.6321428571428572</v>
      </c>
      <c r="U2388" s="50">
        <v>12</v>
      </c>
      <c r="V2388" s="53">
        <v>0</v>
      </c>
      <c r="W2388" s="147">
        <v>1</v>
      </c>
      <c r="X2388" s="148" t="s">
        <v>163</v>
      </c>
      <c r="Y2388" s="54">
        <f>R2388*W2388</f>
        <v>5.9</v>
      </c>
      <c r="Z2388" s="52">
        <f>S2388*W2388</f>
        <v>5.267857142857143</v>
      </c>
      <c r="AA2388" s="52">
        <f>T2388*W2388</f>
        <v>0.6321428571428572</v>
      </c>
      <c r="AB2388" s="52">
        <f>V2388*W2388</f>
        <v>0</v>
      </c>
      <c r="AC2388" s="53">
        <f>(R2388+V2388)*W2388</f>
        <v>5.9</v>
      </c>
      <c r="AD2388" s="138">
        <v>5.9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109</v>
      </c>
      <c r="F2389" s="96" t="s">
        <v>111</v>
      </c>
      <c r="G2389" s="97">
        <v>46132</v>
      </c>
      <c r="H2389" s="98">
        <v>0.6070949074074075</v>
      </c>
      <c r="I2389" s="50">
        <v>169002671</v>
      </c>
      <c r="J2389" s="96" t="s">
        <v>157</v>
      </c>
      <c r="K2389" s="49" t="s">
        <v>1968</v>
      </c>
      <c r="L2389" s="39" t="s">
        <v>1969</v>
      </c>
      <c r="M2389" s="49" t="s">
        <v>425</v>
      </c>
      <c r="N2389" s="39" t="s">
        <v>197</v>
      </c>
      <c r="O2389" s="96" t="s">
        <v>1970</v>
      </c>
      <c r="P2389" s="49" t="s">
        <v>235</v>
      </c>
      <c r="Q2389" s="96" t="s">
        <v>236</v>
      </c>
      <c r="R2389" s="52">
        <v>5.9</v>
      </c>
      <c r="S2389" s="52">
        <f>R2389-T2389</f>
        <v>5.267857142857143</v>
      </c>
      <c r="T2389" s="52">
        <f>R2389*U2389/(U2389+100)</f>
        <v>0.6321428571428572</v>
      </c>
      <c r="U2389" s="50">
        <v>12</v>
      </c>
      <c r="V2389" s="53">
        <v>0</v>
      </c>
      <c r="W2389" s="147">
        <v>1</v>
      </c>
      <c r="X2389" s="148" t="s">
        <v>163</v>
      </c>
      <c r="Y2389" s="54">
        <f>R2389*W2389</f>
        <v>5.9</v>
      </c>
      <c r="Z2389" s="52">
        <f>S2389*W2389</f>
        <v>5.267857142857143</v>
      </c>
      <c r="AA2389" s="52">
        <f>T2389*W2389</f>
        <v>0.6321428571428572</v>
      </c>
      <c r="AB2389" s="52">
        <f>V2389*W2389</f>
        <v>0</v>
      </c>
      <c r="AC2389" s="53">
        <f>(R2389+V2389)*W2389</f>
        <v>5.9</v>
      </c>
      <c r="AD2389" s="138">
        <v>5.9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109</v>
      </c>
      <c r="F2390" s="96" t="s">
        <v>111</v>
      </c>
      <c r="G2390" s="97">
        <v>46132</v>
      </c>
      <c r="H2390" s="98">
        <v>0.6070949074074075</v>
      </c>
      <c r="I2390" s="50">
        <v>169002671</v>
      </c>
      <c r="J2390" s="96" t="s">
        <v>157</v>
      </c>
      <c r="K2390" s="49" t="s">
        <v>1968</v>
      </c>
      <c r="L2390" s="39" t="s">
        <v>1969</v>
      </c>
      <c r="M2390" s="49" t="s">
        <v>425</v>
      </c>
      <c r="N2390" s="39" t="s">
        <v>197</v>
      </c>
      <c r="O2390" s="96" t="s">
        <v>1970</v>
      </c>
      <c r="P2390" s="49" t="s">
        <v>235</v>
      </c>
      <c r="Q2390" s="96" t="s">
        <v>236</v>
      </c>
      <c r="R2390" s="52">
        <v>5.9</v>
      </c>
      <c r="S2390" s="52">
        <f>R2390-T2390</f>
        <v>5.267857142857143</v>
      </c>
      <c r="T2390" s="52">
        <f>R2390*U2390/(U2390+100)</f>
        <v>0.6321428571428572</v>
      </c>
      <c r="U2390" s="50">
        <v>12</v>
      </c>
      <c r="V2390" s="53">
        <v>0</v>
      </c>
      <c r="W2390" s="147">
        <v>1</v>
      </c>
      <c r="X2390" s="148" t="s">
        <v>163</v>
      </c>
      <c r="Y2390" s="54">
        <f>R2390*W2390</f>
        <v>5.9</v>
      </c>
      <c r="Z2390" s="52">
        <f>S2390*W2390</f>
        <v>5.267857142857143</v>
      </c>
      <c r="AA2390" s="52">
        <f>T2390*W2390</f>
        <v>0.6321428571428572</v>
      </c>
      <c r="AB2390" s="52">
        <f>V2390*W2390</f>
        <v>0</v>
      </c>
      <c r="AC2390" s="53">
        <f>(R2390+V2390)*W2390</f>
        <v>5.9</v>
      </c>
      <c r="AD2390" s="138">
        <v>5.9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109</v>
      </c>
      <c r="F2391" s="96" t="s">
        <v>111</v>
      </c>
      <c r="G2391" s="97">
        <v>46132</v>
      </c>
      <c r="H2391" s="98">
        <v>0.6070949074074075</v>
      </c>
      <c r="I2391" s="50">
        <v>169002671</v>
      </c>
      <c r="J2391" s="96" t="s">
        <v>157</v>
      </c>
      <c r="K2391" s="49" t="s">
        <v>3371</v>
      </c>
      <c r="L2391" s="39" t="s">
        <v>3372</v>
      </c>
      <c r="M2391" s="49" t="s">
        <v>3373</v>
      </c>
      <c r="N2391" s="39" t="s">
        <v>264</v>
      </c>
      <c r="O2391" s="96" t="s">
        <v>3374</v>
      </c>
      <c r="P2391" s="49" t="s">
        <v>157</v>
      </c>
      <c r="Q2391" s="96" t="s">
        <v>104</v>
      </c>
      <c r="R2391" s="52">
        <v>14.4</v>
      </c>
      <c r="S2391" s="52">
        <f>R2391-T2391</f>
        <v>12.857142857142858</v>
      </c>
      <c r="T2391" s="52">
        <f>R2391*U2391/(U2391+100)</f>
        <v>1.542857142857143</v>
      </c>
      <c r="U2391" s="50">
        <v>12</v>
      </c>
      <c r="V2391" s="53">
        <v>0</v>
      </c>
      <c r="W2391" s="147">
        <v>1</v>
      </c>
      <c r="X2391" s="148" t="s">
        <v>163</v>
      </c>
      <c r="Y2391" s="54">
        <f>R2391*W2391</f>
        <v>14.4</v>
      </c>
      <c r="Z2391" s="52">
        <f>S2391*W2391</f>
        <v>12.857142857142858</v>
      </c>
      <c r="AA2391" s="52">
        <f>T2391*W2391</f>
        <v>1.542857142857143</v>
      </c>
      <c r="AB2391" s="52">
        <f>V2391*W2391</f>
        <v>0</v>
      </c>
      <c r="AC2391" s="53">
        <f>(R2391+V2391)*W2391</f>
        <v>14.4</v>
      </c>
      <c r="AD2391" s="138">
        <v>14.4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109</v>
      </c>
      <c r="F2392" s="96" t="s">
        <v>111</v>
      </c>
      <c r="G2392" s="97">
        <v>46132</v>
      </c>
      <c r="H2392" s="98">
        <v>0.6070949074074075</v>
      </c>
      <c r="I2392" s="50">
        <v>169002671</v>
      </c>
      <c r="J2392" s="96" t="s">
        <v>157</v>
      </c>
      <c r="K2392" s="49" t="s">
        <v>3375</v>
      </c>
      <c r="L2392" s="39" t="s">
        <v>3376</v>
      </c>
      <c r="M2392" s="49" t="s">
        <v>823</v>
      </c>
      <c r="N2392" s="39" t="s">
        <v>609</v>
      </c>
      <c r="O2392" s="96" t="s">
        <v>3377</v>
      </c>
      <c r="P2392" s="49" t="s">
        <v>157</v>
      </c>
      <c r="Q2392" s="96" t="s">
        <v>104</v>
      </c>
      <c r="R2392" s="52">
        <v>17.9</v>
      </c>
      <c r="S2392" s="52">
        <f>R2392-T2392</f>
        <v>15.982142857142856</v>
      </c>
      <c r="T2392" s="52">
        <f>R2392*U2392/(U2392+100)</f>
        <v>1.9178571428571427</v>
      </c>
      <c r="U2392" s="50">
        <v>12</v>
      </c>
      <c r="V2392" s="53">
        <v>0</v>
      </c>
      <c r="W2392" s="147">
        <v>1</v>
      </c>
      <c r="X2392" s="148" t="s">
        <v>163</v>
      </c>
      <c r="Y2392" s="54">
        <f>R2392*W2392</f>
        <v>17.9</v>
      </c>
      <c r="Z2392" s="52">
        <f>S2392*W2392</f>
        <v>15.982142857142856</v>
      </c>
      <c r="AA2392" s="52">
        <f>T2392*W2392</f>
        <v>1.9178571428571427</v>
      </c>
      <c r="AB2392" s="52">
        <f>V2392*W2392</f>
        <v>0</v>
      </c>
      <c r="AC2392" s="53">
        <f>(R2392+V2392)*W2392</f>
        <v>17.9</v>
      </c>
      <c r="AD2392" s="138">
        <v>17.9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109</v>
      </c>
      <c r="F2393" s="96" t="s">
        <v>111</v>
      </c>
      <c r="G2393" s="97">
        <v>46132</v>
      </c>
      <c r="H2393" s="98">
        <v>0.6070949074074075</v>
      </c>
      <c r="I2393" s="50">
        <v>169002671</v>
      </c>
      <c r="J2393" s="96" t="s">
        <v>157</v>
      </c>
      <c r="K2393" s="49" t="s">
        <v>3375</v>
      </c>
      <c r="L2393" s="39" t="s">
        <v>3376</v>
      </c>
      <c r="M2393" s="49" t="s">
        <v>823</v>
      </c>
      <c r="N2393" s="39" t="s">
        <v>609</v>
      </c>
      <c r="O2393" s="96" t="s">
        <v>3377</v>
      </c>
      <c r="P2393" s="49" t="s">
        <v>157</v>
      </c>
      <c r="Q2393" s="96" t="s">
        <v>104</v>
      </c>
      <c r="R2393" s="52">
        <v>17.9</v>
      </c>
      <c r="S2393" s="52">
        <f>R2393-T2393</f>
        <v>15.982142857142856</v>
      </c>
      <c r="T2393" s="52">
        <f>R2393*U2393/(U2393+100)</f>
        <v>1.9178571428571427</v>
      </c>
      <c r="U2393" s="50">
        <v>12</v>
      </c>
      <c r="V2393" s="53">
        <v>0</v>
      </c>
      <c r="W2393" s="147">
        <v>1</v>
      </c>
      <c r="X2393" s="148" t="s">
        <v>163</v>
      </c>
      <c r="Y2393" s="54">
        <f>R2393*W2393</f>
        <v>17.9</v>
      </c>
      <c r="Z2393" s="52">
        <f>S2393*W2393</f>
        <v>15.982142857142856</v>
      </c>
      <c r="AA2393" s="52">
        <f>T2393*W2393</f>
        <v>1.9178571428571427</v>
      </c>
      <c r="AB2393" s="52">
        <f>V2393*W2393</f>
        <v>0</v>
      </c>
      <c r="AC2393" s="53">
        <f>(R2393+V2393)*W2393</f>
        <v>17.9</v>
      </c>
      <c r="AD2393" s="138">
        <v>17.9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109</v>
      </c>
      <c r="F2394" s="96" t="s">
        <v>111</v>
      </c>
      <c r="G2394" s="97">
        <v>46132</v>
      </c>
      <c r="H2394" s="98">
        <v>0.6070949074074075</v>
      </c>
      <c r="I2394" s="50">
        <v>169002671</v>
      </c>
      <c r="J2394" s="96" t="s">
        <v>157</v>
      </c>
      <c r="K2394" s="49" t="s">
        <v>2171</v>
      </c>
      <c r="L2394" s="39" t="s">
        <v>2172</v>
      </c>
      <c r="M2394" s="49" t="s">
        <v>214</v>
      </c>
      <c r="N2394" s="39" t="s">
        <v>2173</v>
      </c>
      <c r="O2394" s="96" t="s">
        <v>2174</v>
      </c>
      <c r="P2394" s="49" t="s">
        <v>235</v>
      </c>
      <c r="Q2394" s="96" t="s">
        <v>236</v>
      </c>
      <c r="R2394" s="52">
        <v>69.9</v>
      </c>
      <c r="S2394" s="52">
        <f>R2394-T2394</f>
        <v>62.41071428571429</v>
      </c>
      <c r="T2394" s="52">
        <f>R2394*U2394/(U2394+100)</f>
        <v>7.489285714285715</v>
      </c>
      <c r="U2394" s="50">
        <v>12</v>
      </c>
      <c r="V2394" s="53">
        <v>0</v>
      </c>
      <c r="W2394" s="147">
        <v>1</v>
      </c>
      <c r="X2394" s="148" t="s">
        <v>163</v>
      </c>
      <c r="Y2394" s="54">
        <f>R2394*W2394</f>
        <v>69.9</v>
      </c>
      <c r="Z2394" s="52">
        <f>S2394*W2394</f>
        <v>62.41071428571429</v>
      </c>
      <c r="AA2394" s="52">
        <f>T2394*W2394</f>
        <v>7.489285714285715</v>
      </c>
      <c r="AB2394" s="52">
        <f>V2394*W2394</f>
        <v>0</v>
      </c>
      <c r="AC2394" s="53">
        <f>(R2394+V2394)*W2394</f>
        <v>69.9</v>
      </c>
      <c r="AD2394" s="138">
        <v>69.9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109</v>
      </c>
      <c r="F2395" s="96" t="s">
        <v>111</v>
      </c>
      <c r="G2395" s="97">
        <v>46132</v>
      </c>
      <c r="H2395" s="98">
        <v>0.6088541666666667</v>
      </c>
      <c r="I2395" s="50">
        <v>169002672</v>
      </c>
      <c r="J2395" s="96" t="s">
        <v>157</v>
      </c>
      <c r="K2395" s="49" t="s">
        <v>3378</v>
      </c>
      <c r="L2395" s="39" t="s">
        <v>3379</v>
      </c>
      <c r="M2395" s="49" t="s">
        <v>444</v>
      </c>
      <c r="N2395" s="39" t="s">
        <v>445</v>
      </c>
      <c r="O2395" s="96" t="s">
        <v>3380</v>
      </c>
      <c r="P2395" s="49" t="s">
        <v>157</v>
      </c>
      <c r="Q2395" s="96" t="s">
        <v>104</v>
      </c>
      <c r="R2395" s="52">
        <v>27.9</v>
      </c>
      <c r="S2395" s="52">
        <f>R2395-T2395</f>
        <v>24.910714285714285</v>
      </c>
      <c r="T2395" s="52">
        <f>R2395*U2395/(U2395+100)</f>
        <v>2.989285714285714</v>
      </c>
      <c r="U2395" s="50">
        <v>12</v>
      </c>
      <c r="V2395" s="53">
        <v>0</v>
      </c>
      <c r="W2395" s="147">
        <v>1</v>
      </c>
      <c r="X2395" s="148" t="s">
        <v>163</v>
      </c>
      <c r="Y2395" s="54">
        <f>R2395*W2395</f>
        <v>27.9</v>
      </c>
      <c r="Z2395" s="52">
        <f>S2395*W2395</f>
        <v>24.910714285714285</v>
      </c>
      <c r="AA2395" s="52">
        <f>T2395*W2395</f>
        <v>2.989285714285714</v>
      </c>
      <c r="AB2395" s="52">
        <f>V2395*W2395</f>
        <v>0</v>
      </c>
      <c r="AC2395" s="53">
        <f>(R2395+V2395)*W2395</f>
        <v>27.9</v>
      </c>
      <c r="AD2395" s="138">
        <v>27.9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109</v>
      </c>
      <c r="F2396" s="96" t="s">
        <v>111</v>
      </c>
      <c r="G2396" s="97">
        <v>46132</v>
      </c>
      <c r="H2396" s="98">
        <v>0.6088541666666667</v>
      </c>
      <c r="I2396" s="50">
        <v>169002672</v>
      </c>
      <c r="J2396" s="96" t="s">
        <v>157</v>
      </c>
      <c r="K2396" s="49" t="s">
        <v>3381</v>
      </c>
      <c r="L2396" s="39" t="s">
        <v>3382</v>
      </c>
      <c r="M2396" s="49" t="s">
        <v>1222</v>
      </c>
      <c r="N2396" s="39" t="s">
        <v>3383</v>
      </c>
      <c r="O2396" s="96" t="s">
        <v>3384</v>
      </c>
      <c r="P2396" s="49" t="s">
        <v>157</v>
      </c>
      <c r="Q2396" s="96" t="s">
        <v>104</v>
      </c>
      <c r="R2396" s="52">
        <v>57.9</v>
      </c>
      <c r="S2396" s="52">
        <f>R2396-T2396</f>
        <v>47.85123966942149</v>
      </c>
      <c r="T2396" s="52">
        <f>R2396*U2396/(U2396+100)</f>
        <v>10.048760330578512</v>
      </c>
      <c r="U2396" s="50">
        <v>21</v>
      </c>
      <c r="V2396" s="53">
        <v>0</v>
      </c>
      <c r="W2396" s="147">
        <v>1</v>
      </c>
      <c r="X2396" s="148" t="s">
        <v>163</v>
      </c>
      <c r="Y2396" s="54">
        <f>R2396*W2396</f>
        <v>57.9</v>
      </c>
      <c r="Z2396" s="52">
        <f>S2396*W2396</f>
        <v>47.85123966942149</v>
      </c>
      <c r="AA2396" s="52">
        <f>T2396*W2396</f>
        <v>10.048760330578512</v>
      </c>
      <c r="AB2396" s="52">
        <f>V2396*W2396</f>
        <v>0</v>
      </c>
      <c r="AC2396" s="53">
        <f>(R2396+V2396)*W2396</f>
        <v>57.9</v>
      </c>
      <c r="AD2396" s="138">
        <v>57.9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109</v>
      </c>
      <c r="F2397" s="96" t="s">
        <v>111</v>
      </c>
      <c r="G2397" s="97">
        <v>46132</v>
      </c>
      <c r="H2397" s="98">
        <v>0.6088541666666667</v>
      </c>
      <c r="I2397" s="50">
        <v>169002672</v>
      </c>
      <c r="J2397" s="96" t="s">
        <v>157</v>
      </c>
      <c r="K2397" s="49" t="s">
        <v>655</v>
      </c>
      <c r="L2397" s="39" t="s">
        <v>656</v>
      </c>
      <c r="M2397" s="49" t="s">
        <v>190</v>
      </c>
      <c r="N2397" s="39" t="s">
        <v>532</v>
      </c>
      <c r="O2397" s="96" t="s">
        <v>657</v>
      </c>
      <c r="P2397" s="49" t="s">
        <v>157</v>
      </c>
      <c r="Q2397" s="96" t="s">
        <v>104</v>
      </c>
      <c r="R2397" s="52">
        <v>17.95</v>
      </c>
      <c r="S2397" s="52">
        <f>R2397-T2397</f>
        <v>16.026785714285715</v>
      </c>
      <c r="T2397" s="52">
        <f>R2397*U2397/(U2397+100)</f>
        <v>1.9232142857142855</v>
      </c>
      <c r="U2397" s="50">
        <v>12</v>
      </c>
      <c r="V2397" s="53">
        <v>0</v>
      </c>
      <c r="W2397" s="147">
        <v>1.35</v>
      </c>
      <c r="X2397" s="148" t="s">
        <v>193</v>
      </c>
      <c r="Y2397" s="54">
        <f>R2397*W2397</f>
        <v>24.2325</v>
      </c>
      <c r="Z2397" s="52">
        <f>S2397*W2397</f>
        <v>21.63616071428572</v>
      </c>
      <c r="AA2397" s="52">
        <f>T2397*W2397</f>
        <v>2.5963392857142855</v>
      </c>
      <c r="AB2397" s="52">
        <f>V2397*W2397</f>
        <v>0</v>
      </c>
      <c r="AC2397" s="53">
        <f>(R2397+V2397)*W2397</f>
        <v>24.2325</v>
      </c>
      <c r="AD2397" s="138">
        <v>17.95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109</v>
      </c>
      <c r="F2398" s="96" t="s">
        <v>111</v>
      </c>
      <c r="G2398" s="97">
        <v>46132</v>
      </c>
      <c r="H2398" s="98">
        <v>0.6088541666666667</v>
      </c>
      <c r="I2398" s="50">
        <v>169002672</v>
      </c>
      <c r="J2398" s="96" t="s">
        <v>157</v>
      </c>
      <c r="K2398" s="49" t="s">
        <v>3385</v>
      </c>
      <c r="L2398" s="39" t="s">
        <v>3386</v>
      </c>
      <c r="M2398" s="49" t="s">
        <v>3387</v>
      </c>
      <c r="N2398" s="39" t="s">
        <v>296</v>
      </c>
      <c r="O2398" s="96" t="s">
        <v>3388</v>
      </c>
      <c r="P2398" s="49" t="s">
        <v>157</v>
      </c>
      <c r="Q2398" s="96" t="s">
        <v>104</v>
      </c>
      <c r="R2398" s="52">
        <v>34.9</v>
      </c>
      <c r="S2398" s="52">
        <f>R2398-T2398</f>
        <v>31.160714285714285</v>
      </c>
      <c r="T2398" s="52">
        <f>R2398*U2398/(U2398+100)</f>
        <v>3.739285714285714</v>
      </c>
      <c r="U2398" s="50">
        <v>12</v>
      </c>
      <c r="V2398" s="53">
        <v>0</v>
      </c>
      <c r="W2398" s="147">
        <v>1</v>
      </c>
      <c r="X2398" s="148" t="s">
        <v>163</v>
      </c>
      <c r="Y2398" s="54">
        <f>R2398*W2398</f>
        <v>34.9</v>
      </c>
      <c r="Z2398" s="52">
        <f>S2398*W2398</f>
        <v>31.160714285714285</v>
      </c>
      <c r="AA2398" s="52">
        <f>T2398*W2398</f>
        <v>3.739285714285714</v>
      </c>
      <c r="AB2398" s="52">
        <f>V2398*W2398</f>
        <v>0</v>
      </c>
      <c r="AC2398" s="53">
        <f>(R2398+V2398)*W2398</f>
        <v>34.9</v>
      </c>
      <c r="AD2398" s="138">
        <v>34.9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109</v>
      </c>
      <c r="F2399" s="96" t="s">
        <v>111</v>
      </c>
      <c r="G2399" s="97">
        <v>46132</v>
      </c>
      <c r="H2399" s="98">
        <v>0.6094328703703704</v>
      </c>
      <c r="I2399" s="50">
        <v>169002673</v>
      </c>
      <c r="J2399" s="96" t="s">
        <v>157</v>
      </c>
      <c r="K2399" s="49" t="s">
        <v>3389</v>
      </c>
      <c r="L2399" s="39" t="s">
        <v>3390</v>
      </c>
      <c r="M2399" s="49" t="s">
        <v>185</v>
      </c>
      <c r="N2399" s="39" t="s">
        <v>244</v>
      </c>
      <c r="O2399" s="96" t="s">
        <v>3391</v>
      </c>
      <c r="P2399" s="49" t="s">
        <v>157</v>
      </c>
      <c r="Q2399" s="96" t="s">
        <v>104</v>
      </c>
      <c r="R2399" s="52">
        <v>19.9</v>
      </c>
      <c r="S2399" s="52">
        <f>R2399-T2399</f>
        <v>17.767857142857142</v>
      </c>
      <c r="T2399" s="52">
        <f>R2399*U2399/(U2399+100)</f>
        <v>2.132142857142857</v>
      </c>
      <c r="U2399" s="50">
        <v>12</v>
      </c>
      <c r="V2399" s="53">
        <v>0</v>
      </c>
      <c r="W2399" s="147">
        <v>1</v>
      </c>
      <c r="X2399" s="148" t="s">
        <v>163</v>
      </c>
      <c r="Y2399" s="54">
        <f>R2399*W2399</f>
        <v>19.9</v>
      </c>
      <c r="Z2399" s="52">
        <f>S2399*W2399</f>
        <v>17.767857142857142</v>
      </c>
      <c r="AA2399" s="52">
        <f>T2399*W2399</f>
        <v>2.132142857142857</v>
      </c>
      <c r="AB2399" s="52">
        <f>V2399*W2399</f>
        <v>0</v>
      </c>
      <c r="AC2399" s="53">
        <f>(R2399+V2399)*W2399</f>
        <v>19.9</v>
      </c>
      <c r="AD2399" s="138">
        <v>19.9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109</v>
      </c>
      <c r="F2400" s="96" t="s">
        <v>111</v>
      </c>
      <c r="G2400" s="97">
        <v>46132</v>
      </c>
      <c r="H2400" s="98">
        <v>0.6094328703703704</v>
      </c>
      <c r="I2400" s="50">
        <v>169002673</v>
      </c>
      <c r="J2400" s="96" t="s">
        <v>157</v>
      </c>
      <c r="K2400" s="49" t="s">
        <v>1085</v>
      </c>
      <c r="L2400" s="39" t="s">
        <v>1086</v>
      </c>
      <c r="M2400" s="49" t="s">
        <v>1087</v>
      </c>
      <c r="N2400" s="39" t="s">
        <v>1088</v>
      </c>
      <c r="O2400" s="96" t="s">
        <v>1089</v>
      </c>
      <c r="P2400" s="49" t="s">
        <v>157</v>
      </c>
      <c r="Q2400" s="96" t="s">
        <v>104</v>
      </c>
      <c r="R2400" s="52">
        <v>163.03</v>
      </c>
      <c r="S2400" s="52">
        <f>R2400-T2400</f>
        <v>145.5625</v>
      </c>
      <c r="T2400" s="52">
        <f>R2400*U2400/(U2400+100)</f>
        <v>17.4675</v>
      </c>
      <c r="U2400" s="50">
        <v>12</v>
      </c>
      <c r="V2400" s="53">
        <v>0</v>
      </c>
      <c r="W2400" s="147">
        <v>0.108</v>
      </c>
      <c r="X2400" s="148" t="s">
        <v>193</v>
      </c>
      <c r="Y2400" s="54">
        <f>R2400*W2400</f>
        <v>17.60724</v>
      </c>
      <c r="Z2400" s="52">
        <f>S2400*W2400</f>
        <v>15.72075</v>
      </c>
      <c r="AA2400" s="52">
        <f>T2400*W2400</f>
        <v>1.88649</v>
      </c>
      <c r="AB2400" s="52">
        <f>V2400*W2400</f>
        <v>0</v>
      </c>
      <c r="AC2400" s="53">
        <f>(R2400+V2400)*W2400</f>
        <v>17.60724</v>
      </c>
      <c r="AD2400" s="138">
        <v>232.9</v>
      </c>
      <c r="AE2400" s="137">
        <v>69.87</v>
      </c>
      <c r="AF2400" s="139">
        <v>7.546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109</v>
      </c>
      <c r="F2401" s="96" t="s">
        <v>111</v>
      </c>
      <c r="G2401" s="97">
        <v>46132</v>
      </c>
      <c r="H2401" s="98">
        <v>0.6094328703703704</v>
      </c>
      <c r="I2401" s="50">
        <v>169002673</v>
      </c>
      <c r="J2401" s="96" t="s">
        <v>157</v>
      </c>
      <c r="K2401" s="49" t="s">
        <v>271</v>
      </c>
      <c r="L2401" s="39" t="s">
        <v>272</v>
      </c>
      <c r="M2401" s="49" t="s">
        <v>214</v>
      </c>
      <c r="N2401" s="39" t="s">
        <v>273</v>
      </c>
      <c r="O2401" s="96" t="s">
        <v>1715</v>
      </c>
      <c r="P2401" s="49" t="s">
        <v>157</v>
      </c>
      <c r="Q2401" s="96" t="s">
        <v>104</v>
      </c>
      <c r="R2401" s="52">
        <v>13.9</v>
      </c>
      <c r="S2401" s="52">
        <f>R2401-T2401</f>
        <v>12.410714285714286</v>
      </c>
      <c r="T2401" s="52">
        <f>R2401*U2401/(U2401+100)</f>
        <v>1.4892857142857143</v>
      </c>
      <c r="U2401" s="50">
        <v>12</v>
      </c>
      <c r="V2401" s="53">
        <v>0</v>
      </c>
      <c r="W2401" s="147">
        <v>1</v>
      </c>
      <c r="X2401" s="148" t="s">
        <v>163</v>
      </c>
      <c r="Y2401" s="54">
        <f>R2401*W2401</f>
        <v>13.9</v>
      </c>
      <c r="Z2401" s="52">
        <f>S2401*W2401</f>
        <v>12.410714285714286</v>
      </c>
      <c r="AA2401" s="52">
        <f>T2401*W2401</f>
        <v>1.4892857142857143</v>
      </c>
      <c r="AB2401" s="52">
        <f>V2401*W2401</f>
        <v>0</v>
      </c>
      <c r="AC2401" s="53">
        <f>(R2401+V2401)*W2401</f>
        <v>13.9</v>
      </c>
      <c r="AD2401" s="138">
        <v>13.9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109</v>
      </c>
      <c r="F2402" s="96" t="s">
        <v>111</v>
      </c>
      <c r="G2402" s="97">
        <v>46132</v>
      </c>
      <c r="H2402" s="98">
        <v>0.6094328703703704</v>
      </c>
      <c r="I2402" s="50">
        <v>169002673</v>
      </c>
      <c r="J2402" s="96" t="s">
        <v>157</v>
      </c>
      <c r="K2402" s="49" t="s">
        <v>1133</v>
      </c>
      <c r="L2402" s="39" t="s">
        <v>1134</v>
      </c>
      <c r="M2402" s="49" t="s">
        <v>649</v>
      </c>
      <c r="N2402" s="39" t="s">
        <v>440</v>
      </c>
      <c r="O2402" s="96" t="s">
        <v>1135</v>
      </c>
      <c r="P2402" s="49" t="s">
        <v>157</v>
      </c>
      <c r="Q2402" s="96" t="s">
        <v>104</v>
      </c>
      <c r="R2402" s="52">
        <v>125.93</v>
      </c>
      <c r="S2402" s="52">
        <f>R2402-T2402</f>
        <v>112.4375</v>
      </c>
      <c r="T2402" s="52">
        <f>R2402*U2402/(U2402+100)</f>
        <v>13.492500000000001</v>
      </c>
      <c r="U2402" s="50">
        <v>12</v>
      </c>
      <c r="V2402" s="53">
        <v>0</v>
      </c>
      <c r="W2402" s="147">
        <v>0.124</v>
      </c>
      <c r="X2402" s="148" t="s">
        <v>193</v>
      </c>
      <c r="Y2402" s="54">
        <f>R2402*W2402</f>
        <v>15.61532</v>
      </c>
      <c r="Z2402" s="52">
        <f>S2402*W2402</f>
        <v>13.94225</v>
      </c>
      <c r="AA2402" s="52">
        <f>T2402*W2402</f>
        <v>1.6730700000000003</v>
      </c>
      <c r="AB2402" s="52">
        <f>V2402*W2402</f>
        <v>0</v>
      </c>
      <c r="AC2402" s="53">
        <f>(R2402+V2402)*W2402</f>
        <v>15.61532</v>
      </c>
      <c r="AD2402" s="138">
        <v>179.9</v>
      </c>
      <c r="AE2402" s="137">
        <v>53.97</v>
      </c>
      <c r="AF2402" s="139">
        <v>6.6923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109</v>
      </c>
      <c r="F2403" s="96" t="s">
        <v>111</v>
      </c>
      <c r="G2403" s="97">
        <v>46132</v>
      </c>
      <c r="H2403" s="98">
        <v>0.6094328703703704</v>
      </c>
      <c r="I2403" s="50">
        <v>169002673</v>
      </c>
      <c r="J2403" s="96" t="s">
        <v>157</v>
      </c>
      <c r="K2403" s="49" t="s">
        <v>390</v>
      </c>
      <c r="L2403" s="39" t="s">
        <v>391</v>
      </c>
      <c r="M2403" s="49" t="s">
        <v>214</v>
      </c>
      <c r="N2403" s="39" t="s">
        <v>273</v>
      </c>
      <c r="O2403" s="96" t="s">
        <v>1110</v>
      </c>
      <c r="P2403" s="49" t="s">
        <v>157</v>
      </c>
      <c r="Q2403" s="96" t="s">
        <v>104</v>
      </c>
      <c r="R2403" s="52">
        <v>15.9</v>
      </c>
      <c r="S2403" s="52">
        <f>R2403-T2403</f>
        <v>14.196428571428571</v>
      </c>
      <c r="T2403" s="52">
        <f>R2403*U2403/(U2403+100)</f>
        <v>1.7035714285714287</v>
      </c>
      <c r="U2403" s="50">
        <v>12</v>
      </c>
      <c r="V2403" s="53">
        <v>0</v>
      </c>
      <c r="W2403" s="147">
        <v>1</v>
      </c>
      <c r="X2403" s="148" t="s">
        <v>163</v>
      </c>
      <c r="Y2403" s="54">
        <f>R2403*W2403</f>
        <v>15.9</v>
      </c>
      <c r="Z2403" s="52">
        <f>S2403*W2403</f>
        <v>14.196428571428571</v>
      </c>
      <c r="AA2403" s="52">
        <f>T2403*W2403</f>
        <v>1.7035714285714287</v>
      </c>
      <c r="AB2403" s="52">
        <f>V2403*W2403</f>
        <v>0</v>
      </c>
      <c r="AC2403" s="53">
        <f>(R2403+V2403)*W2403</f>
        <v>15.9</v>
      </c>
      <c r="AD2403" s="138">
        <v>15.9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109</v>
      </c>
      <c r="F2404" s="96" t="s">
        <v>111</v>
      </c>
      <c r="G2404" s="97">
        <v>46132</v>
      </c>
      <c r="H2404" s="98">
        <v>0.6094328703703704</v>
      </c>
      <c r="I2404" s="50">
        <v>169002673</v>
      </c>
      <c r="J2404" s="96" t="s">
        <v>157</v>
      </c>
      <c r="K2404" s="49" t="s">
        <v>517</v>
      </c>
      <c r="L2404" s="39" t="s">
        <v>518</v>
      </c>
      <c r="M2404" s="49" t="s">
        <v>214</v>
      </c>
      <c r="N2404" s="39" t="s">
        <v>273</v>
      </c>
      <c r="O2404" s="96" t="s">
        <v>1111</v>
      </c>
      <c r="P2404" s="49" t="s">
        <v>157</v>
      </c>
      <c r="Q2404" s="96" t="s">
        <v>104</v>
      </c>
      <c r="R2404" s="52">
        <v>15.9</v>
      </c>
      <c r="S2404" s="52">
        <f>R2404-T2404</f>
        <v>14.196428571428571</v>
      </c>
      <c r="T2404" s="52">
        <f>R2404*U2404/(U2404+100)</f>
        <v>1.7035714285714287</v>
      </c>
      <c r="U2404" s="50">
        <v>12</v>
      </c>
      <c r="V2404" s="53">
        <v>0</v>
      </c>
      <c r="W2404" s="147">
        <v>1</v>
      </c>
      <c r="X2404" s="148" t="s">
        <v>163</v>
      </c>
      <c r="Y2404" s="54">
        <f>R2404*W2404</f>
        <v>15.9</v>
      </c>
      <c r="Z2404" s="52">
        <f>S2404*W2404</f>
        <v>14.196428571428571</v>
      </c>
      <c r="AA2404" s="52">
        <f>T2404*W2404</f>
        <v>1.7035714285714287</v>
      </c>
      <c r="AB2404" s="52">
        <f>V2404*W2404</f>
        <v>0</v>
      </c>
      <c r="AC2404" s="53">
        <f>(R2404+V2404)*W2404</f>
        <v>15.9</v>
      </c>
      <c r="AD2404" s="138">
        <v>15.9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109</v>
      </c>
      <c r="F2405" s="96" t="s">
        <v>111</v>
      </c>
      <c r="G2405" s="97">
        <v>46132</v>
      </c>
      <c r="H2405" s="98">
        <v>0.6094328703703704</v>
      </c>
      <c r="I2405" s="50">
        <v>169002673</v>
      </c>
      <c r="J2405" s="96" t="s">
        <v>157</v>
      </c>
      <c r="K2405" s="49" t="s">
        <v>293</v>
      </c>
      <c r="L2405" s="39" t="s">
        <v>294</v>
      </c>
      <c r="M2405" s="49" t="s">
        <v>295</v>
      </c>
      <c r="N2405" s="39" t="s">
        <v>296</v>
      </c>
      <c r="O2405" s="96" t="s">
        <v>297</v>
      </c>
      <c r="P2405" s="49" t="s">
        <v>157</v>
      </c>
      <c r="Q2405" s="96" t="s">
        <v>104</v>
      </c>
      <c r="R2405" s="52">
        <v>2.9</v>
      </c>
      <c r="S2405" s="52">
        <f>R2405-T2405</f>
        <v>2.5892857142857144</v>
      </c>
      <c r="T2405" s="52">
        <f>R2405*U2405/(U2405+100)</f>
        <v>0.31071428571428567</v>
      </c>
      <c r="U2405" s="50">
        <v>12</v>
      </c>
      <c r="V2405" s="53">
        <v>0</v>
      </c>
      <c r="W2405" s="147">
        <v>6</v>
      </c>
      <c r="X2405" s="148" t="s">
        <v>163</v>
      </c>
      <c r="Y2405" s="54">
        <f>R2405*W2405</f>
        <v>17.4</v>
      </c>
      <c r="Z2405" s="52">
        <f>S2405*W2405</f>
        <v>15.535714285714286</v>
      </c>
      <c r="AA2405" s="52">
        <f>T2405*W2405</f>
        <v>1.8642857142857139</v>
      </c>
      <c r="AB2405" s="52">
        <f>V2405*W2405</f>
        <v>0</v>
      </c>
      <c r="AC2405" s="53">
        <f>(R2405+V2405)*W2405</f>
        <v>17.4</v>
      </c>
      <c r="AD2405" s="138">
        <v>2.9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109</v>
      </c>
      <c r="F2406" s="96" t="s">
        <v>111</v>
      </c>
      <c r="G2406" s="97">
        <v>46132</v>
      </c>
      <c r="H2406" s="98">
        <v>0.609849537037037</v>
      </c>
      <c r="I2406" s="50">
        <v>169002674</v>
      </c>
      <c r="J2406" s="96" t="s">
        <v>157</v>
      </c>
      <c r="K2406" s="49" t="s">
        <v>660</v>
      </c>
      <c r="L2406" s="39" t="s">
        <v>661</v>
      </c>
      <c r="M2406" s="49" t="s">
        <v>196</v>
      </c>
      <c r="N2406" s="39" t="s">
        <v>197</v>
      </c>
      <c r="O2406" s="96" t="s">
        <v>2111</v>
      </c>
      <c r="P2406" s="49" t="s">
        <v>157</v>
      </c>
      <c r="Q2406" s="96" t="s">
        <v>104</v>
      </c>
      <c r="R2406" s="52">
        <v>6.9</v>
      </c>
      <c r="S2406" s="52">
        <f>R2406-T2406</f>
        <v>6.160714285714286</v>
      </c>
      <c r="T2406" s="52">
        <f>R2406*U2406/(U2406+100)</f>
        <v>0.7392857142857144</v>
      </c>
      <c r="U2406" s="50">
        <v>12</v>
      </c>
      <c r="V2406" s="53">
        <v>0</v>
      </c>
      <c r="W2406" s="147">
        <v>1</v>
      </c>
      <c r="X2406" s="148" t="s">
        <v>163</v>
      </c>
      <c r="Y2406" s="54">
        <f>R2406*W2406</f>
        <v>6.9</v>
      </c>
      <c r="Z2406" s="52">
        <f>S2406*W2406</f>
        <v>6.160714285714286</v>
      </c>
      <c r="AA2406" s="52">
        <f>T2406*W2406</f>
        <v>0.7392857142857144</v>
      </c>
      <c r="AB2406" s="52">
        <f>V2406*W2406</f>
        <v>0</v>
      </c>
      <c r="AC2406" s="53">
        <f>(R2406+V2406)*W2406</f>
        <v>6.9</v>
      </c>
      <c r="AD2406" s="138">
        <v>6.9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109</v>
      </c>
      <c r="F2407" s="96" t="s">
        <v>111</v>
      </c>
      <c r="G2407" s="97">
        <v>46132</v>
      </c>
      <c r="H2407" s="98">
        <v>0.609849537037037</v>
      </c>
      <c r="I2407" s="50">
        <v>169002674</v>
      </c>
      <c r="J2407" s="96" t="s">
        <v>157</v>
      </c>
      <c r="K2407" s="49" t="s">
        <v>1907</v>
      </c>
      <c r="L2407" s="39" t="s">
        <v>1908</v>
      </c>
      <c r="M2407" s="49" t="s">
        <v>413</v>
      </c>
      <c r="N2407" s="39" t="s">
        <v>414</v>
      </c>
      <c r="O2407" s="96" t="s">
        <v>1909</v>
      </c>
      <c r="P2407" s="49" t="s">
        <v>157</v>
      </c>
      <c r="Q2407" s="96" t="s">
        <v>104</v>
      </c>
      <c r="R2407" s="52">
        <v>12.4</v>
      </c>
      <c r="S2407" s="52">
        <f>R2407-T2407</f>
        <v>11.071428571428571</v>
      </c>
      <c r="T2407" s="52">
        <f>R2407*U2407/(U2407+100)</f>
        <v>1.3285714285714287</v>
      </c>
      <c r="U2407" s="50">
        <v>12</v>
      </c>
      <c r="V2407" s="53">
        <v>0</v>
      </c>
      <c r="W2407" s="147">
        <v>1</v>
      </c>
      <c r="X2407" s="148" t="s">
        <v>163</v>
      </c>
      <c r="Y2407" s="54">
        <f>R2407*W2407</f>
        <v>12.4</v>
      </c>
      <c r="Z2407" s="52">
        <f>S2407*W2407</f>
        <v>11.071428571428571</v>
      </c>
      <c r="AA2407" s="52">
        <f>T2407*W2407</f>
        <v>1.3285714285714287</v>
      </c>
      <c r="AB2407" s="52">
        <f>V2407*W2407</f>
        <v>0</v>
      </c>
      <c r="AC2407" s="53">
        <f>(R2407+V2407)*W2407</f>
        <v>12.4</v>
      </c>
      <c r="AD2407" s="138">
        <v>12.4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109</v>
      </c>
      <c r="F2408" s="96" t="s">
        <v>111</v>
      </c>
      <c r="G2408" s="97">
        <v>46132</v>
      </c>
      <c r="H2408" s="98">
        <v>0.609849537037037</v>
      </c>
      <c r="I2408" s="50">
        <v>169002674</v>
      </c>
      <c r="J2408" s="96" t="s">
        <v>157</v>
      </c>
      <c r="K2408" s="49" t="s">
        <v>2681</v>
      </c>
      <c r="L2408" s="39" t="s">
        <v>2682</v>
      </c>
      <c r="M2408" s="49" t="s">
        <v>649</v>
      </c>
      <c r="N2408" s="39" t="s">
        <v>838</v>
      </c>
      <c r="O2408" s="96" t="s">
        <v>2683</v>
      </c>
      <c r="P2408" s="49" t="s">
        <v>157</v>
      </c>
      <c r="Q2408" s="96" t="s">
        <v>104</v>
      </c>
      <c r="R2408" s="52">
        <v>27.9</v>
      </c>
      <c r="S2408" s="52">
        <f>R2408-T2408</f>
        <v>24.910714285714285</v>
      </c>
      <c r="T2408" s="52">
        <f>R2408*U2408/(U2408+100)</f>
        <v>2.989285714285714</v>
      </c>
      <c r="U2408" s="50">
        <v>12</v>
      </c>
      <c r="V2408" s="53">
        <v>0</v>
      </c>
      <c r="W2408" s="147">
        <v>1</v>
      </c>
      <c r="X2408" s="148" t="s">
        <v>163</v>
      </c>
      <c r="Y2408" s="54">
        <f>R2408*W2408</f>
        <v>27.9</v>
      </c>
      <c r="Z2408" s="52">
        <f>S2408*W2408</f>
        <v>24.910714285714285</v>
      </c>
      <c r="AA2408" s="52">
        <f>T2408*W2408</f>
        <v>2.989285714285714</v>
      </c>
      <c r="AB2408" s="52">
        <f>V2408*W2408</f>
        <v>0</v>
      </c>
      <c r="AC2408" s="53">
        <f>(R2408+V2408)*W2408</f>
        <v>27.9</v>
      </c>
      <c r="AD2408" s="138">
        <v>27.9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109</v>
      </c>
      <c r="F2409" s="96" t="s">
        <v>111</v>
      </c>
      <c r="G2409" s="97">
        <v>46132</v>
      </c>
      <c r="H2409" s="98">
        <v>0.609849537037037</v>
      </c>
      <c r="I2409" s="50">
        <v>169002674</v>
      </c>
      <c r="J2409" s="96" t="s">
        <v>157</v>
      </c>
      <c r="K2409" s="49" t="s">
        <v>1037</v>
      </c>
      <c r="L2409" s="39" t="s">
        <v>1038</v>
      </c>
      <c r="M2409" s="49" t="s">
        <v>185</v>
      </c>
      <c r="N2409" s="39" t="s">
        <v>433</v>
      </c>
      <c r="O2409" s="96" t="s">
        <v>1039</v>
      </c>
      <c r="P2409" s="49" t="s">
        <v>157</v>
      </c>
      <c r="Q2409" s="96" t="s">
        <v>104</v>
      </c>
      <c r="R2409" s="52">
        <v>29.9</v>
      </c>
      <c r="S2409" s="52">
        <f>R2409-T2409</f>
        <v>26.69642857142857</v>
      </c>
      <c r="T2409" s="52">
        <f>R2409*U2409/(U2409+100)</f>
        <v>3.2035714285714283</v>
      </c>
      <c r="U2409" s="50">
        <v>12</v>
      </c>
      <c r="V2409" s="53">
        <v>0</v>
      </c>
      <c r="W2409" s="147">
        <v>1</v>
      </c>
      <c r="X2409" s="148" t="s">
        <v>163</v>
      </c>
      <c r="Y2409" s="54">
        <f>R2409*W2409</f>
        <v>29.9</v>
      </c>
      <c r="Z2409" s="52">
        <f>S2409*W2409</f>
        <v>26.69642857142857</v>
      </c>
      <c r="AA2409" s="52">
        <f>T2409*W2409</f>
        <v>3.2035714285714283</v>
      </c>
      <c r="AB2409" s="52">
        <f>V2409*W2409</f>
        <v>0</v>
      </c>
      <c r="AC2409" s="53">
        <f>(R2409+V2409)*W2409</f>
        <v>29.9</v>
      </c>
      <c r="AD2409" s="138">
        <v>29.9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109</v>
      </c>
      <c r="F2410" s="96" t="s">
        <v>111</v>
      </c>
      <c r="G2410" s="97">
        <v>46132</v>
      </c>
      <c r="H2410" s="98">
        <v>0.609849537037037</v>
      </c>
      <c r="I2410" s="50">
        <v>169002674</v>
      </c>
      <c r="J2410" s="96" t="s">
        <v>157</v>
      </c>
      <c r="K2410" s="49" t="s">
        <v>517</v>
      </c>
      <c r="L2410" s="39" t="s">
        <v>518</v>
      </c>
      <c r="M2410" s="49" t="s">
        <v>214</v>
      </c>
      <c r="N2410" s="39" t="s">
        <v>273</v>
      </c>
      <c r="O2410" s="96" t="s">
        <v>1111</v>
      </c>
      <c r="P2410" s="49" t="s">
        <v>157</v>
      </c>
      <c r="Q2410" s="96" t="s">
        <v>104</v>
      </c>
      <c r="R2410" s="52">
        <v>15.9</v>
      </c>
      <c r="S2410" s="52">
        <f>R2410-T2410</f>
        <v>14.196428571428571</v>
      </c>
      <c r="T2410" s="52">
        <f>R2410*U2410/(U2410+100)</f>
        <v>1.7035714285714287</v>
      </c>
      <c r="U2410" s="50">
        <v>12</v>
      </c>
      <c r="V2410" s="53">
        <v>0</v>
      </c>
      <c r="W2410" s="147">
        <v>2</v>
      </c>
      <c r="X2410" s="148" t="s">
        <v>163</v>
      </c>
      <c r="Y2410" s="54">
        <f>R2410*W2410</f>
        <v>31.8</v>
      </c>
      <c r="Z2410" s="52">
        <f>S2410*W2410</f>
        <v>28.392857142857142</v>
      </c>
      <c r="AA2410" s="52">
        <f>T2410*W2410</f>
        <v>3.4071428571428575</v>
      </c>
      <c r="AB2410" s="52">
        <f>V2410*W2410</f>
        <v>0</v>
      </c>
      <c r="AC2410" s="53">
        <f>(R2410+V2410)*W2410</f>
        <v>31.8</v>
      </c>
      <c r="AD2410" s="138">
        <v>15.9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109</v>
      </c>
      <c r="F2411" s="96" t="s">
        <v>111</v>
      </c>
      <c r="G2411" s="97">
        <v>46132</v>
      </c>
      <c r="H2411" s="98">
        <v>0.6103240740740741</v>
      </c>
      <c r="I2411" s="50">
        <v>169002675</v>
      </c>
      <c r="J2411" s="96" t="s">
        <v>157</v>
      </c>
      <c r="K2411" s="49" t="s">
        <v>1136</v>
      </c>
      <c r="L2411" s="39" t="s">
        <v>1137</v>
      </c>
      <c r="M2411" s="49" t="s">
        <v>201</v>
      </c>
      <c r="N2411" s="39" t="s">
        <v>609</v>
      </c>
      <c r="O2411" s="96" t="s">
        <v>1138</v>
      </c>
      <c r="P2411" s="49" t="s">
        <v>157</v>
      </c>
      <c r="Q2411" s="96" t="s">
        <v>104</v>
      </c>
      <c r="R2411" s="52">
        <v>13.9</v>
      </c>
      <c r="S2411" s="52">
        <f>R2411-T2411</f>
        <v>12.410714285714286</v>
      </c>
      <c r="T2411" s="52">
        <f>R2411*U2411/(U2411+100)</f>
        <v>1.4892857142857143</v>
      </c>
      <c r="U2411" s="50">
        <v>12</v>
      </c>
      <c r="V2411" s="53">
        <v>0</v>
      </c>
      <c r="W2411" s="147">
        <v>1</v>
      </c>
      <c r="X2411" s="148" t="s">
        <v>163</v>
      </c>
      <c r="Y2411" s="54">
        <f>R2411*W2411</f>
        <v>13.9</v>
      </c>
      <c r="Z2411" s="52">
        <f>S2411*W2411</f>
        <v>12.410714285714286</v>
      </c>
      <c r="AA2411" s="52">
        <f>T2411*W2411</f>
        <v>1.4892857142857143</v>
      </c>
      <c r="AB2411" s="52">
        <f>V2411*W2411</f>
        <v>0</v>
      </c>
      <c r="AC2411" s="53">
        <f>(R2411+V2411)*W2411</f>
        <v>13.9</v>
      </c>
      <c r="AD2411" s="138">
        <v>13.9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109</v>
      </c>
      <c r="F2412" s="96" t="s">
        <v>111</v>
      </c>
      <c r="G2412" s="97">
        <v>46132</v>
      </c>
      <c r="H2412" s="98">
        <v>0.6103240740740741</v>
      </c>
      <c r="I2412" s="50">
        <v>169002675</v>
      </c>
      <c r="J2412" s="96" t="s">
        <v>157</v>
      </c>
      <c r="K2412" s="49" t="s">
        <v>1136</v>
      </c>
      <c r="L2412" s="39" t="s">
        <v>1137</v>
      </c>
      <c r="M2412" s="49" t="s">
        <v>201</v>
      </c>
      <c r="N2412" s="39" t="s">
        <v>609</v>
      </c>
      <c r="O2412" s="96" t="s">
        <v>1138</v>
      </c>
      <c r="P2412" s="49" t="s">
        <v>157</v>
      </c>
      <c r="Q2412" s="96" t="s">
        <v>104</v>
      </c>
      <c r="R2412" s="52">
        <v>13.9</v>
      </c>
      <c r="S2412" s="52">
        <f>R2412-T2412</f>
        <v>12.410714285714286</v>
      </c>
      <c r="T2412" s="52">
        <f>R2412*U2412/(U2412+100)</f>
        <v>1.4892857142857143</v>
      </c>
      <c r="U2412" s="50">
        <v>12</v>
      </c>
      <c r="V2412" s="53">
        <v>0</v>
      </c>
      <c r="W2412" s="147">
        <v>1</v>
      </c>
      <c r="X2412" s="148" t="s">
        <v>163</v>
      </c>
      <c r="Y2412" s="54">
        <f>R2412*W2412</f>
        <v>13.9</v>
      </c>
      <c r="Z2412" s="52">
        <f>S2412*W2412</f>
        <v>12.410714285714286</v>
      </c>
      <c r="AA2412" s="52">
        <f>T2412*W2412</f>
        <v>1.4892857142857143</v>
      </c>
      <c r="AB2412" s="52">
        <f>V2412*W2412</f>
        <v>0</v>
      </c>
      <c r="AC2412" s="53">
        <f>(R2412+V2412)*W2412</f>
        <v>13.9</v>
      </c>
      <c r="AD2412" s="138">
        <v>13.9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109</v>
      </c>
      <c r="F2413" s="96" t="s">
        <v>111</v>
      </c>
      <c r="G2413" s="97">
        <v>46132</v>
      </c>
      <c r="H2413" s="98">
        <v>0.6103240740740741</v>
      </c>
      <c r="I2413" s="50">
        <v>169002675</v>
      </c>
      <c r="J2413" s="96" t="s">
        <v>157</v>
      </c>
      <c r="K2413" s="49" t="s">
        <v>1136</v>
      </c>
      <c r="L2413" s="39" t="s">
        <v>1137</v>
      </c>
      <c r="M2413" s="49" t="s">
        <v>201</v>
      </c>
      <c r="N2413" s="39" t="s">
        <v>609</v>
      </c>
      <c r="O2413" s="96" t="s">
        <v>1138</v>
      </c>
      <c r="P2413" s="49" t="s">
        <v>157</v>
      </c>
      <c r="Q2413" s="96" t="s">
        <v>104</v>
      </c>
      <c r="R2413" s="52">
        <v>13.9</v>
      </c>
      <c r="S2413" s="52">
        <f>R2413-T2413</f>
        <v>12.410714285714286</v>
      </c>
      <c r="T2413" s="52">
        <f>R2413*U2413/(U2413+100)</f>
        <v>1.4892857142857143</v>
      </c>
      <c r="U2413" s="50">
        <v>12</v>
      </c>
      <c r="V2413" s="53">
        <v>0</v>
      </c>
      <c r="W2413" s="147">
        <v>1</v>
      </c>
      <c r="X2413" s="148" t="s">
        <v>163</v>
      </c>
      <c r="Y2413" s="54">
        <f>R2413*W2413</f>
        <v>13.9</v>
      </c>
      <c r="Z2413" s="52">
        <f>S2413*W2413</f>
        <v>12.410714285714286</v>
      </c>
      <c r="AA2413" s="52">
        <f>T2413*W2413</f>
        <v>1.4892857142857143</v>
      </c>
      <c r="AB2413" s="52">
        <f>V2413*W2413</f>
        <v>0</v>
      </c>
      <c r="AC2413" s="53">
        <f>(R2413+V2413)*W2413</f>
        <v>13.9</v>
      </c>
      <c r="AD2413" s="138">
        <v>13.9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109</v>
      </c>
      <c r="F2414" s="96" t="s">
        <v>111</v>
      </c>
      <c r="G2414" s="97">
        <v>46132</v>
      </c>
      <c r="H2414" s="98">
        <v>0.6103240740740741</v>
      </c>
      <c r="I2414" s="50">
        <v>169002675</v>
      </c>
      <c r="J2414" s="96" t="s">
        <v>157</v>
      </c>
      <c r="K2414" s="49" t="s">
        <v>1136</v>
      </c>
      <c r="L2414" s="39" t="s">
        <v>1137</v>
      </c>
      <c r="M2414" s="49" t="s">
        <v>201</v>
      </c>
      <c r="N2414" s="39" t="s">
        <v>609</v>
      </c>
      <c r="O2414" s="96" t="s">
        <v>1138</v>
      </c>
      <c r="P2414" s="49" t="s">
        <v>157</v>
      </c>
      <c r="Q2414" s="96" t="s">
        <v>104</v>
      </c>
      <c r="R2414" s="52">
        <v>13.9</v>
      </c>
      <c r="S2414" s="52">
        <f>R2414-T2414</f>
        <v>12.410714285714286</v>
      </c>
      <c r="T2414" s="52">
        <f>R2414*U2414/(U2414+100)</f>
        <v>1.4892857142857143</v>
      </c>
      <c r="U2414" s="50">
        <v>12</v>
      </c>
      <c r="V2414" s="53">
        <v>0</v>
      </c>
      <c r="W2414" s="147">
        <v>1</v>
      </c>
      <c r="X2414" s="148" t="s">
        <v>163</v>
      </c>
      <c r="Y2414" s="54">
        <f>R2414*W2414</f>
        <v>13.9</v>
      </c>
      <c r="Z2414" s="52">
        <f>S2414*W2414</f>
        <v>12.410714285714286</v>
      </c>
      <c r="AA2414" s="52">
        <f>T2414*W2414</f>
        <v>1.4892857142857143</v>
      </c>
      <c r="AB2414" s="52">
        <f>V2414*W2414</f>
        <v>0</v>
      </c>
      <c r="AC2414" s="53">
        <f>(R2414+V2414)*W2414</f>
        <v>13.9</v>
      </c>
      <c r="AD2414" s="138">
        <v>13.9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109</v>
      </c>
      <c r="F2415" s="96" t="s">
        <v>111</v>
      </c>
      <c r="G2415" s="97">
        <v>46132</v>
      </c>
      <c r="H2415" s="98">
        <v>0.6103240740740741</v>
      </c>
      <c r="I2415" s="50">
        <v>169002675</v>
      </c>
      <c r="J2415" s="96" t="s">
        <v>157</v>
      </c>
      <c r="K2415" s="49" t="s">
        <v>3392</v>
      </c>
      <c r="L2415" s="39" t="s">
        <v>3393</v>
      </c>
      <c r="M2415" s="49" t="s">
        <v>837</v>
      </c>
      <c r="N2415" s="39" t="s">
        <v>838</v>
      </c>
      <c r="O2415" s="96" t="s">
        <v>3394</v>
      </c>
      <c r="P2415" s="49" t="s">
        <v>157</v>
      </c>
      <c r="Q2415" s="96" t="s">
        <v>104</v>
      </c>
      <c r="R2415" s="52">
        <v>99.9</v>
      </c>
      <c r="S2415" s="52">
        <f>R2415-T2415</f>
        <v>89.19642857142857</v>
      </c>
      <c r="T2415" s="52">
        <f>R2415*U2415/(U2415+100)</f>
        <v>10.703571428571431</v>
      </c>
      <c r="U2415" s="50">
        <v>12</v>
      </c>
      <c r="V2415" s="53">
        <v>0</v>
      </c>
      <c r="W2415" s="147">
        <v>1</v>
      </c>
      <c r="X2415" s="148" t="s">
        <v>163</v>
      </c>
      <c r="Y2415" s="54">
        <f>R2415*W2415</f>
        <v>99.9</v>
      </c>
      <c r="Z2415" s="52">
        <f>S2415*W2415</f>
        <v>89.19642857142857</v>
      </c>
      <c r="AA2415" s="52">
        <f>T2415*W2415</f>
        <v>10.703571428571431</v>
      </c>
      <c r="AB2415" s="52">
        <f>V2415*W2415</f>
        <v>0</v>
      </c>
      <c r="AC2415" s="53">
        <f>(R2415+V2415)*W2415</f>
        <v>99.9</v>
      </c>
      <c r="AD2415" s="138">
        <v>99.9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109</v>
      </c>
      <c r="F2416" s="96" t="s">
        <v>111</v>
      </c>
      <c r="G2416" s="97">
        <v>46132</v>
      </c>
      <c r="H2416" s="98">
        <v>0.6103240740740741</v>
      </c>
      <c r="I2416" s="50">
        <v>169002675</v>
      </c>
      <c r="J2416" s="96" t="s">
        <v>157</v>
      </c>
      <c r="K2416" s="49" t="s">
        <v>3395</v>
      </c>
      <c r="L2416" s="39" t="s">
        <v>3396</v>
      </c>
      <c r="M2416" s="49" t="s">
        <v>2083</v>
      </c>
      <c r="N2416" s="39" t="s">
        <v>731</v>
      </c>
      <c r="O2416" s="96" t="s">
        <v>3397</v>
      </c>
      <c r="P2416" s="49" t="s">
        <v>157</v>
      </c>
      <c r="Q2416" s="96" t="s">
        <v>104</v>
      </c>
      <c r="R2416" s="52">
        <v>112.9</v>
      </c>
      <c r="S2416" s="52">
        <f>R2416-T2416</f>
        <v>93.30578512396694</v>
      </c>
      <c r="T2416" s="52">
        <f>R2416*U2416/(U2416+100)</f>
        <v>19.59421487603306</v>
      </c>
      <c r="U2416" s="50">
        <v>21</v>
      </c>
      <c r="V2416" s="53">
        <v>0</v>
      </c>
      <c r="W2416" s="147">
        <v>1</v>
      </c>
      <c r="X2416" s="148" t="s">
        <v>163</v>
      </c>
      <c r="Y2416" s="54">
        <f>R2416*W2416</f>
        <v>112.9</v>
      </c>
      <c r="Z2416" s="52">
        <f>S2416*W2416</f>
        <v>93.30578512396694</v>
      </c>
      <c r="AA2416" s="52">
        <f>T2416*W2416</f>
        <v>19.59421487603306</v>
      </c>
      <c r="AB2416" s="52">
        <f>V2416*W2416</f>
        <v>0</v>
      </c>
      <c r="AC2416" s="53">
        <f>(R2416+V2416)*W2416</f>
        <v>112.9</v>
      </c>
      <c r="AD2416" s="138">
        <v>112.9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109</v>
      </c>
      <c r="F2417" s="96" t="s">
        <v>111</v>
      </c>
      <c r="G2417" s="97">
        <v>46132</v>
      </c>
      <c r="H2417" s="98">
        <v>0.6103240740740741</v>
      </c>
      <c r="I2417" s="50">
        <v>169002675</v>
      </c>
      <c r="J2417" s="96" t="s">
        <v>157</v>
      </c>
      <c r="K2417" s="49" t="s">
        <v>507</v>
      </c>
      <c r="L2417" s="39" t="s">
        <v>508</v>
      </c>
      <c r="M2417" s="49" t="s">
        <v>509</v>
      </c>
      <c r="N2417" s="39" t="s">
        <v>256</v>
      </c>
      <c r="O2417" s="96" t="s">
        <v>1024</v>
      </c>
      <c r="P2417" s="49" t="s">
        <v>235</v>
      </c>
      <c r="Q2417" s="96" t="s">
        <v>236</v>
      </c>
      <c r="R2417" s="52">
        <v>15.9</v>
      </c>
      <c r="S2417" s="52">
        <f>R2417-T2417</f>
        <v>13.140495867768596</v>
      </c>
      <c r="T2417" s="52">
        <f>R2417*U2417/(U2417+100)</f>
        <v>2.759504132231405</v>
      </c>
      <c r="U2417" s="50">
        <v>21</v>
      </c>
      <c r="V2417" s="53">
        <v>0</v>
      </c>
      <c r="W2417" s="147">
        <v>6</v>
      </c>
      <c r="X2417" s="148" t="s">
        <v>163</v>
      </c>
      <c r="Y2417" s="54">
        <f>R2417*W2417</f>
        <v>95.4</v>
      </c>
      <c r="Z2417" s="52">
        <f>S2417*W2417</f>
        <v>78.84297520661158</v>
      </c>
      <c r="AA2417" s="52">
        <f>T2417*W2417</f>
        <v>16.55702479338843</v>
      </c>
      <c r="AB2417" s="52">
        <f>V2417*W2417</f>
        <v>0</v>
      </c>
      <c r="AC2417" s="53">
        <f>(R2417+V2417)*W2417</f>
        <v>95.4</v>
      </c>
      <c r="AD2417" s="138">
        <v>15.9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109</v>
      </c>
      <c r="F2418" s="96" t="s">
        <v>111</v>
      </c>
      <c r="G2418" s="97">
        <v>46132</v>
      </c>
      <c r="H2418" s="98">
        <v>0.6103240740740741</v>
      </c>
      <c r="I2418" s="50">
        <v>169002675</v>
      </c>
      <c r="J2418" s="96" t="s">
        <v>157</v>
      </c>
      <c r="K2418" s="49" t="s">
        <v>3202</v>
      </c>
      <c r="L2418" s="39" t="s">
        <v>3203</v>
      </c>
      <c r="M2418" s="49" t="s">
        <v>837</v>
      </c>
      <c r="N2418" s="39" t="s">
        <v>838</v>
      </c>
      <c r="O2418" s="96" t="s">
        <v>3204</v>
      </c>
      <c r="P2418" s="49" t="s">
        <v>157</v>
      </c>
      <c r="Q2418" s="96" t="s">
        <v>104</v>
      </c>
      <c r="R2418" s="52">
        <v>99.9</v>
      </c>
      <c r="S2418" s="52">
        <f>R2418-T2418</f>
        <v>89.19642857142857</v>
      </c>
      <c r="T2418" s="52">
        <f>R2418*U2418/(U2418+100)</f>
        <v>10.703571428571431</v>
      </c>
      <c r="U2418" s="50">
        <v>12</v>
      </c>
      <c r="V2418" s="53">
        <v>0</v>
      </c>
      <c r="W2418" s="147">
        <v>1</v>
      </c>
      <c r="X2418" s="148" t="s">
        <v>163</v>
      </c>
      <c r="Y2418" s="54">
        <f>R2418*W2418</f>
        <v>99.9</v>
      </c>
      <c r="Z2418" s="52">
        <f>S2418*W2418</f>
        <v>89.19642857142857</v>
      </c>
      <c r="AA2418" s="52">
        <f>T2418*W2418</f>
        <v>10.703571428571431</v>
      </c>
      <c r="AB2418" s="52">
        <f>V2418*W2418</f>
        <v>0</v>
      </c>
      <c r="AC2418" s="53">
        <f>(R2418+V2418)*W2418</f>
        <v>99.9</v>
      </c>
      <c r="AD2418" s="138">
        <v>99.9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109</v>
      </c>
      <c r="F2419" s="96" t="s">
        <v>111</v>
      </c>
      <c r="G2419" s="97">
        <v>46132</v>
      </c>
      <c r="H2419" s="98">
        <v>0.6103240740740741</v>
      </c>
      <c r="I2419" s="50">
        <v>169002675</v>
      </c>
      <c r="J2419" s="96" t="s">
        <v>157</v>
      </c>
      <c r="K2419" s="49" t="s">
        <v>293</v>
      </c>
      <c r="L2419" s="39" t="s">
        <v>294</v>
      </c>
      <c r="M2419" s="49" t="s">
        <v>295</v>
      </c>
      <c r="N2419" s="39" t="s">
        <v>296</v>
      </c>
      <c r="O2419" s="96" t="s">
        <v>297</v>
      </c>
      <c r="P2419" s="49" t="s">
        <v>157</v>
      </c>
      <c r="Q2419" s="96" t="s">
        <v>104</v>
      </c>
      <c r="R2419" s="52">
        <v>2.9</v>
      </c>
      <c r="S2419" s="52">
        <f>R2419-T2419</f>
        <v>2.5892857142857144</v>
      </c>
      <c r="T2419" s="52">
        <f>R2419*U2419/(U2419+100)</f>
        <v>0.31071428571428567</v>
      </c>
      <c r="U2419" s="50">
        <v>12</v>
      </c>
      <c r="V2419" s="53">
        <v>0</v>
      </c>
      <c r="W2419" s="147">
        <v>8</v>
      </c>
      <c r="X2419" s="148" t="s">
        <v>163</v>
      </c>
      <c r="Y2419" s="54">
        <f>R2419*W2419</f>
        <v>23.2</v>
      </c>
      <c r="Z2419" s="52">
        <f>S2419*W2419</f>
        <v>20.714285714285715</v>
      </c>
      <c r="AA2419" s="52">
        <f>T2419*W2419</f>
        <v>2.4857142857142853</v>
      </c>
      <c r="AB2419" s="52">
        <f>V2419*W2419</f>
        <v>0</v>
      </c>
      <c r="AC2419" s="53">
        <f>(R2419+V2419)*W2419</f>
        <v>23.2</v>
      </c>
      <c r="AD2419" s="138">
        <v>2.9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109</v>
      </c>
      <c r="F2420" s="96" t="s">
        <v>111</v>
      </c>
      <c r="G2420" s="97">
        <v>46132</v>
      </c>
      <c r="H2420" s="98">
        <v>0.6108101851851852</v>
      </c>
      <c r="I2420" s="50">
        <v>169002676</v>
      </c>
      <c r="J2420" s="96" t="s">
        <v>157</v>
      </c>
      <c r="K2420" s="49" t="s">
        <v>1546</v>
      </c>
      <c r="L2420" s="39" t="s">
        <v>1547</v>
      </c>
      <c r="M2420" s="49" t="s">
        <v>788</v>
      </c>
      <c r="N2420" s="39" t="s">
        <v>244</v>
      </c>
      <c r="O2420" s="96" t="s">
        <v>1548</v>
      </c>
      <c r="P2420" s="49" t="s">
        <v>157</v>
      </c>
      <c r="Q2420" s="96" t="s">
        <v>104</v>
      </c>
      <c r="R2420" s="52">
        <v>14.9</v>
      </c>
      <c r="S2420" s="52">
        <f>R2420-T2420</f>
        <v>13.303571428571429</v>
      </c>
      <c r="T2420" s="52">
        <f>R2420*U2420/(U2420+100)</f>
        <v>1.5964285714285715</v>
      </c>
      <c r="U2420" s="50">
        <v>12</v>
      </c>
      <c r="V2420" s="53">
        <v>0</v>
      </c>
      <c r="W2420" s="147">
        <v>1</v>
      </c>
      <c r="X2420" s="148" t="s">
        <v>163</v>
      </c>
      <c r="Y2420" s="54">
        <f>R2420*W2420</f>
        <v>14.9</v>
      </c>
      <c r="Z2420" s="52">
        <f>S2420*W2420</f>
        <v>13.303571428571429</v>
      </c>
      <c r="AA2420" s="52">
        <f>T2420*W2420</f>
        <v>1.5964285714285715</v>
      </c>
      <c r="AB2420" s="52">
        <f>V2420*W2420</f>
        <v>0</v>
      </c>
      <c r="AC2420" s="53">
        <f>(R2420+V2420)*W2420</f>
        <v>14.9</v>
      </c>
      <c r="AD2420" s="138">
        <v>14.9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109</v>
      </c>
      <c r="F2421" s="96" t="s">
        <v>111</v>
      </c>
      <c r="G2421" s="97">
        <v>46132</v>
      </c>
      <c r="H2421" s="98">
        <v>0.6108101851851852</v>
      </c>
      <c r="I2421" s="50">
        <v>169002676</v>
      </c>
      <c r="J2421" s="96" t="s">
        <v>157</v>
      </c>
      <c r="K2421" s="49" t="s">
        <v>686</v>
      </c>
      <c r="L2421" s="39" t="s">
        <v>687</v>
      </c>
      <c r="M2421" s="49" t="s">
        <v>369</v>
      </c>
      <c r="N2421" s="39" t="s">
        <v>688</v>
      </c>
      <c r="O2421" s="96" t="s">
        <v>1341</v>
      </c>
      <c r="P2421" s="49" t="s">
        <v>157</v>
      </c>
      <c r="Q2421" s="96" t="s">
        <v>104</v>
      </c>
      <c r="R2421" s="52">
        <v>227.9</v>
      </c>
      <c r="S2421" s="52">
        <f>R2421-T2421</f>
        <v>203.48214285714286</v>
      </c>
      <c r="T2421" s="52">
        <f>R2421*U2421/(U2421+100)</f>
        <v>24.417857142857144</v>
      </c>
      <c r="U2421" s="50">
        <v>12</v>
      </c>
      <c r="V2421" s="53">
        <v>0</v>
      </c>
      <c r="W2421" s="147">
        <v>0.154</v>
      </c>
      <c r="X2421" s="148" t="s">
        <v>193</v>
      </c>
      <c r="Y2421" s="54">
        <f>R2421*W2421</f>
        <v>35.0966</v>
      </c>
      <c r="Z2421" s="52">
        <f>S2421*W2421</f>
        <v>31.33625</v>
      </c>
      <c r="AA2421" s="52">
        <f>T2421*W2421</f>
        <v>3.7603500000000003</v>
      </c>
      <c r="AB2421" s="52">
        <f>V2421*W2421</f>
        <v>0</v>
      </c>
      <c r="AC2421" s="53">
        <f>(R2421+V2421)*W2421</f>
        <v>35.0966</v>
      </c>
      <c r="AD2421" s="138">
        <v>227.9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109</v>
      </c>
      <c r="F2422" s="96" t="s">
        <v>111</v>
      </c>
      <c r="G2422" s="97">
        <v>46132</v>
      </c>
      <c r="H2422" s="98">
        <v>0.6108101851851852</v>
      </c>
      <c r="I2422" s="50">
        <v>169002676</v>
      </c>
      <c r="J2422" s="96" t="s">
        <v>157</v>
      </c>
      <c r="K2422" s="49" t="s">
        <v>2421</v>
      </c>
      <c r="L2422" s="39" t="s">
        <v>2422</v>
      </c>
      <c r="M2422" s="49" t="s">
        <v>403</v>
      </c>
      <c r="N2422" s="39" t="s">
        <v>523</v>
      </c>
      <c r="O2422" s="96" t="s">
        <v>2423</v>
      </c>
      <c r="P2422" s="49" t="s">
        <v>157</v>
      </c>
      <c r="Q2422" s="96" t="s">
        <v>104</v>
      </c>
      <c r="R2422" s="52">
        <v>217.9</v>
      </c>
      <c r="S2422" s="52">
        <f>R2422-T2422</f>
        <v>194.55357142857144</v>
      </c>
      <c r="T2422" s="52">
        <f>R2422*U2422/(U2422+100)</f>
        <v>23.34642857142857</v>
      </c>
      <c r="U2422" s="50">
        <v>12</v>
      </c>
      <c r="V2422" s="53">
        <v>0</v>
      </c>
      <c r="W2422" s="147">
        <v>0.148</v>
      </c>
      <c r="X2422" s="148" t="s">
        <v>193</v>
      </c>
      <c r="Y2422" s="54">
        <f>R2422*W2422</f>
        <v>32.2492</v>
      </c>
      <c r="Z2422" s="52">
        <f>S2422*W2422</f>
        <v>28.793928571428573</v>
      </c>
      <c r="AA2422" s="52">
        <f>T2422*W2422</f>
        <v>3.4552714285714283</v>
      </c>
      <c r="AB2422" s="52">
        <f>V2422*W2422</f>
        <v>0</v>
      </c>
      <c r="AC2422" s="53">
        <f>(R2422+V2422)*W2422</f>
        <v>32.2492</v>
      </c>
      <c r="AD2422" s="138">
        <v>217.9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109</v>
      </c>
      <c r="F2423" s="96" t="s">
        <v>111</v>
      </c>
      <c r="G2423" s="97">
        <v>46132</v>
      </c>
      <c r="H2423" s="98">
        <v>0.6108101851851852</v>
      </c>
      <c r="I2423" s="50">
        <v>169002676</v>
      </c>
      <c r="J2423" s="96" t="s">
        <v>157</v>
      </c>
      <c r="K2423" s="49" t="s">
        <v>293</v>
      </c>
      <c r="L2423" s="39" t="s">
        <v>294</v>
      </c>
      <c r="M2423" s="49" t="s">
        <v>295</v>
      </c>
      <c r="N2423" s="39" t="s">
        <v>296</v>
      </c>
      <c r="O2423" s="96" t="s">
        <v>297</v>
      </c>
      <c r="P2423" s="49" t="s">
        <v>157</v>
      </c>
      <c r="Q2423" s="96" t="s">
        <v>104</v>
      </c>
      <c r="R2423" s="52">
        <v>2.9</v>
      </c>
      <c r="S2423" s="52">
        <f>R2423-T2423</f>
        <v>2.5892857142857144</v>
      </c>
      <c r="T2423" s="52">
        <f>R2423*U2423/(U2423+100)</f>
        <v>0.31071428571428567</v>
      </c>
      <c r="U2423" s="50">
        <v>12</v>
      </c>
      <c r="V2423" s="53">
        <v>0</v>
      </c>
      <c r="W2423" s="147">
        <v>5</v>
      </c>
      <c r="X2423" s="148" t="s">
        <v>163</v>
      </c>
      <c r="Y2423" s="54">
        <f>R2423*W2423</f>
        <v>14.5</v>
      </c>
      <c r="Z2423" s="52">
        <f>S2423*W2423</f>
        <v>12.946428571428573</v>
      </c>
      <c r="AA2423" s="52">
        <f>T2423*W2423</f>
        <v>1.5535714285714284</v>
      </c>
      <c r="AB2423" s="52">
        <f>V2423*W2423</f>
        <v>0</v>
      </c>
      <c r="AC2423" s="53">
        <f>(R2423+V2423)*W2423</f>
        <v>14.5</v>
      </c>
      <c r="AD2423" s="138">
        <v>2.9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109</v>
      </c>
      <c r="F2424" s="96" t="s">
        <v>111</v>
      </c>
      <c r="G2424" s="97">
        <v>46132</v>
      </c>
      <c r="H2424" s="98">
        <v>0.6108101851851852</v>
      </c>
      <c r="I2424" s="50">
        <v>169002676</v>
      </c>
      <c r="J2424" s="96" t="s">
        <v>157</v>
      </c>
      <c r="K2424" s="49" t="s">
        <v>1531</v>
      </c>
      <c r="L2424" s="39"/>
      <c r="M2424" s="49" t="s">
        <v>295</v>
      </c>
      <c r="N2424" s="39" t="s">
        <v>433</v>
      </c>
      <c r="O2424" s="96" t="s">
        <v>1532</v>
      </c>
      <c r="P2424" s="49" t="s">
        <v>235</v>
      </c>
      <c r="Q2424" s="96" t="s">
        <v>1533</v>
      </c>
      <c r="R2424" s="52">
        <v>19.9</v>
      </c>
      <c r="S2424" s="52">
        <f>R2424-T2424</f>
        <v>17.767857142857142</v>
      </c>
      <c r="T2424" s="52">
        <f>R2424*U2424/(U2424+100)</f>
        <v>2.132142857142857</v>
      </c>
      <c r="U2424" s="50">
        <v>12</v>
      </c>
      <c r="V2424" s="53">
        <v>0</v>
      </c>
      <c r="W2424" s="147">
        <v>1</v>
      </c>
      <c r="X2424" s="148" t="s">
        <v>945</v>
      </c>
      <c r="Y2424" s="54">
        <f>R2424*W2424</f>
        <v>19.9</v>
      </c>
      <c r="Z2424" s="52">
        <f>S2424*W2424</f>
        <v>17.767857142857142</v>
      </c>
      <c r="AA2424" s="52">
        <f>T2424*W2424</f>
        <v>2.132142857142857</v>
      </c>
      <c r="AB2424" s="52">
        <f>V2424*W2424</f>
        <v>0</v>
      </c>
      <c r="AC2424" s="53">
        <f>(R2424+V2424)*W2424</f>
        <v>19.9</v>
      </c>
      <c r="AD2424" s="138">
        <v>19.9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109</v>
      </c>
      <c r="F2425" s="96" t="s">
        <v>111</v>
      </c>
      <c r="G2425" s="97">
        <v>46132</v>
      </c>
      <c r="H2425" s="98">
        <v>0.6114351851851851</v>
      </c>
      <c r="I2425" s="50">
        <v>169002677</v>
      </c>
      <c r="J2425" s="96" t="s">
        <v>157</v>
      </c>
      <c r="K2425" s="49" t="s">
        <v>3398</v>
      </c>
      <c r="L2425" s="39" t="s">
        <v>3399</v>
      </c>
      <c r="M2425" s="49" t="s">
        <v>196</v>
      </c>
      <c r="N2425" s="39" t="s">
        <v>197</v>
      </c>
      <c r="O2425" s="96" t="s">
        <v>3400</v>
      </c>
      <c r="P2425" s="49" t="s">
        <v>157</v>
      </c>
      <c r="Q2425" s="96" t="s">
        <v>104</v>
      </c>
      <c r="R2425" s="52">
        <v>17.9</v>
      </c>
      <c r="S2425" s="52">
        <f>R2425-T2425</f>
        <v>15.982142857142856</v>
      </c>
      <c r="T2425" s="52">
        <f>R2425*U2425/(U2425+100)</f>
        <v>1.9178571428571427</v>
      </c>
      <c r="U2425" s="50">
        <v>12</v>
      </c>
      <c r="V2425" s="53">
        <v>0</v>
      </c>
      <c r="W2425" s="147">
        <v>1</v>
      </c>
      <c r="X2425" s="148" t="s">
        <v>163</v>
      </c>
      <c r="Y2425" s="54">
        <f>R2425*W2425</f>
        <v>17.9</v>
      </c>
      <c r="Z2425" s="52">
        <f>S2425*W2425</f>
        <v>15.982142857142856</v>
      </c>
      <c r="AA2425" s="52">
        <f>T2425*W2425</f>
        <v>1.9178571428571427</v>
      </c>
      <c r="AB2425" s="52">
        <f>V2425*W2425</f>
        <v>0</v>
      </c>
      <c r="AC2425" s="53">
        <f>(R2425+V2425)*W2425</f>
        <v>17.9</v>
      </c>
      <c r="AD2425" s="138">
        <v>17.9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109</v>
      </c>
      <c r="F2426" s="96" t="s">
        <v>111</v>
      </c>
      <c r="G2426" s="97">
        <v>46132</v>
      </c>
      <c r="H2426" s="98">
        <v>0.6114351851851851</v>
      </c>
      <c r="I2426" s="50">
        <v>169002677</v>
      </c>
      <c r="J2426" s="96" t="s">
        <v>157</v>
      </c>
      <c r="K2426" s="49" t="s">
        <v>222</v>
      </c>
      <c r="L2426" s="39" t="s">
        <v>223</v>
      </c>
      <c r="M2426" s="49" t="s">
        <v>224</v>
      </c>
      <c r="N2426" s="39" t="s">
        <v>167</v>
      </c>
      <c r="O2426" s="96" t="s">
        <v>3401</v>
      </c>
      <c r="P2426" s="49" t="s">
        <v>157</v>
      </c>
      <c r="Q2426" s="96" t="s">
        <v>104</v>
      </c>
      <c r="R2426" s="52">
        <v>34.9</v>
      </c>
      <c r="S2426" s="52">
        <f>R2426-T2426</f>
        <v>28.84297520661157</v>
      </c>
      <c r="T2426" s="52">
        <f>R2426*U2426/(U2426+100)</f>
        <v>6.05702479338843</v>
      </c>
      <c r="U2426" s="50">
        <v>21</v>
      </c>
      <c r="V2426" s="53">
        <v>0</v>
      </c>
      <c r="W2426" s="147">
        <v>1</v>
      </c>
      <c r="X2426" s="148" t="s">
        <v>163</v>
      </c>
      <c r="Y2426" s="54">
        <f>R2426*W2426</f>
        <v>34.9</v>
      </c>
      <c r="Z2426" s="52">
        <f>S2426*W2426</f>
        <v>28.84297520661157</v>
      </c>
      <c r="AA2426" s="52">
        <f>T2426*W2426</f>
        <v>6.05702479338843</v>
      </c>
      <c r="AB2426" s="52">
        <f>V2426*W2426</f>
        <v>0</v>
      </c>
      <c r="AC2426" s="53">
        <f>(R2426+V2426)*W2426</f>
        <v>34.9</v>
      </c>
      <c r="AD2426" s="138">
        <v>34.9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109</v>
      </c>
      <c r="F2427" s="96" t="s">
        <v>111</v>
      </c>
      <c r="G2427" s="97">
        <v>46132</v>
      </c>
      <c r="H2427" s="98">
        <v>0.6114351851851851</v>
      </c>
      <c r="I2427" s="50">
        <v>169002677</v>
      </c>
      <c r="J2427" s="96" t="s">
        <v>157</v>
      </c>
      <c r="K2427" s="49" t="s">
        <v>3402</v>
      </c>
      <c r="L2427" s="39" t="s">
        <v>3403</v>
      </c>
      <c r="M2427" s="49" t="s">
        <v>862</v>
      </c>
      <c r="N2427" s="39" t="s">
        <v>863</v>
      </c>
      <c r="O2427" s="96" t="s">
        <v>3404</v>
      </c>
      <c r="P2427" s="49" t="s">
        <v>157</v>
      </c>
      <c r="Q2427" s="96" t="s">
        <v>104</v>
      </c>
      <c r="R2427" s="52">
        <v>179</v>
      </c>
      <c r="S2427" s="52">
        <f>R2427-T2427</f>
        <v>147.93388429752065</v>
      </c>
      <c r="T2427" s="52">
        <f>R2427*U2427/(U2427+100)</f>
        <v>31.06611570247934</v>
      </c>
      <c r="U2427" s="50">
        <v>21</v>
      </c>
      <c r="V2427" s="53">
        <v>0</v>
      </c>
      <c r="W2427" s="147">
        <v>1</v>
      </c>
      <c r="X2427" s="148" t="s">
        <v>163</v>
      </c>
      <c r="Y2427" s="54">
        <f>R2427*W2427</f>
        <v>179</v>
      </c>
      <c r="Z2427" s="52">
        <f>S2427*W2427</f>
        <v>147.93388429752065</v>
      </c>
      <c r="AA2427" s="52">
        <f>T2427*W2427</f>
        <v>31.06611570247934</v>
      </c>
      <c r="AB2427" s="52">
        <f>V2427*W2427</f>
        <v>0</v>
      </c>
      <c r="AC2427" s="53">
        <f>(R2427+V2427)*W2427</f>
        <v>179</v>
      </c>
      <c r="AD2427" s="138">
        <v>179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109</v>
      </c>
      <c r="F2428" s="96" t="s">
        <v>111</v>
      </c>
      <c r="G2428" s="97">
        <v>46132</v>
      </c>
      <c r="H2428" s="98">
        <v>0.6117824074074074</v>
      </c>
      <c r="I2428" s="50">
        <v>169002678</v>
      </c>
      <c r="J2428" s="96" t="s">
        <v>157</v>
      </c>
      <c r="K2428" s="49" t="s">
        <v>293</v>
      </c>
      <c r="L2428" s="39" t="s">
        <v>294</v>
      </c>
      <c r="M2428" s="49" t="s">
        <v>295</v>
      </c>
      <c r="N2428" s="39" t="s">
        <v>296</v>
      </c>
      <c r="O2428" s="96" t="s">
        <v>297</v>
      </c>
      <c r="P2428" s="49" t="s">
        <v>157</v>
      </c>
      <c r="Q2428" s="96" t="s">
        <v>104</v>
      </c>
      <c r="R2428" s="52">
        <v>2.9</v>
      </c>
      <c r="S2428" s="52">
        <f>R2428-T2428</f>
        <v>2.5892857142857144</v>
      </c>
      <c r="T2428" s="52">
        <f>R2428*U2428/(U2428+100)</f>
        <v>0.31071428571428567</v>
      </c>
      <c r="U2428" s="50">
        <v>12</v>
      </c>
      <c r="V2428" s="53">
        <v>0</v>
      </c>
      <c r="W2428" s="147">
        <v>5</v>
      </c>
      <c r="X2428" s="148" t="s">
        <v>163</v>
      </c>
      <c r="Y2428" s="54">
        <f>R2428*W2428</f>
        <v>14.5</v>
      </c>
      <c r="Z2428" s="52">
        <f>S2428*W2428</f>
        <v>12.946428571428573</v>
      </c>
      <c r="AA2428" s="52">
        <f>T2428*W2428</f>
        <v>1.5535714285714284</v>
      </c>
      <c r="AB2428" s="52">
        <f>V2428*W2428</f>
        <v>0</v>
      </c>
      <c r="AC2428" s="53">
        <f>(R2428+V2428)*W2428</f>
        <v>14.5</v>
      </c>
      <c r="AD2428" s="138">
        <v>2.9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109</v>
      </c>
      <c r="F2429" s="96" t="s">
        <v>111</v>
      </c>
      <c r="G2429" s="97">
        <v>46132</v>
      </c>
      <c r="H2429" s="98">
        <v>0.6131134259259259</v>
      </c>
      <c r="I2429" s="50">
        <v>169002679</v>
      </c>
      <c r="J2429" s="96" t="s">
        <v>157</v>
      </c>
      <c r="K2429" s="49" t="s">
        <v>3405</v>
      </c>
      <c r="L2429" s="39" t="s">
        <v>3406</v>
      </c>
      <c r="M2429" s="49" t="s">
        <v>1153</v>
      </c>
      <c r="N2429" s="39" t="s">
        <v>404</v>
      </c>
      <c r="O2429" s="96" t="s">
        <v>3407</v>
      </c>
      <c r="P2429" s="49" t="s">
        <v>157</v>
      </c>
      <c r="Q2429" s="96" t="s">
        <v>104</v>
      </c>
      <c r="R2429" s="52">
        <v>15.9</v>
      </c>
      <c r="S2429" s="52">
        <f>R2429-T2429</f>
        <v>14.196428571428571</v>
      </c>
      <c r="T2429" s="52">
        <f>R2429*U2429/(U2429+100)</f>
        <v>1.7035714285714287</v>
      </c>
      <c r="U2429" s="50">
        <v>12</v>
      </c>
      <c r="V2429" s="53">
        <v>0</v>
      </c>
      <c r="W2429" s="147">
        <v>1</v>
      </c>
      <c r="X2429" s="148" t="s">
        <v>163</v>
      </c>
      <c r="Y2429" s="54">
        <f>R2429*W2429</f>
        <v>15.9</v>
      </c>
      <c r="Z2429" s="52">
        <f>S2429*W2429</f>
        <v>14.196428571428571</v>
      </c>
      <c r="AA2429" s="52">
        <f>T2429*W2429</f>
        <v>1.7035714285714287</v>
      </c>
      <c r="AB2429" s="52">
        <f>V2429*W2429</f>
        <v>0</v>
      </c>
      <c r="AC2429" s="53">
        <f>(R2429+V2429)*W2429</f>
        <v>15.9</v>
      </c>
      <c r="AD2429" s="138">
        <v>15.9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109</v>
      </c>
      <c r="F2430" s="96" t="s">
        <v>111</v>
      </c>
      <c r="G2430" s="97">
        <v>46132</v>
      </c>
      <c r="H2430" s="98">
        <v>0.6131134259259259</v>
      </c>
      <c r="I2430" s="50">
        <v>169002679</v>
      </c>
      <c r="J2430" s="96" t="s">
        <v>157</v>
      </c>
      <c r="K2430" s="49" t="s">
        <v>329</v>
      </c>
      <c r="L2430" s="39" t="s">
        <v>330</v>
      </c>
      <c r="M2430" s="49" t="s">
        <v>185</v>
      </c>
      <c r="N2430" s="39" t="s">
        <v>331</v>
      </c>
      <c r="O2430" s="96" t="s">
        <v>1640</v>
      </c>
      <c r="P2430" s="49" t="s">
        <v>157</v>
      </c>
      <c r="Q2430" s="96" t="s">
        <v>104</v>
      </c>
      <c r="R2430" s="52">
        <v>49.9</v>
      </c>
      <c r="S2430" s="52">
        <f>R2430-T2430</f>
        <v>44.55357142857143</v>
      </c>
      <c r="T2430" s="52">
        <f>R2430*U2430/(U2430+100)</f>
        <v>5.346428571428571</v>
      </c>
      <c r="U2430" s="50">
        <v>12</v>
      </c>
      <c r="V2430" s="53">
        <v>0</v>
      </c>
      <c r="W2430" s="147">
        <v>1</v>
      </c>
      <c r="X2430" s="148" t="s">
        <v>163</v>
      </c>
      <c r="Y2430" s="54">
        <f>R2430*W2430</f>
        <v>49.9</v>
      </c>
      <c r="Z2430" s="52">
        <f>S2430*W2430</f>
        <v>44.55357142857143</v>
      </c>
      <c r="AA2430" s="52">
        <f>T2430*W2430</f>
        <v>5.346428571428571</v>
      </c>
      <c r="AB2430" s="52">
        <f>V2430*W2430</f>
        <v>0</v>
      </c>
      <c r="AC2430" s="53">
        <f>(R2430+V2430)*W2430</f>
        <v>49.9</v>
      </c>
      <c r="AD2430" s="138">
        <v>49.9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109</v>
      </c>
      <c r="F2431" s="96" t="s">
        <v>111</v>
      </c>
      <c r="G2431" s="97">
        <v>46132</v>
      </c>
      <c r="H2431" s="98">
        <v>0.6131134259259259</v>
      </c>
      <c r="I2431" s="50">
        <v>169002679</v>
      </c>
      <c r="J2431" s="96" t="s">
        <v>157</v>
      </c>
      <c r="K2431" s="49" t="s">
        <v>258</v>
      </c>
      <c r="L2431" s="39" t="s">
        <v>259</v>
      </c>
      <c r="M2431" s="49" t="s">
        <v>185</v>
      </c>
      <c r="N2431" s="39" t="s">
        <v>186</v>
      </c>
      <c r="O2431" s="96" t="s">
        <v>2307</v>
      </c>
      <c r="P2431" s="49" t="s">
        <v>157</v>
      </c>
      <c r="Q2431" s="96" t="s">
        <v>104</v>
      </c>
      <c r="R2431" s="52">
        <v>19.9</v>
      </c>
      <c r="S2431" s="52">
        <f>R2431-T2431</f>
        <v>16.446280991735534</v>
      </c>
      <c r="T2431" s="52">
        <f>R2431*U2431/(U2431+100)</f>
        <v>3.4537190082644624</v>
      </c>
      <c r="U2431" s="50">
        <v>21</v>
      </c>
      <c r="V2431" s="53">
        <v>0</v>
      </c>
      <c r="W2431" s="147">
        <v>1</v>
      </c>
      <c r="X2431" s="148" t="s">
        <v>163</v>
      </c>
      <c r="Y2431" s="54">
        <f>R2431*W2431</f>
        <v>19.9</v>
      </c>
      <c r="Z2431" s="52">
        <f>S2431*W2431</f>
        <v>16.446280991735534</v>
      </c>
      <c r="AA2431" s="52">
        <f>T2431*W2431</f>
        <v>3.4537190082644624</v>
      </c>
      <c r="AB2431" s="52">
        <f>V2431*W2431</f>
        <v>0</v>
      </c>
      <c r="AC2431" s="53">
        <f>(R2431+V2431)*W2431</f>
        <v>19.9</v>
      </c>
      <c r="AD2431" s="138">
        <v>19.9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109</v>
      </c>
      <c r="F2432" s="96" t="s">
        <v>111</v>
      </c>
      <c r="G2432" s="97">
        <v>46132</v>
      </c>
      <c r="H2432" s="98">
        <v>0.6131134259259259</v>
      </c>
      <c r="I2432" s="50">
        <v>169002679</v>
      </c>
      <c r="J2432" s="96" t="s">
        <v>157</v>
      </c>
      <c r="K2432" s="49" t="s">
        <v>655</v>
      </c>
      <c r="L2432" s="39" t="s">
        <v>656</v>
      </c>
      <c r="M2432" s="49" t="s">
        <v>190</v>
      </c>
      <c r="N2432" s="39" t="s">
        <v>532</v>
      </c>
      <c r="O2432" s="96" t="s">
        <v>657</v>
      </c>
      <c r="P2432" s="49" t="s">
        <v>157</v>
      </c>
      <c r="Q2432" s="96" t="s">
        <v>104</v>
      </c>
      <c r="R2432" s="52">
        <v>17.95</v>
      </c>
      <c r="S2432" s="52">
        <f>R2432-T2432</f>
        <v>16.026785714285715</v>
      </c>
      <c r="T2432" s="52">
        <f>R2432*U2432/(U2432+100)</f>
        <v>1.9232142857142855</v>
      </c>
      <c r="U2432" s="50">
        <v>12</v>
      </c>
      <c r="V2432" s="53">
        <v>0</v>
      </c>
      <c r="W2432" s="147">
        <v>0.54</v>
      </c>
      <c r="X2432" s="148" t="s">
        <v>193</v>
      </c>
      <c r="Y2432" s="54">
        <f>R2432*W2432</f>
        <v>9.693</v>
      </c>
      <c r="Z2432" s="52">
        <f>S2432*W2432</f>
        <v>8.654464285714287</v>
      </c>
      <c r="AA2432" s="52">
        <f>T2432*W2432</f>
        <v>1.0385357142857143</v>
      </c>
      <c r="AB2432" s="52">
        <f>V2432*W2432</f>
        <v>0</v>
      </c>
      <c r="AC2432" s="53">
        <f>(R2432+V2432)*W2432</f>
        <v>9.693</v>
      </c>
      <c r="AD2432" s="138">
        <v>17.95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109</v>
      </c>
      <c r="F2433" s="96" t="s">
        <v>111</v>
      </c>
      <c r="G2433" s="97">
        <v>46132</v>
      </c>
      <c r="H2433" s="98">
        <v>0.6143055555555555</v>
      </c>
      <c r="I2433" s="50">
        <v>169002680</v>
      </c>
      <c r="J2433" s="96" t="s">
        <v>157</v>
      </c>
      <c r="K2433" s="49" t="s">
        <v>907</v>
      </c>
      <c r="L2433" s="39" t="s">
        <v>908</v>
      </c>
      <c r="M2433" s="49" t="s">
        <v>341</v>
      </c>
      <c r="N2433" s="39" t="s">
        <v>587</v>
      </c>
      <c r="O2433" s="96" t="s">
        <v>3408</v>
      </c>
      <c r="P2433" s="49" t="s">
        <v>157</v>
      </c>
      <c r="Q2433" s="96" t="s">
        <v>104</v>
      </c>
      <c r="R2433" s="52">
        <v>27.9</v>
      </c>
      <c r="S2433" s="52">
        <f>R2433-T2433</f>
        <v>23.05785123966942</v>
      </c>
      <c r="T2433" s="52">
        <f>R2433*U2433/(U2433+100)</f>
        <v>4.842148760330578</v>
      </c>
      <c r="U2433" s="50">
        <v>21</v>
      </c>
      <c r="V2433" s="53">
        <v>0</v>
      </c>
      <c r="W2433" s="147">
        <v>1</v>
      </c>
      <c r="X2433" s="148" t="s">
        <v>163</v>
      </c>
      <c r="Y2433" s="54">
        <f>R2433*W2433</f>
        <v>27.9</v>
      </c>
      <c r="Z2433" s="52">
        <f>S2433*W2433</f>
        <v>23.05785123966942</v>
      </c>
      <c r="AA2433" s="52">
        <f>T2433*W2433</f>
        <v>4.842148760330578</v>
      </c>
      <c r="AB2433" s="52">
        <f>V2433*W2433</f>
        <v>0</v>
      </c>
      <c r="AC2433" s="53">
        <f>(R2433+V2433)*W2433</f>
        <v>27.9</v>
      </c>
      <c r="AD2433" s="138">
        <v>27.9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109</v>
      </c>
      <c r="F2434" s="96" t="s">
        <v>111</v>
      </c>
      <c r="G2434" s="97">
        <v>46132</v>
      </c>
      <c r="H2434" s="98">
        <v>0.6143055555555555</v>
      </c>
      <c r="I2434" s="50">
        <v>169002680</v>
      </c>
      <c r="J2434" s="96" t="s">
        <v>157</v>
      </c>
      <c r="K2434" s="49" t="s">
        <v>1106</v>
      </c>
      <c r="L2434" s="39" t="s">
        <v>1107</v>
      </c>
      <c r="M2434" s="49" t="s">
        <v>166</v>
      </c>
      <c r="N2434" s="39" t="s">
        <v>167</v>
      </c>
      <c r="O2434" s="96" t="s">
        <v>1108</v>
      </c>
      <c r="P2434" s="49" t="s">
        <v>157</v>
      </c>
      <c r="Q2434" s="96" t="s">
        <v>104</v>
      </c>
      <c r="R2434" s="52">
        <v>17.9</v>
      </c>
      <c r="S2434" s="52">
        <f>R2434-T2434</f>
        <v>14.793388429752065</v>
      </c>
      <c r="T2434" s="52">
        <f>R2434*U2434/(U2434+100)</f>
        <v>3.1066115702479338</v>
      </c>
      <c r="U2434" s="50">
        <v>21</v>
      </c>
      <c r="V2434" s="53">
        <v>0</v>
      </c>
      <c r="W2434" s="147">
        <v>1</v>
      </c>
      <c r="X2434" s="148" t="s">
        <v>163</v>
      </c>
      <c r="Y2434" s="54">
        <f>R2434*W2434</f>
        <v>17.9</v>
      </c>
      <c r="Z2434" s="52">
        <f>S2434*W2434</f>
        <v>14.793388429752065</v>
      </c>
      <c r="AA2434" s="52">
        <f>T2434*W2434</f>
        <v>3.1066115702479338</v>
      </c>
      <c r="AB2434" s="52">
        <f>V2434*W2434</f>
        <v>0</v>
      </c>
      <c r="AC2434" s="53">
        <f>(R2434+V2434)*W2434</f>
        <v>17.9</v>
      </c>
      <c r="AD2434" s="138">
        <v>17.9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109</v>
      </c>
      <c r="F2435" s="96" t="s">
        <v>111</v>
      </c>
      <c r="G2435" s="97">
        <v>46132</v>
      </c>
      <c r="H2435" s="98">
        <v>0.6143055555555555</v>
      </c>
      <c r="I2435" s="50">
        <v>169002680</v>
      </c>
      <c r="J2435" s="96" t="s">
        <v>157</v>
      </c>
      <c r="K2435" s="49" t="s">
        <v>680</v>
      </c>
      <c r="L2435" s="39" t="s">
        <v>681</v>
      </c>
      <c r="M2435" s="49" t="s">
        <v>190</v>
      </c>
      <c r="N2435" s="39" t="s">
        <v>532</v>
      </c>
      <c r="O2435" s="96" t="s">
        <v>682</v>
      </c>
      <c r="P2435" s="49" t="s">
        <v>157</v>
      </c>
      <c r="Q2435" s="96" t="s">
        <v>104</v>
      </c>
      <c r="R2435" s="52">
        <v>24.9</v>
      </c>
      <c r="S2435" s="52">
        <f>R2435-T2435</f>
        <v>22.232142857142858</v>
      </c>
      <c r="T2435" s="52">
        <f>R2435*U2435/(U2435+100)</f>
        <v>2.6678571428571423</v>
      </c>
      <c r="U2435" s="50">
        <v>12</v>
      </c>
      <c r="V2435" s="53">
        <v>0</v>
      </c>
      <c r="W2435" s="147">
        <v>0.25</v>
      </c>
      <c r="X2435" s="148" t="s">
        <v>193</v>
      </c>
      <c r="Y2435" s="54">
        <f>R2435*W2435</f>
        <v>6.225</v>
      </c>
      <c r="Z2435" s="52">
        <f>S2435*W2435</f>
        <v>5.558035714285714</v>
      </c>
      <c r="AA2435" s="52">
        <f>T2435*W2435</f>
        <v>0.6669642857142856</v>
      </c>
      <c r="AB2435" s="52">
        <f>V2435*W2435</f>
        <v>0</v>
      </c>
      <c r="AC2435" s="53">
        <f>(R2435+V2435)*W2435</f>
        <v>6.225</v>
      </c>
      <c r="AD2435" s="138">
        <v>24.9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109</v>
      </c>
      <c r="F2436" s="96" t="s">
        <v>111</v>
      </c>
      <c r="G2436" s="97">
        <v>46132</v>
      </c>
      <c r="H2436" s="98">
        <v>0.614525462962963</v>
      </c>
      <c r="I2436" s="50">
        <v>169002681</v>
      </c>
      <c r="J2436" s="96" t="s">
        <v>157</v>
      </c>
      <c r="K2436" s="49" t="s">
        <v>293</v>
      </c>
      <c r="L2436" s="39" t="s">
        <v>294</v>
      </c>
      <c r="M2436" s="49" t="s">
        <v>295</v>
      </c>
      <c r="N2436" s="39" t="s">
        <v>296</v>
      </c>
      <c r="O2436" s="96" t="s">
        <v>297</v>
      </c>
      <c r="P2436" s="49" t="s">
        <v>157</v>
      </c>
      <c r="Q2436" s="96" t="s">
        <v>104</v>
      </c>
      <c r="R2436" s="52">
        <v>2.9</v>
      </c>
      <c r="S2436" s="52">
        <f>R2436-T2436</f>
        <v>2.5892857142857144</v>
      </c>
      <c r="T2436" s="52">
        <f>R2436*U2436/(U2436+100)</f>
        <v>0.31071428571428567</v>
      </c>
      <c r="U2436" s="50">
        <v>12</v>
      </c>
      <c r="V2436" s="53">
        <v>0</v>
      </c>
      <c r="W2436" s="147">
        <v>10</v>
      </c>
      <c r="X2436" s="148" t="s">
        <v>163</v>
      </c>
      <c r="Y2436" s="54">
        <f>R2436*W2436</f>
        <v>29</v>
      </c>
      <c r="Z2436" s="52">
        <f>S2436*W2436</f>
        <v>25.892857142857146</v>
      </c>
      <c r="AA2436" s="52">
        <f>T2436*W2436</f>
        <v>3.1071428571428568</v>
      </c>
      <c r="AB2436" s="52">
        <f>V2436*W2436</f>
        <v>0</v>
      </c>
      <c r="AC2436" s="53">
        <f>(R2436+V2436)*W2436</f>
        <v>29</v>
      </c>
      <c r="AD2436" s="138">
        <v>2.9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109</v>
      </c>
      <c r="F2437" s="96" t="s">
        <v>111</v>
      </c>
      <c r="G2437" s="97">
        <v>46132</v>
      </c>
      <c r="H2437" s="98">
        <v>0.6168518518518519</v>
      </c>
      <c r="I2437" s="50">
        <v>169002682</v>
      </c>
      <c r="J2437" s="96" t="s">
        <v>157</v>
      </c>
      <c r="K2437" s="49" t="s">
        <v>2068</v>
      </c>
      <c r="L2437" s="39" t="s">
        <v>2069</v>
      </c>
      <c r="M2437" s="49" t="s">
        <v>429</v>
      </c>
      <c r="N2437" s="39" t="s">
        <v>348</v>
      </c>
      <c r="O2437" s="96" t="s">
        <v>2070</v>
      </c>
      <c r="P2437" s="49" t="s">
        <v>235</v>
      </c>
      <c r="Q2437" s="96" t="s">
        <v>236</v>
      </c>
      <c r="R2437" s="52">
        <v>16.9</v>
      </c>
      <c r="S2437" s="52">
        <f>R2437-T2437</f>
        <v>15.089285714285714</v>
      </c>
      <c r="T2437" s="52">
        <f>R2437*U2437/(U2437+100)</f>
        <v>1.8107142857142855</v>
      </c>
      <c r="U2437" s="50">
        <v>12</v>
      </c>
      <c r="V2437" s="53">
        <v>0</v>
      </c>
      <c r="W2437" s="147">
        <v>1</v>
      </c>
      <c r="X2437" s="148" t="s">
        <v>163</v>
      </c>
      <c r="Y2437" s="54">
        <f>R2437*W2437</f>
        <v>16.9</v>
      </c>
      <c r="Z2437" s="52">
        <f>S2437*W2437</f>
        <v>15.089285714285714</v>
      </c>
      <c r="AA2437" s="52">
        <f>T2437*W2437</f>
        <v>1.8107142857142855</v>
      </c>
      <c r="AB2437" s="52">
        <f>V2437*W2437</f>
        <v>0</v>
      </c>
      <c r="AC2437" s="53">
        <f>(R2437+V2437)*W2437</f>
        <v>16.9</v>
      </c>
      <c r="AD2437" s="138">
        <v>16.9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109</v>
      </c>
      <c r="F2438" s="96" t="s">
        <v>111</v>
      </c>
      <c r="G2438" s="97">
        <v>46132</v>
      </c>
      <c r="H2438" s="98">
        <v>0.6168518518518519</v>
      </c>
      <c r="I2438" s="50">
        <v>169002682</v>
      </c>
      <c r="J2438" s="96" t="s">
        <v>157</v>
      </c>
      <c r="K2438" s="49" t="s">
        <v>1581</v>
      </c>
      <c r="L2438" s="39" t="s">
        <v>1582</v>
      </c>
      <c r="M2438" s="49" t="s">
        <v>547</v>
      </c>
      <c r="N2438" s="39" t="s">
        <v>548</v>
      </c>
      <c r="O2438" s="96" t="s">
        <v>1583</v>
      </c>
      <c r="P2438" s="49" t="s">
        <v>157</v>
      </c>
      <c r="Q2438" s="96" t="s">
        <v>104</v>
      </c>
      <c r="R2438" s="52">
        <v>15.9</v>
      </c>
      <c r="S2438" s="52">
        <f>R2438-T2438</f>
        <v>14.196428571428571</v>
      </c>
      <c r="T2438" s="52">
        <f>R2438*U2438/(U2438+100)</f>
        <v>1.7035714285714287</v>
      </c>
      <c r="U2438" s="50">
        <v>12</v>
      </c>
      <c r="V2438" s="53">
        <v>0</v>
      </c>
      <c r="W2438" s="147">
        <v>1</v>
      </c>
      <c r="X2438" s="148" t="s">
        <v>163</v>
      </c>
      <c r="Y2438" s="54">
        <f>R2438*W2438</f>
        <v>15.9</v>
      </c>
      <c r="Z2438" s="52">
        <f>S2438*W2438</f>
        <v>14.196428571428571</v>
      </c>
      <c r="AA2438" s="52">
        <f>T2438*W2438</f>
        <v>1.7035714285714287</v>
      </c>
      <c r="AB2438" s="52">
        <f>V2438*W2438</f>
        <v>0</v>
      </c>
      <c r="AC2438" s="53">
        <f>(R2438+V2438)*W2438</f>
        <v>15.9</v>
      </c>
      <c r="AD2438" s="138">
        <v>15.9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109</v>
      </c>
      <c r="F2439" s="96" t="s">
        <v>111</v>
      </c>
      <c r="G2439" s="97">
        <v>46132</v>
      </c>
      <c r="H2439" s="98">
        <v>0.6168518518518519</v>
      </c>
      <c r="I2439" s="50">
        <v>169002682</v>
      </c>
      <c r="J2439" s="96" t="s">
        <v>157</v>
      </c>
      <c r="K2439" s="49" t="s">
        <v>1581</v>
      </c>
      <c r="L2439" s="39" t="s">
        <v>1582</v>
      </c>
      <c r="M2439" s="49" t="s">
        <v>547</v>
      </c>
      <c r="N2439" s="39" t="s">
        <v>548</v>
      </c>
      <c r="O2439" s="96" t="s">
        <v>1583</v>
      </c>
      <c r="P2439" s="49" t="s">
        <v>157</v>
      </c>
      <c r="Q2439" s="96" t="s">
        <v>104</v>
      </c>
      <c r="R2439" s="52">
        <v>15.9</v>
      </c>
      <c r="S2439" s="52">
        <f>R2439-T2439</f>
        <v>14.196428571428571</v>
      </c>
      <c r="T2439" s="52">
        <f>R2439*U2439/(U2439+100)</f>
        <v>1.7035714285714287</v>
      </c>
      <c r="U2439" s="50">
        <v>12</v>
      </c>
      <c r="V2439" s="53">
        <v>0</v>
      </c>
      <c r="W2439" s="147">
        <v>1</v>
      </c>
      <c r="X2439" s="148" t="s">
        <v>163</v>
      </c>
      <c r="Y2439" s="54">
        <f>R2439*W2439</f>
        <v>15.9</v>
      </c>
      <c r="Z2439" s="52">
        <f>S2439*W2439</f>
        <v>14.196428571428571</v>
      </c>
      <c r="AA2439" s="52">
        <f>T2439*W2439</f>
        <v>1.7035714285714287</v>
      </c>
      <c r="AB2439" s="52">
        <f>V2439*W2439</f>
        <v>0</v>
      </c>
      <c r="AC2439" s="53">
        <f>(R2439+V2439)*W2439</f>
        <v>15.9</v>
      </c>
      <c r="AD2439" s="138">
        <v>15.9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109</v>
      </c>
      <c r="F2440" s="96" t="s">
        <v>111</v>
      </c>
      <c r="G2440" s="97">
        <v>46132</v>
      </c>
      <c r="H2440" s="98">
        <v>0.6168518518518519</v>
      </c>
      <c r="I2440" s="50">
        <v>169002682</v>
      </c>
      <c r="J2440" s="96" t="s">
        <v>157</v>
      </c>
      <c r="K2440" s="49" t="s">
        <v>3409</v>
      </c>
      <c r="L2440" s="39" t="s">
        <v>3410</v>
      </c>
      <c r="M2440" s="49" t="s">
        <v>214</v>
      </c>
      <c r="N2440" s="39" t="s">
        <v>548</v>
      </c>
      <c r="O2440" s="96" t="s">
        <v>3411</v>
      </c>
      <c r="P2440" s="49" t="s">
        <v>157</v>
      </c>
      <c r="Q2440" s="96" t="s">
        <v>104</v>
      </c>
      <c r="R2440" s="52">
        <v>17.9</v>
      </c>
      <c r="S2440" s="52">
        <f>R2440-T2440</f>
        <v>15.982142857142856</v>
      </c>
      <c r="T2440" s="52">
        <f>R2440*U2440/(U2440+100)</f>
        <v>1.9178571428571427</v>
      </c>
      <c r="U2440" s="50">
        <v>12</v>
      </c>
      <c r="V2440" s="53">
        <v>0</v>
      </c>
      <c r="W2440" s="147">
        <v>1</v>
      </c>
      <c r="X2440" s="148" t="s">
        <v>163</v>
      </c>
      <c r="Y2440" s="54">
        <f>R2440*W2440</f>
        <v>17.9</v>
      </c>
      <c r="Z2440" s="52">
        <f>S2440*W2440</f>
        <v>15.982142857142856</v>
      </c>
      <c r="AA2440" s="52">
        <f>T2440*W2440</f>
        <v>1.9178571428571427</v>
      </c>
      <c r="AB2440" s="52">
        <f>V2440*W2440</f>
        <v>0</v>
      </c>
      <c r="AC2440" s="53">
        <f>(R2440+V2440)*W2440</f>
        <v>17.9</v>
      </c>
      <c r="AD2440" s="138">
        <v>17.9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109</v>
      </c>
      <c r="F2441" s="96" t="s">
        <v>111</v>
      </c>
      <c r="G2441" s="97">
        <v>46132</v>
      </c>
      <c r="H2441" s="98">
        <v>0.6168518518518519</v>
      </c>
      <c r="I2441" s="50">
        <v>169002682</v>
      </c>
      <c r="J2441" s="96" t="s">
        <v>157</v>
      </c>
      <c r="K2441" s="49" t="s">
        <v>303</v>
      </c>
      <c r="L2441" s="39" t="s">
        <v>304</v>
      </c>
      <c r="M2441" s="49" t="s">
        <v>214</v>
      </c>
      <c r="N2441" s="39" t="s">
        <v>296</v>
      </c>
      <c r="O2441" s="96" t="s">
        <v>305</v>
      </c>
      <c r="P2441" s="49" t="s">
        <v>157</v>
      </c>
      <c r="Q2441" s="96" t="s">
        <v>104</v>
      </c>
      <c r="R2441" s="52">
        <v>11.9</v>
      </c>
      <c r="S2441" s="52">
        <f>R2441-T2441</f>
        <v>10.625</v>
      </c>
      <c r="T2441" s="52">
        <f>R2441*U2441/(U2441+100)</f>
        <v>1.2750000000000001</v>
      </c>
      <c r="U2441" s="50">
        <v>12</v>
      </c>
      <c r="V2441" s="53">
        <v>0</v>
      </c>
      <c r="W2441" s="147">
        <v>2</v>
      </c>
      <c r="X2441" s="148" t="s">
        <v>163</v>
      </c>
      <c r="Y2441" s="54">
        <f>R2441*W2441</f>
        <v>23.8</v>
      </c>
      <c r="Z2441" s="52">
        <f>S2441*W2441</f>
        <v>21.25</v>
      </c>
      <c r="AA2441" s="52">
        <f>T2441*W2441</f>
        <v>2.5500000000000003</v>
      </c>
      <c r="AB2441" s="52">
        <f>V2441*W2441</f>
        <v>0</v>
      </c>
      <c r="AC2441" s="53">
        <f>(R2441+V2441)*W2441</f>
        <v>23.8</v>
      </c>
      <c r="AD2441" s="138">
        <v>11.9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109</v>
      </c>
      <c r="F2442" s="96" t="s">
        <v>111</v>
      </c>
      <c r="G2442" s="97">
        <v>46132</v>
      </c>
      <c r="H2442" s="98">
        <v>0.6168518518518519</v>
      </c>
      <c r="I2442" s="50">
        <v>169002682</v>
      </c>
      <c r="J2442" s="96" t="s">
        <v>157</v>
      </c>
      <c r="K2442" s="49" t="s">
        <v>517</v>
      </c>
      <c r="L2442" s="39" t="s">
        <v>518</v>
      </c>
      <c r="M2442" s="49" t="s">
        <v>214</v>
      </c>
      <c r="N2442" s="39" t="s">
        <v>273</v>
      </c>
      <c r="O2442" s="96" t="s">
        <v>1111</v>
      </c>
      <c r="P2442" s="49" t="s">
        <v>157</v>
      </c>
      <c r="Q2442" s="96" t="s">
        <v>104</v>
      </c>
      <c r="R2442" s="52">
        <v>15.9</v>
      </c>
      <c r="S2442" s="52">
        <f>R2442-T2442</f>
        <v>14.196428571428571</v>
      </c>
      <c r="T2442" s="52">
        <f>R2442*U2442/(U2442+100)</f>
        <v>1.7035714285714287</v>
      </c>
      <c r="U2442" s="50">
        <v>12</v>
      </c>
      <c r="V2442" s="53">
        <v>0</v>
      </c>
      <c r="W2442" s="147">
        <v>1</v>
      </c>
      <c r="X2442" s="148" t="s">
        <v>163</v>
      </c>
      <c r="Y2442" s="54">
        <f>R2442*W2442</f>
        <v>15.9</v>
      </c>
      <c r="Z2442" s="52">
        <f>S2442*W2442</f>
        <v>14.196428571428571</v>
      </c>
      <c r="AA2442" s="52">
        <f>T2442*W2442</f>
        <v>1.7035714285714287</v>
      </c>
      <c r="AB2442" s="52">
        <f>V2442*W2442</f>
        <v>0</v>
      </c>
      <c r="AC2442" s="53">
        <f>(R2442+V2442)*W2442</f>
        <v>15.9</v>
      </c>
      <c r="AD2442" s="138">
        <v>15.9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109</v>
      </c>
      <c r="F2443" s="96" t="s">
        <v>111</v>
      </c>
      <c r="G2443" s="97">
        <v>46132</v>
      </c>
      <c r="H2443" s="98">
        <v>0.6168518518518519</v>
      </c>
      <c r="I2443" s="50">
        <v>169002682</v>
      </c>
      <c r="J2443" s="96" t="s">
        <v>157</v>
      </c>
      <c r="K2443" s="49" t="s">
        <v>293</v>
      </c>
      <c r="L2443" s="39" t="s">
        <v>294</v>
      </c>
      <c r="M2443" s="49" t="s">
        <v>295</v>
      </c>
      <c r="N2443" s="39" t="s">
        <v>296</v>
      </c>
      <c r="O2443" s="96" t="s">
        <v>297</v>
      </c>
      <c r="P2443" s="49" t="s">
        <v>157</v>
      </c>
      <c r="Q2443" s="96" t="s">
        <v>104</v>
      </c>
      <c r="R2443" s="52">
        <v>2.9</v>
      </c>
      <c r="S2443" s="52">
        <f>R2443-T2443</f>
        <v>2.5892857142857144</v>
      </c>
      <c r="T2443" s="52">
        <f>R2443*U2443/(U2443+100)</f>
        <v>0.31071428571428567</v>
      </c>
      <c r="U2443" s="50">
        <v>12</v>
      </c>
      <c r="V2443" s="53">
        <v>0</v>
      </c>
      <c r="W2443" s="147">
        <v>2</v>
      </c>
      <c r="X2443" s="148" t="s">
        <v>163</v>
      </c>
      <c r="Y2443" s="54">
        <f>R2443*W2443</f>
        <v>5.8</v>
      </c>
      <c r="Z2443" s="52">
        <f>S2443*W2443</f>
        <v>5.178571428571429</v>
      </c>
      <c r="AA2443" s="52">
        <f>T2443*W2443</f>
        <v>0.6214285714285713</v>
      </c>
      <c r="AB2443" s="52">
        <f>V2443*W2443</f>
        <v>0</v>
      </c>
      <c r="AC2443" s="53">
        <f>(R2443+V2443)*W2443</f>
        <v>5.8</v>
      </c>
      <c r="AD2443" s="138">
        <v>2.9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109</v>
      </c>
      <c r="F2444" s="96" t="s">
        <v>111</v>
      </c>
      <c r="G2444" s="97">
        <v>46132</v>
      </c>
      <c r="H2444" s="98">
        <v>0.6174768518518519</v>
      </c>
      <c r="I2444" s="50">
        <v>169002683</v>
      </c>
      <c r="J2444" s="96" t="s">
        <v>157</v>
      </c>
      <c r="K2444" s="49" t="s">
        <v>3412</v>
      </c>
      <c r="L2444" s="39" t="s">
        <v>3413</v>
      </c>
      <c r="M2444" s="49" t="s">
        <v>429</v>
      </c>
      <c r="N2444" s="39" t="s">
        <v>239</v>
      </c>
      <c r="O2444" s="96" t="s">
        <v>3414</v>
      </c>
      <c r="P2444" s="49" t="s">
        <v>157</v>
      </c>
      <c r="Q2444" s="96" t="s">
        <v>104</v>
      </c>
      <c r="R2444" s="52">
        <v>14.4</v>
      </c>
      <c r="S2444" s="52">
        <f>R2444-T2444</f>
        <v>12.857142857142858</v>
      </c>
      <c r="T2444" s="52">
        <f>R2444*U2444/(U2444+100)</f>
        <v>1.542857142857143</v>
      </c>
      <c r="U2444" s="50">
        <v>12</v>
      </c>
      <c r="V2444" s="53">
        <v>0</v>
      </c>
      <c r="W2444" s="147">
        <v>1</v>
      </c>
      <c r="X2444" s="148" t="s">
        <v>163</v>
      </c>
      <c r="Y2444" s="54">
        <f>R2444*W2444</f>
        <v>14.4</v>
      </c>
      <c r="Z2444" s="52">
        <f>S2444*W2444</f>
        <v>12.857142857142858</v>
      </c>
      <c r="AA2444" s="52">
        <f>T2444*W2444</f>
        <v>1.542857142857143</v>
      </c>
      <c r="AB2444" s="52">
        <f>V2444*W2444</f>
        <v>0</v>
      </c>
      <c r="AC2444" s="53">
        <f>(R2444+V2444)*W2444</f>
        <v>14.4</v>
      </c>
      <c r="AD2444" s="138">
        <v>14.4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109</v>
      </c>
      <c r="F2445" s="96" t="s">
        <v>111</v>
      </c>
      <c r="G2445" s="97">
        <v>46132</v>
      </c>
      <c r="H2445" s="98">
        <v>0.6174768518518519</v>
      </c>
      <c r="I2445" s="50">
        <v>169002683</v>
      </c>
      <c r="J2445" s="96" t="s">
        <v>157</v>
      </c>
      <c r="K2445" s="49" t="s">
        <v>3412</v>
      </c>
      <c r="L2445" s="39" t="s">
        <v>3413</v>
      </c>
      <c r="M2445" s="49" t="s">
        <v>429</v>
      </c>
      <c r="N2445" s="39" t="s">
        <v>239</v>
      </c>
      <c r="O2445" s="96" t="s">
        <v>3414</v>
      </c>
      <c r="P2445" s="49" t="s">
        <v>157</v>
      </c>
      <c r="Q2445" s="96" t="s">
        <v>104</v>
      </c>
      <c r="R2445" s="52">
        <v>14.4</v>
      </c>
      <c r="S2445" s="52">
        <f>R2445-T2445</f>
        <v>12.857142857142858</v>
      </c>
      <c r="T2445" s="52">
        <f>R2445*U2445/(U2445+100)</f>
        <v>1.542857142857143</v>
      </c>
      <c r="U2445" s="50">
        <v>12</v>
      </c>
      <c r="V2445" s="53">
        <v>0</v>
      </c>
      <c r="W2445" s="147">
        <v>1</v>
      </c>
      <c r="X2445" s="148" t="s">
        <v>163</v>
      </c>
      <c r="Y2445" s="54">
        <f>R2445*W2445</f>
        <v>14.4</v>
      </c>
      <c r="Z2445" s="52">
        <f>S2445*W2445</f>
        <v>12.857142857142858</v>
      </c>
      <c r="AA2445" s="52">
        <f>T2445*W2445</f>
        <v>1.542857142857143</v>
      </c>
      <c r="AB2445" s="52">
        <f>V2445*W2445</f>
        <v>0</v>
      </c>
      <c r="AC2445" s="53">
        <f>(R2445+V2445)*W2445</f>
        <v>14.4</v>
      </c>
      <c r="AD2445" s="138">
        <v>14.4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109</v>
      </c>
      <c r="F2446" s="96" t="s">
        <v>111</v>
      </c>
      <c r="G2446" s="97">
        <v>46132</v>
      </c>
      <c r="H2446" s="98">
        <v>0.6174768518518519</v>
      </c>
      <c r="I2446" s="50">
        <v>169002683</v>
      </c>
      <c r="J2446" s="96" t="s">
        <v>157</v>
      </c>
      <c r="K2446" s="49" t="s">
        <v>2095</v>
      </c>
      <c r="L2446" s="39" t="s">
        <v>2096</v>
      </c>
      <c r="M2446" s="49" t="s">
        <v>282</v>
      </c>
      <c r="N2446" s="39" t="s">
        <v>210</v>
      </c>
      <c r="O2446" s="96" t="s">
        <v>2097</v>
      </c>
      <c r="P2446" s="49" t="s">
        <v>157</v>
      </c>
      <c r="Q2446" s="96" t="s">
        <v>104</v>
      </c>
      <c r="R2446" s="52">
        <v>25.9</v>
      </c>
      <c r="S2446" s="52">
        <f>R2446-T2446</f>
        <v>23.125</v>
      </c>
      <c r="T2446" s="52">
        <f>R2446*U2446/(U2446+100)</f>
        <v>2.7749999999999995</v>
      </c>
      <c r="U2446" s="50">
        <v>12</v>
      </c>
      <c r="V2446" s="53">
        <v>0</v>
      </c>
      <c r="W2446" s="147">
        <v>1</v>
      </c>
      <c r="X2446" s="148" t="s">
        <v>163</v>
      </c>
      <c r="Y2446" s="54">
        <f>R2446*W2446</f>
        <v>25.9</v>
      </c>
      <c r="Z2446" s="52">
        <f>S2446*W2446</f>
        <v>23.125</v>
      </c>
      <c r="AA2446" s="52">
        <f>T2446*W2446</f>
        <v>2.7749999999999995</v>
      </c>
      <c r="AB2446" s="52">
        <f>V2446*W2446</f>
        <v>0</v>
      </c>
      <c r="AC2446" s="53">
        <f>(R2446+V2446)*W2446</f>
        <v>25.9</v>
      </c>
      <c r="AD2446" s="138">
        <v>25.9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109</v>
      </c>
      <c r="F2447" s="96" t="s">
        <v>111</v>
      </c>
      <c r="G2447" s="97">
        <v>46132</v>
      </c>
      <c r="H2447" s="98">
        <v>0.6174768518518519</v>
      </c>
      <c r="I2447" s="50">
        <v>169002683</v>
      </c>
      <c r="J2447" s="96" t="s">
        <v>157</v>
      </c>
      <c r="K2447" s="49" t="s">
        <v>3319</v>
      </c>
      <c r="L2447" s="39" t="s">
        <v>3320</v>
      </c>
      <c r="M2447" s="49" t="s">
        <v>823</v>
      </c>
      <c r="N2447" s="39" t="s">
        <v>319</v>
      </c>
      <c r="O2447" s="96" t="s">
        <v>3321</v>
      </c>
      <c r="P2447" s="49" t="s">
        <v>157</v>
      </c>
      <c r="Q2447" s="96" t="s">
        <v>104</v>
      </c>
      <c r="R2447" s="52">
        <v>17.9</v>
      </c>
      <c r="S2447" s="52">
        <f>R2447-T2447</f>
        <v>15.982142857142856</v>
      </c>
      <c r="T2447" s="52">
        <f>R2447*U2447/(U2447+100)</f>
        <v>1.9178571428571427</v>
      </c>
      <c r="U2447" s="50">
        <v>12</v>
      </c>
      <c r="V2447" s="53">
        <v>0</v>
      </c>
      <c r="W2447" s="147">
        <v>1</v>
      </c>
      <c r="X2447" s="148" t="s">
        <v>163</v>
      </c>
      <c r="Y2447" s="54">
        <f>R2447*W2447</f>
        <v>17.9</v>
      </c>
      <c r="Z2447" s="52">
        <f>S2447*W2447</f>
        <v>15.982142857142856</v>
      </c>
      <c r="AA2447" s="52">
        <f>T2447*W2447</f>
        <v>1.9178571428571427</v>
      </c>
      <c r="AB2447" s="52">
        <f>V2447*W2447</f>
        <v>0</v>
      </c>
      <c r="AC2447" s="53">
        <f>(R2447+V2447)*W2447</f>
        <v>17.9</v>
      </c>
      <c r="AD2447" s="138">
        <v>17.9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109</v>
      </c>
      <c r="F2448" s="96" t="s">
        <v>111</v>
      </c>
      <c r="G2448" s="97">
        <v>46132</v>
      </c>
      <c r="H2448" s="98">
        <v>0.6174768518518519</v>
      </c>
      <c r="I2448" s="50">
        <v>169002683</v>
      </c>
      <c r="J2448" s="96" t="s">
        <v>157</v>
      </c>
      <c r="K2448" s="49" t="s">
        <v>3415</v>
      </c>
      <c r="L2448" s="39" t="s">
        <v>3416</v>
      </c>
      <c r="M2448" s="49" t="s">
        <v>823</v>
      </c>
      <c r="N2448" s="39" t="s">
        <v>319</v>
      </c>
      <c r="O2448" s="96" t="s">
        <v>3417</v>
      </c>
      <c r="P2448" s="49" t="s">
        <v>157</v>
      </c>
      <c r="Q2448" s="96" t="s">
        <v>104</v>
      </c>
      <c r="R2448" s="52">
        <v>17.9</v>
      </c>
      <c r="S2448" s="52">
        <f>R2448-T2448</f>
        <v>15.982142857142856</v>
      </c>
      <c r="T2448" s="52">
        <f>R2448*U2448/(U2448+100)</f>
        <v>1.9178571428571427</v>
      </c>
      <c r="U2448" s="50">
        <v>12</v>
      </c>
      <c r="V2448" s="53">
        <v>0</v>
      </c>
      <c r="W2448" s="147">
        <v>1</v>
      </c>
      <c r="X2448" s="148" t="s">
        <v>163</v>
      </c>
      <c r="Y2448" s="54">
        <f>R2448*W2448</f>
        <v>17.9</v>
      </c>
      <c r="Z2448" s="52">
        <f>S2448*W2448</f>
        <v>15.982142857142856</v>
      </c>
      <c r="AA2448" s="52">
        <f>T2448*W2448</f>
        <v>1.9178571428571427</v>
      </c>
      <c r="AB2448" s="52">
        <f>V2448*W2448</f>
        <v>0</v>
      </c>
      <c r="AC2448" s="53">
        <f>(R2448+V2448)*W2448</f>
        <v>17.9</v>
      </c>
      <c r="AD2448" s="138">
        <v>17.9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109</v>
      </c>
      <c r="F2449" s="96" t="s">
        <v>111</v>
      </c>
      <c r="G2449" s="97">
        <v>46132</v>
      </c>
      <c r="H2449" s="98">
        <v>0.6174768518518519</v>
      </c>
      <c r="I2449" s="50">
        <v>169002683</v>
      </c>
      <c r="J2449" s="96" t="s">
        <v>157</v>
      </c>
      <c r="K2449" s="49" t="s">
        <v>3418</v>
      </c>
      <c r="L2449" s="39" t="s">
        <v>3419</v>
      </c>
      <c r="M2449" s="49" t="s">
        <v>823</v>
      </c>
      <c r="N2449" s="39" t="s">
        <v>319</v>
      </c>
      <c r="O2449" s="96" t="s">
        <v>3420</v>
      </c>
      <c r="P2449" s="49" t="s">
        <v>157</v>
      </c>
      <c r="Q2449" s="96" t="s">
        <v>104</v>
      </c>
      <c r="R2449" s="52">
        <v>19.9</v>
      </c>
      <c r="S2449" s="52">
        <f>R2449-T2449</f>
        <v>17.767857142857142</v>
      </c>
      <c r="T2449" s="52">
        <f>R2449*U2449/(U2449+100)</f>
        <v>2.132142857142857</v>
      </c>
      <c r="U2449" s="50">
        <v>12</v>
      </c>
      <c r="V2449" s="53">
        <v>0</v>
      </c>
      <c r="W2449" s="147">
        <v>1</v>
      </c>
      <c r="X2449" s="148" t="s">
        <v>163</v>
      </c>
      <c r="Y2449" s="54">
        <f>R2449*W2449</f>
        <v>19.9</v>
      </c>
      <c r="Z2449" s="52">
        <f>S2449*W2449</f>
        <v>17.767857142857142</v>
      </c>
      <c r="AA2449" s="52">
        <f>T2449*W2449</f>
        <v>2.132142857142857</v>
      </c>
      <c r="AB2449" s="52">
        <f>V2449*W2449</f>
        <v>0</v>
      </c>
      <c r="AC2449" s="53">
        <f>(R2449+V2449)*W2449</f>
        <v>19.9</v>
      </c>
      <c r="AD2449" s="138">
        <v>19.9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109</v>
      </c>
      <c r="F2450" s="96" t="s">
        <v>111</v>
      </c>
      <c r="G2450" s="97">
        <v>46132</v>
      </c>
      <c r="H2450" s="98">
        <v>0.6174768518518519</v>
      </c>
      <c r="I2450" s="50">
        <v>169002683</v>
      </c>
      <c r="J2450" s="96" t="s">
        <v>157</v>
      </c>
      <c r="K2450" s="49" t="s">
        <v>3421</v>
      </c>
      <c r="L2450" s="39" t="s">
        <v>3422</v>
      </c>
      <c r="M2450" s="49" t="s">
        <v>1367</v>
      </c>
      <c r="N2450" s="39" t="s">
        <v>319</v>
      </c>
      <c r="O2450" s="96" t="s">
        <v>3423</v>
      </c>
      <c r="P2450" s="49" t="s">
        <v>157</v>
      </c>
      <c r="Q2450" s="96" t="s">
        <v>104</v>
      </c>
      <c r="R2450" s="52">
        <v>39.9</v>
      </c>
      <c r="S2450" s="52">
        <f>R2450-T2450</f>
        <v>35.625</v>
      </c>
      <c r="T2450" s="52">
        <f>R2450*U2450/(U2450+100)</f>
        <v>4.2749999999999995</v>
      </c>
      <c r="U2450" s="50">
        <v>12</v>
      </c>
      <c r="V2450" s="53">
        <v>0</v>
      </c>
      <c r="W2450" s="147">
        <v>1</v>
      </c>
      <c r="X2450" s="148" t="s">
        <v>163</v>
      </c>
      <c r="Y2450" s="54">
        <f>R2450*W2450</f>
        <v>39.9</v>
      </c>
      <c r="Z2450" s="52">
        <f>S2450*W2450</f>
        <v>35.625</v>
      </c>
      <c r="AA2450" s="52">
        <f>T2450*W2450</f>
        <v>4.2749999999999995</v>
      </c>
      <c r="AB2450" s="52">
        <f>V2450*W2450</f>
        <v>0</v>
      </c>
      <c r="AC2450" s="53">
        <f>(R2450+V2450)*W2450</f>
        <v>39.9</v>
      </c>
      <c r="AD2450" s="138">
        <v>39.9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109</v>
      </c>
      <c r="F2451" s="96" t="s">
        <v>111</v>
      </c>
      <c r="G2451" s="97">
        <v>46132</v>
      </c>
      <c r="H2451" s="98">
        <v>0.6174768518518519</v>
      </c>
      <c r="I2451" s="50">
        <v>169002683</v>
      </c>
      <c r="J2451" s="96" t="s">
        <v>157</v>
      </c>
      <c r="K2451" s="49" t="s">
        <v>3424</v>
      </c>
      <c r="L2451" s="39" t="s">
        <v>3425</v>
      </c>
      <c r="M2451" s="49" t="s">
        <v>403</v>
      </c>
      <c r="N2451" s="39" t="s">
        <v>1618</v>
      </c>
      <c r="O2451" s="96" t="s">
        <v>3426</v>
      </c>
      <c r="P2451" s="49" t="s">
        <v>157</v>
      </c>
      <c r="Q2451" s="96" t="s">
        <v>104</v>
      </c>
      <c r="R2451" s="52">
        <v>29.9</v>
      </c>
      <c r="S2451" s="52">
        <f>R2451-T2451</f>
        <v>26.69642857142857</v>
      </c>
      <c r="T2451" s="52">
        <f>R2451*U2451/(U2451+100)</f>
        <v>3.2035714285714283</v>
      </c>
      <c r="U2451" s="50">
        <v>12</v>
      </c>
      <c r="V2451" s="53">
        <v>0</v>
      </c>
      <c r="W2451" s="147">
        <v>1</v>
      </c>
      <c r="X2451" s="148" t="s">
        <v>163</v>
      </c>
      <c r="Y2451" s="54">
        <f>R2451*W2451</f>
        <v>29.9</v>
      </c>
      <c r="Z2451" s="52">
        <f>S2451*W2451</f>
        <v>26.69642857142857</v>
      </c>
      <c r="AA2451" s="52">
        <f>T2451*W2451</f>
        <v>3.2035714285714283</v>
      </c>
      <c r="AB2451" s="52">
        <f>V2451*W2451</f>
        <v>0</v>
      </c>
      <c r="AC2451" s="53">
        <f>(R2451+V2451)*W2451</f>
        <v>29.9</v>
      </c>
      <c r="AD2451" s="138">
        <v>29.9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109</v>
      </c>
      <c r="F2452" s="96" t="s">
        <v>111</v>
      </c>
      <c r="G2452" s="97">
        <v>46132</v>
      </c>
      <c r="H2452" s="98">
        <v>0.6174768518518519</v>
      </c>
      <c r="I2452" s="50">
        <v>169002683</v>
      </c>
      <c r="J2452" s="96" t="s">
        <v>157</v>
      </c>
      <c r="K2452" s="49" t="s">
        <v>3427</v>
      </c>
      <c r="L2452" s="39" t="s">
        <v>3428</v>
      </c>
      <c r="M2452" s="49" t="s">
        <v>300</v>
      </c>
      <c r="N2452" s="39" t="s">
        <v>1377</v>
      </c>
      <c r="O2452" s="96" t="s">
        <v>3429</v>
      </c>
      <c r="P2452" s="49" t="s">
        <v>157</v>
      </c>
      <c r="Q2452" s="96" t="s">
        <v>104</v>
      </c>
      <c r="R2452" s="52">
        <v>22.9</v>
      </c>
      <c r="S2452" s="52">
        <f>R2452-T2452</f>
        <v>20.44642857142857</v>
      </c>
      <c r="T2452" s="52">
        <f>R2452*U2452/(U2452+100)</f>
        <v>2.4535714285714283</v>
      </c>
      <c r="U2452" s="50">
        <v>12</v>
      </c>
      <c r="V2452" s="53">
        <v>0</v>
      </c>
      <c r="W2452" s="147">
        <v>1</v>
      </c>
      <c r="X2452" s="148" t="s">
        <v>163</v>
      </c>
      <c r="Y2452" s="54">
        <f>R2452*W2452</f>
        <v>22.9</v>
      </c>
      <c r="Z2452" s="52">
        <f>S2452*W2452</f>
        <v>20.44642857142857</v>
      </c>
      <c r="AA2452" s="52">
        <f>T2452*W2452</f>
        <v>2.4535714285714283</v>
      </c>
      <c r="AB2452" s="52">
        <f>V2452*W2452</f>
        <v>0</v>
      </c>
      <c r="AC2452" s="53">
        <f>(R2452+V2452)*W2452</f>
        <v>22.9</v>
      </c>
      <c r="AD2452" s="138">
        <v>22.9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109</v>
      </c>
      <c r="F2453" s="96" t="s">
        <v>111</v>
      </c>
      <c r="G2453" s="97">
        <v>46132</v>
      </c>
      <c r="H2453" s="98">
        <v>0.6174768518518519</v>
      </c>
      <c r="I2453" s="50">
        <v>169002683</v>
      </c>
      <c r="J2453" s="96" t="s">
        <v>157</v>
      </c>
      <c r="K2453" s="49" t="s">
        <v>3430</v>
      </c>
      <c r="L2453" s="39" t="s">
        <v>3431</v>
      </c>
      <c r="M2453" s="49" t="s">
        <v>3432</v>
      </c>
      <c r="N2453" s="39" t="s">
        <v>3433</v>
      </c>
      <c r="O2453" s="96" t="s">
        <v>3434</v>
      </c>
      <c r="P2453" s="49" t="s">
        <v>157</v>
      </c>
      <c r="Q2453" s="96" t="s">
        <v>104</v>
      </c>
      <c r="R2453" s="52">
        <v>27.9</v>
      </c>
      <c r="S2453" s="52">
        <f>R2453-T2453</f>
        <v>23.05785123966942</v>
      </c>
      <c r="T2453" s="52">
        <f>R2453*U2453/(U2453+100)</f>
        <v>4.842148760330578</v>
      </c>
      <c r="U2453" s="50">
        <v>21</v>
      </c>
      <c r="V2453" s="53">
        <v>0</v>
      </c>
      <c r="W2453" s="147">
        <v>1</v>
      </c>
      <c r="X2453" s="148" t="s">
        <v>163</v>
      </c>
      <c r="Y2453" s="54">
        <f>R2453*W2453</f>
        <v>27.9</v>
      </c>
      <c r="Z2453" s="52">
        <f>S2453*W2453</f>
        <v>23.05785123966942</v>
      </c>
      <c r="AA2453" s="52">
        <f>T2453*W2453</f>
        <v>4.842148760330578</v>
      </c>
      <c r="AB2453" s="52">
        <f>V2453*W2453</f>
        <v>0</v>
      </c>
      <c r="AC2453" s="53">
        <f>(R2453+V2453)*W2453</f>
        <v>27.9</v>
      </c>
      <c r="AD2453" s="138">
        <v>27.9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109</v>
      </c>
      <c r="F2454" s="96" t="s">
        <v>111</v>
      </c>
      <c r="G2454" s="97">
        <v>46132</v>
      </c>
      <c r="H2454" s="98">
        <v>0.6174768518518519</v>
      </c>
      <c r="I2454" s="50">
        <v>169002683</v>
      </c>
      <c r="J2454" s="96" t="s">
        <v>157</v>
      </c>
      <c r="K2454" s="49" t="s">
        <v>3430</v>
      </c>
      <c r="L2454" s="39" t="s">
        <v>3431</v>
      </c>
      <c r="M2454" s="49" t="s">
        <v>3432</v>
      </c>
      <c r="N2454" s="39" t="s">
        <v>3433</v>
      </c>
      <c r="O2454" s="96" t="s">
        <v>3434</v>
      </c>
      <c r="P2454" s="49" t="s">
        <v>157</v>
      </c>
      <c r="Q2454" s="96" t="s">
        <v>104</v>
      </c>
      <c r="R2454" s="52">
        <v>27.9</v>
      </c>
      <c r="S2454" s="52">
        <f>R2454-T2454</f>
        <v>23.05785123966942</v>
      </c>
      <c r="T2454" s="52">
        <f>R2454*U2454/(U2454+100)</f>
        <v>4.842148760330578</v>
      </c>
      <c r="U2454" s="50">
        <v>21</v>
      </c>
      <c r="V2454" s="53">
        <v>0</v>
      </c>
      <c r="W2454" s="147">
        <v>1</v>
      </c>
      <c r="X2454" s="148" t="s">
        <v>163</v>
      </c>
      <c r="Y2454" s="54">
        <f>R2454*W2454</f>
        <v>27.9</v>
      </c>
      <c r="Z2454" s="52">
        <f>S2454*W2454</f>
        <v>23.05785123966942</v>
      </c>
      <c r="AA2454" s="52">
        <f>T2454*W2454</f>
        <v>4.842148760330578</v>
      </c>
      <c r="AB2454" s="52">
        <f>V2454*W2454</f>
        <v>0</v>
      </c>
      <c r="AC2454" s="53">
        <f>(R2454+V2454)*W2454</f>
        <v>27.9</v>
      </c>
      <c r="AD2454" s="138">
        <v>27.9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109</v>
      </c>
      <c r="F2455" s="96" t="s">
        <v>111</v>
      </c>
      <c r="G2455" s="97">
        <v>46132</v>
      </c>
      <c r="H2455" s="98">
        <v>0.6174768518518519</v>
      </c>
      <c r="I2455" s="50">
        <v>169002683</v>
      </c>
      <c r="J2455" s="96" t="s">
        <v>157</v>
      </c>
      <c r="K2455" s="49" t="s">
        <v>1494</v>
      </c>
      <c r="L2455" s="39" t="s">
        <v>1495</v>
      </c>
      <c r="M2455" s="49" t="s">
        <v>190</v>
      </c>
      <c r="N2455" s="39" t="s">
        <v>191</v>
      </c>
      <c r="O2455" s="96" t="s">
        <v>1496</v>
      </c>
      <c r="P2455" s="49" t="s">
        <v>157</v>
      </c>
      <c r="Q2455" s="96" t="s">
        <v>104</v>
      </c>
      <c r="R2455" s="52">
        <v>79.9</v>
      </c>
      <c r="S2455" s="52">
        <f>R2455-T2455</f>
        <v>71.33928571428572</v>
      </c>
      <c r="T2455" s="52">
        <f>R2455*U2455/(U2455+100)</f>
        <v>8.560714285714287</v>
      </c>
      <c r="U2455" s="50">
        <v>12</v>
      </c>
      <c r="V2455" s="53">
        <v>0</v>
      </c>
      <c r="W2455" s="147">
        <v>0.332</v>
      </c>
      <c r="X2455" s="148" t="s">
        <v>193</v>
      </c>
      <c r="Y2455" s="54">
        <f>R2455*W2455</f>
        <v>26.526800000000005</v>
      </c>
      <c r="Z2455" s="52">
        <f>S2455*W2455</f>
        <v>23.68464285714286</v>
      </c>
      <c r="AA2455" s="52">
        <f>T2455*W2455</f>
        <v>2.8421571428571433</v>
      </c>
      <c r="AB2455" s="52">
        <f>V2455*W2455</f>
        <v>0</v>
      </c>
      <c r="AC2455" s="53">
        <f>(R2455+V2455)*W2455</f>
        <v>26.526800000000005</v>
      </c>
      <c r="AD2455" s="138">
        <v>79.9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109</v>
      </c>
      <c r="F2456" s="96" t="s">
        <v>111</v>
      </c>
      <c r="G2456" s="97">
        <v>46132</v>
      </c>
      <c r="H2456" s="98">
        <v>0.6174768518518519</v>
      </c>
      <c r="I2456" s="50">
        <v>169002683</v>
      </c>
      <c r="J2456" s="96" t="s">
        <v>157</v>
      </c>
      <c r="K2456" s="49" t="s">
        <v>680</v>
      </c>
      <c r="L2456" s="39" t="s">
        <v>681</v>
      </c>
      <c r="M2456" s="49" t="s">
        <v>190</v>
      </c>
      <c r="N2456" s="39" t="s">
        <v>532</v>
      </c>
      <c r="O2456" s="96" t="s">
        <v>682</v>
      </c>
      <c r="P2456" s="49" t="s">
        <v>157</v>
      </c>
      <c r="Q2456" s="96" t="s">
        <v>104</v>
      </c>
      <c r="R2456" s="52">
        <v>24.9</v>
      </c>
      <c r="S2456" s="52">
        <f>R2456-T2456</f>
        <v>22.232142857142858</v>
      </c>
      <c r="T2456" s="52">
        <f>R2456*U2456/(U2456+100)</f>
        <v>2.6678571428571423</v>
      </c>
      <c r="U2456" s="50">
        <v>12</v>
      </c>
      <c r="V2456" s="53">
        <v>0</v>
      </c>
      <c r="W2456" s="147">
        <v>0.748</v>
      </c>
      <c r="X2456" s="148" t="s">
        <v>193</v>
      </c>
      <c r="Y2456" s="54">
        <f>R2456*W2456</f>
        <v>18.6252</v>
      </c>
      <c r="Z2456" s="52">
        <f>S2456*W2456</f>
        <v>16.62964285714286</v>
      </c>
      <c r="AA2456" s="52">
        <f>T2456*W2456</f>
        <v>1.9955571428571424</v>
      </c>
      <c r="AB2456" s="52">
        <f>V2456*W2456</f>
        <v>0</v>
      </c>
      <c r="AC2456" s="53">
        <f>(R2456+V2456)*W2456</f>
        <v>18.6252</v>
      </c>
      <c r="AD2456" s="138">
        <v>24.9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109</v>
      </c>
      <c r="F2457" s="96" t="s">
        <v>111</v>
      </c>
      <c r="G2457" s="97">
        <v>46132</v>
      </c>
      <c r="H2457" s="98">
        <v>0.6174768518518519</v>
      </c>
      <c r="I2457" s="50">
        <v>169002683</v>
      </c>
      <c r="J2457" s="96" t="s">
        <v>157</v>
      </c>
      <c r="K2457" s="49" t="s">
        <v>2739</v>
      </c>
      <c r="L2457" s="39" t="s">
        <v>2740</v>
      </c>
      <c r="M2457" s="49" t="s">
        <v>185</v>
      </c>
      <c r="N2457" s="39" t="s">
        <v>523</v>
      </c>
      <c r="O2457" s="96" t="s">
        <v>2741</v>
      </c>
      <c r="P2457" s="49" t="s">
        <v>157</v>
      </c>
      <c r="Q2457" s="96" t="s">
        <v>104</v>
      </c>
      <c r="R2457" s="52">
        <v>31.9</v>
      </c>
      <c r="S2457" s="52">
        <f>R2457-T2457</f>
        <v>28.482142857142858</v>
      </c>
      <c r="T2457" s="52">
        <f>R2457*U2457/(U2457+100)</f>
        <v>3.4178571428571423</v>
      </c>
      <c r="U2457" s="50">
        <v>12</v>
      </c>
      <c r="V2457" s="53">
        <v>0</v>
      </c>
      <c r="W2457" s="147">
        <v>1</v>
      </c>
      <c r="X2457" s="148" t="s">
        <v>163</v>
      </c>
      <c r="Y2457" s="54">
        <f>R2457*W2457</f>
        <v>31.9</v>
      </c>
      <c r="Z2457" s="52">
        <f>S2457*W2457</f>
        <v>28.482142857142858</v>
      </c>
      <c r="AA2457" s="52">
        <f>T2457*W2457</f>
        <v>3.4178571428571423</v>
      </c>
      <c r="AB2457" s="52">
        <f>V2457*W2457</f>
        <v>0</v>
      </c>
      <c r="AC2457" s="53">
        <f>(R2457+V2457)*W2457</f>
        <v>31.9</v>
      </c>
      <c r="AD2457" s="138">
        <v>31.9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109</v>
      </c>
      <c r="F2458" s="96" t="s">
        <v>111</v>
      </c>
      <c r="G2458" s="97">
        <v>46132</v>
      </c>
      <c r="H2458" s="98">
        <v>0.6180902777777778</v>
      </c>
      <c r="I2458" s="50">
        <v>169002684</v>
      </c>
      <c r="J2458" s="96" t="s">
        <v>157</v>
      </c>
      <c r="K2458" s="49" t="s">
        <v>946</v>
      </c>
      <c r="L2458" s="39" t="s">
        <v>947</v>
      </c>
      <c r="M2458" s="49" t="s">
        <v>318</v>
      </c>
      <c r="N2458" s="39" t="s">
        <v>319</v>
      </c>
      <c r="O2458" s="96" t="s">
        <v>1512</v>
      </c>
      <c r="P2458" s="49" t="s">
        <v>235</v>
      </c>
      <c r="Q2458" s="96" t="s">
        <v>236</v>
      </c>
      <c r="R2458" s="52">
        <v>16.9</v>
      </c>
      <c r="S2458" s="52">
        <f>R2458-T2458</f>
        <v>15.089285714285714</v>
      </c>
      <c r="T2458" s="52">
        <f>R2458*U2458/(U2458+100)</f>
        <v>1.8107142857142855</v>
      </c>
      <c r="U2458" s="50">
        <v>12</v>
      </c>
      <c r="V2458" s="53">
        <v>0</v>
      </c>
      <c r="W2458" s="147">
        <v>1</v>
      </c>
      <c r="X2458" s="148" t="s">
        <v>163</v>
      </c>
      <c r="Y2458" s="54">
        <f>R2458*W2458</f>
        <v>16.9</v>
      </c>
      <c r="Z2458" s="52">
        <f>S2458*W2458</f>
        <v>15.089285714285714</v>
      </c>
      <c r="AA2458" s="52">
        <f>T2458*W2458</f>
        <v>1.8107142857142855</v>
      </c>
      <c r="AB2458" s="52">
        <f>V2458*W2458</f>
        <v>0</v>
      </c>
      <c r="AC2458" s="53">
        <f>(R2458+V2458)*W2458</f>
        <v>16.9</v>
      </c>
      <c r="AD2458" s="138">
        <v>16.9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109</v>
      </c>
      <c r="F2459" s="96" t="s">
        <v>111</v>
      </c>
      <c r="G2459" s="97">
        <v>46132</v>
      </c>
      <c r="H2459" s="98">
        <v>0.6180902777777778</v>
      </c>
      <c r="I2459" s="50">
        <v>169002684</v>
      </c>
      <c r="J2459" s="96" t="s">
        <v>157</v>
      </c>
      <c r="K2459" s="49" t="s">
        <v>3435</v>
      </c>
      <c r="L2459" s="39" t="s">
        <v>3436</v>
      </c>
      <c r="M2459" s="49" t="s">
        <v>678</v>
      </c>
      <c r="N2459" s="39" t="s">
        <v>210</v>
      </c>
      <c r="O2459" s="96" t="s">
        <v>3437</v>
      </c>
      <c r="P2459" s="49" t="s">
        <v>157</v>
      </c>
      <c r="Q2459" s="96" t="s">
        <v>104</v>
      </c>
      <c r="R2459" s="52">
        <v>23.9</v>
      </c>
      <c r="S2459" s="52">
        <f>R2459-T2459</f>
        <v>21.33928571428571</v>
      </c>
      <c r="T2459" s="52">
        <f>R2459*U2459/(U2459+100)</f>
        <v>2.5607142857142855</v>
      </c>
      <c r="U2459" s="50">
        <v>12</v>
      </c>
      <c r="V2459" s="53">
        <v>0</v>
      </c>
      <c r="W2459" s="147">
        <v>1</v>
      </c>
      <c r="X2459" s="148" t="s">
        <v>163</v>
      </c>
      <c r="Y2459" s="54">
        <f>R2459*W2459</f>
        <v>23.9</v>
      </c>
      <c r="Z2459" s="52">
        <f>S2459*W2459</f>
        <v>21.33928571428571</v>
      </c>
      <c r="AA2459" s="52">
        <f>T2459*W2459</f>
        <v>2.5607142857142855</v>
      </c>
      <c r="AB2459" s="52">
        <f>V2459*W2459</f>
        <v>0</v>
      </c>
      <c r="AC2459" s="53">
        <f>(R2459+V2459)*W2459</f>
        <v>23.9</v>
      </c>
      <c r="AD2459" s="138">
        <v>23.9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109</v>
      </c>
      <c r="F2460" s="96" t="s">
        <v>111</v>
      </c>
      <c r="G2460" s="97">
        <v>46132</v>
      </c>
      <c r="H2460" s="98">
        <v>0.6180902777777778</v>
      </c>
      <c r="I2460" s="50">
        <v>169002684</v>
      </c>
      <c r="J2460" s="96" t="s">
        <v>157</v>
      </c>
      <c r="K2460" s="49" t="s">
        <v>336</v>
      </c>
      <c r="L2460" s="39" t="s">
        <v>337</v>
      </c>
      <c r="M2460" s="49" t="s">
        <v>190</v>
      </c>
      <c r="N2460" s="39" t="s">
        <v>191</v>
      </c>
      <c r="O2460" s="96" t="s">
        <v>338</v>
      </c>
      <c r="P2460" s="49" t="s">
        <v>157</v>
      </c>
      <c r="Q2460" s="96" t="s">
        <v>104</v>
      </c>
      <c r="R2460" s="52">
        <v>11.9</v>
      </c>
      <c r="S2460" s="52">
        <f>R2460-T2460</f>
        <v>10.625</v>
      </c>
      <c r="T2460" s="52">
        <f>R2460*U2460/(U2460+100)</f>
        <v>1.2750000000000001</v>
      </c>
      <c r="U2460" s="50">
        <v>12</v>
      </c>
      <c r="V2460" s="53">
        <v>0</v>
      </c>
      <c r="W2460" s="147">
        <v>0.45</v>
      </c>
      <c r="X2460" s="148" t="s">
        <v>193</v>
      </c>
      <c r="Y2460" s="54">
        <f>R2460*W2460</f>
        <v>5.355</v>
      </c>
      <c r="Z2460" s="52">
        <f>S2460*W2460</f>
        <v>4.78125</v>
      </c>
      <c r="AA2460" s="52">
        <f>T2460*W2460</f>
        <v>0.5737500000000001</v>
      </c>
      <c r="AB2460" s="52">
        <f>V2460*W2460</f>
        <v>0</v>
      </c>
      <c r="AC2460" s="53">
        <f>(R2460+V2460)*W2460</f>
        <v>5.355</v>
      </c>
      <c r="AD2460" s="138">
        <v>11.9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109</v>
      </c>
      <c r="F2461" s="96" t="s">
        <v>111</v>
      </c>
      <c r="G2461" s="97">
        <v>46132</v>
      </c>
      <c r="H2461" s="98">
        <v>0.6180902777777778</v>
      </c>
      <c r="I2461" s="50">
        <v>169002684</v>
      </c>
      <c r="J2461" s="96" t="s">
        <v>157</v>
      </c>
      <c r="K2461" s="49" t="s">
        <v>628</v>
      </c>
      <c r="L2461" s="39" t="s">
        <v>629</v>
      </c>
      <c r="M2461" s="49" t="s">
        <v>214</v>
      </c>
      <c r="N2461" s="39" t="s">
        <v>296</v>
      </c>
      <c r="O2461" s="96" t="s">
        <v>630</v>
      </c>
      <c r="P2461" s="49" t="s">
        <v>157</v>
      </c>
      <c r="Q2461" s="96" t="s">
        <v>104</v>
      </c>
      <c r="R2461" s="52">
        <v>9.9</v>
      </c>
      <c r="S2461" s="52">
        <f>R2461-T2461</f>
        <v>8.839285714285715</v>
      </c>
      <c r="T2461" s="52">
        <f>R2461*U2461/(U2461+100)</f>
        <v>1.0607142857142857</v>
      </c>
      <c r="U2461" s="50">
        <v>12</v>
      </c>
      <c r="V2461" s="53">
        <v>0</v>
      </c>
      <c r="W2461" s="147">
        <v>1</v>
      </c>
      <c r="X2461" s="148" t="s">
        <v>163</v>
      </c>
      <c r="Y2461" s="54">
        <f>R2461*W2461</f>
        <v>9.9</v>
      </c>
      <c r="Z2461" s="52">
        <f>S2461*W2461</f>
        <v>8.839285714285715</v>
      </c>
      <c r="AA2461" s="52">
        <f>T2461*W2461</f>
        <v>1.0607142857142857</v>
      </c>
      <c r="AB2461" s="52">
        <f>V2461*W2461</f>
        <v>0</v>
      </c>
      <c r="AC2461" s="53">
        <f>(R2461+V2461)*W2461</f>
        <v>9.9</v>
      </c>
      <c r="AD2461" s="138">
        <v>9.9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109</v>
      </c>
      <c r="F2462" s="96" t="s">
        <v>111</v>
      </c>
      <c r="G2462" s="97">
        <v>46132</v>
      </c>
      <c r="H2462" s="98">
        <v>0.6180902777777778</v>
      </c>
      <c r="I2462" s="50">
        <v>169002684</v>
      </c>
      <c r="J2462" s="96" t="s">
        <v>157</v>
      </c>
      <c r="K2462" s="49" t="s">
        <v>3127</v>
      </c>
      <c r="L2462" s="39" t="s">
        <v>3128</v>
      </c>
      <c r="M2462" s="49" t="s">
        <v>277</v>
      </c>
      <c r="N2462" s="39" t="s">
        <v>3129</v>
      </c>
      <c r="O2462" s="96" t="s">
        <v>3130</v>
      </c>
      <c r="P2462" s="49" t="s">
        <v>157</v>
      </c>
      <c r="Q2462" s="96" t="s">
        <v>104</v>
      </c>
      <c r="R2462" s="52">
        <v>223.93</v>
      </c>
      <c r="S2462" s="52">
        <f>R2462-T2462</f>
        <v>199.9375</v>
      </c>
      <c r="T2462" s="52">
        <f>R2462*U2462/(U2462+100)</f>
        <v>23.9925</v>
      </c>
      <c r="U2462" s="50">
        <v>12</v>
      </c>
      <c r="V2462" s="53">
        <v>0</v>
      </c>
      <c r="W2462" s="147">
        <v>0.108</v>
      </c>
      <c r="X2462" s="148" t="s">
        <v>193</v>
      </c>
      <c r="Y2462" s="54">
        <f>R2462*W2462</f>
        <v>24.184440000000002</v>
      </c>
      <c r="Z2462" s="52">
        <f>S2462*W2462</f>
        <v>21.59325</v>
      </c>
      <c r="AA2462" s="52">
        <f>T2462*W2462</f>
        <v>2.59119</v>
      </c>
      <c r="AB2462" s="52">
        <f>V2462*W2462</f>
        <v>0</v>
      </c>
      <c r="AC2462" s="53">
        <f>(R2462+V2462)*W2462</f>
        <v>24.184440000000002</v>
      </c>
      <c r="AD2462" s="138">
        <v>319.9</v>
      </c>
      <c r="AE2462" s="137">
        <v>95.97</v>
      </c>
      <c r="AF2462" s="139">
        <v>10.3648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109</v>
      </c>
      <c r="F2463" s="96" t="s">
        <v>111</v>
      </c>
      <c r="G2463" s="97">
        <v>46132</v>
      </c>
      <c r="H2463" s="98">
        <v>0.6185763888888889</v>
      </c>
      <c r="I2463" s="50">
        <v>169002685</v>
      </c>
      <c r="J2463" s="96" t="s">
        <v>157</v>
      </c>
      <c r="K2463" s="49" t="s">
        <v>3438</v>
      </c>
      <c r="L2463" s="39" t="s">
        <v>3439</v>
      </c>
      <c r="M2463" s="49" t="s">
        <v>300</v>
      </c>
      <c r="N2463" s="39" t="s">
        <v>414</v>
      </c>
      <c r="O2463" s="96" t="s">
        <v>3440</v>
      </c>
      <c r="P2463" s="49" t="s">
        <v>157</v>
      </c>
      <c r="Q2463" s="96" t="s">
        <v>104</v>
      </c>
      <c r="R2463" s="52">
        <v>13.9</v>
      </c>
      <c r="S2463" s="52">
        <f>R2463-T2463</f>
        <v>12.410714285714286</v>
      </c>
      <c r="T2463" s="52">
        <f>R2463*U2463/(U2463+100)</f>
        <v>1.4892857142857143</v>
      </c>
      <c r="U2463" s="50">
        <v>12</v>
      </c>
      <c r="V2463" s="53">
        <v>0</v>
      </c>
      <c r="W2463" s="147">
        <v>1</v>
      </c>
      <c r="X2463" s="148" t="s">
        <v>163</v>
      </c>
      <c r="Y2463" s="54">
        <f>R2463*W2463</f>
        <v>13.9</v>
      </c>
      <c r="Z2463" s="52">
        <f>S2463*W2463</f>
        <v>12.410714285714286</v>
      </c>
      <c r="AA2463" s="52">
        <f>T2463*W2463</f>
        <v>1.4892857142857143</v>
      </c>
      <c r="AB2463" s="52">
        <f>V2463*W2463</f>
        <v>0</v>
      </c>
      <c r="AC2463" s="53">
        <f>(R2463+V2463)*W2463</f>
        <v>13.9</v>
      </c>
      <c r="AD2463" s="138">
        <v>13.9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109</v>
      </c>
      <c r="F2464" s="96" t="s">
        <v>111</v>
      </c>
      <c r="G2464" s="97">
        <v>46132</v>
      </c>
      <c r="H2464" s="98">
        <v>0.6185763888888889</v>
      </c>
      <c r="I2464" s="50">
        <v>169002685</v>
      </c>
      <c r="J2464" s="96" t="s">
        <v>157</v>
      </c>
      <c r="K2464" s="49" t="s">
        <v>3438</v>
      </c>
      <c r="L2464" s="39" t="s">
        <v>3439</v>
      </c>
      <c r="M2464" s="49" t="s">
        <v>300</v>
      </c>
      <c r="N2464" s="39" t="s">
        <v>414</v>
      </c>
      <c r="O2464" s="96" t="s">
        <v>3440</v>
      </c>
      <c r="P2464" s="49" t="s">
        <v>157</v>
      </c>
      <c r="Q2464" s="96" t="s">
        <v>104</v>
      </c>
      <c r="R2464" s="52">
        <v>13.9</v>
      </c>
      <c r="S2464" s="52">
        <f>R2464-T2464</f>
        <v>12.410714285714286</v>
      </c>
      <c r="T2464" s="52">
        <f>R2464*U2464/(U2464+100)</f>
        <v>1.4892857142857143</v>
      </c>
      <c r="U2464" s="50">
        <v>12</v>
      </c>
      <c r="V2464" s="53">
        <v>0</v>
      </c>
      <c r="W2464" s="147">
        <v>1</v>
      </c>
      <c r="X2464" s="148" t="s">
        <v>163</v>
      </c>
      <c r="Y2464" s="54">
        <f>R2464*W2464</f>
        <v>13.9</v>
      </c>
      <c r="Z2464" s="52">
        <f>S2464*W2464</f>
        <v>12.410714285714286</v>
      </c>
      <c r="AA2464" s="52">
        <f>T2464*W2464</f>
        <v>1.4892857142857143</v>
      </c>
      <c r="AB2464" s="52">
        <f>V2464*W2464</f>
        <v>0</v>
      </c>
      <c r="AC2464" s="53">
        <f>(R2464+V2464)*W2464</f>
        <v>13.9</v>
      </c>
      <c r="AD2464" s="138">
        <v>13.9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109</v>
      </c>
      <c r="F2465" s="96" t="s">
        <v>111</v>
      </c>
      <c r="G2465" s="97">
        <v>46132</v>
      </c>
      <c r="H2465" s="98">
        <v>0.6185763888888889</v>
      </c>
      <c r="I2465" s="50">
        <v>169002685</v>
      </c>
      <c r="J2465" s="96" t="s">
        <v>157</v>
      </c>
      <c r="K2465" s="49" t="s">
        <v>3441</v>
      </c>
      <c r="L2465" s="39" t="s">
        <v>3442</v>
      </c>
      <c r="M2465" s="49" t="s">
        <v>300</v>
      </c>
      <c r="N2465" s="39" t="s">
        <v>414</v>
      </c>
      <c r="O2465" s="96" t="s">
        <v>3443</v>
      </c>
      <c r="P2465" s="49" t="s">
        <v>157</v>
      </c>
      <c r="Q2465" s="96" t="s">
        <v>104</v>
      </c>
      <c r="R2465" s="52">
        <v>13.9</v>
      </c>
      <c r="S2465" s="52">
        <f>R2465-T2465</f>
        <v>12.410714285714286</v>
      </c>
      <c r="T2465" s="52">
        <f>R2465*U2465/(U2465+100)</f>
        <v>1.4892857142857143</v>
      </c>
      <c r="U2465" s="50">
        <v>12</v>
      </c>
      <c r="V2465" s="53">
        <v>0</v>
      </c>
      <c r="W2465" s="147">
        <v>1</v>
      </c>
      <c r="X2465" s="148" t="s">
        <v>163</v>
      </c>
      <c r="Y2465" s="54">
        <f>R2465*W2465</f>
        <v>13.9</v>
      </c>
      <c r="Z2465" s="52">
        <f>S2465*W2465</f>
        <v>12.410714285714286</v>
      </c>
      <c r="AA2465" s="52">
        <f>T2465*W2465</f>
        <v>1.4892857142857143</v>
      </c>
      <c r="AB2465" s="52">
        <f>V2465*W2465</f>
        <v>0</v>
      </c>
      <c r="AC2465" s="53">
        <f>(R2465+V2465)*W2465</f>
        <v>13.9</v>
      </c>
      <c r="AD2465" s="138">
        <v>13.9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109</v>
      </c>
      <c r="F2466" s="96" t="s">
        <v>111</v>
      </c>
      <c r="G2466" s="97">
        <v>46132</v>
      </c>
      <c r="H2466" s="98">
        <v>0.6185763888888889</v>
      </c>
      <c r="I2466" s="50">
        <v>169002685</v>
      </c>
      <c r="J2466" s="96" t="s">
        <v>157</v>
      </c>
      <c r="K2466" s="49" t="s">
        <v>3444</v>
      </c>
      <c r="L2466" s="39" t="s">
        <v>3445</v>
      </c>
      <c r="M2466" s="49" t="s">
        <v>300</v>
      </c>
      <c r="N2466" s="39" t="s">
        <v>414</v>
      </c>
      <c r="O2466" s="96" t="s">
        <v>3446</v>
      </c>
      <c r="P2466" s="49" t="s">
        <v>157</v>
      </c>
      <c r="Q2466" s="96" t="s">
        <v>104</v>
      </c>
      <c r="R2466" s="52">
        <v>13.9</v>
      </c>
      <c r="S2466" s="52">
        <f>R2466-T2466</f>
        <v>12.410714285714286</v>
      </c>
      <c r="T2466" s="52">
        <f>R2466*U2466/(U2466+100)</f>
        <v>1.4892857142857143</v>
      </c>
      <c r="U2466" s="50">
        <v>12</v>
      </c>
      <c r="V2466" s="53">
        <v>0</v>
      </c>
      <c r="W2466" s="147">
        <v>1</v>
      </c>
      <c r="X2466" s="148" t="s">
        <v>163</v>
      </c>
      <c r="Y2466" s="54">
        <f>R2466*W2466</f>
        <v>13.9</v>
      </c>
      <c r="Z2466" s="52">
        <f>S2466*W2466</f>
        <v>12.410714285714286</v>
      </c>
      <c r="AA2466" s="52">
        <f>T2466*W2466</f>
        <v>1.4892857142857143</v>
      </c>
      <c r="AB2466" s="52">
        <f>V2466*W2466</f>
        <v>0</v>
      </c>
      <c r="AC2466" s="53">
        <f>(R2466+V2466)*W2466</f>
        <v>13.9</v>
      </c>
      <c r="AD2466" s="138">
        <v>13.9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109</v>
      </c>
      <c r="F2467" s="96" t="s">
        <v>111</v>
      </c>
      <c r="G2467" s="97">
        <v>46132</v>
      </c>
      <c r="H2467" s="98">
        <v>0.6185763888888889</v>
      </c>
      <c r="I2467" s="50">
        <v>169002685</v>
      </c>
      <c r="J2467" s="96" t="s">
        <v>157</v>
      </c>
      <c r="K2467" s="49" t="s">
        <v>1000</v>
      </c>
      <c r="L2467" s="39" t="s">
        <v>1001</v>
      </c>
      <c r="M2467" s="49" t="s">
        <v>318</v>
      </c>
      <c r="N2467" s="39" t="s">
        <v>319</v>
      </c>
      <c r="O2467" s="96" t="s">
        <v>1002</v>
      </c>
      <c r="P2467" s="49" t="s">
        <v>157</v>
      </c>
      <c r="Q2467" s="96" t="s">
        <v>104</v>
      </c>
      <c r="R2467" s="52">
        <v>42.9</v>
      </c>
      <c r="S2467" s="52">
        <f>R2467-T2467</f>
        <v>38.30357142857143</v>
      </c>
      <c r="T2467" s="52">
        <f>R2467*U2467/(U2467+100)</f>
        <v>4.596428571428571</v>
      </c>
      <c r="U2467" s="50">
        <v>12</v>
      </c>
      <c r="V2467" s="53">
        <v>0</v>
      </c>
      <c r="W2467" s="147">
        <v>1</v>
      </c>
      <c r="X2467" s="148" t="s">
        <v>163</v>
      </c>
      <c r="Y2467" s="54">
        <f>R2467*W2467</f>
        <v>42.9</v>
      </c>
      <c r="Z2467" s="52">
        <f>S2467*W2467</f>
        <v>38.30357142857143</v>
      </c>
      <c r="AA2467" s="52">
        <f>T2467*W2467</f>
        <v>4.596428571428571</v>
      </c>
      <c r="AB2467" s="52">
        <f>V2467*W2467</f>
        <v>0</v>
      </c>
      <c r="AC2467" s="53">
        <f>(R2467+V2467)*W2467</f>
        <v>42.9</v>
      </c>
      <c r="AD2467" s="138">
        <v>42.9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109</v>
      </c>
      <c r="F2468" s="96" t="s">
        <v>111</v>
      </c>
      <c r="G2468" s="97">
        <v>46132</v>
      </c>
      <c r="H2468" s="98">
        <v>0.6185763888888889</v>
      </c>
      <c r="I2468" s="50">
        <v>169002685</v>
      </c>
      <c r="J2468" s="96" t="s">
        <v>157</v>
      </c>
      <c r="K2468" s="49" t="s">
        <v>1806</v>
      </c>
      <c r="L2468" s="39" t="s">
        <v>1807</v>
      </c>
      <c r="M2468" s="49" t="s">
        <v>214</v>
      </c>
      <c r="N2468" s="39" t="s">
        <v>756</v>
      </c>
      <c r="O2468" s="96" t="s">
        <v>1808</v>
      </c>
      <c r="P2468" s="49" t="s">
        <v>157</v>
      </c>
      <c r="Q2468" s="96" t="s">
        <v>104</v>
      </c>
      <c r="R2468" s="52">
        <v>15.9</v>
      </c>
      <c r="S2468" s="52">
        <f>R2468-T2468</f>
        <v>14.196428571428571</v>
      </c>
      <c r="T2468" s="52">
        <f>R2468*U2468/(U2468+100)</f>
        <v>1.7035714285714287</v>
      </c>
      <c r="U2468" s="50">
        <v>12</v>
      </c>
      <c r="V2468" s="53">
        <v>0</v>
      </c>
      <c r="W2468" s="147">
        <v>2</v>
      </c>
      <c r="X2468" s="148" t="s">
        <v>163</v>
      </c>
      <c r="Y2468" s="54">
        <f>R2468*W2468</f>
        <v>31.8</v>
      </c>
      <c r="Z2468" s="52">
        <f>S2468*W2468</f>
        <v>28.392857142857142</v>
      </c>
      <c r="AA2468" s="52">
        <f>T2468*W2468</f>
        <v>3.4071428571428575</v>
      </c>
      <c r="AB2468" s="52">
        <f>V2468*W2468</f>
        <v>0</v>
      </c>
      <c r="AC2468" s="53">
        <f>(R2468+V2468)*W2468</f>
        <v>31.8</v>
      </c>
      <c r="AD2468" s="138">
        <v>15.9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109</v>
      </c>
      <c r="F2469" s="96" t="s">
        <v>111</v>
      </c>
      <c r="G2469" s="97">
        <v>46132</v>
      </c>
      <c r="H2469" s="98">
        <v>0.6191087962962963</v>
      </c>
      <c r="I2469" s="50">
        <v>169002686</v>
      </c>
      <c r="J2469" s="96" t="s">
        <v>157</v>
      </c>
      <c r="K2469" s="49" t="s">
        <v>1555</v>
      </c>
      <c r="L2469" s="39" t="s">
        <v>1556</v>
      </c>
      <c r="M2469" s="49" t="s">
        <v>425</v>
      </c>
      <c r="N2469" s="39" t="s">
        <v>197</v>
      </c>
      <c r="O2469" s="96" t="s">
        <v>1557</v>
      </c>
      <c r="P2469" s="49" t="s">
        <v>235</v>
      </c>
      <c r="Q2469" s="96" t="s">
        <v>236</v>
      </c>
      <c r="R2469" s="52">
        <v>5.9</v>
      </c>
      <c r="S2469" s="52">
        <f>R2469-T2469</f>
        <v>5.267857142857143</v>
      </c>
      <c r="T2469" s="52">
        <f>R2469*U2469/(U2469+100)</f>
        <v>0.6321428571428572</v>
      </c>
      <c r="U2469" s="50">
        <v>12</v>
      </c>
      <c r="V2469" s="53">
        <v>0</v>
      </c>
      <c r="W2469" s="147">
        <v>2</v>
      </c>
      <c r="X2469" s="148" t="s">
        <v>163</v>
      </c>
      <c r="Y2469" s="54">
        <f>R2469*W2469</f>
        <v>11.8</v>
      </c>
      <c r="Z2469" s="52">
        <f>S2469*W2469</f>
        <v>10.535714285714286</v>
      </c>
      <c r="AA2469" s="52">
        <f>T2469*W2469</f>
        <v>1.2642857142857145</v>
      </c>
      <c r="AB2469" s="52">
        <f>V2469*W2469</f>
        <v>0</v>
      </c>
      <c r="AC2469" s="53">
        <f>(R2469+V2469)*W2469</f>
        <v>11.8</v>
      </c>
      <c r="AD2469" s="138">
        <v>5.9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109</v>
      </c>
      <c r="F2470" s="96" t="s">
        <v>111</v>
      </c>
      <c r="G2470" s="97">
        <v>46132</v>
      </c>
      <c r="H2470" s="98">
        <v>0.6191087962962963</v>
      </c>
      <c r="I2470" s="50">
        <v>169002686</v>
      </c>
      <c r="J2470" s="96" t="s">
        <v>157</v>
      </c>
      <c r="K2470" s="49" t="s">
        <v>1968</v>
      </c>
      <c r="L2470" s="39" t="s">
        <v>1969</v>
      </c>
      <c r="M2470" s="49" t="s">
        <v>425</v>
      </c>
      <c r="N2470" s="39" t="s">
        <v>197</v>
      </c>
      <c r="O2470" s="96" t="s">
        <v>1970</v>
      </c>
      <c r="P2470" s="49" t="s">
        <v>235</v>
      </c>
      <c r="Q2470" s="96" t="s">
        <v>236</v>
      </c>
      <c r="R2470" s="52">
        <v>5.9</v>
      </c>
      <c r="S2470" s="52">
        <f>R2470-T2470</f>
        <v>5.267857142857143</v>
      </c>
      <c r="T2470" s="52">
        <f>R2470*U2470/(U2470+100)</f>
        <v>0.6321428571428572</v>
      </c>
      <c r="U2470" s="50">
        <v>12</v>
      </c>
      <c r="V2470" s="53">
        <v>0</v>
      </c>
      <c r="W2470" s="147">
        <v>2</v>
      </c>
      <c r="X2470" s="148" t="s">
        <v>163</v>
      </c>
      <c r="Y2470" s="54">
        <f>R2470*W2470</f>
        <v>11.8</v>
      </c>
      <c r="Z2470" s="52">
        <f>S2470*W2470</f>
        <v>10.535714285714286</v>
      </c>
      <c r="AA2470" s="52">
        <f>T2470*W2470</f>
        <v>1.2642857142857145</v>
      </c>
      <c r="AB2470" s="52">
        <f>V2470*W2470</f>
        <v>0</v>
      </c>
      <c r="AC2470" s="53">
        <f>(R2470+V2470)*W2470</f>
        <v>11.8</v>
      </c>
      <c r="AD2470" s="138">
        <v>5.9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109</v>
      </c>
      <c r="F2471" s="96" t="s">
        <v>111</v>
      </c>
      <c r="G2471" s="97">
        <v>46132</v>
      </c>
      <c r="H2471" s="98">
        <v>0.6191087962962963</v>
      </c>
      <c r="I2471" s="50">
        <v>169002686</v>
      </c>
      <c r="J2471" s="96" t="s">
        <v>157</v>
      </c>
      <c r="K2471" s="49" t="s">
        <v>3447</v>
      </c>
      <c r="L2471" s="39" t="s">
        <v>3448</v>
      </c>
      <c r="M2471" s="49" t="s">
        <v>232</v>
      </c>
      <c r="N2471" s="39" t="s">
        <v>233</v>
      </c>
      <c r="O2471" s="96" t="s">
        <v>3449</v>
      </c>
      <c r="P2471" s="49" t="s">
        <v>157</v>
      </c>
      <c r="Q2471" s="96" t="s">
        <v>104</v>
      </c>
      <c r="R2471" s="52">
        <v>19.9</v>
      </c>
      <c r="S2471" s="52">
        <f>R2471-T2471</f>
        <v>16.446280991735534</v>
      </c>
      <c r="T2471" s="52">
        <f>R2471*U2471/(U2471+100)</f>
        <v>3.4537190082644624</v>
      </c>
      <c r="U2471" s="50">
        <v>21</v>
      </c>
      <c r="V2471" s="53">
        <v>0</v>
      </c>
      <c r="W2471" s="147">
        <v>1</v>
      </c>
      <c r="X2471" s="148" t="s">
        <v>163</v>
      </c>
      <c r="Y2471" s="54">
        <f>R2471*W2471</f>
        <v>19.9</v>
      </c>
      <c r="Z2471" s="52">
        <f>S2471*W2471</f>
        <v>16.446280991735534</v>
      </c>
      <c r="AA2471" s="52">
        <f>T2471*W2471</f>
        <v>3.4537190082644624</v>
      </c>
      <c r="AB2471" s="52">
        <f>V2471*W2471</f>
        <v>0</v>
      </c>
      <c r="AC2471" s="53">
        <f>(R2471+V2471)*W2471</f>
        <v>19.9</v>
      </c>
      <c r="AD2471" s="138">
        <v>19.9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109</v>
      </c>
      <c r="F2472" s="96" t="s">
        <v>111</v>
      </c>
      <c r="G2472" s="97">
        <v>46132</v>
      </c>
      <c r="H2472" s="98">
        <v>0.6191087962962963</v>
      </c>
      <c r="I2472" s="50">
        <v>169002686</v>
      </c>
      <c r="J2472" s="96" t="s">
        <v>157</v>
      </c>
      <c r="K2472" s="49" t="s">
        <v>3450</v>
      </c>
      <c r="L2472" s="39" t="s">
        <v>3451</v>
      </c>
      <c r="M2472" s="49" t="s">
        <v>214</v>
      </c>
      <c r="N2472" s="39" t="s">
        <v>2788</v>
      </c>
      <c r="O2472" s="96" t="s">
        <v>3452</v>
      </c>
      <c r="P2472" s="49" t="s">
        <v>157</v>
      </c>
      <c r="Q2472" s="96" t="s">
        <v>104</v>
      </c>
      <c r="R2472" s="52">
        <v>37.9</v>
      </c>
      <c r="S2472" s="52">
        <f>R2472-T2472</f>
        <v>33.839285714285715</v>
      </c>
      <c r="T2472" s="52">
        <f>R2472*U2472/(U2472+100)</f>
        <v>4.060714285714285</v>
      </c>
      <c r="U2472" s="50">
        <v>12</v>
      </c>
      <c r="V2472" s="53">
        <v>0</v>
      </c>
      <c r="W2472" s="147">
        <v>1</v>
      </c>
      <c r="X2472" s="148" t="s">
        <v>163</v>
      </c>
      <c r="Y2472" s="54">
        <f>R2472*W2472</f>
        <v>37.9</v>
      </c>
      <c r="Z2472" s="52">
        <f>S2472*W2472</f>
        <v>33.839285714285715</v>
      </c>
      <c r="AA2472" s="52">
        <f>T2472*W2472</f>
        <v>4.060714285714285</v>
      </c>
      <c r="AB2472" s="52">
        <f>V2472*W2472</f>
        <v>0</v>
      </c>
      <c r="AC2472" s="53">
        <f>(R2472+V2472)*W2472</f>
        <v>37.9</v>
      </c>
      <c r="AD2472" s="138">
        <v>37.9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109</v>
      </c>
      <c r="F2473" s="96" t="s">
        <v>111</v>
      </c>
      <c r="G2473" s="97">
        <v>46132</v>
      </c>
      <c r="H2473" s="98">
        <v>0.619375</v>
      </c>
      <c r="I2473" s="50">
        <v>169002687</v>
      </c>
      <c r="J2473" s="96" t="s">
        <v>157</v>
      </c>
      <c r="K2473" s="49" t="s">
        <v>517</v>
      </c>
      <c r="L2473" s="39" t="s">
        <v>518</v>
      </c>
      <c r="M2473" s="49" t="s">
        <v>214</v>
      </c>
      <c r="N2473" s="39" t="s">
        <v>273</v>
      </c>
      <c r="O2473" s="96" t="s">
        <v>1111</v>
      </c>
      <c r="P2473" s="49" t="s">
        <v>157</v>
      </c>
      <c r="Q2473" s="96" t="s">
        <v>104</v>
      </c>
      <c r="R2473" s="52">
        <v>15.9</v>
      </c>
      <c r="S2473" s="52">
        <f>R2473-T2473</f>
        <v>14.196428571428571</v>
      </c>
      <c r="T2473" s="52">
        <f>R2473*U2473/(U2473+100)</f>
        <v>1.7035714285714287</v>
      </c>
      <c r="U2473" s="50">
        <v>12</v>
      </c>
      <c r="V2473" s="53">
        <v>0</v>
      </c>
      <c r="W2473" s="147">
        <v>1</v>
      </c>
      <c r="X2473" s="148" t="s">
        <v>163</v>
      </c>
      <c r="Y2473" s="54">
        <f>R2473*W2473</f>
        <v>15.9</v>
      </c>
      <c r="Z2473" s="52">
        <f>S2473*W2473</f>
        <v>14.196428571428571</v>
      </c>
      <c r="AA2473" s="52">
        <f>T2473*W2473</f>
        <v>1.7035714285714287</v>
      </c>
      <c r="AB2473" s="52">
        <f>V2473*W2473</f>
        <v>0</v>
      </c>
      <c r="AC2473" s="53">
        <f>(R2473+V2473)*W2473</f>
        <v>15.9</v>
      </c>
      <c r="AD2473" s="138">
        <v>15.9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109</v>
      </c>
      <c r="F2474" s="96" t="s">
        <v>111</v>
      </c>
      <c r="G2474" s="97">
        <v>46132</v>
      </c>
      <c r="H2474" s="98">
        <v>0.6197916666666666</v>
      </c>
      <c r="I2474" s="50">
        <v>169002688</v>
      </c>
      <c r="J2474" s="96" t="s">
        <v>157</v>
      </c>
      <c r="K2474" s="49" t="s">
        <v>3453</v>
      </c>
      <c r="L2474" s="39" t="s">
        <v>3454</v>
      </c>
      <c r="M2474" s="49" t="s">
        <v>219</v>
      </c>
      <c r="N2474" s="39" t="s">
        <v>244</v>
      </c>
      <c r="O2474" s="96" t="s">
        <v>3455</v>
      </c>
      <c r="P2474" s="49" t="s">
        <v>157</v>
      </c>
      <c r="Q2474" s="96" t="s">
        <v>104</v>
      </c>
      <c r="R2474" s="52">
        <v>49.9</v>
      </c>
      <c r="S2474" s="52">
        <f>R2474-T2474</f>
        <v>44.55357142857143</v>
      </c>
      <c r="T2474" s="52">
        <f>R2474*U2474/(U2474+100)</f>
        <v>5.346428571428571</v>
      </c>
      <c r="U2474" s="50">
        <v>12</v>
      </c>
      <c r="V2474" s="53">
        <v>0</v>
      </c>
      <c r="W2474" s="147">
        <v>1</v>
      </c>
      <c r="X2474" s="148" t="s">
        <v>163</v>
      </c>
      <c r="Y2474" s="54">
        <f>R2474*W2474</f>
        <v>49.9</v>
      </c>
      <c r="Z2474" s="52">
        <f>S2474*W2474</f>
        <v>44.55357142857143</v>
      </c>
      <c r="AA2474" s="52">
        <f>T2474*W2474</f>
        <v>5.346428571428571</v>
      </c>
      <c r="AB2474" s="52">
        <f>V2474*W2474</f>
        <v>0</v>
      </c>
      <c r="AC2474" s="53">
        <f>(R2474+V2474)*W2474</f>
        <v>49.9</v>
      </c>
      <c r="AD2474" s="138">
        <v>49.9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109</v>
      </c>
      <c r="F2475" s="96" t="s">
        <v>111</v>
      </c>
      <c r="G2475" s="97">
        <v>46132</v>
      </c>
      <c r="H2475" s="98">
        <v>0.619988425925926</v>
      </c>
      <c r="I2475" s="50">
        <v>169002689</v>
      </c>
      <c r="J2475" s="96" t="s">
        <v>157</v>
      </c>
      <c r="K2475" s="49" t="s">
        <v>3453</v>
      </c>
      <c r="L2475" s="39" t="s">
        <v>3454</v>
      </c>
      <c r="M2475" s="49" t="s">
        <v>219</v>
      </c>
      <c r="N2475" s="39" t="s">
        <v>244</v>
      </c>
      <c r="O2475" s="96" t="s">
        <v>3455</v>
      </c>
      <c r="P2475" s="49" t="s">
        <v>157</v>
      </c>
      <c r="Q2475" s="96" t="s">
        <v>104</v>
      </c>
      <c r="R2475" s="52">
        <v>49.9</v>
      </c>
      <c r="S2475" s="52">
        <f>R2475-T2475</f>
        <v>44.55357142857143</v>
      </c>
      <c r="T2475" s="52">
        <f>R2475*U2475/(U2475+100)</f>
        <v>5.346428571428571</v>
      </c>
      <c r="U2475" s="50">
        <v>12</v>
      </c>
      <c r="V2475" s="53">
        <v>0</v>
      </c>
      <c r="W2475" s="147">
        <v>1</v>
      </c>
      <c r="X2475" s="148" t="s">
        <v>163</v>
      </c>
      <c r="Y2475" s="54">
        <f>R2475*W2475</f>
        <v>49.9</v>
      </c>
      <c r="Z2475" s="52">
        <f>S2475*W2475</f>
        <v>44.55357142857143</v>
      </c>
      <c r="AA2475" s="52">
        <f>T2475*W2475</f>
        <v>5.346428571428571</v>
      </c>
      <c r="AB2475" s="52">
        <f>V2475*W2475</f>
        <v>0</v>
      </c>
      <c r="AC2475" s="53">
        <f>(R2475+V2475)*W2475</f>
        <v>49.9</v>
      </c>
      <c r="AD2475" s="138">
        <v>49.9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109</v>
      </c>
      <c r="F2476" s="96" t="s">
        <v>111</v>
      </c>
      <c r="G2476" s="97">
        <v>46132</v>
      </c>
      <c r="H2476" s="98">
        <v>0.619988425925926</v>
      </c>
      <c r="I2476" s="50">
        <v>169002689</v>
      </c>
      <c r="J2476" s="96" t="s">
        <v>157</v>
      </c>
      <c r="K2476" s="49" t="s">
        <v>2068</v>
      </c>
      <c r="L2476" s="39" t="s">
        <v>2069</v>
      </c>
      <c r="M2476" s="49" t="s">
        <v>429</v>
      </c>
      <c r="N2476" s="39" t="s">
        <v>348</v>
      </c>
      <c r="O2476" s="96" t="s">
        <v>2070</v>
      </c>
      <c r="P2476" s="49" t="s">
        <v>235</v>
      </c>
      <c r="Q2476" s="96" t="s">
        <v>236</v>
      </c>
      <c r="R2476" s="52">
        <v>16.9</v>
      </c>
      <c r="S2476" s="52">
        <f>R2476-T2476</f>
        <v>15.089285714285714</v>
      </c>
      <c r="T2476" s="52">
        <f>R2476*U2476/(U2476+100)</f>
        <v>1.8107142857142855</v>
      </c>
      <c r="U2476" s="50">
        <v>12</v>
      </c>
      <c r="V2476" s="53">
        <v>0</v>
      </c>
      <c r="W2476" s="147">
        <v>1</v>
      </c>
      <c r="X2476" s="148" t="s">
        <v>163</v>
      </c>
      <c r="Y2476" s="54">
        <f>R2476*W2476</f>
        <v>16.9</v>
      </c>
      <c r="Z2476" s="52">
        <f>S2476*W2476</f>
        <v>15.089285714285714</v>
      </c>
      <c r="AA2476" s="52">
        <f>T2476*W2476</f>
        <v>1.8107142857142855</v>
      </c>
      <c r="AB2476" s="52">
        <f>V2476*W2476</f>
        <v>0</v>
      </c>
      <c r="AC2476" s="53">
        <f>(R2476+V2476)*W2476</f>
        <v>16.9</v>
      </c>
      <c r="AD2476" s="138">
        <v>16.9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109</v>
      </c>
      <c r="F2477" s="96" t="s">
        <v>111</v>
      </c>
      <c r="G2477" s="97">
        <v>46132</v>
      </c>
      <c r="H2477" s="98">
        <v>0.621099537037037</v>
      </c>
      <c r="I2477" s="50">
        <v>169002690</v>
      </c>
      <c r="J2477" s="96" t="s">
        <v>157</v>
      </c>
      <c r="K2477" s="49" t="s">
        <v>1612</v>
      </c>
      <c r="L2477" s="39" t="s">
        <v>1613</v>
      </c>
      <c r="M2477" s="49" t="s">
        <v>190</v>
      </c>
      <c r="N2477" s="39" t="s">
        <v>462</v>
      </c>
      <c r="O2477" s="96" t="s">
        <v>1614</v>
      </c>
      <c r="P2477" s="49" t="s">
        <v>157</v>
      </c>
      <c r="Q2477" s="96" t="s">
        <v>104</v>
      </c>
      <c r="R2477" s="52">
        <v>33.9</v>
      </c>
      <c r="S2477" s="52">
        <f>R2477-T2477</f>
        <v>30.267857142857142</v>
      </c>
      <c r="T2477" s="52">
        <f>R2477*U2477/(U2477+100)</f>
        <v>3.6321428571428567</v>
      </c>
      <c r="U2477" s="50">
        <v>12</v>
      </c>
      <c r="V2477" s="53">
        <v>0</v>
      </c>
      <c r="W2477" s="147">
        <v>1</v>
      </c>
      <c r="X2477" s="148" t="s">
        <v>163</v>
      </c>
      <c r="Y2477" s="54">
        <f>R2477*W2477</f>
        <v>33.9</v>
      </c>
      <c r="Z2477" s="52">
        <f>S2477*W2477</f>
        <v>30.267857142857142</v>
      </c>
      <c r="AA2477" s="52">
        <f>T2477*W2477</f>
        <v>3.6321428571428567</v>
      </c>
      <c r="AB2477" s="52">
        <f>V2477*W2477</f>
        <v>0</v>
      </c>
      <c r="AC2477" s="53">
        <f>(R2477+V2477)*W2477</f>
        <v>33.9</v>
      </c>
      <c r="AD2477" s="138">
        <v>33.9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109</v>
      </c>
      <c r="F2478" s="96" t="s">
        <v>111</v>
      </c>
      <c r="G2478" s="97">
        <v>46132</v>
      </c>
      <c r="H2478" s="98">
        <v>0.6216319444444445</v>
      </c>
      <c r="I2478" s="50">
        <v>169002691</v>
      </c>
      <c r="J2478" s="96" t="s">
        <v>157</v>
      </c>
      <c r="K2478" s="49" t="s">
        <v>3456</v>
      </c>
      <c r="L2478" s="39" t="s">
        <v>3457</v>
      </c>
      <c r="M2478" s="49" t="s">
        <v>341</v>
      </c>
      <c r="N2478" s="39" t="s">
        <v>587</v>
      </c>
      <c r="O2478" s="96" t="s">
        <v>3458</v>
      </c>
      <c r="P2478" s="49" t="s">
        <v>157</v>
      </c>
      <c r="Q2478" s="96" t="s">
        <v>104</v>
      </c>
      <c r="R2478" s="52">
        <v>33.9</v>
      </c>
      <c r="S2478" s="52">
        <f>R2478-T2478</f>
        <v>28.016528925619834</v>
      </c>
      <c r="T2478" s="52">
        <f>R2478*U2478/(U2478+100)</f>
        <v>5.883471074380165</v>
      </c>
      <c r="U2478" s="50">
        <v>21</v>
      </c>
      <c r="V2478" s="53">
        <v>0</v>
      </c>
      <c r="W2478" s="147">
        <v>1</v>
      </c>
      <c r="X2478" s="148" t="s">
        <v>163</v>
      </c>
      <c r="Y2478" s="54">
        <f>R2478*W2478</f>
        <v>33.9</v>
      </c>
      <c r="Z2478" s="52">
        <f>S2478*W2478</f>
        <v>28.016528925619834</v>
      </c>
      <c r="AA2478" s="52">
        <f>T2478*W2478</f>
        <v>5.883471074380165</v>
      </c>
      <c r="AB2478" s="52">
        <f>V2478*W2478</f>
        <v>0</v>
      </c>
      <c r="AC2478" s="53">
        <f>(R2478+V2478)*W2478</f>
        <v>33.9</v>
      </c>
      <c r="AD2478" s="138">
        <v>33.9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109</v>
      </c>
      <c r="F2479" s="96" t="s">
        <v>111</v>
      </c>
      <c r="G2479" s="97">
        <v>46132</v>
      </c>
      <c r="H2479" s="98">
        <v>0.6227314814814815</v>
      </c>
      <c r="I2479" s="50">
        <v>169002692</v>
      </c>
      <c r="J2479" s="96" t="s">
        <v>157</v>
      </c>
      <c r="K2479" s="49" t="s">
        <v>3459</v>
      </c>
      <c r="L2479" s="39" t="s">
        <v>3460</v>
      </c>
      <c r="M2479" s="49" t="s">
        <v>185</v>
      </c>
      <c r="N2479" s="39" t="s">
        <v>264</v>
      </c>
      <c r="O2479" s="96" t="s">
        <v>3461</v>
      </c>
      <c r="P2479" s="49" t="s">
        <v>157</v>
      </c>
      <c r="Q2479" s="96" t="s">
        <v>104</v>
      </c>
      <c r="R2479" s="52">
        <v>7.9</v>
      </c>
      <c r="S2479" s="52">
        <f>R2479-T2479</f>
        <v>7.053571428571429</v>
      </c>
      <c r="T2479" s="52">
        <f>R2479*U2479/(U2479+100)</f>
        <v>0.8464285714285715</v>
      </c>
      <c r="U2479" s="50">
        <v>12</v>
      </c>
      <c r="V2479" s="53">
        <v>0</v>
      </c>
      <c r="W2479" s="147">
        <v>1</v>
      </c>
      <c r="X2479" s="148" t="s">
        <v>163</v>
      </c>
      <c r="Y2479" s="54">
        <f>R2479*W2479</f>
        <v>7.9</v>
      </c>
      <c r="Z2479" s="52">
        <f>S2479*W2479</f>
        <v>7.053571428571429</v>
      </c>
      <c r="AA2479" s="52">
        <f>T2479*W2479</f>
        <v>0.8464285714285715</v>
      </c>
      <c r="AB2479" s="52">
        <f>V2479*W2479</f>
        <v>0</v>
      </c>
      <c r="AC2479" s="53">
        <f>(R2479+V2479)*W2479</f>
        <v>7.9</v>
      </c>
      <c r="AD2479" s="138">
        <v>7.9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109</v>
      </c>
      <c r="F2480" s="96" t="s">
        <v>111</v>
      </c>
      <c r="G2480" s="97">
        <v>46132</v>
      </c>
      <c r="H2480" s="98">
        <v>0.6227314814814815</v>
      </c>
      <c r="I2480" s="50">
        <v>169002692</v>
      </c>
      <c r="J2480" s="96" t="s">
        <v>157</v>
      </c>
      <c r="K2480" s="49" t="s">
        <v>1986</v>
      </c>
      <c r="L2480" s="39" t="s">
        <v>1987</v>
      </c>
      <c r="M2480" s="49" t="s">
        <v>185</v>
      </c>
      <c r="N2480" s="39" t="s">
        <v>264</v>
      </c>
      <c r="O2480" s="96" t="s">
        <v>1988</v>
      </c>
      <c r="P2480" s="49" t="s">
        <v>157</v>
      </c>
      <c r="Q2480" s="96" t="s">
        <v>104</v>
      </c>
      <c r="R2480" s="52">
        <v>7.9</v>
      </c>
      <c r="S2480" s="52">
        <f>R2480-T2480</f>
        <v>7.053571428571429</v>
      </c>
      <c r="T2480" s="52">
        <f>R2480*U2480/(U2480+100)</f>
        <v>0.8464285714285715</v>
      </c>
      <c r="U2480" s="50">
        <v>12</v>
      </c>
      <c r="V2480" s="53">
        <v>0</v>
      </c>
      <c r="W2480" s="147">
        <v>1</v>
      </c>
      <c r="X2480" s="148" t="s">
        <v>163</v>
      </c>
      <c r="Y2480" s="54">
        <f>R2480*W2480</f>
        <v>7.9</v>
      </c>
      <c r="Z2480" s="52">
        <f>S2480*W2480</f>
        <v>7.053571428571429</v>
      </c>
      <c r="AA2480" s="52">
        <f>T2480*W2480</f>
        <v>0.8464285714285715</v>
      </c>
      <c r="AB2480" s="52">
        <f>V2480*W2480</f>
        <v>0</v>
      </c>
      <c r="AC2480" s="53">
        <f>(R2480+V2480)*W2480</f>
        <v>7.9</v>
      </c>
      <c r="AD2480" s="138">
        <v>7.9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109</v>
      </c>
      <c r="F2481" s="96" t="s">
        <v>111</v>
      </c>
      <c r="G2481" s="97">
        <v>46132</v>
      </c>
      <c r="H2481" s="98">
        <v>0.6227314814814815</v>
      </c>
      <c r="I2481" s="50">
        <v>169002692</v>
      </c>
      <c r="J2481" s="96" t="s">
        <v>157</v>
      </c>
      <c r="K2481" s="49" t="s">
        <v>1986</v>
      </c>
      <c r="L2481" s="39" t="s">
        <v>1987</v>
      </c>
      <c r="M2481" s="49" t="s">
        <v>185</v>
      </c>
      <c r="N2481" s="39" t="s">
        <v>264</v>
      </c>
      <c r="O2481" s="96" t="s">
        <v>1988</v>
      </c>
      <c r="P2481" s="49" t="s">
        <v>157</v>
      </c>
      <c r="Q2481" s="96" t="s">
        <v>104</v>
      </c>
      <c r="R2481" s="52">
        <v>7.9</v>
      </c>
      <c r="S2481" s="52">
        <f>R2481-T2481</f>
        <v>7.053571428571429</v>
      </c>
      <c r="T2481" s="52">
        <f>R2481*U2481/(U2481+100)</f>
        <v>0.8464285714285715</v>
      </c>
      <c r="U2481" s="50">
        <v>12</v>
      </c>
      <c r="V2481" s="53">
        <v>0</v>
      </c>
      <c r="W2481" s="147">
        <v>1</v>
      </c>
      <c r="X2481" s="148" t="s">
        <v>163</v>
      </c>
      <c r="Y2481" s="54">
        <f>R2481*W2481</f>
        <v>7.9</v>
      </c>
      <c r="Z2481" s="52">
        <f>S2481*W2481</f>
        <v>7.053571428571429</v>
      </c>
      <c r="AA2481" s="52">
        <f>T2481*W2481</f>
        <v>0.8464285714285715</v>
      </c>
      <c r="AB2481" s="52">
        <f>V2481*W2481</f>
        <v>0</v>
      </c>
      <c r="AC2481" s="53">
        <f>(R2481+V2481)*W2481</f>
        <v>7.9</v>
      </c>
      <c r="AD2481" s="138">
        <v>7.9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109</v>
      </c>
      <c r="F2482" s="96" t="s">
        <v>111</v>
      </c>
      <c r="G2482" s="97">
        <v>46132</v>
      </c>
      <c r="H2482" s="98">
        <v>0.6227314814814815</v>
      </c>
      <c r="I2482" s="50">
        <v>169002692</v>
      </c>
      <c r="J2482" s="96" t="s">
        <v>157</v>
      </c>
      <c r="K2482" s="49" t="s">
        <v>566</v>
      </c>
      <c r="L2482" s="39" t="s">
        <v>567</v>
      </c>
      <c r="M2482" s="49" t="s">
        <v>568</v>
      </c>
      <c r="N2482" s="39" t="s">
        <v>569</v>
      </c>
      <c r="O2482" s="96" t="s">
        <v>2125</v>
      </c>
      <c r="P2482" s="49" t="s">
        <v>157</v>
      </c>
      <c r="Q2482" s="96" t="s">
        <v>104</v>
      </c>
      <c r="R2482" s="52">
        <v>21.9</v>
      </c>
      <c r="S2482" s="52">
        <f>R2482-T2482</f>
        <v>19.553571428571427</v>
      </c>
      <c r="T2482" s="52">
        <f>R2482*U2482/(U2482+100)</f>
        <v>2.346428571428571</v>
      </c>
      <c r="U2482" s="50">
        <v>12</v>
      </c>
      <c r="V2482" s="53">
        <v>0</v>
      </c>
      <c r="W2482" s="147">
        <v>1</v>
      </c>
      <c r="X2482" s="148" t="s">
        <v>163</v>
      </c>
      <c r="Y2482" s="54">
        <f>R2482*W2482</f>
        <v>21.9</v>
      </c>
      <c r="Z2482" s="52">
        <f>S2482*W2482</f>
        <v>19.553571428571427</v>
      </c>
      <c r="AA2482" s="52">
        <f>T2482*W2482</f>
        <v>2.346428571428571</v>
      </c>
      <c r="AB2482" s="52">
        <f>V2482*W2482</f>
        <v>0</v>
      </c>
      <c r="AC2482" s="53">
        <f>(R2482+V2482)*W2482</f>
        <v>21.9</v>
      </c>
      <c r="AD2482" s="138">
        <v>21.9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109</v>
      </c>
      <c r="F2483" s="96" t="s">
        <v>111</v>
      </c>
      <c r="G2483" s="97">
        <v>46132</v>
      </c>
      <c r="H2483" s="98">
        <v>0.6227314814814815</v>
      </c>
      <c r="I2483" s="50">
        <v>169002692</v>
      </c>
      <c r="J2483" s="96" t="s">
        <v>157</v>
      </c>
      <c r="K2483" s="49" t="s">
        <v>3462</v>
      </c>
      <c r="L2483" s="39" t="s">
        <v>3463</v>
      </c>
      <c r="M2483" s="49" t="s">
        <v>568</v>
      </c>
      <c r="N2483" s="39" t="s">
        <v>576</v>
      </c>
      <c r="O2483" s="96" t="s">
        <v>3464</v>
      </c>
      <c r="P2483" s="49" t="s">
        <v>157</v>
      </c>
      <c r="Q2483" s="96" t="s">
        <v>104</v>
      </c>
      <c r="R2483" s="52">
        <v>27.9</v>
      </c>
      <c r="S2483" s="52">
        <f>R2483-T2483</f>
        <v>24.910714285714285</v>
      </c>
      <c r="T2483" s="52">
        <f>R2483*U2483/(U2483+100)</f>
        <v>2.989285714285714</v>
      </c>
      <c r="U2483" s="50">
        <v>12</v>
      </c>
      <c r="V2483" s="53">
        <v>0</v>
      </c>
      <c r="W2483" s="147">
        <v>1</v>
      </c>
      <c r="X2483" s="148" t="s">
        <v>163</v>
      </c>
      <c r="Y2483" s="54">
        <f>R2483*W2483</f>
        <v>27.9</v>
      </c>
      <c r="Z2483" s="52">
        <f>S2483*W2483</f>
        <v>24.910714285714285</v>
      </c>
      <c r="AA2483" s="52">
        <f>T2483*W2483</f>
        <v>2.989285714285714</v>
      </c>
      <c r="AB2483" s="52">
        <f>V2483*W2483</f>
        <v>0</v>
      </c>
      <c r="AC2483" s="53">
        <f>(R2483+V2483)*W2483</f>
        <v>27.9</v>
      </c>
      <c r="AD2483" s="138">
        <v>27.9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109</v>
      </c>
      <c r="F2484" s="96" t="s">
        <v>111</v>
      </c>
      <c r="G2484" s="97">
        <v>46132</v>
      </c>
      <c r="H2484" s="98">
        <v>0.6227314814814815</v>
      </c>
      <c r="I2484" s="50">
        <v>169002692</v>
      </c>
      <c r="J2484" s="96" t="s">
        <v>157</v>
      </c>
      <c r="K2484" s="49" t="s">
        <v>1769</v>
      </c>
      <c r="L2484" s="39" t="s">
        <v>1770</v>
      </c>
      <c r="M2484" s="49" t="s">
        <v>1405</v>
      </c>
      <c r="N2484" s="39" t="s">
        <v>778</v>
      </c>
      <c r="O2484" s="96" t="s">
        <v>1771</v>
      </c>
      <c r="P2484" s="49" t="s">
        <v>157</v>
      </c>
      <c r="Q2484" s="96" t="s">
        <v>104</v>
      </c>
      <c r="R2484" s="52">
        <v>17.9</v>
      </c>
      <c r="S2484" s="52">
        <f>R2484-T2484</f>
        <v>15.982142857142856</v>
      </c>
      <c r="T2484" s="52">
        <f>R2484*U2484/(U2484+100)</f>
        <v>1.9178571428571427</v>
      </c>
      <c r="U2484" s="50">
        <v>12</v>
      </c>
      <c r="V2484" s="53">
        <v>0</v>
      </c>
      <c r="W2484" s="147">
        <v>1</v>
      </c>
      <c r="X2484" s="148" t="s">
        <v>163</v>
      </c>
      <c r="Y2484" s="54">
        <f>R2484*W2484</f>
        <v>17.9</v>
      </c>
      <c r="Z2484" s="52">
        <f>S2484*W2484</f>
        <v>15.982142857142856</v>
      </c>
      <c r="AA2484" s="52">
        <f>T2484*W2484</f>
        <v>1.9178571428571427</v>
      </c>
      <c r="AB2484" s="52">
        <f>V2484*W2484</f>
        <v>0</v>
      </c>
      <c r="AC2484" s="53">
        <f>(R2484+V2484)*W2484</f>
        <v>17.9</v>
      </c>
      <c r="AD2484" s="138">
        <v>17.9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109</v>
      </c>
      <c r="F2485" s="96" t="s">
        <v>111</v>
      </c>
      <c r="G2485" s="97">
        <v>46132</v>
      </c>
      <c r="H2485" s="98">
        <v>0.6227314814814815</v>
      </c>
      <c r="I2485" s="50">
        <v>169002692</v>
      </c>
      <c r="J2485" s="96" t="s">
        <v>157</v>
      </c>
      <c r="K2485" s="49" t="s">
        <v>3465</v>
      </c>
      <c r="L2485" s="39" t="s">
        <v>3466</v>
      </c>
      <c r="M2485" s="49" t="s">
        <v>480</v>
      </c>
      <c r="N2485" s="39" t="s">
        <v>2561</v>
      </c>
      <c r="O2485" s="96" t="s">
        <v>3467</v>
      </c>
      <c r="P2485" s="49" t="s">
        <v>157</v>
      </c>
      <c r="Q2485" s="96" t="s">
        <v>104</v>
      </c>
      <c r="R2485" s="52">
        <v>17.9</v>
      </c>
      <c r="S2485" s="52">
        <f>R2485-T2485</f>
        <v>15.982142857142856</v>
      </c>
      <c r="T2485" s="52">
        <f>R2485*U2485/(U2485+100)</f>
        <v>1.9178571428571427</v>
      </c>
      <c r="U2485" s="50">
        <v>12</v>
      </c>
      <c r="V2485" s="53">
        <v>0</v>
      </c>
      <c r="W2485" s="147">
        <v>1</v>
      </c>
      <c r="X2485" s="148" t="s">
        <v>163</v>
      </c>
      <c r="Y2485" s="54">
        <f>R2485*W2485</f>
        <v>17.9</v>
      </c>
      <c r="Z2485" s="52">
        <f>S2485*W2485</f>
        <v>15.982142857142856</v>
      </c>
      <c r="AA2485" s="52">
        <f>T2485*W2485</f>
        <v>1.9178571428571427</v>
      </c>
      <c r="AB2485" s="52">
        <f>V2485*W2485</f>
        <v>0</v>
      </c>
      <c r="AC2485" s="53">
        <f>(R2485+V2485)*W2485</f>
        <v>17.9</v>
      </c>
      <c r="AD2485" s="138">
        <v>17.9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109</v>
      </c>
      <c r="F2486" s="96" t="s">
        <v>111</v>
      </c>
      <c r="G2486" s="97">
        <v>46132</v>
      </c>
      <c r="H2486" s="98">
        <v>0.6227314814814815</v>
      </c>
      <c r="I2486" s="50">
        <v>169002692</v>
      </c>
      <c r="J2486" s="96" t="s">
        <v>157</v>
      </c>
      <c r="K2486" s="49" t="s">
        <v>3468</v>
      </c>
      <c r="L2486" s="39" t="s">
        <v>3469</v>
      </c>
      <c r="M2486" s="49" t="s">
        <v>600</v>
      </c>
      <c r="N2486" s="39" t="s">
        <v>601</v>
      </c>
      <c r="O2486" s="96" t="s">
        <v>3470</v>
      </c>
      <c r="P2486" s="49" t="s">
        <v>235</v>
      </c>
      <c r="Q2486" s="96" t="s">
        <v>236</v>
      </c>
      <c r="R2486" s="52">
        <v>29.9</v>
      </c>
      <c r="S2486" s="52">
        <f>R2486-T2486</f>
        <v>26.69642857142857</v>
      </c>
      <c r="T2486" s="52">
        <f>R2486*U2486/(U2486+100)</f>
        <v>3.2035714285714283</v>
      </c>
      <c r="U2486" s="50">
        <v>12</v>
      </c>
      <c r="V2486" s="53">
        <v>0</v>
      </c>
      <c r="W2486" s="147">
        <v>1</v>
      </c>
      <c r="X2486" s="148" t="s">
        <v>163</v>
      </c>
      <c r="Y2486" s="54">
        <f>R2486*W2486</f>
        <v>29.9</v>
      </c>
      <c r="Z2486" s="52">
        <f>S2486*W2486</f>
        <v>26.69642857142857</v>
      </c>
      <c r="AA2486" s="52">
        <f>T2486*W2486</f>
        <v>3.2035714285714283</v>
      </c>
      <c r="AB2486" s="52">
        <f>V2486*W2486</f>
        <v>0</v>
      </c>
      <c r="AC2486" s="53">
        <f>(R2486+V2486)*W2486</f>
        <v>29.9</v>
      </c>
      <c r="AD2486" s="138">
        <v>29.9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109</v>
      </c>
      <c r="F2487" s="96" t="s">
        <v>111</v>
      </c>
      <c r="G2487" s="97">
        <v>46132</v>
      </c>
      <c r="H2487" s="98">
        <v>0.6227314814814815</v>
      </c>
      <c r="I2487" s="50">
        <v>169002692</v>
      </c>
      <c r="J2487" s="96" t="s">
        <v>157</v>
      </c>
      <c r="K2487" s="49" t="s">
        <v>929</v>
      </c>
      <c r="L2487" s="39" t="s">
        <v>930</v>
      </c>
      <c r="M2487" s="49" t="s">
        <v>893</v>
      </c>
      <c r="N2487" s="39" t="s">
        <v>319</v>
      </c>
      <c r="O2487" s="96" t="s">
        <v>3471</v>
      </c>
      <c r="P2487" s="49" t="s">
        <v>157</v>
      </c>
      <c r="Q2487" s="96" t="s">
        <v>104</v>
      </c>
      <c r="R2487" s="52">
        <v>27.93</v>
      </c>
      <c r="S2487" s="52">
        <f>R2487-T2487</f>
        <v>24.9375</v>
      </c>
      <c r="T2487" s="52">
        <f>R2487*U2487/(U2487+100)</f>
        <v>2.9924999999999997</v>
      </c>
      <c r="U2487" s="50">
        <v>12</v>
      </c>
      <c r="V2487" s="53">
        <v>0</v>
      </c>
      <c r="W2487" s="147">
        <v>1</v>
      </c>
      <c r="X2487" s="148" t="s">
        <v>163</v>
      </c>
      <c r="Y2487" s="54">
        <f>R2487*W2487</f>
        <v>27.93</v>
      </c>
      <c r="Z2487" s="52">
        <f>S2487*W2487</f>
        <v>24.9375</v>
      </c>
      <c r="AA2487" s="52">
        <f>T2487*W2487</f>
        <v>2.9924999999999997</v>
      </c>
      <c r="AB2487" s="52">
        <f>V2487*W2487</f>
        <v>0</v>
      </c>
      <c r="AC2487" s="53">
        <f>(R2487+V2487)*W2487</f>
        <v>27.93</v>
      </c>
      <c r="AD2487" s="138">
        <v>39.9</v>
      </c>
      <c r="AE2487" s="137">
        <v>11.97</v>
      </c>
      <c r="AF2487" s="139">
        <v>11.97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109</v>
      </c>
      <c r="F2488" s="96" t="s">
        <v>111</v>
      </c>
      <c r="G2488" s="97">
        <v>46132</v>
      </c>
      <c r="H2488" s="98">
        <v>0.6227314814814815</v>
      </c>
      <c r="I2488" s="50">
        <v>169002692</v>
      </c>
      <c r="J2488" s="96" t="s">
        <v>157</v>
      </c>
      <c r="K2488" s="49" t="s">
        <v>707</v>
      </c>
      <c r="L2488" s="39" t="s">
        <v>708</v>
      </c>
      <c r="M2488" s="49" t="s">
        <v>709</v>
      </c>
      <c r="N2488" s="39" t="s">
        <v>319</v>
      </c>
      <c r="O2488" s="96" t="s">
        <v>1504</v>
      </c>
      <c r="P2488" s="49" t="s">
        <v>235</v>
      </c>
      <c r="Q2488" s="96" t="s">
        <v>236</v>
      </c>
      <c r="R2488" s="52">
        <v>19.9</v>
      </c>
      <c r="S2488" s="52">
        <f>R2488-T2488</f>
        <v>17.767857142857142</v>
      </c>
      <c r="T2488" s="52">
        <f>R2488*U2488/(U2488+100)</f>
        <v>2.132142857142857</v>
      </c>
      <c r="U2488" s="50">
        <v>12</v>
      </c>
      <c r="V2488" s="53">
        <v>0</v>
      </c>
      <c r="W2488" s="147">
        <v>1</v>
      </c>
      <c r="X2488" s="148" t="s">
        <v>163</v>
      </c>
      <c r="Y2488" s="54">
        <f>R2488*W2488</f>
        <v>19.9</v>
      </c>
      <c r="Z2488" s="52">
        <f>S2488*W2488</f>
        <v>17.767857142857142</v>
      </c>
      <c r="AA2488" s="52">
        <f>T2488*W2488</f>
        <v>2.132142857142857</v>
      </c>
      <c r="AB2488" s="52">
        <f>V2488*W2488</f>
        <v>0</v>
      </c>
      <c r="AC2488" s="53">
        <f>(R2488+V2488)*W2488</f>
        <v>19.9</v>
      </c>
      <c r="AD2488" s="138">
        <v>19.9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109</v>
      </c>
      <c r="F2489" s="96" t="s">
        <v>111</v>
      </c>
      <c r="G2489" s="97">
        <v>46132</v>
      </c>
      <c r="H2489" s="98">
        <v>0.6227314814814815</v>
      </c>
      <c r="I2489" s="50">
        <v>169002692</v>
      </c>
      <c r="J2489" s="96" t="s">
        <v>157</v>
      </c>
      <c r="K2489" s="49" t="s">
        <v>3064</v>
      </c>
      <c r="L2489" s="39" t="s">
        <v>3065</v>
      </c>
      <c r="M2489" s="49" t="s">
        <v>1067</v>
      </c>
      <c r="N2489" s="39" t="s">
        <v>1068</v>
      </c>
      <c r="O2489" s="96" t="s">
        <v>3066</v>
      </c>
      <c r="P2489" s="49" t="s">
        <v>157</v>
      </c>
      <c r="Q2489" s="96" t="s">
        <v>104</v>
      </c>
      <c r="R2489" s="52">
        <v>52.9</v>
      </c>
      <c r="S2489" s="52">
        <f>R2489-T2489</f>
        <v>47.232142857142854</v>
      </c>
      <c r="T2489" s="52">
        <f>R2489*U2489/(U2489+100)</f>
        <v>5.667857142857143</v>
      </c>
      <c r="U2489" s="50">
        <v>12</v>
      </c>
      <c r="V2489" s="53">
        <v>0</v>
      </c>
      <c r="W2489" s="147">
        <v>1</v>
      </c>
      <c r="X2489" s="148" t="s">
        <v>163</v>
      </c>
      <c r="Y2489" s="54">
        <f>R2489*W2489</f>
        <v>52.9</v>
      </c>
      <c r="Z2489" s="52">
        <f>S2489*W2489</f>
        <v>47.232142857142854</v>
      </c>
      <c r="AA2489" s="52">
        <f>T2489*W2489</f>
        <v>5.667857142857143</v>
      </c>
      <c r="AB2489" s="52">
        <f>V2489*W2489</f>
        <v>0</v>
      </c>
      <c r="AC2489" s="53">
        <f>(R2489+V2489)*W2489</f>
        <v>52.9</v>
      </c>
      <c r="AD2489" s="138">
        <v>52.9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109</v>
      </c>
      <c r="F2490" s="96" t="s">
        <v>111</v>
      </c>
      <c r="G2490" s="97">
        <v>46132</v>
      </c>
      <c r="H2490" s="98">
        <v>0.6227314814814815</v>
      </c>
      <c r="I2490" s="50">
        <v>169002692</v>
      </c>
      <c r="J2490" s="96" t="s">
        <v>157</v>
      </c>
      <c r="K2490" s="49" t="s">
        <v>324</v>
      </c>
      <c r="L2490" s="39" t="s">
        <v>325</v>
      </c>
      <c r="M2490" s="49" t="s">
        <v>326</v>
      </c>
      <c r="N2490" s="39" t="s">
        <v>327</v>
      </c>
      <c r="O2490" s="96" t="s">
        <v>2382</v>
      </c>
      <c r="P2490" s="49" t="s">
        <v>157</v>
      </c>
      <c r="Q2490" s="96" t="s">
        <v>104</v>
      </c>
      <c r="R2490" s="52">
        <v>8.4</v>
      </c>
      <c r="S2490" s="52">
        <f>R2490-T2490</f>
        <v>7.5</v>
      </c>
      <c r="T2490" s="52">
        <f>R2490*U2490/(U2490+100)</f>
        <v>0.9000000000000001</v>
      </c>
      <c r="U2490" s="50">
        <v>12</v>
      </c>
      <c r="V2490" s="53">
        <v>0</v>
      </c>
      <c r="W2490" s="147">
        <v>1</v>
      </c>
      <c r="X2490" s="148" t="s">
        <v>163</v>
      </c>
      <c r="Y2490" s="54">
        <f>R2490*W2490</f>
        <v>8.4</v>
      </c>
      <c r="Z2490" s="52">
        <f>S2490*W2490</f>
        <v>7.5</v>
      </c>
      <c r="AA2490" s="52">
        <f>T2490*W2490</f>
        <v>0.9000000000000001</v>
      </c>
      <c r="AB2490" s="52">
        <f>V2490*W2490</f>
        <v>0</v>
      </c>
      <c r="AC2490" s="53">
        <f>(R2490+V2490)*W2490</f>
        <v>8.4</v>
      </c>
      <c r="AD2490" s="138">
        <v>8.4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109</v>
      </c>
      <c r="F2491" s="96" t="s">
        <v>111</v>
      </c>
      <c r="G2491" s="97">
        <v>46132</v>
      </c>
      <c r="H2491" s="98">
        <v>0.6227314814814815</v>
      </c>
      <c r="I2491" s="50">
        <v>169002692</v>
      </c>
      <c r="J2491" s="96" t="s">
        <v>157</v>
      </c>
      <c r="K2491" s="49" t="s">
        <v>324</v>
      </c>
      <c r="L2491" s="39" t="s">
        <v>325</v>
      </c>
      <c r="M2491" s="49" t="s">
        <v>326</v>
      </c>
      <c r="N2491" s="39" t="s">
        <v>327</v>
      </c>
      <c r="O2491" s="96" t="s">
        <v>2382</v>
      </c>
      <c r="P2491" s="49" t="s">
        <v>157</v>
      </c>
      <c r="Q2491" s="96" t="s">
        <v>104</v>
      </c>
      <c r="R2491" s="52">
        <v>8.4</v>
      </c>
      <c r="S2491" s="52">
        <f>R2491-T2491</f>
        <v>7.5</v>
      </c>
      <c r="T2491" s="52">
        <f>R2491*U2491/(U2491+100)</f>
        <v>0.9000000000000001</v>
      </c>
      <c r="U2491" s="50">
        <v>12</v>
      </c>
      <c r="V2491" s="53">
        <v>0</v>
      </c>
      <c r="W2491" s="147">
        <v>1</v>
      </c>
      <c r="X2491" s="148" t="s">
        <v>163</v>
      </c>
      <c r="Y2491" s="54">
        <f>R2491*W2491</f>
        <v>8.4</v>
      </c>
      <c r="Z2491" s="52">
        <f>S2491*W2491</f>
        <v>7.5</v>
      </c>
      <c r="AA2491" s="52">
        <f>T2491*W2491</f>
        <v>0.9000000000000001</v>
      </c>
      <c r="AB2491" s="52">
        <f>V2491*W2491</f>
        <v>0</v>
      </c>
      <c r="AC2491" s="53">
        <f>(R2491+V2491)*W2491</f>
        <v>8.4</v>
      </c>
      <c r="AD2491" s="138">
        <v>8.4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109</v>
      </c>
      <c r="F2492" s="96" t="s">
        <v>111</v>
      </c>
      <c r="G2492" s="97">
        <v>46132</v>
      </c>
      <c r="H2492" s="98">
        <v>0.6227314814814815</v>
      </c>
      <c r="I2492" s="50">
        <v>169002692</v>
      </c>
      <c r="J2492" s="96" t="s">
        <v>157</v>
      </c>
      <c r="K2492" s="49" t="s">
        <v>333</v>
      </c>
      <c r="L2492" s="39" t="s">
        <v>334</v>
      </c>
      <c r="M2492" s="49" t="s">
        <v>326</v>
      </c>
      <c r="N2492" s="39" t="s">
        <v>327</v>
      </c>
      <c r="O2492" s="96" t="s">
        <v>2383</v>
      </c>
      <c r="P2492" s="49" t="s">
        <v>157</v>
      </c>
      <c r="Q2492" s="96" t="s">
        <v>104</v>
      </c>
      <c r="R2492" s="52">
        <v>6.9</v>
      </c>
      <c r="S2492" s="52">
        <f>R2492-T2492</f>
        <v>6.160714285714286</v>
      </c>
      <c r="T2492" s="52">
        <f>R2492*U2492/(U2492+100)</f>
        <v>0.7392857142857144</v>
      </c>
      <c r="U2492" s="50">
        <v>12</v>
      </c>
      <c r="V2492" s="53">
        <v>0</v>
      </c>
      <c r="W2492" s="147">
        <v>1</v>
      </c>
      <c r="X2492" s="148" t="s">
        <v>163</v>
      </c>
      <c r="Y2492" s="54">
        <f>R2492*W2492</f>
        <v>6.9</v>
      </c>
      <c r="Z2492" s="52">
        <f>S2492*W2492</f>
        <v>6.160714285714286</v>
      </c>
      <c r="AA2492" s="52">
        <f>T2492*W2492</f>
        <v>0.7392857142857144</v>
      </c>
      <c r="AB2492" s="52">
        <f>V2492*W2492</f>
        <v>0</v>
      </c>
      <c r="AC2492" s="53">
        <f>(R2492+V2492)*W2492</f>
        <v>6.9</v>
      </c>
      <c r="AD2492" s="138">
        <v>6.9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109</v>
      </c>
      <c r="F2493" s="96" t="s">
        <v>111</v>
      </c>
      <c r="G2493" s="97">
        <v>46132</v>
      </c>
      <c r="H2493" s="98">
        <v>0.6227314814814815</v>
      </c>
      <c r="I2493" s="50">
        <v>169002692</v>
      </c>
      <c r="J2493" s="96" t="s">
        <v>157</v>
      </c>
      <c r="K2493" s="49" t="s">
        <v>1865</v>
      </c>
      <c r="L2493" s="39" t="s">
        <v>1866</v>
      </c>
      <c r="M2493" s="49" t="s">
        <v>190</v>
      </c>
      <c r="N2493" s="39" t="s">
        <v>191</v>
      </c>
      <c r="O2493" s="96" t="s">
        <v>1867</v>
      </c>
      <c r="P2493" s="49" t="s">
        <v>157</v>
      </c>
      <c r="Q2493" s="96" t="s">
        <v>104</v>
      </c>
      <c r="R2493" s="52">
        <v>14.9</v>
      </c>
      <c r="S2493" s="52">
        <f>R2493-T2493</f>
        <v>13.303571428571429</v>
      </c>
      <c r="T2493" s="52">
        <f>R2493*U2493/(U2493+100)</f>
        <v>1.5964285714285715</v>
      </c>
      <c r="U2493" s="50">
        <v>12</v>
      </c>
      <c r="V2493" s="53">
        <v>0</v>
      </c>
      <c r="W2493" s="147">
        <v>0.278</v>
      </c>
      <c r="X2493" s="148" t="s">
        <v>193</v>
      </c>
      <c r="Y2493" s="54">
        <f>R2493*W2493</f>
        <v>4.142200000000001</v>
      </c>
      <c r="Z2493" s="52">
        <f>S2493*W2493</f>
        <v>3.6983928571428577</v>
      </c>
      <c r="AA2493" s="52">
        <f>T2493*W2493</f>
        <v>0.4438071428571429</v>
      </c>
      <c r="AB2493" s="52">
        <f>V2493*W2493</f>
        <v>0</v>
      </c>
      <c r="AC2493" s="53">
        <f>(R2493+V2493)*W2493</f>
        <v>4.142200000000001</v>
      </c>
      <c r="AD2493" s="138">
        <v>14.9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109</v>
      </c>
      <c r="F2494" s="96" t="s">
        <v>111</v>
      </c>
      <c r="G2494" s="97">
        <v>46132</v>
      </c>
      <c r="H2494" s="98">
        <v>0.6227314814814815</v>
      </c>
      <c r="I2494" s="50">
        <v>169002692</v>
      </c>
      <c r="J2494" s="96" t="s">
        <v>157</v>
      </c>
      <c r="K2494" s="49" t="s">
        <v>266</v>
      </c>
      <c r="L2494" s="39" t="s">
        <v>267</v>
      </c>
      <c r="M2494" s="49" t="s">
        <v>268</v>
      </c>
      <c r="N2494" s="39" t="s">
        <v>269</v>
      </c>
      <c r="O2494" s="96" t="s">
        <v>1249</v>
      </c>
      <c r="P2494" s="49" t="s">
        <v>235</v>
      </c>
      <c r="Q2494" s="96" t="s">
        <v>236</v>
      </c>
      <c r="R2494" s="52">
        <v>11.9</v>
      </c>
      <c r="S2494" s="52">
        <f>R2494-T2494</f>
        <v>10.625</v>
      </c>
      <c r="T2494" s="52">
        <f>R2494*U2494/(U2494+100)</f>
        <v>1.2750000000000001</v>
      </c>
      <c r="U2494" s="50">
        <v>12</v>
      </c>
      <c r="V2494" s="53">
        <v>0</v>
      </c>
      <c r="W2494" s="147">
        <v>2</v>
      </c>
      <c r="X2494" s="148" t="s">
        <v>163</v>
      </c>
      <c r="Y2494" s="54">
        <f>R2494*W2494</f>
        <v>23.8</v>
      </c>
      <c r="Z2494" s="52">
        <f>S2494*W2494</f>
        <v>21.25</v>
      </c>
      <c r="AA2494" s="52">
        <f>T2494*W2494</f>
        <v>2.5500000000000003</v>
      </c>
      <c r="AB2494" s="52">
        <f>V2494*W2494</f>
        <v>0</v>
      </c>
      <c r="AC2494" s="53">
        <f>(R2494+V2494)*W2494</f>
        <v>23.8</v>
      </c>
      <c r="AD2494" s="138">
        <v>11.9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109</v>
      </c>
      <c r="F2495" s="96" t="s">
        <v>111</v>
      </c>
      <c r="G2495" s="97">
        <v>46132</v>
      </c>
      <c r="H2495" s="98">
        <v>0.6227314814814815</v>
      </c>
      <c r="I2495" s="50">
        <v>169002692</v>
      </c>
      <c r="J2495" s="96" t="s">
        <v>157</v>
      </c>
      <c r="K2495" s="49" t="s">
        <v>1085</v>
      </c>
      <c r="L2495" s="39" t="s">
        <v>1086</v>
      </c>
      <c r="M2495" s="49" t="s">
        <v>1087</v>
      </c>
      <c r="N2495" s="39" t="s">
        <v>1088</v>
      </c>
      <c r="O2495" s="96" t="s">
        <v>1089</v>
      </c>
      <c r="P2495" s="49" t="s">
        <v>157</v>
      </c>
      <c r="Q2495" s="96" t="s">
        <v>104</v>
      </c>
      <c r="R2495" s="52">
        <v>163.03</v>
      </c>
      <c r="S2495" s="52">
        <f>R2495-T2495</f>
        <v>145.5625</v>
      </c>
      <c r="T2495" s="52">
        <f>R2495*U2495/(U2495+100)</f>
        <v>17.4675</v>
      </c>
      <c r="U2495" s="50">
        <v>12</v>
      </c>
      <c r="V2495" s="53">
        <v>0</v>
      </c>
      <c r="W2495" s="147">
        <v>0.102</v>
      </c>
      <c r="X2495" s="148" t="s">
        <v>193</v>
      </c>
      <c r="Y2495" s="54">
        <f>R2495*W2495</f>
        <v>16.62906</v>
      </c>
      <c r="Z2495" s="52">
        <f>S2495*W2495</f>
        <v>14.847375</v>
      </c>
      <c r="AA2495" s="52">
        <f>T2495*W2495</f>
        <v>1.781685</v>
      </c>
      <c r="AB2495" s="52">
        <f>V2495*W2495</f>
        <v>0</v>
      </c>
      <c r="AC2495" s="53">
        <f>(R2495+V2495)*W2495</f>
        <v>16.62906</v>
      </c>
      <c r="AD2495" s="138">
        <v>232.9</v>
      </c>
      <c r="AE2495" s="137">
        <v>69.87</v>
      </c>
      <c r="AF2495" s="139">
        <v>7.1267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109</v>
      </c>
      <c r="F2496" s="96" t="s">
        <v>111</v>
      </c>
      <c r="G2496" s="97">
        <v>46132</v>
      </c>
      <c r="H2496" s="98">
        <v>0.6227314814814815</v>
      </c>
      <c r="I2496" s="50">
        <v>169002692</v>
      </c>
      <c r="J2496" s="96" t="s">
        <v>157</v>
      </c>
      <c r="K2496" s="49" t="s">
        <v>303</v>
      </c>
      <c r="L2496" s="39" t="s">
        <v>304</v>
      </c>
      <c r="M2496" s="49" t="s">
        <v>214</v>
      </c>
      <c r="N2496" s="39" t="s">
        <v>296</v>
      </c>
      <c r="O2496" s="96" t="s">
        <v>305</v>
      </c>
      <c r="P2496" s="49" t="s">
        <v>157</v>
      </c>
      <c r="Q2496" s="96" t="s">
        <v>104</v>
      </c>
      <c r="R2496" s="52">
        <v>11.9</v>
      </c>
      <c r="S2496" s="52">
        <f>R2496-T2496</f>
        <v>10.625</v>
      </c>
      <c r="T2496" s="52">
        <f>R2496*U2496/(U2496+100)</f>
        <v>1.2750000000000001</v>
      </c>
      <c r="U2496" s="50">
        <v>12</v>
      </c>
      <c r="V2496" s="53">
        <v>0</v>
      </c>
      <c r="W2496" s="147">
        <v>2</v>
      </c>
      <c r="X2496" s="148" t="s">
        <v>163</v>
      </c>
      <c r="Y2496" s="54">
        <f>R2496*W2496</f>
        <v>23.8</v>
      </c>
      <c r="Z2496" s="52">
        <f>S2496*W2496</f>
        <v>21.25</v>
      </c>
      <c r="AA2496" s="52">
        <f>T2496*W2496</f>
        <v>2.5500000000000003</v>
      </c>
      <c r="AB2496" s="52">
        <f>V2496*W2496</f>
        <v>0</v>
      </c>
      <c r="AC2496" s="53">
        <f>(R2496+V2496)*W2496</f>
        <v>23.8</v>
      </c>
      <c r="AD2496" s="138">
        <v>11.9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109</v>
      </c>
      <c r="F2497" s="96" t="s">
        <v>111</v>
      </c>
      <c r="G2497" s="97">
        <v>46132</v>
      </c>
      <c r="H2497" s="98">
        <v>0.6227314814814815</v>
      </c>
      <c r="I2497" s="50">
        <v>169002692</v>
      </c>
      <c r="J2497" s="96" t="s">
        <v>157</v>
      </c>
      <c r="K2497" s="49" t="s">
        <v>1329</v>
      </c>
      <c r="L2497" s="39" t="s">
        <v>1330</v>
      </c>
      <c r="M2497" s="49" t="s">
        <v>403</v>
      </c>
      <c r="N2497" s="39" t="s">
        <v>373</v>
      </c>
      <c r="O2497" s="96" t="s">
        <v>1331</v>
      </c>
      <c r="P2497" s="49" t="s">
        <v>157</v>
      </c>
      <c r="Q2497" s="96" t="s">
        <v>104</v>
      </c>
      <c r="R2497" s="52">
        <v>171.9</v>
      </c>
      <c r="S2497" s="52">
        <f>R2497-T2497</f>
        <v>153.48214285714286</v>
      </c>
      <c r="T2497" s="52">
        <f>R2497*U2497/(U2497+100)</f>
        <v>18.417857142857144</v>
      </c>
      <c r="U2497" s="50">
        <v>12</v>
      </c>
      <c r="V2497" s="53">
        <v>0</v>
      </c>
      <c r="W2497" s="147">
        <v>0.284</v>
      </c>
      <c r="X2497" s="148" t="s">
        <v>193</v>
      </c>
      <c r="Y2497" s="54">
        <f>R2497*W2497</f>
        <v>48.819599999999994</v>
      </c>
      <c r="Z2497" s="52">
        <f>S2497*W2497</f>
        <v>43.58892857142857</v>
      </c>
      <c r="AA2497" s="52">
        <f>T2497*W2497</f>
        <v>5.230671428571428</v>
      </c>
      <c r="AB2497" s="52">
        <f>V2497*W2497</f>
        <v>0</v>
      </c>
      <c r="AC2497" s="53">
        <f>(R2497+V2497)*W2497</f>
        <v>48.819599999999994</v>
      </c>
      <c r="AD2497" s="138">
        <v>171.9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109</v>
      </c>
      <c r="F2498" s="96" t="s">
        <v>111</v>
      </c>
      <c r="G2498" s="97">
        <v>46132</v>
      </c>
      <c r="H2498" s="98">
        <v>0.6227314814814815</v>
      </c>
      <c r="I2498" s="50">
        <v>169002692</v>
      </c>
      <c r="J2498" s="96" t="s">
        <v>157</v>
      </c>
      <c r="K2498" s="49" t="s">
        <v>3472</v>
      </c>
      <c r="L2498" s="39" t="s">
        <v>3473</v>
      </c>
      <c r="M2498" s="49" t="s">
        <v>277</v>
      </c>
      <c r="N2498" s="39" t="s">
        <v>490</v>
      </c>
      <c r="O2498" s="96" t="s">
        <v>3474</v>
      </c>
      <c r="P2498" s="49" t="s">
        <v>157</v>
      </c>
      <c r="Q2498" s="96" t="s">
        <v>104</v>
      </c>
      <c r="R2498" s="52">
        <v>37.9</v>
      </c>
      <c r="S2498" s="52">
        <f>R2498-T2498</f>
        <v>33.839285714285715</v>
      </c>
      <c r="T2498" s="52">
        <f>R2498*U2498/(U2498+100)</f>
        <v>4.060714285714285</v>
      </c>
      <c r="U2498" s="50">
        <v>12</v>
      </c>
      <c r="V2498" s="53">
        <v>0</v>
      </c>
      <c r="W2498" s="147">
        <v>1</v>
      </c>
      <c r="X2498" s="148" t="s">
        <v>163</v>
      </c>
      <c r="Y2498" s="54">
        <f>R2498*W2498</f>
        <v>37.9</v>
      </c>
      <c r="Z2498" s="52">
        <f>S2498*W2498</f>
        <v>33.839285714285715</v>
      </c>
      <c r="AA2498" s="52">
        <f>T2498*W2498</f>
        <v>4.060714285714285</v>
      </c>
      <c r="AB2498" s="52">
        <f>V2498*W2498</f>
        <v>0</v>
      </c>
      <c r="AC2498" s="53">
        <f>(R2498+V2498)*W2498</f>
        <v>37.9</v>
      </c>
      <c r="AD2498" s="138">
        <v>37.9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109</v>
      </c>
      <c r="F2499" s="96" t="s">
        <v>111</v>
      </c>
      <c r="G2499" s="97">
        <v>46132</v>
      </c>
      <c r="H2499" s="98">
        <v>0.6234027777777778</v>
      </c>
      <c r="I2499" s="50">
        <v>169002693</v>
      </c>
      <c r="J2499" s="96" t="s">
        <v>157</v>
      </c>
      <c r="K2499" s="49" t="s">
        <v>2475</v>
      </c>
      <c r="L2499" s="39" t="s">
        <v>2476</v>
      </c>
      <c r="M2499" s="49" t="s">
        <v>277</v>
      </c>
      <c r="N2499" s="39" t="s">
        <v>751</v>
      </c>
      <c r="O2499" s="96" t="s">
        <v>2477</v>
      </c>
      <c r="P2499" s="49" t="s">
        <v>235</v>
      </c>
      <c r="Q2499" s="96" t="s">
        <v>236</v>
      </c>
      <c r="R2499" s="52">
        <v>34.9</v>
      </c>
      <c r="S2499" s="52">
        <f>R2499-T2499</f>
        <v>31.160714285714285</v>
      </c>
      <c r="T2499" s="52">
        <f>R2499*U2499/(U2499+100)</f>
        <v>3.739285714285714</v>
      </c>
      <c r="U2499" s="50">
        <v>12</v>
      </c>
      <c r="V2499" s="53">
        <v>0</v>
      </c>
      <c r="W2499" s="147">
        <v>1</v>
      </c>
      <c r="X2499" s="148" t="s">
        <v>163</v>
      </c>
      <c r="Y2499" s="54">
        <f>R2499*W2499</f>
        <v>34.9</v>
      </c>
      <c r="Z2499" s="52">
        <f>S2499*W2499</f>
        <v>31.160714285714285</v>
      </c>
      <c r="AA2499" s="52">
        <f>T2499*W2499</f>
        <v>3.739285714285714</v>
      </c>
      <c r="AB2499" s="52">
        <f>V2499*W2499</f>
        <v>0</v>
      </c>
      <c r="AC2499" s="53">
        <f>(R2499+V2499)*W2499</f>
        <v>34.9</v>
      </c>
      <c r="AD2499" s="138">
        <v>34.9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109</v>
      </c>
      <c r="F2500" s="96" t="s">
        <v>111</v>
      </c>
      <c r="G2500" s="97">
        <v>46132</v>
      </c>
      <c r="H2500" s="98">
        <v>0.6234027777777778</v>
      </c>
      <c r="I2500" s="50">
        <v>169002693</v>
      </c>
      <c r="J2500" s="96" t="s">
        <v>157</v>
      </c>
      <c r="K2500" s="49" t="s">
        <v>3475</v>
      </c>
      <c r="L2500" s="39" t="s">
        <v>3476</v>
      </c>
      <c r="M2500" s="49" t="s">
        <v>1311</v>
      </c>
      <c r="N2500" s="39" t="s">
        <v>731</v>
      </c>
      <c r="O2500" s="96" t="s">
        <v>3477</v>
      </c>
      <c r="P2500" s="49" t="s">
        <v>157</v>
      </c>
      <c r="Q2500" s="96" t="s">
        <v>104</v>
      </c>
      <c r="R2500" s="52">
        <v>72.9</v>
      </c>
      <c r="S2500" s="52">
        <f>R2500-T2500</f>
        <v>60.247933884297524</v>
      </c>
      <c r="T2500" s="52">
        <f>R2500*U2500/(U2500+100)</f>
        <v>12.65206611570248</v>
      </c>
      <c r="U2500" s="50">
        <v>21</v>
      </c>
      <c r="V2500" s="53">
        <v>0</v>
      </c>
      <c r="W2500" s="147">
        <v>1</v>
      </c>
      <c r="X2500" s="148" t="s">
        <v>163</v>
      </c>
      <c r="Y2500" s="54">
        <f>R2500*W2500</f>
        <v>72.9</v>
      </c>
      <c r="Z2500" s="52">
        <f>S2500*W2500</f>
        <v>60.247933884297524</v>
      </c>
      <c r="AA2500" s="52">
        <f>T2500*W2500</f>
        <v>12.65206611570248</v>
      </c>
      <c r="AB2500" s="52">
        <f>V2500*W2500</f>
        <v>0</v>
      </c>
      <c r="AC2500" s="53">
        <f>(R2500+V2500)*W2500</f>
        <v>72.9</v>
      </c>
      <c r="AD2500" s="138">
        <v>72.9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109</v>
      </c>
      <c r="F2501" s="96" t="s">
        <v>111</v>
      </c>
      <c r="G2501" s="97">
        <v>46132</v>
      </c>
      <c r="H2501" s="98">
        <v>0.6234027777777778</v>
      </c>
      <c r="I2501" s="50">
        <v>169002693</v>
      </c>
      <c r="J2501" s="96" t="s">
        <v>157</v>
      </c>
      <c r="K2501" s="49" t="s">
        <v>3478</v>
      </c>
      <c r="L2501" s="39" t="s">
        <v>3479</v>
      </c>
      <c r="M2501" s="49" t="s">
        <v>730</v>
      </c>
      <c r="N2501" s="39" t="s">
        <v>731</v>
      </c>
      <c r="O2501" s="96" t="s">
        <v>3480</v>
      </c>
      <c r="P2501" s="49" t="s">
        <v>235</v>
      </c>
      <c r="Q2501" s="96" t="s">
        <v>236</v>
      </c>
      <c r="R2501" s="52">
        <v>49.9</v>
      </c>
      <c r="S2501" s="52">
        <f>R2501-T2501</f>
        <v>41.239669421487605</v>
      </c>
      <c r="T2501" s="52">
        <f>R2501*U2501/(U2501+100)</f>
        <v>8.660330578512395</v>
      </c>
      <c r="U2501" s="50">
        <v>21</v>
      </c>
      <c r="V2501" s="53">
        <v>0</v>
      </c>
      <c r="W2501" s="147">
        <v>1</v>
      </c>
      <c r="X2501" s="148" t="s">
        <v>163</v>
      </c>
      <c r="Y2501" s="54">
        <f>R2501*W2501</f>
        <v>49.9</v>
      </c>
      <c r="Z2501" s="52">
        <f>S2501*W2501</f>
        <v>41.239669421487605</v>
      </c>
      <c r="AA2501" s="52">
        <f>T2501*W2501</f>
        <v>8.660330578512395</v>
      </c>
      <c r="AB2501" s="52">
        <f>V2501*W2501</f>
        <v>0</v>
      </c>
      <c r="AC2501" s="53">
        <f>(R2501+V2501)*W2501</f>
        <v>49.9</v>
      </c>
      <c r="AD2501" s="138">
        <v>49.9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109</v>
      </c>
      <c r="F2502" s="96" t="s">
        <v>111</v>
      </c>
      <c r="G2502" s="97">
        <v>46132</v>
      </c>
      <c r="H2502" s="98">
        <v>0.6234027777777778</v>
      </c>
      <c r="I2502" s="50">
        <v>169002693</v>
      </c>
      <c r="J2502" s="96" t="s">
        <v>157</v>
      </c>
      <c r="K2502" s="49" t="s">
        <v>1085</v>
      </c>
      <c r="L2502" s="39" t="s">
        <v>1086</v>
      </c>
      <c r="M2502" s="49" t="s">
        <v>1087</v>
      </c>
      <c r="N2502" s="39" t="s">
        <v>1088</v>
      </c>
      <c r="O2502" s="96" t="s">
        <v>1089</v>
      </c>
      <c r="P2502" s="49" t="s">
        <v>157</v>
      </c>
      <c r="Q2502" s="96" t="s">
        <v>104</v>
      </c>
      <c r="R2502" s="52">
        <v>163.03</v>
      </c>
      <c r="S2502" s="52">
        <f>R2502-T2502</f>
        <v>145.5625</v>
      </c>
      <c r="T2502" s="52">
        <f>R2502*U2502/(U2502+100)</f>
        <v>17.4675</v>
      </c>
      <c r="U2502" s="50">
        <v>12</v>
      </c>
      <c r="V2502" s="53">
        <v>0</v>
      </c>
      <c r="W2502" s="147">
        <v>0.31</v>
      </c>
      <c r="X2502" s="148" t="s">
        <v>193</v>
      </c>
      <c r="Y2502" s="54">
        <f>R2502*W2502</f>
        <v>50.5393</v>
      </c>
      <c r="Z2502" s="52">
        <f>S2502*W2502</f>
        <v>45.124375</v>
      </c>
      <c r="AA2502" s="52">
        <f>T2502*W2502</f>
        <v>5.414925</v>
      </c>
      <c r="AB2502" s="52">
        <f>V2502*W2502</f>
        <v>0</v>
      </c>
      <c r="AC2502" s="53">
        <f>(R2502+V2502)*W2502</f>
        <v>50.5393</v>
      </c>
      <c r="AD2502" s="138">
        <v>232.9</v>
      </c>
      <c r="AE2502" s="137">
        <v>69.87</v>
      </c>
      <c r="AF2502" s="139">
        <v>21.6597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109</v>
      </c>
      <c r="F2503" s="96" t="s">
        <v>111</v>
      </c>
      <c r="G2503" s="97">
        <v>46132</v>
      </c>
      <c r="H2503" s="98">
        <v>0.6234027777777778</v>
      </c>
      <c r="I2503" s="50">
        <v>169002693</v>
      </c>
      <c r="J2503" s="96" t="s">
        <v>157</v>
      </c>
      <c r="K2503" s="49" t="s">
        <v>1759</v>
      </c>
      <c r="L2503" s="39" t="s">
        <v>1760</v>
      </c>
      <c r="M2503" s="49" t="s">
        <v>403</v>
      </c>
      <c r="N2503" s="39" t="s">
        <v>523</v>
      </c>
      <c r="O2503" s="96" t="s">
        <v>1761</v>
      </c>
      <c r="P2503" s="49" t="s">
        <v>235</v>
      </c>
      <c r="Q2503" s="96" t="s">
        <v>236</v>
      </c>
      <c r="R2503" s="52">
        <v>199</v>
      </c>
      <c r="S2503" s="52">
        <f>R2503-T2503</f>
        <v>177.67857142857142</v>
      </c>
      <c r="T2503" s="52">
        <f>R2503*U2503/(U2503+100)</f>
        <v>21.321428571428573</v>
      </c>
      <c r="U2503" s="50">
        <v>12</v>
      </c>
      <c r="V2503" s="53">
        <v>0</v>
      </c>
      <c r="W2503" s="147">
        <v>0.302</v>
      </c>
      <c r="X2503" s="148" t="s">
        <v>193</v>
      </c>
      <c r="Y2503" s="54">
        <f>R2503*W2503</f>
        <v>60.098</v>
      </c>
      <c r="Z2503" s="52">
        <f>S2503*W2503</f>
        <v>53.65892857142857</v>
      </c>
      <c r="AA2503" s="52">
        <f>T2503*W2503</f>
        <v>6.439071428571429</v>
      </c>
      <c r="AB2503" s="52">
        <f>V2503*W2503</f>
        <v>0</v>
      </c>
      <c r="AC2503" s="53">
        <f>(R2503+V2503)*W2503</f>
        <v>60.098</v>
      </c>
      <c r="AD2503" s="138">
        <v>199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109</v>
      </c>
      <c r="F2504" s="96" t="s">
        <v>111</v>
      </c>
      <c r="G2504" s="97">
        <v>46132</v>
      </c>
      <c r="H2504" s="98">
        <v>0.6234027777777778</v>
      </c>
      <c r="I2504" s="50">
        <v>169002693</v>
      </c>
      <c r="J2504" s="96" t="s">
        <v>157</v>
      </c>
      <c r="K2504" s="49" t="s">
        <v>1188</v>
      </c>
      <c r="L2504" s="39" t="s">
        <v>1189</v>
      </c>
      <c r="M2504" s="49" t="s">
        <v>522</v>
      </c>
      <c r="N2504" s="39" t="s">
        <v>688</v>
      </c>
      <c r="O2504" s="96" t="s">
        <v>1190</v>
      </c>
      <c r="P2504" s="49" t="s">
        <v>157</v>
      </c>
      <c r="Q2504" s="96" t="s">
        <v>104</v>
      </c>
      <c r="R2504" s="52">
        <v>154.9</v>
      </c>
      <c r="S2504" s="52">
        <f>R2504-T2504</f>
        <v>138.30357142857144</v>
      </c>
      <c r="T2504" s="52">
        <f>R2504*U2504/(U2504+100)</f>
        <v>16.59642857142857</v>
      </c>
      <c r="U2504" s="50">
        <v>12</v>
      </c>
      <c r="V2504" s="53">
        <v>0</v>
      </c>
      <c r="W2504" s="147">
        <v>0.198</v>
      </c>
      <c r="X2504" s="148" t="s">
        <v>193</v>
      </c>
      <c r="Y2504" s="54">
        <f>R2504*W2504</f>
        <v>30.6702</v>
      </c>
      <c r="Z2504" s="52">
        <f>S2504*W2504</f>
        <v>27.384107142857147</v>
      </c>
      <c r="AA2504" s="52">
        <f>T2504*W2504</f>
        <v>3.286092857142857</v>
      </c>
      <c r="AB2504" s="52">
        <f>V2504*W2504</f>
        <v>0</v>
      </c>
      <c r="AC2504" s="53">
        <f>(R2504+V2504)*W2504</f>
        <v>30.6702</v>
      </c>
      <c r="AD2504" s="138">
        <v>154.9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109</v>
      </c>
      <c r="F2505" s="96" t="s">
        <v>111</v>
      </c>
      <c r="G2505" s="97">
        <v>46132</v>
      </c>
      <c r="H2505" s="98">
        <v>0.6234027777777778</v>
      </c>
      <c r="I2505" s="50">
        <v>169002693</v>
      </c>
      <c r="J2505" s="96" t="s">
        <v>157</v>
      </c>
      <c r="K2505" s="49" t="s">
        <v>293</v>
      </c>
      <c r="L2505" s="39" t="s">
        <v>294</v>
      </c>
      <c r="M2505" s="49" t="s">
        <v>295</v>
      </c>
      <c r="N2505" s="39" t="s">
        <v>296</v>
      </c>
      <c r="O2505" s="96" t="s">
        <v>297</v>
      </c>
      <c r="P2505" s="49" t="s">
        <v>157</v>
      </c>
      <c r="Q2505" s="96" t="s">
        <v>104</v>
      </c>
      <c r="R2505" s="52">
        <v>2.9</v>
      </c>
      <c r="S2505" s="52">
        <f>R2505-T2505</f>
        <v>2.5892857142857144</v>
      </c>
      <c r="T2505" s="52">
        <f>R2505*U2505/(U2505+100)</f>
        <v>0.31071428571428567</v>
      </c>
      <c r="U2505" s="50">
        <v>12</v>
      </c>
      <c r="V2505" s="53">
        <v>0</v>
      </c>
      <c r="W2505" s="147">
        <v>6</v>
      </c>
      <c r="X2505" s="148" t="s">
        <v>163</v>
      </c>
      <c r="Y2505" s="54">
        <f>R2505*W2505</f>
        <v>17.4</v>
      </c>
      <c r="Z2505" s="52">
        <f>S2505*W2505</f>
        <v>15.535714285714286</v>
      </c>
      <c r="AA2505" s="52">
        <f>T2505*W2505</f>
        <v>1.8642857142857139</v>
      </c>
      <c r="AB2505" s="52">
        <f>V2505*W2505</f>
        <v>0</v>
      </c>
      <c r="AC2505" s="53">
        <f>(R2505+V2505)*W2505</f>
        <v>17.4</v>
      </c>
      <c r="AD2505" s="138">
        <v>2.9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109</v>
      </c>
      <c r="F2506" s="96" t="s">
        <v>111</v>
      </c>
      <c r="G2506" s="97">
        <v>46132</v>
      </c>
      <c r="H2506" s="98">
        <v>0.6234027777777778</v>
      </c>
      <c r="I2506" s="50">
        <v>169002693</v>
      </c>
      <c r="J2506" s="96" t="s">
        <v>157</v>
      </c>
      <c r="K2506" s="49" t="s">
        <v>1531</v>
      </c>
      <c r="L2506" s="39"/>
      <c r="M2506" s="49" t="s">
        <v>295</v>
      </c>
      <c r="N2506" s="39" t="s">
        <v>433</v>
      </c>
      <c r="O2506" s="96" t="s">
        <v>1532</v>
      </c>
      <c r="P2506" s="49" t="s">
        <v>235</v>
      </c>
      <c r="Q2506" s="96" t="s">
        <v>1533</v>
      </c>
      <c r="R2506" s="52">
        <v>19.9</v>
      </c>
      <c r="S2506" s="52">
        <f>R2506-T2506</f>
        <v>17.767857142857142</v>
      </c>
      <c r="T2506" s="52">
        <f>R2506*U2506/(U2506+100)</f>
        <v>2.132142857142857</v>
      </c>
      <c r="U2506" s="50">
        <v>12</v>
      </c>
      <c r="V2506" s="53">
        <v>0</v>
      </c>
      <c r="W2506" s="147">
        <v>1</v>
      </c>
      <c r="X2506" s="148" t="s">
        <v>945</v>
      </c>
      <c r="Y2506" s="54">
        <f>R2506*W2506</f>
        <v>19.9</v>
      </c>
      <c r="Z2506" s="52">
        <f>S2506*W2506</f>
        <v>17.767857142857142</v>
      </c>
      <c r="AA2506" s="52">
        <f>T2506*W2506</f>
        <v>2.132142857142857</v>
      </c>
      <c r="AB2506" s="52">
        <f>V2506*W2506</f>
        <v>0</v>
      </c>
      <c r="AC2506" s="53">
        <f>(R2506+V2506)*W2506</f>
        <v>19.9</v>
      </c>
      <c r="AD2506" s="138">
        <v>19.9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109</v>
      </c>
      <c r="F2507" s="96" t="s">
        <v>111</v>
      </c>
      <c r="G2507" s="97">
        <v>46132</v>
      </c>
      <c r="H2507" s="98">
        <v>0.6242361111111111</v>
      </c>
      <c r="I2507" s="50">
        <v>169002694</v>
      </c>
      <c r="J2507" s="96" t="s">
        <v>157</v>
      </c>
      <c r="K2507" s="49" t="s">
        <v>1688</v>
      </c>
      <c r="L2507" s="39" t="s">
        <v>1689</v>
      </c>
      <c r="M2507" s="49" t="s">
        <v>862</v>
      </c>
      <c r="N2507" s="39" t="s">
        <v>863</v>
      </c>
      <c r="O2507" s="96" t="s">
        <v>1690</v>
      </c>
      <c r="P2507" s="49" t="s">
        <v>157</v>
      </c>
      <c r="Q2507" s="96" t="s">
        <v>104</v>
      </c>
      <c r="R2507" s="52">
        <v>159</v>
      </c>
      <c r="S2507" s="52">
        <f>R2507-T2507</f>
        <v>131.40495867768595</v>
      </c>
      <c r="T2507" s="52">
        <f>R2507*U2507/(U2507+100)</f>
        <v>27.59504132231405</v>
      </c>
      <c r="U2507" s="50">
        <v>21</v>
      </c>
      <c r="V2507" s="53">
        <v>0</v>
      </c>
      <c r="W2507" s="147">
        <v>1</v>
      </c>
      <c r="X2507" s="148" t="s">
        <v>163</v>
      </c>
      <c r="Y2507" s="54">
        <f>R2507*W2507</f>
        <v>159</v>
      </c>
      <c r="Z2507" s="52">
        <f>S2507*W2507</f>
        <v>131.40495867768595</v>
      </c>
      <c r="AA2507" s="52">
        <f>T2507*W2507</f>
        <v>27.59504132231405</v>
      </c>
      <c r="AB2507" s="52">
        <f>V2507*W2507</f>
        <v>0</v>
      </c>
      <c r="AC2507" s="53">
        <f>(R2507+V2507)*W2507</f>
        <v>159</v>
      </c>
      <c r="AD2507" s="138">
        <v>159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109</v>
      </c>
      <c r="F2508" s="96" t="s">
        <v>111</v>
      </c>
      <c r="G2508" s="97">
        <v>46132</v>
      </c>
      <c r="H2508" s="98">
        <v>0.6242361111111111</v>
      </c>
      <c r="I2508" s="50">
        <v>169002694</v>
      </c>
      <c r="J2508" s="96" t="s">
        <v>157</v>
      </c>
      <c r="K2508" s="49" t="s">
        <v>1531</v>
      </c>
      <c r="L2508" s="39"/>
      <c r="M2508" s="49" t="s">
        <v>295</v>
      </c>
      <c r="N2508" s="39" t="s">
        <v>433</v>
      </c>
      <c r="O2508" s="96" t="s">
        <v>1532</v>
      </c>
      <c r="P2508" s="49" t="s">
        <v>235</v>
      </c>
      <c r="Q2508" s="96" t="s">
        <v>1533</v>
      </c>
      <c r="R2508" s="52">
        <v>19.9</v>
      </c>
      <c r="S2508" s="52">
        <f>R2508-T2508</f>
        <v>17.767857142857142</v>
      </c>
      <c r="T2508" s="52">
        <f>R2508*U2508/(U2508+100)</f>
        <v>2.132142857142857</v>
      </c>
      <c r="U2508" s="50">
        <v>12</v>
      </c>
      <c r="V2508" s="53">
        <v>0</v>
      </c>
      <c r="W2508" s="147">
        <v>1</v>
      </c>
      <c r="X2508" s="148" t="s">
        <v>945</v>
      </c>
      <c r="Y2508" s="54">
        <f>R2508*W2508</f>
        <v>19.9</v>
      </c>
      <c r="Z2508" s="52">
        <f>S2508*W2508</f>
        <v>17.767857142857142</v>
      </c>
      <c r="AA2508" s="52">
        <f>T2508*W2508</f>
        <v>2.132142857142857</v>
      </c>
      <c r="AB2508" s="52">
        <f>V2508*W2508</f>
        <v>0</v>
      </c>
      <c r="AC2508" s="53">
        <f>(R2508+V2508)*W2508</f>
        <v>19.9</v>
      </c>
      <c r="AD2508" s="138">
        <v>19.9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109</v>
      </c>
      <c r="F2509" s="96" t="s">
        <v>111</v>
      </c>
      <c r="G2509" s="97">
        <v>46132</v>
      </c>
      <c r="H2509" s="98">
        <v>0.6243981481481482</v>
      </c>
      <c r="I2509" s="50">
        <v>169002695</v>
      </c>
      <c r="J2509" s="96" t="s">
        <v>157</v>
      </c>
      <c r="K2509" s="49" t="s">
        <v>3481</v>
      </c>
      <c r="L2509" s="39" t="s">
        <v>3482</v>
      </c>
      <c r="M2509" s="49" t="s">
        <v>1095</v>
      </c>
      <c r="N2509" s="39" t="s">
        <v>348</v>
      </c>
      <c r="O2509" s="96" t="s">
        <v>3483</v>
      </c>
      <c r="P2509" s="49" t="s">
        <v>157</v>
      </c>
      <c r="Q2509" s="96" t="s">
        <v>104</v>
      </c>
      <c r="R2509" s="52">
        <v>14.9</v>
      </c>
      <c r="S2509" s="52">
        <f>R2509-T2509</f>
        <v>13.303571428571429</v>
      </c>
      <c r="T2509" s="52">
        <f>R2509*U2509/(U2509+100)</f>
        <v>1.5964285714285715</v>
      </c>
      <c r="U2509" s="50">
        <v>12</v>
      </c>
      <c r="V2509" s="53">
        <v>0</v>
      </c>
      <c r="W2509" s="147">
        <v>1</v>
      </c>
      <c r="X2509" s="148" t="s">
        <v>163</v>
      </c>
      <c r="Y2509" s="54">
        <f>R2509*W2509</f>
        <v>14.9</v>
      </c>
      <c r="Z2509" s="52">
        <f>S2509*W2509</f>
        <v>13.303571428571429</v>
      </c>
      <c r="AA2509" s="52">
        <f>T2509*W2509</f>
        <v>1.5964285714285715</v>
      </c>
      <c r="AB2509" s="52">
        <f>V2509*W2509</f>
        <v>0</v>
      </c>
      <c r="AC2509" s="53">
        <f>(R2509+V2509)*W2509</f>
        <v>14.9</v>
      </c>
      <c r="AD2509" s="138">
        <v>14.9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109</v>
      </c>
      <c r="F2510" s="96" t="s">
        <v>111</v>
      </c>
      <c r="G2510" s="97">
        <v>46132</v>
      </c>
      <c r="H2510" s="98">
        <v>0.6243981481481482</v>
      </c>
      <c r="I2510" s="50">
        <v>169002695</v>
      </c>
      <c r="J2510" s="96" t="s">
        <v>157</v>
      </c>
      <c r="K2510" s="49" t="s">
        <v>3481</v>
      </c>
      <c r="L2510" s="39" t="s">
        <v>3482</v>
      </c>
      <c r="M2510" s="49" t="s">
        <v>1095</v>
      </c>
      <c r="N2510" s="39" t="s">
        <v>348</v>
      </c>
      <c r="O2510" s="96" t="s">
        <v>3483</v>
      </c>
      <c r="P2510" s="49" t="s">
        <v>157</v>
      </c>
      <c r="Q2510" s="96" t="s">
        <v>104</v>
      </c>
      <c r="R2510" s="52">
        <v>14.9</v>
      </c>
      <c r="S2510" s="52">
        <f>R2510-T2510</f>
        <v>13.303571428571429</v>
      </c>
      <c r="T2510" s="52">
        <f>R2510*U2510/(U2510+100)</f>
        <v>1.5964285714285715</v>
      </c>
      <c r="U2510" s="50">
        <v>12</v>
      </c>
      <c r="V2510" s="53">
        <v>0</v>
      </c>
      <c r="W2510" s="147">
        <v>1</v>
      </c>
      <c r="X2510" s="148" t="s">
        <v>163</v>
      </c>
      <c r="Y2510" s="54">
        <f>R2510*W2510</f>
        <v>14.9</v>
      </c>
      <c r="Z2510" s="52">
        <f>S2510*W2510</f>
        <v>13.303571428571429</v>
      </c>
      <c r="AA2510" s="52">
        <f>T2510*W2510</f>
        <v>1.5964285714285715</v>
      </c>
      <c r="AB2510" s="52">
        <f>V2510*W2510</f>
        <v>0</v>
      </c>
      <c r="AC2510" s="53">
        <f>(R2510+V2510)*W2510</f>
        <v>14.9</v>
      </c>
      <c r="AD2510" s="138">
        <v>14.9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109</v>
      </c>
      <c r="F2511" s="96" t="s">
        <v>111</v>
      </c>
      <c r="G2511" s="97">
        <v>46132</v>
      </c>
      <c r="H2511" s="98">
        <v>0.6243981481481482</v>
      </c>
      <c r="I2511" s="50">
        <v>169002695</v>
      </c>
      <c r="J2511" s="96" t="s">
        <v>157</v>
      </c>
      <c r="K2511" s="49" t="s">
        <v>3484</v>
      </c>
      <c r="L2511" s="39" t="s">
        <v>3485</v>
      </c>
      <c r="M2511" s="49" t="s">
        <v>1941</v>
      </c>
      <c r="N2511" s="39" t="s">
        <v>1075</v>
      </c>
      <c r="O2511" s="96" t="s">
        <v>3486</v>
      </c>
      <c r="P2511" s="49" t="s">
        <v>157</v>
      </c>
      <c r="Q2511" s="96" t="s">
        <v>104</v>
      </c>
      <c r="R2511" s="52">
        <v>11.9</v>
      </c>
      <c r="S2511" s="52">
        <f>R2511-T2511</f>
        <v>9.834710743801653</v>
      </c>
      <c r="T2511" s="52">
        <f>R2511*U2511/(U2511+100)</f>
        <v>2.0652892561983474</v>
      </c>
      <c r="U2511" s="50">
        <v>21</v>
      </c>
      <c r="V2511" s="53">
        <v>0</v>
      </c>
      <c r="W2511" s="147">
        <v>1</v>
      </c>
      <c r="X2511" s="148" t="s">
        <v>163</v>
      </c>
      <c r="Y2511" s="54">
        <f>R2511*W2511</f>
        <v>11.9</v>
      </c>
      <c r="Z2511" s="52">
        <f>S2511*W2511</f>
        <v>9.834710743801653</v>
      </c>
      <c r="AA2511" s="52">
        <f>T2511*W2511</f>
        <v>2.0652892561983474</v>
      </c>
      <c r="AB2511" s="52">
        <f>V2511*W2511</f>
        <v>0</v>
      </c>
      <c r="AC2511" s="53">
        <f>(R2511+V2511)*W2511</f>
        <v>11.9</v>
      </c>
      <c r="AD2511" s="138">
        <v>11.9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109</v>
      </c>
      <c r="F2512" s="96" t="s">
        <v>111</v>
      </c>
      <c r="G2512" s="97">
        <v>46132</v>
      </c>
      <c r="H2512" s="98">
        <v>0.6249305555555555</v>
      </c>
      <c r="I2512" s="50">
        <v>169002696</v>
      </c>
      <c r="J2512" s="96" t="s">
        <v>157</v>
      </c>
      <c r="K2512" s="49" t="s">
        <v>895</v>
      </c>
      <c r="L2512" s="39" t="s">
        <v>896</v>
      </c>
      <c r="M2512" s="49" t="s">
        <v>282</v>
      </c>
      <c r="N2512" s="39" t="s">
        <v>210</v>
      </c>
      <c r="O2512" s="96" t="s">
        <v>3487</v>
      </c>
      <c r="P2512" s="49" t="s">
        <v>157</v>
      </c>
      <c r="Q2512" s="96" t="s">
        <v>104</v>
      </c>
      <c r="R2512" s="52">
        <v>22.9</v>
      </c>
      <c r="S2512" s="52">
        <f>R2512-T2512</f>
        <v>20.44642857142857</v>
      </c>
      <c r="T2512" s="52">
        <f>R2512*U2512/(U2512+100)</f>
        <v>2.4535714285714283</v>
      </c>
      <c r="U2512" s="50">
        <v>12</v>
      </c>
      <c r="V2512" s="53">
        <v>0</v>
      </c>
      <c r="W2512" s="147">
        <v>1</v>
      </c>
      <c r="X2512" s="148" t="s">
        <v>163</v>
      </c>
      <c r="Y2512" s="54">
        <f>R2512*W2512</f>
        <v>22.9</v>
      </c>
      <c r="Z2512" s="52">
        <f>S2512*W2512</f>
        <v>20.44642857142857</v>
      </c>
      <c r="AA2512" s="52">
        <f>T2512*W2512</f>
        <v>2.4535714285714283</v>
      </c>
      <c r="AB2512" s="52">
        <f>V2512*W2512</f>
        <v>0</v>
      </c>
      <c r="AC2512" s="53">
        <f>(R2512+V2512)*W2512</f>
        <v>22.9</v>
      </c>
      <c r="AD2512" s="138">
        <v>22.9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109</v>
      </c>
      <c r="F2513" s="96" t="s">
        <v>111</v>
      </c>
      <c r="G2513" s="97">
        <v>46132</v>
      </c>
      <c r="H2513" s="98">
        <v>0.6249305555555555</v>
      </c>
      <c r="I2513" s="50">
        <v>169002696</v>
      </c>
      <c r="J2513" s="96" t="s">
        <v>157</v>
      </c>
      <c r="K2513" s="49" t="s">
        <v>3488</v>
      </c>
      <c r="L2513" s="39" t="s">
        <v>3489</v>
      </c>
      <c r="M2513" s="49" t="s">
        <v>837</v>
      </c>
      <c r="N2513" s="39" t="s">
        <v>838</v>
      </c>
      <c r="O2513" s="96" t="s">
        <v>3490</v>
      </c>
      <c r="P2513" s="49" t="s">
        <v>157</v>
      </c>
      <c r="Q2513" s="96" t="s">
        <v>104</v>
      </c>
      <c r="R2513" s="52">
        <v>99.9</v>
      </c>
      <c r="S2513" s="52">
        <f>R2513-T2513</f>
        <v>89.19642857142857</v>
      </c>
      <c r="T2513" s="52">
        <f>R2513*U2513/(U2513+100)</f>
        <v>10.703571428571431</v>
      </c>
      <c r="U2513" s="50">
        <v>12</v>
      </c>
      <c r="V2513" s="53">
        <v>0</v>
      </c>
      <c r="W2513" s="147">
        <v>1</v>
      </c>
      <c r="X2513" s="148" t="s">
        <v>163</v>
      </c>
      <c r="Y2513" s="54">
        <f>R2513*W2513</f>
        <v>99.9</v>
      </c>
      <c r="Z2513" s="52">
        <f>S2513*W2513</f>
        <v>89.19642857142857</v>
      </c>
      <c r="AA2513" s="52">
        <f>T2513*W2513</f>
        <v>10.703571428571431</v>
      </c>
      <c r="AB2513" s="52">
        <f>V2513*W2513</f>
        <v>0</v>
      </c>
      <c r="AC2513" s="53">
        <f>(R2513+V2513)*W2513</f>
        <v>99.9</v>
      </c>
      <c r="AD2513" s="138">
        <v>99.9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109</v>
      </c>
      <c r="F2514" s="96" t="s">
        <v>111</v>
      </c>
      <c r="G2514" s="97">
        <v>46132</v>
      </c>
      <c r="H2514" s="98">
        <v>0.6249305555555555</v>
      </c>
      <c r="I2514" s="50">
        <v>169002696</v>
      </c>
      <c r="J2514" s="96" t="s">
        <v>157</v>
      </c>
      <c r="K2514" s="49" t="s">
        <v>3491</v>
      </c>
      <c r="L2514" s="39" t="s">
        <v>3492</v>
      </c>
      <c r="M2514" s="49" t="s">
        <v>232</v>
      </c>
      <c r="N2514" s="39" t="s">
        <v>233</v>
      </c>
      <c r="O2514" s="96" t="s">
        <v>3493</v>
      </c>
      <c r="P2514" s="49" t="s">
        <v>157</v>
      </c>
      <c r="Q2514" s="96" t="s">
        <v>104</v>
      </c>
      <c r="R2514" s="52">
        <v>19.9</v>
      </c>
      <c r="S2514" s="52">
        <f>R2514-T2514</f>
        <v>16.446280991735534</v>
      </c>
      <c r="T2514" s="52">
        <f>R2514*U2514/(U2514+100)</f>
        <v>3.4537190082644624</v>
      </c>
      <c r="U2514" s="50">
        <v>21</v>
      </c>
      <c r="V2514" s="53">
        <v>0</v>
      </c>
      <c r="W2514" s="147">
        <v>1</v>
      </c>
      <c r="X2514" s="148" t="s">
        <v>163</v>
      </c>
      <c r="Y2514" s="54">
        <f>R2514*W2514</f>
        <v>19.9</v>
      </c>
      <c r="Z2514" s="52">
        <f>S2514*W2514</f>
        <v>16.446280991735534</v>
      </c>
      <c r="AA2514" s="52">
        <f>T2514*W2514</f>
        <v>3.4537190082644624</v>
      </c>
      <c r="AB2514" s="52">
        <f>V2514*W2514</f>
        <v>0</v>
      </c>
      <c r="AC2514" s="53">
        <f>(R2514+V2514)*W2514</f>
        <v>19.9</v>
      </c>
      <c r="AD2514" s="138">
        <v>19.9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109</v>
      </c>
      <c r="F2515" s="96" t="s">
        <v>111</v>
      </c>
      <c r="G2515" s="97">
        <v>46132</v>
      </c>
      <c r="H2515" s="98">
        <v>0.6249305555555555</v>
      </c>
      <c r="I2515" s="50">
        <v>169002696</v>
      </c>
      <c r="J2515" s="96" t="s">
        <v>157</v>
      </c>
      <c r="K2515" s="49" t="s">
        <v>1037</v>
      </c>
      <c r="L2515" s="39" t="s">
        <v>1038</v>
      </c>
      <c r="M2515" s="49" t="s">
        <v>185</v>
      </c>
      <c r="N2515" s="39" t="s">
        <v>433</v>
      </c>
      <c r="O2515" s="96" t="s">
        <v>1039</v>
      </c>
      <c r="P2515" s="49" t="s">
        <v>157</v>
      </c>
      <c r="Q2515" s="96" t="s">
        <v>104</v>
      </c>
      <c r="R2515" s="52">
        <v>29.9</v>
      </c>
      <c r="S2515" s="52">
        <f>R2515-T2515</f>
        <v>26.69642857142857</v>
      </c>
      <c r="T2515" s="52">
        <f>R2515*U2515/(U2515+100)</f>
        <v>3.2035714285714283</v>
      </c>
      <c r="U2515" s="50">
        <v>12</v>
      </c>
      <c r="V2515" s="53">
        <v>0</v>
      </c>
      <c r="W2515" s="147">
        <v>1</v>
      </c>
      <c r="X2515" s="148" t="s">
        <v>163</v>
      </c>
      <c r="Y2515" s="54">
        <f>R2515*W2515</f>
        <v>29.9</v>
      </c>
      <c r="Z2515" s="52">
        <f>S2515*W2515</f>
        <v>26.69642857142857</v>
      </c>
      <c r="AA2515" s="52">
        <f>T2515*W2515</f>
        <v>3.2035714285714283</v>
      </c>
      <c r="AB2515" s="52">
        <f>V2515*W2515</f>
        <v>0</v>
      </c>
      <c r="AC2515" s="53">
        <f>(R2515+V2515)*W2515</f>
        <v>29.9</v>
      </c>
      <c r="AD2515" s="138">
        <v>29.9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109</v>
      </c>
      <c r="F2516" s="96" t="s">
        <v>111</v>
      </c>
      <c r="G2516" s="97">
        <v>46132</v>
      </c>
      <c r="H2516" s="98">
        <v>0.6249305555555555</v>
      </c>
      <c r="I2516" s="50">
        <v>169002696</v>
      </c>
      <c r="J2516" s="96" t="s">
        <v>157</v>
      </c>
      <c r="K2516" s="49" t="s">
        <v>1343</v>
      </c>
      <c r="L2516" s="39" t="s">
        <v>1344</v>
      </c>
      <c r="M2516" s="49" t="s">
        <v>522</v>
      </c>
      <c r="N2516" s="39" t="s">
        <v>440</v>
      </c>
      <c r="O2516" s="96" t="s">
        <v>1345</v>
      </c>
      <c r="P2516" s="49" t="s">
        <v>157</v>
      </c>
      <c r="Q2516" s="96" t="s">
        <v>104</v>
      </c>
      <c r="R2516" s="52">
        <v>199.9</v>
      </c>
      <c r="S2516" s="52">
        <f>R2516-T2516</f>
        <v>178.48214285714286</v>
      </c>
      <c r="T2516" s="52">
        <f>R2516*U2516/(U2516+100)</f>
        <v>21.417857142857144</v>
      </c>
      <c r="U2516" s="50">
        <v>12</v>
      </c>
      <c r="V2516" s="53">
        <v>0</v>
      </c>
      <c r="W2516" s="147">
        <v>0.094</v>
      </c>
      <c r="X2516" s="148" t="s">
        <v>193</v>
      </c>
      <c r="Y2516" s="54">
        <f>R2516*W2516</f>
        <v>18.7906</v>
      </c>
      <c r="Z2516" s="52">
        <f>S2516*W2516</f>
        <v>16.77732142857143</v>
      </c>
      <c r="AA2516" s="52">
        <f>T2516*W2516</f>
        <v>2.0132785714285717</v>
      </c>
      <c r="AB2516" s="52">
        <f>V2516*W2516</f>
        <v>0</v>
      </c>
      <c r="AC2516" s="53">
        <f>(R2516+V2516)*W2516</f>
        <v>18.7906</v>
      </c>
      <c r="AD2516" s="138">
        <v>199.9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109</v>
      </c>
      <c r="F2517" s="96" t="s">
        <v>111</v>
      </c>
      <c r="G2517" s="97">
        <v>46132</v>
      </c>
      <c r="H2517" s="98">
        <v>0.6249305555555555</v>
      </c>
      <c r="I2517" s="50">
        <v>169002696</v>
      </c>
      <c r="J2517" s="96" t="s">
        <v>157</v>
      </c>
      <c r="K2517" s="49" t="s">
        <v>406</v>
      </c>
      <c r="L2517" s="39" t="s">
        <v>407</v>
      </c>
      <c r="M2517" s="49" t="s">
        <v>277</v>
      </c>
      <c r="N2517" s="39" t="s">
        <v>408</v>
      </c>
      <c r="O2517" s="96" t="s">
        <v>409</v>
      </c>
      <c r="P2517" s="49" t="s">
        <v>157</v>
      </c>
      <c r="Q2517" s="96" t="s">
        <v>104</v>
      </c>
      <c r="R2517" s="52">
        <v>259.9</v>
      </c>
      <c r="S2517" s="52">
        <f>R2517-T2517</f>
        <v>232.05357142857142</v>
      </c>
      <c r="T2517" s="52">
        <f>R2517*U2517/(U2517+100)</f>
        <v>27.846428571428568</v>
      </c>
      <c r="U2517" s="50">
        <v>12</v>
      </c>
      <c r="V2517" s="53">
        <v>0</v>
      </c>
      <c r="W2517" s="147">
        <v>0.196</v>
      </c>
      <c r="X2517" s="148" t="s">
        <v>410</v>
      </c>
      <c r="Y2517" s="54">
        <f>R2517*W2517</f>
        <v>50.9404</v>
      </c>
      <c r="Z2517" s="52">
        <f>S2517*W2517</f>
        <v>45.4825</v>
      </c>
      <c r="AA2517" s="52">
        <f>T2517*W2517</f>
        <v>5.4578999999999995</v>
      </c>
      <c r="AB2517" s="52">
        <f>V2517*W2517</f>
        <v>0</v>
      </c>
      <c r="AC2517" s="53">
        <f>(R2517+V2517)*W2517</f>
        <v>50.9404</v>
      </c>
      <c r="AD2517" s="138">
        <v>259.9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109</v>
      </c>
      <c r="F2518" s="96" t="s">
        <v>111</v>
      </c>
      <c r="G2518" s="97">
        <v>46132</v>
      </c>
      <c r="H2518" s="98">
        <v>0.6255555555555555</v>
      </c>
      <c r="I2518" s="50">
        <v>169002697</v>
      </c>
      <c r="J2518" s="96" t="s">
        <v>157</v>
      </c>
      <c r="K2518" s="49" t="s">
        <v>749</v>
      </c>
      <c r="L2518" s="39" t="s">
        <v>750</v>
      </c>
      <c r="M2518" s="49" t="s">
        <v>277</v>
      </c>
      <c r="N2518" s="39" t="s">
        <v>751</v>
      </c>
      <c r="O2518" s="96" t="s">
        <v>3494</v>
      </c>
      <c r="P2518" s="49" t="s">
        <v>235</v>
      </c>
      <c r="Q2518" s="96" t="s">
        <v>753</v>
      </c>
      <c r="R2518" s="52">
        <v>34.9</v>
      </c>
      <c r="S2518" s="52">
        <f>R2518-T2518</f>
        <v>31.160714285714285</v>
      </c>
      <c r="T2518" s="52">
        <f>R2518*U2518/(U2518+100)</f>
        <v>3.739285714285714</v>
      </c>
      <c r="U2518" s="50">
        <v>12</v>
      </c>
      <c r="V2518" s="53">
        <v>0</v>
      </c>
      <c r="W2518" s="147">
        <v>1</v>
      </c>
      <c r="X2518" s="148" t="s">
        <v>163</v>
      </c>
      <c r="Y2518" s="54">
        <f>R2518*W2518</f>
        <v>34.9</v>
      </c>
      <c r="Z2518" s="52">
        <f>S2518*W2518</f>
        <v>31.160714285714285</v>
      </c>
      <c r="AA2518" s="52">
        <f>T2518*W2518</f>
        <v>3.739285714285714</v>
      </c>
      <c r="AB2518" s="52">
        <f>V2518*W2518</f>
        <v>0</v>
      </c>
      <c r="AC2518" s="53">
        <f>(R2518+V2518)*W2518</f>
        <v>34.9</v>
      </c>
      <c r="AD2518" s="138">
        <v>34.9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109</v>
      </c>
      <c r="F2519" s="96" t="s">
        <v>111</v>
      </c>
      <c r="G2519" s="97">
        <v>46132</v>
      </c>
      <c r="H2519" s="98">
        <v>0.6255555555555555</v>
      </c>
      <c r="I2519" s="50">
        <v>169002697</v>
      </c>
      <c r="J2519" s="96" t="s">
        <v>157</v>
      </c>
      <c r="K2519" s="49" t="s">
        <v>507</v>
      </c>
      <c r="L2519" s="39" t="s">
        <v>508</v>
      </c>
      <c r="M2519" s="49" t="s">
        <v>509</v>
      </c>
      <c r="N2519" s="39" t="s">
        <v>256</v>
      </c>
      <c r="O2519" s="96" t="s">
        <v>1024</v>
      </c>
      <c r="P2519" s="49" t="s">
        <v>235</v>
      </c>
      <c r="Q2519" s="96" t="s">
        <v>236</v>
      </c>
      <c r="R2519" s="52">
        <v>15.9</v>
      </c>
      <c r="S2519" s="52">
        <f>R2519-T2519</f>
        <v>13.140495867768596</v>
      </c>
      <c r="T2519" s="52">
        <f>R2519*U2519/(U2519+100)</f>
        <v>2.759504132231405</v>
      </c>
      <c r="U2519" s="50">
        <v>21</v>
      </c>
      <c r="V2519" s="53">
        <v>0</v>
      </c>
      <c r="W2519" s="147">
        <v>1</v>
      </c>
      <c r="X2519" s="148" t="s">
        <v>163</v>
      </c>
      <c r="Y2519" s="54">
        <f>R2519*W2519</f>
        <v>15.9</v>
      </c>
      <c r="Z2519" s="52">
        <f>S2519*W2519</f>
        <v>13.140495867768596</v>
      </c>
      <c r="AA2519" s="52">
        <f>T2519*W2519</f>
        <v>2.759504132231405</v>
      </c>
      <c r="AB2519" s="52">
        <f>V2519*W2519</f>
        <v>0</v>
      </c>
      <c r="AC2519" s="53">
        <f>(R2519+V2519)*W2519</f>
        <v>15.9</v>
      </c>
      <c r="AD2519" s="138">
        <v>15.9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109</v>
      </c>
      <c r="F2520" s="96" t="s">
        <v>111</v>
      </c>
      <c r="G2520" s="97">
        <v>46132</v>
      </c>
      <c r="H2520" s="98">
        <v>0.6255555555555555</v>
      </c>
      <c r="I2520" s="50">
        <v>169002697</v>
      </c>
      <c r="J2520" s="96" t="s">
        <v>157</v>
      </c>
      <c r="K2520" s="49" t="s">
        <v>2715</v>
      </c>
      <c r="L2520" s="39" t="s">
        <v>2716</v>
      </c>
      <c r="M2520" s="49" t="s">
        <v>185</v>
      </c>
      <c r="N2520" s="39" t="s">
        <v>440</v>
      </c>
      <c r="O2520" s="96" t="s">
        <v>2717</v>
      </c>
      <c r="P2520" s="49" t="s">
        <v>157</v>
      </c>
      <c r="Q2520" s="96" t="s">
        <v>104</v>
      </c>
      <c r="R2520" s="52">
        <v>27.9</v>
      </c>
      <c r="S2520" s="52">
        <f>R2520-T2520</f>
        <v>24.910714285714285</v>
      </c>
      <c r="T2520" s="52">
        <f>R2520*U2520/(U2520+100)</f>
        <v>2.989285714285714</v>
      </c>
      <c r="U2520" s="50">
        <v>12</v>
      </c>
      <c r="V2520" s="53">
        <v>0</v>
      </c>
      <c r="W2520" s="147">
        <v>1</v>
      </c>
      <c r="X2520" s="148" t="s">
        <v>163</v>
      </c>
      <c r="Y2520" s="54">
        <f>R2520*W2520</f>
        <v>27.9</v>
      </c>
      <c r="Z2520" s="52">
        <f>S2520*W2520</f>
        <v>24.910714285714285</v>
      </c>
      <c r="AA2520" s="52">
        <f>T2520*W2520</f>
        <v>2.989285714285714</v>
      </c>
      <c r="AB2520" s="52">
        <f>V2520*W2520</f>
        <v>0</v>
      </c>
      <c r="AC2520" s="53">
        <f>(R2520+V2520)*W2520</f>
        <v>27.9</v>
      </c>
      <c r="AD2520" s="138">
        <v>27.9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109</v>
      </c>
      <c r="F2521" s="96" t="s">
        <v>111</v>
      </c>
      <c r="G2521" s="97">
        <v>46132</v>
      </c>
      <c r="H2521" s="98">
        <v>0.633287037037037</v>
      </c>
      <c r="I2521" s="50">
        <v>169002698</v>
      </c>
      <c r="J2521" s="96" t="s">
        <v>157</v>
      </c>
      <c r="K2521" s="49" t="s">
        <v>1196</v>
      </c>
      <c r="L2521" s="39" t="s">
        <v>1197</v>
      </c>
      <c r="M2521" s="49" t="s">
        <v>425</v>
      </c>
      <c r="N2521" s="39" t="s">
        <v>172</v>
      </c>
      <c r="O2521" s="96" t="s">
        <v>1198</v>
      </c>
      <c r="P2521" s="49" t="s">
        <v>157</v>
      </c>
      <c r="Q2521" s="96" t="s">
        <v>104</v>
      </c>
      <c r="R2521" s="52">
        <v>15.9</v>
      </c>
      <c r="S2521" s="52">
        <f>R2521-T2521</f>
        <v>14.196428571428571</v>
      </c>
      <c r="T2521" s="52">
        <f>R2521*U2521/(U2521+100)</f>
        <v>1.7035714285714287</v>
      </c>
      <c r="U2521" s="50">
        <v>12</v>
      </c>
      <c r="V2521" s="53">
        <v>0</v>
      </c>
      <c r="W2521" s="147">
        <v>1</v>
      </c>
      <c r="X2521" s="148" t="s">
        <v>163</v>
      </c>
      <c r="Y2521" s="54">
        <f>R2521*W2521</f>
        <v>15.9</v>
      </c>
      <c r="Z2521" s="52">
        <f>S2521*W2521</f>
        <v>14.196428571428571</v>
      </c>
      <c r="AA2521" s="52">
        <f>T2521*W2521</f>
        <v>1.7035714285714287</v>
      </c>
      <c r="AB2521" s="52">
        <f>V2521*W2521</f>
        <v>0</v>
      </c>
      <c r="AC2521" s="53">
        <f>(R2521+V2521)*W2521</f>
        <v>15.9</v>
      </c>
      <c r="AD2521" s="138">
        <v>15.9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109</v>
      </c>
      <c r="F2522" s="96" t="s">
        <v>111</v>
      </c>
      <c r="G2522" s="97">
        <v>46132</v>
      </c>
      <c r="H2522" s="98">
        <v>0.6337615740740741</v>
      </c>
      <c r="I2522" s="50">
        <v>169002699</v>
      </c>
      <c r="J2522" s="96" t="s">
        <v>157</v>
      </c>
      <c r="K2522" s="49" t="s">
        <v>560</v>
      </c>
      <c r="L2522" s="39" t="s">
        <v>104</v>
      </c>
      <c r="M2522" s="49" t="s">
        <v>554</v>
      </c>
      <c r="N2522" s="39" t="s">
        <v>296</v>
      </c>
      <c r="O2522" s="96" t="s">
        <v>561</v>
      </c>
      <c r="P2522" s="49" t="s">
        <v>157</v>
      </c>
      <c r="Q2522" s="96" t="s">
        <v>104</v>
      </c>
      <c r="R2522" s="52">
        <v>8.9</v>
      </c>
      <c r="S2522" s="52">
        <f>R2522-T2522</f>
        <v>7.946428571428572</v>
      </c>
      <c r="T2522" s="52">
        <f>R2522*U2522/(U2522+100)</f>
        <v>0.9535714285714286</v>
      </c>
      <c r="U2522" s="50">
        <v>12</v>
      </c>
      <c r="V2522" s="53">
        <v>0</v>
      </c>
      <c r="W2522" s="147">
        <v>2</v>
      </c>
      <c r="X2522" s="148" t="s">
        <v>163</v>
      </c>
      <c r="Y2522" s="54">
        <f>R2522*W2522</f>
        <v>17.8</v>
      </c>
      <c r="Z2522" s="52">
        <f>S2522*W2522</f>
        <v>15.892857142857144</v>
      </c>
      <c r="AA2522" s="52">
        <f>T2522*W2522</f>
        <v>1.9071428571428573</v>
      </c>
      <c r="AB2522" s="52">
        <f>V2522*W2522</f>
        <v>0</v>
      </c>
      <c r="AC2522" s="53">
        <f>(R2522+V2522)*W2522</f>
        <v>17.8</v>
      </c>
      <c r="AD2522" s="138">
        <v>8.9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109</v>
      </c>
      <c r="F2523" s="96" t="s">
        <v>111</v>
      </c>
      <c r="G2523" s="97">
        <v>46132</v>
      </c>
      <c r="H2523" s="98">
        <v>0.6337615740740741</v>
      </c>
      <c r="I2523" s="50">
        <v>169002699</v>
      </c>
      <c r="J2523" s="96" t="s">
        <v>157</v>
      </c>
      <c r="K2523" s="49" t="s">
        <v>1531</v>
      </c>
      <c r="L2523" s="39"/>
      <c r="M2523" s="49" t="s">
        <v>295</v>
      </c>
      <c r="N2523" s="39" t="s">
        <v>433</v>
      </c>
      <c r="O2523" s="96" t="s">
        <v>1532</v>
      </c>
      <c r="P2523" s="49" t="s">
        <v>235</v>
      </c>
      <c r="Q2523" s="96" t="s">
        <v>1533</v>
      </c>
      <c r="R2523" s="52">
        <v>19.9</v>
      </c>
      <c r="S2523" s="52">
        <f>R2523-T2523</f>
        <v>17.767857142857142</v>
      </c>
      <c r="T2523" s="52">
        <f>R2523*U2523/(U2523+100)</f>
        <v>2.132142857142857</v>
      </c>
      <c r="U2523" s="50">
        <v>12</v>
      </c>
      <c r="V2523" s="53">
        <v>0</v>
      </c>
      <c r="W2523" s="147">
        <v>1</v>
      </c>
      <c r="X2523" s="148" t="s">
        <v>945</v>
      </c>
      <c r="Y2523" s="54">
        <f>R2523*W2523</f>
        <v>19.9</v>
      </c>
      <c r="Z2523" s="52">
        <f>S2523*W2523</f>
        <v>17.767857142857142</v>
      </c>
      <c r="AA2523" s="52">
        <f>T2523*W2523</f>
        <v>2.132142857142857</v>
      </c>
      <c r="AB2523" s="52">
        <f>V2523*W2523</f>
        <v>0</v>
      </c>
      <c r="AC2523" s="53">
        <f>(R2523+V2523)*W2523</f>
        <v>19.9</v>
      </c>
      <c r="AD2523" s="138">
        <v>19.9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109</v>
      </c>
      <c r="F2524" s="96" t="s">
        <v>111</v>
      </c>
      <c r="G2524" s="97">
        <v>46132</v>
      </c>
      <c r="H2524" s="98">
        <v>0.6342129629629629</v>
      </c>
      <c r="I2524" s="50">
        <v>169002700</v>
      </c>
      <c r="J2524" s="96" t="s">
        <v>157</v>
      </c>
      <c r="K2524" s="49" t="s">
        <v>3495</v>
      </c>
      <c r="L2524" s="39" t="s">
        <v>3496</v>
      </c>
      <c r="M2524" s="49" t="s">
        <v>232</v>
      </c>
      <c r="N2524" s="39" t="s">
        <v>233</v>
      </c>
      <c r="O2524" s="96" t="s">
        <v>3497</v>
      </c>
      <c r="P2524" s="49" t="s">
        <v>157</v>
      </c>
      <c r="Q2524" s="96" t="s">
        <v>104</v>
      </c>
      <c r="R2524" s="52">
        <v>22.9</v>
      </c>
      <c r="S2524" s="52">
        <f>R2524-T2524</f>
        <v>18.925619834710744</v>
      </c>
      <c r="T2524" s="52">
        <f>R2524*U2524/(U2524+100)</f>
        <v>3.974380165289256</v>
      </c>
      <c r="U2524" s="50">
        <v>21</v>
      </c>
      <c r="V2524" s="53">
        <v>0</v>
      </c>
      <c r="W2524" s="147">
        <v>1</v>
      </c>
      <c r="X2524" s="148" t="s">
        <v>163</v>
      </c>
      <c r="Y2524" s="54">
        <f>R2524*W2524</f>
        <v>22.9</v>
      </c>
      <c r="Z2524" s="52">
        <f>S2524*W2524</f>
        <v>18.925619834710744</v>
      </c>
      <c r="AA2524" s="52">
        <f>T2524*W2524</f>
        <v>3.974380165289256</v>
      </c>
      <c r="AB2524" s="52">
        <f>V2524*W2524</f>
        <v>0</v>
      </c>
      <c r="AC2524" s="53">
        <f>(R2524+V2524)*W2524</f>
        <v>22.9</v>
      </c>
      <c r="AD2524" s="138">
        <v>22.9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109</v>
      </c>
      <c r="F2525" s="96" t="s">
        <v>111</v>
      </c>
      <c r="G2525" s="97">
        <v>46132</v>
      </c>
      <c r="H2525" s="98">
        <v>0.6342129629629629</v>
      </c>
      <c r="I2525" s="50">
        <v>169002700</v>
      </c>
      <c r="J2525" s="96" t="s">
        <v>157</v>
      </c>
      <c r="K2525" s="49" t="s">
        <v>3124</v>
      </c>
      <c r="L2525" s="39" t="s">
        <v>3125</v>
      </c>
      <c r="M2525" s="49" t="s">
        <v>255</v>
      </c>
      <c r="N2525" s="39" t="s">
        <v>256</v>
      </c>
      <c r="O2525" s="96" t="s">
        <v>3126</v>
      </c>
      <c r="P2525" s="49" t="s">
        <v>157</v>
      </c>
      <c r="Q2525" s="96" t="s">
        <v>104</v>
      </c>
      <c r="R2525" s="52">
        <v>24.9</v>
      </c>
      <c r="S2525" s="52">
        <f>R2525-T2525</f>
        <v>20.578512396694215</v>
      </c>
      <c r="T2525" s="52">
        <f>R2525*U2525/(U2525+100)</f>
        <v>4.321487603305785</v>
      </c>
      <c r="U2525" s="50">
        <v>21</v>
      </c>
      <c r="V2525" s="53">
        <v>0</v>
      </c>
      <c r="W2525" s="147">
        <v>6</v>
      </c>
      <c r="X2525" s="148" t="s">
        <v>163</v>
      </c>
      <c r="Y2525" s="54">
        <f>R2525*W2525</f>
        <v>149.39999999999998</v>
      </c>
      <c r="Z2525" s="52">
        <f>S2525*W2525</f>
        <v>123.47107438016529</v>
      </c>
      <c r="AA2525" s="52">
        <f>T2525*W2525</f>
        <v>25.92892561983471</v>
      </c>
      <c r="AB2525" s="52">
        <f>V2525*W2525</f>
        <v>0</v>
      </c>
      <c r="AC2525" s="53">
        <f>(R2525+V2525)*W2525</f>
        <v>149.39999999999998</v>
      </c>
      <c r="AD2525" s="138">
        <v>24.9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109</v>
      </c>
      <c r="F2526" s="96" t="s">
        <v>111</v>
      </c>
      <c r="G2526" s="97">
        <v>46132</v>
      </c>
      <c r="H2526" s="98">
        <v>0.6346064814814815</v>
      </c>
      <c r="I2526" s="50">
        <v>169002701</v>
      </c>
      <c r="J2526" s="96" t="s">
        <v>157</v>
      </c>
      <c r="K2526" s="49" t="s">
        <v>164</v>
      </c>
      <c r="L2526" s="39" t="s">
        <v>165</v>
      </c>
      <c r="M2526" s="49" t="s">
        <v>166</v>
      </c>
      <c r="N2526" s="39" t="s">
        <v>167</v>
      </c>
      <c r="O2526" s="96" t="s">
        <v>1349</v>
      </c>
      <c r="P2526" s="49" t="s">
        <v>157</v>
      </c>
      <c r="Q2526" s="96" t="s">
        <v>104</v>
      </c>
      <c r="R2526" s="52">
        <v>23.9</v>
      </c>
      <c r="S2526" s="52">
        <f>R2526-T2526</f>
        <v>19.752066115702476</v>
      </c>
      <c r="T2526" s="52">
        <f>R2526*U2526/(U2526+100)</f>
        <v>4.147933884297521</v>
      </c>
      <c r="U2526" s="50">
        <v>21</v>
      </c>
      <c r="V2526" s="53">
        <v>0</v>
      </c>
      <c r="W2526" s="147">
        <v>1</v>
      </c>
      <c r="X2526" s="148" t="s">
        <v>163</v>
      </c>
      <c r="Y2526" s="54">
        <f>R2526*W2526</f>
        <v>23.9</v>
      </c>
      <c r="Z2526" s="52">
        <f>S2526*W2526</f>
        <v>19.752066115702476</v>
      </c>
      <c r="AA2526" s="52">
        <f>T2526*W2526</f>
        <v>4.147933884297521</v>
      </c>
      <c r="AB2526" s="52">
        <f>V2526*W2526</f>
        <v>0</v>
      </c>
      <c r="AC2526" s="53">
        <f>(R2526+V2526)*W2526</f>
        <v>23.9</v>
      </c>
      <c r="AD2526" s="138">
        <v>23.9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109</v>
      </c>
      <c r="F2527" s="96" t="s">
        <v>111</v>
      </c>
      <c r="G2527" s="97">
        <v>46132</v>
      </c>
      <c r="H2527" s="98">
        <v>0.6346064814814815</v>
      </c>
      <c r="I2527" s="50">
        <v>169002701</v>
      </c>
      <c r="J2527" s="96" t="s">
        <v>157</v>
      </c>
      <c r="K2527" s="49" t="s">
        <v>164</v>
      </c>
      <c r="L2527" s="39" t="s">
        <v>165</v>
      </c>
      <c r="M2527" s="49" t="s">
        <v>166</v>
      </c>
      <c r="N2527" s="39" t="s">
        <v>167</v>
      </c>
      <c r="O2527" s="96" t="s">
        <v>1349</v>
      </c>
      <c r="P2527" s="49" t="s">
        <v>157</v>
      </c>
      <c r="Q2527" s="96" t="s">
        <v>104</v>
      </c>
      <c r="R2527" s="52">
        <v>23.9</v>
      </c>
      <c r="S2527" s="52">
        <f>R2527-T2527</f>
        <v>19.752066115702476</v>
      </c>
      <c r="T2527" s="52">
        <f>R2527*U2527/(U2527+100)</f>
        <v>4.147933884297521</v>
      </c>
      <c r="U2527" s="50">
        <v>21</v>
      </c>
      <c r="V2527" s="53">
        <v>0</v>
      </c>
      <c r="W2527" s="147">
        <v>1</v>
      </c>
      <c r="X2527" s="148" t="s">
        <v>163</v>
      </c>
      <c r="Y2527" s="54">
        <f>R2527*W2527</f>
        <v>23.9</v>
      </c>
      <c r="Z2527" s="52">
        <f>S2527*W2527</f>
        <v>19.752066115702476</v>
      </c>
      <c r="AA2527" s="52">
        <f>T2527*W2527</f>
        <v>4.147933884297521</v>
      </c>
      <c r="AB2527" s="52">
        <f>V2527*W2527</f>
        <v>0</v>
      </c>
      <c r="AC2527" s="53">
        <f>(R2527+V2527)*W2527</f>
        <v>23.9</v>
      </c>
      <c r="AD2527" s="138">
        <v>23.9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109</v>
      </c>
      <c r="F2528" s="96" t="s">
        <v>111</v>
      </c>
      <c r="G2528" s="97">
        <v>46132</v>
      </c>
      <c r="H2528" s="98">
        <v>0.6346064814814815</v>
      </c>
      <c r="I2528" s="50">
        <v>169002701</v>
      </c>
      <c r="J2528" s="96" t="s">
        <v>157</v>
      </c>
      <c r="K2528" s="49" t="s">
        <v>350</v>
      </c>
      <c r="L2528" s="39" t="s">
        <v>351</v>
      </c>
      <c r="M2528" s="49" t="s">
        <v>352</v>
      </c>
      <c r="N2528" s="39" t="s">
        <v>353</v>
      </c>
      <c r="O2528" s="96" t="s">
        <v>1077</v>
      </c>
      <c r="P2528" s="49" t="s">
        <v>157</v>
      </c>
      <c r="Q2528" s="96" t="s">
        <v>104</v>
      </c>
      <c r="R2528" s="52">
        <v>27.9</v>
      </c>
      <c r="S2528" s="52">
        <f>R2528-T2528</f>
        <v>23.05785123966942</v>
      </c>
      <c r="T2528" s="52">
        <f>R2528*U2528/(U2528+100)</f>
        <v>4.842148760330578</v>
      </c>
      <c r="U2528" s="50">
        <v>21</v>
      </c>
      <c r="V2528" s="53">
        <v>0</v>
      </c>
      <c r="W2528" s="147">
        <v>1</v>
      </c>
      <c r="X2528" s="148" t="s">
        <v>163</v>
      </c>
      <c r="Y2528" s="54">
        <f>R2528*W2528</f>
        <v>27.9</v>
      </c>
      <c r="Z2528" s="52">
        <f>S2528*W2528</f>
        <v>23.05785123966942</v>
      </c>
      <c r="AA2528" s="52">
        <f>T2528*W2528</f>
        <v>4.842148760330578</v>
      </c>
      <c r="AB2528" s="52">
        <f>V2528*W2528</f>
        <v>0</v>
      </c>
      <c r="AC2528" s="53">
        <f>(R2528+V2528)*W2528</f>
        <v>27.9</v>
      </c>
      <c r="AD2528" s="138">
        <v>27.9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109</v>
      </c>
      <c r="F2529" s="96" t="s">
        <v>111</v>
      </c>
      <c r="G2529" s="97">
        <v>46132</v>
      </c>
      <c r="H2529" s="98">
        <v>0.6357175925925926</v>
      </c>
      <c r="I2529" s="50">
        <v>169002702</v>
      </c>
      <c r="J2529" s="96" t="s">
        <v>157</v>
      </c>
      <c r="K2529" s="49" t="s">
        <v>1236</v>
      </c>
      <c r="L2529" s="39" t="s">
        <v>1237</v>
      </c>
      <c r="M2529" s="49" t="s">
        <v>201</v>
      </c>
      <c r="N2529" s="39" t="s">
        <v>609</v>
      </c>
      <c r="O2529" s="96" t="s">
        <v>1238</v>
      </c>
      <c r="P2529" s="49" t="s">
        <v>157</v>
      </c>
      <c r="Q2529" s="96" t="s">
        <v>104</v>
      </c>
      <c r="R2529" s="52">
        <v>13.9</v>
      </c>
      <c r="S2529" s="52">
        <f>R2529-T2529</f>
        <v>12.410714285714286</v>
      </c>
      <c r="T2529" s="52">
        <f>R2529*U2529/(U2529+100)</f>
        <v>1.4892857142857143</v>
      </c>
      <c r="U2529" s="50">
        <v>12</v>
      </c>
      <c r="V2529" s="53">
        <v>0</v>
      </c>
      <c r="W2529" s="147">
        <v>1</v>
      </c>
      <c r="X2529" s="148" t="s">
        <v>163</v>
      </c>
      <c r="Y2529" s="54">
        <f>R2529*W2529</f>
        <v>13.9</v>
      </c>
      <c r="Z2529" s="52">
        <f>S2529*W2529</f>
        <v>12.410714285714286</v>
      </c>
      <c r="AA2529" s="52">
        <f>T2529*W2529</f>
        <v>1.4892857142857143</v>
      </c>
      <c r="AB2529" s="52">
        <f>V2529*W2529</f>
        <v>0</v>
      </c>
      <c r="AC2529" s="53">
        <f>(R2529+V2529)*W2529</f>
        <v>13.9</v>
      </c>
      <c r="AD2529" s="138">
        <v>13.9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109</v>
      </c>
      <c r="F2530" s="96" t="s">
        <v>111</v>
      </c>
      <c r="G2530" s="97">
        <v>46132</v>
      </c>
      <c r="H2530" s="98">
        <v>0.6357175925925926</v>
      </c>
      <c r="I2530" s="50">
        <v>169002702</v>
      </c>
      <c r="J2530" s="96" t="s">
        <v>157</v>
      </c>
      <c r="K2530" s="49" t="s">
        <v>1236</v>
      </c>
      <c r="L2530" s="39" t="s">
        <v>1237</v>
      </c>
      <c r="M2530" s="49" t="s">
        <v>201</v>
      </c>
      <c r="N2530" s="39" t="s">
        <v>609</v>
      </c>
      <c r="O2530" s="96" t="s">
        <v>1238</v>
      </c>
      <c r="P2530" s="49" t="s">
        <v>157</v>
      </c>
      <c r="Q2530" s="96" t="s">
        <v>104</v>
      </c>
      <c r="R2530" s="52">
        <v>13.9</v>
      </c>
      <c r="S2530" s="52">
        <f>R2530-T2530</f>
        <v>12.410714285714286</v>
      </c>
      <c r="T2530" s="52">
        <f>R2530*U2530/(U2530+100)</f>
        <v>1.4892857142857143</v>
      </c>
      <c r="U2530" s="50">
        <v>12</v>
      </c>
      <c r="V2530" s="53">
        <v>0</v>
      </c>
      <c r="W2530" s="147">
        <v>1</v>
      </c>
      <c r="X2530" s="148" t="s">
        <v>163</v>
      </c>
      <c r="Y2530" s="54">
        <f>R2530*W2530</f>
        <v>13.9</v>
      </c>
      <c r="Z2530" s="52">
        <f>S2530*W2530</f>
        <v>12.410714285714286</v>
      </c>
      <c r="AA2530" s="52">
        <f>T2530*W2530</f>
        <v>1.4892857142857143</v>
      </c>
      <c r="AB2530" s="52">
        <f>V2530*W2530</f>
        <v>0</v>
      </c>
      <c r="AC2530" s="53">
        <f>(R2530+V2530)*W2530</f>
        <v>13.9</v>
      </c>
      <c r="AD2530" s="138">
        <v>13.9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109</v>
      </c>
      <c r="F2531" s="96" t="s">
        <v>111</v>
      </c>
      <c r="G2531" s="97">
        <v>46132</v>
      </c>
      <c r="H2531" s="98">
        <v>0.6357175925925926</v>
      </c>
      <c r="I2531" s="50">
        <v>169002702</v>
      </c>
      <c r="J2531" s="96" t="s">
        <v>157</v>
      </c>
      <c r="K2531" s="49" t="s">
        <v>507</v>
      </c>
      <c r="L2531" s="39" t="s">
        <v>508</v>
      </c>
      <c r="M2531" s="49" t="s">
        <v>509</v>
      </c>
      <c r="N2531" s="39" t="s">
        <v>256</v>
      </c>
      <c r="O2531" s="96" t="s">
        <v>1024</v>
      </c>
      <c r="P2531" s="49" t="s">
        <v>235</v>
      </c>
      <c r="Q2531" s="96" t="s">
        <v>236</v>
      </c>
      <c r="R2531" s="52">
        <v>15.9</v>
      </c>
      <c r="S2531" s="52">
        <f>R2531-T2531</f>
        <v>13.140495867768596</v>
      </c>
      <c r="T2531" s="52">
        <f>R2531*U2531/(U2531+100)</f>
        <v>2.759504132231405</v>
      </c>
      <c r="U2531" s="50">
        <v>21</v>
      </c>
      <c r="V2531" s="53">
        <v>0</v>
      </c>
      <c r="W2531" s="147">
        <v>5</v>
      </c>
      <c r="X2531" s="148" t="s">
        <v>163</v>
      </c>
      <c r="Y2531" s="54">
        <f>R2531*W2531</f>
        <v>79.5</v>
      </c>
      <c r="Z2531" s="52">
        <f>S2531*W2531</f>
        <v>65.70247933884298</v>
      </c>
      <c r="AA2531" s="52">
        <f>T2531*W2531</f>
        <v>13.797520661157026</v>
      </c>
      <c r="AB2531" s="52">
        <f>V2531*W2531</f>
        <v>0</v>
      </c>
      <c r="AC2531" s="53">
        <f>(R2531+V2531)*W2531</f>
        <v>79.5</v>
      </c>
      <c r="AD2531" s="138">
        <v>15.9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109</v>
      </c>
      <c r="F2532" s="96" t="s">
        <v>111</v>
      </c>
      <c r="G2532" s="97">
        <v>46132</v>
      </c>
      <c r="H2532" s="98">
        <v>0.6357175925925926</v>
      </c>
      <c r="I2532" s="50">
        <v>169002702</v>
      </c>
      <c r="J2532" s="96" t="s">
        <v>157</v>
      </c>
      <c r="K2532" s="49" t="s">
        <v>2007</v>
      </c>
      <c r="L2532" s="39" t="s">
        <v>2008</v>
      </c>
      <c r="M2532" s="49" t="s">
        <v>862</v>
      </c>
      <c r="N2532" s="39" t="s">
        <v>863</v>
      </c>
      <c r="O2532" s="96" t="s">
        <v>2009</v>
      </c>
      <c r="P2532" s="49" t="s">
        <v>157</v>
      </c>
      <c r="Q2532" s="96" t="s">
        <v>104</v>
      </c>
      <c r="R2532" s="52">
        <v>161</v>
      </c>
      <c r="S2532" s="52">
        <f>R2532-T2532</f>
        <v>133.05785123966942</v>
      </c>
      <c r="T2532" s="52">
        <f>R2532*U2532/(U2532+100)</f>
        <v>27.94214876033058</v>
      </c>
      <c r="U2532" s="50">
        <v>21</v>
      </c>
      <c r="V2532" s="53">
        <v>0</v>
      </c>
      <c r="W2532" s="147">
        <v>1</v>
      </c>
      <c r="X2532" s="148" t="s">
        <v>163</v>
      </c>
      <c r="Y2532" s="54">
        <f>R2532*W2532</f>
        <v>161</v>
      </c>
      <c r="Z2532" s="52">
        <f>S2532*W2532</f>
        <v>133.05785123966942</v>
      </c>
      <c r="AA2532" s="52">
        <f>T2532*W2532</f>
        <v>27.94214876033058</v>
      </c>
      <c r="AB2532" s="52">
        <f>V2532*W2532</f>
        <v>0</v>
      </c>
      <c r="AC2532" s="53">
        <f>(R2532+V2532)*W2532</f>
        <v>161</v>
      </c>
      <c r="AD2532" s="138">
        <v>161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109</v>
      </c>
      <c r="F2533" s="96" t="s">
        <v>111</v>
      </c>
      <c r="G2533" s="97">
        <v>46132</v>
      </c>
      <c r="H2533" s="98">
        <v>0.6357175925925926</v>
      </c>
      <c r="I2533" s="50">
        <v>169002702</v>
      </c>
      <c r="J2533" s="96" t="s">
        <v>157</v>
      </c>
      <c r="K2533" s="49" t="s">
        <v>2007</v>
      </c>
      <c r="L2533" s="39" t="s">
        <v>2008</v>
      </c>
      <c r="M2533" s="49" t="s">
        <v>862</v>
      </c>
      <c r="N2533" s="39" t="s">
        <v>863</v>
      </c>
      <c r="O2533" s="96" t="s">
        <v>2009</v>
      </c>
      <c r="P2533" s="49" t="s">
        <v>157</v>
      </c>
      <c r="Q2533" s="96" t="s">
        <v>104</v>
      </c>
      <c r="R2533" s="52">
        <v>161</v>
      </c>
      <c r="S2533" s="52">
        <f>R2533-T2533</f>
        <v>133.05785123966942</v>
      </c>
      <c r="T2533" s="52">
        <f>R2533*U2533/(U2533+100)</f>
        <v>27.94214876033058</v>
      </c>
      <c r="U2533" s="50">
        <v>21</v>
      </c>
      <c r="V2533" s="53">
        <v>0</v>
      </c>
      <c r="W2533" s="147">
        <v>1</v>
      </c>
      <c r="X2533" s="148" t="s">
        <v>163</v>
      </c>
      <c r="Y2533" s="54">
        <f>R2533*W2533</f>
        <v>161</v>
      </c>
      <c r="Z2533" s="52">
        <f>S2533*W2533</f>
        <v>133.05785123966942</v>
      </c>
      <c r="AA2533" s="52">
        <f>T2533*W2533</f>
        <v>27.94214876033058</v>
      </c>
      <c r="AB2533" s="52">
        <f>V2533*W2533</f>
        <v>0</v>
      </c>
      <c r="AC2533" s="53">
        <f>(R2533+V2533)*W2533</f>
        <v>161</v>
      </c>
      <c r="AD2533" s="138">
        <v>161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109</v>
      </c>
      <c r="F2534" s="96" t="s">
        <v>111</v>
      </c>
      <c r="G2534" s="97">
        <v>46132</v>
      </c>
      <c r="H2534" s="98">
        <v>0.6357175925925926</v>
      </c>
      <c r="I2534" s="50">
        <v>169002702</v>
      </c>
      <c r="J2534" s="96" t="s">
        <v>157</v>
      </c>
      <c r="K2534" s="49" t="s">
        <v>655</v>
      </c>
      <c r="L2534" s="39" t="s">
        <v>656</v>
      </c>
      <c r="M2534" s="49" t="s">
        <v>190</v>
      </c>
      <c r="N2534" s="39" t="s">
        <v>532</v>
      </c>
      <c r="O2534" s="96" t="s">
        <v>657</v>
      </c>
      <c r="P2534" s="49" t="s">
        <v>157</v>
      </c>
      <c r="Q2534" s="96" t="s">
        <v>104</v>
      </c>
      <c r="R2534" s="52">
        <v>17.95</v>
      </c>
      <c r="S2534" s="52">
        <f>R2534-T2534</f>
        <v>16.026785714285715</v>
      </c>
      <c r="T2534" s="52">
        <f>R2534*U2534/(U2534+100)</f>
        <v>1.9232142857142855</v>
      </c>
      <c r="U2534" s="50">
        <v>12</v>
      </c>
      <c r="V2534" s="53">
        <v>0</v>
      </c>
      <c r="W2534" s="147">
        <v>0.402</v>
      </c>
      <c r="X2534" s="148" t="s">
        <v>193</v>
      </c>
      <c r="Y2534" s="54">
        <f>R2534*W2534</f>
        <v>7.2159</v>
      </c>
      <c r="Z2534" s="52">
        <f>S2534*W2534</f>
        <v>6.442767857142858</v>
      </c>
      <c r="AA2534" s="52">
        <f>T2534*W2534</f>
        <v>0.7731321428571428</v>
      </c>
      <c r="AB2534" s="52">
        <f>V2534*W2534</f>
        <v>0</v>
      </c>
      <c r="AC2534" s="53">
        <f>(R2534+V2534)*W2534</f>
        <v>7.2159</v>
      </c>
      <c r="AD2534" s="138">
        <v>17.95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109</v>
      </c>
      <c r="F2535" s="96" t="s">
        <v>111</v>
      </c>
      <c r="G2535" s="97">
        <v>46132</v>
      </c>
      <c r="H2535" s="98">
        <v>0.6357175925925926</v>
      </c>
      <c r="I2535" s="50">
        <v>169002702</v>
      </c>
      <c r="J2535" s="96" t="s">
        <v>157</v>
      </c>
      <c r="K2535" s="49" t="s">
        <v>303</v>
      </c>
      <c r="L2535" s="39" t="s">
        <v>304</v>
      </c>
      <c r="M2535" s="49" t="s">
        <v>214</v>
      </c>
      <c r="N2535" s="39" t="s">
        <v>296</v>
      </c>
      <c r="O2535" s="96" t="s">
        <v>305</v>
      </c>
      <c r="P2535" s="49" t="s">
        <v>157</v>
      </c>
      <c r="Q2535" s="96" t="s">
        <v>104</v>
      </c>
      <c r="R2535" s="52">
        <v>11.9</v>
      </c>
      <c r="S2535" s="52">
        <f>R2535-T2535</f>
        <v>10.625</v>
      </c>
      <c r="T2535" s="52">
        <f>R2535*U2535/(U2535+100)</f>
        <v>1.2750000000000001</v>
      </c>
      <c r="U2535" s="50">
        <v>12</v>
      </c>
      <c r="V2535" s="53">
        <v>0</v>
      </c>
      <c r="W2535" s="147">
        <v>2</v>
      </c>
      <c r="X2535" s="148" t="s">
        <v>163</v>
      </c>
      <c r="Y2535" s="54">
        <f>R2535*W2535</f>
        <v>23.8</v>
      </c>
      <c r="Z2535" s="52">
        <f>S2535*W2535</f>
        <v>21.25</v>
      </c>
      <c r="AA2535" s="52">
        <f>T2535*W2535</f>
        <v>2.5500000000000003</v>
      </c>
      <c r="AB2535" s="52">
        <f>V2535*W2535</f>
        <v>0</v>
      </c>
      <c r="AC2535" s="53">
        <f>(R2535+V2535)*W2535</f>
        <v>23.8</v>
      </c>
      <c r="AD2535" s="138">
        <v>11.9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109</v>
      </c>
      <c r="F2536" s="96" t="s">
        <v>111</v>
      </c>
      <c r="G2536" s="97">
        <v>46132</v>
      </c>
      <c r="H2536" s="98">
        <v>0.6357175925925926</v>
      </c>
      <c r="I2536" s="50">
        <v>169002702</v>
      </c>
      <c r="J2536" s="96" t="s">
        <v>157</v>
      </c>
      <c r="K2536" s="49" t="s">
        <v>1457</v>
      </c>
      <c r="L2536" s="39" t="s">
        <v>1458</v>
      </c>
      <c r="M2536" s="49" t="s">
        <v>277</v>
      </c>
      <c r="N2536" s="39" t="s">
        <v>440</v>
      </c>
      <c r="O2536" s="96" t="s">
        <v>1459</v>
      </c>
      <c r="P2536" s="49" t="s">
        <v>157</v>
      </c>
      <c r="Q2536" s="96" t="s">
        <v>104</v>
      </c>
      <c r="R2536" s="52">
        <v>279.9</v>
      </c>
      <c r="S2536" s="52">
        <f>R2536-T2536</f>
        <v>249.91071428571428</v>
      </c>
      <c r="T2536" s="52">
        <f>R2536*U2536/(U2536+100)</f>
        <v>29.98928571428571</v>
      </c>
      <c r="U2536" s="50">
        <v>12</v>
      </c>
      <c r="V2536" s="53">
        <v>0</v>
      </c>
      <c r="W2536" s="147">
        <v>0.152</v>
      </c>
      <c r="X2536" s="148" t="s">
        <v>193</v>
      </c>
      <c r="Y2536" s="54">
        <f>R2536*W2536</f>
        <v>42.544799999999995</v>
      </c>
      <c r="Z2536" s="52">
        <f>S2536*W2536</f>
        <v>37.98642857142857</v>
      </c>
      <c r="AA2536" s="52">
        <f>T2536*W2536</f>
        <v>4.558371428571428</v>
      </c>
      <c r="AB2536" s="52">
        <f>V2536*W2536</f>
        <v>0</v>
      </c>
      <c r="AC2536" s="53">
        <f>(R2536+V2536)*W2536</f>
        <v>42.544799999999995</v>
      </c>
      <c r="AD2536" s="138">
        <v>279.9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109</v>
      </c>
      <c r="F2537" s="96" t="s">
        <v>111</v>
      </c>
      <c r="G2537" s="97">
        <v>46132</v>
      </c>
      <c r="H2537" s="98">
        <v>0.6374652777777777</v>
      </c>
      <c r="I2537" s="50">
        <v>169002703</v>
      </c>
      <c r="J2537" s="96" t="s">
        <v>157</v>
      </c>
      <c r="K2537" s="49" t="s">
        <v>3498</v>
      </c>
      <c r="L2537" s="39" t="s">
        <v>3499</v>
      </c>
      <c r="M2537" s="49" t="s">
        <v>830</v>
      </c>
      <c r="N2537" s="39" t="s">
        <v>264</v>
      </c>
      <c r="O2537" s="96" t="s">
        <v>3500</v>
      </c>
      <c r="P2537" s="49" t="s">
        <v>157</v>
      </c>
      <c r="Q2537" s="96" t="s">
        <v>104</v>
      </c>
      <c r="R2537" s="52">
        <v>7.9</v>
      </c>
      <c r="S2537" s="52">
        <f>R2537-T2537</f>
        <v>7.053571428571429</v>
      </c>
      <c r="T2537" s="52">
        <f>R2537*U2537/(U2537+100)</f>
        <v>0.8464285714285715</v>
      </c>
      <c r="U2537" s="50">
        <v>12</v>
      </c>
      <c r="V2537" s="53">
        <v>0</v>
      </c>
      <c r="W2537" s="147">
        <v>1</v>
      </c>
      <c r="X2537" s="148" t="s">
        <v>163</v>
      </c>
      <c r="Y2537" s="54">
        <f>R2537*W2537</f>
        <v>7.9</v>
      </c>
      <c r="Z2537" s="52">
        <f>S2537*W2537</f>
        <v>7.053571428571429</v>
      </c>
      <c r="AA2537" s="52">
        <f>T2537*W2537</f>
        <v>0.8464285714285715</v>
      </c>
      <c r="AB2537" s="52">
        <f>V2537*W2537</f>
        <v>0</v>
      </c>
      <c r="AC2537" s="53">
        <f>(R2537+V2537)*W2537</f>
        <v>7.9</v>
      </c>
      <c r="AD2537" s="138">
        <v>7.9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109</v>
      </c>
      <c r="F2538" s="96" t="s">
        <v>111</v>
      </c>
      <c r="G2538" s="97">
        <v>46132</v>
      </c>
      <c r="H2538" s="98">
        <v>0.6374652777777777</v>
      </c>
      <c r="I2538" s="50">
        <v>169002703</v>
      </c>
      <c r="J2538" s="96" t="s">
        <v>157</v>
      </c>
      <c r="K2538" s="49" t="s">
        <v>3498</v>
      </c>
      <c r="L2538" s="39" t="s">
        <v>3499</v>
      </c>
      <c r="M2538" s="49" t="s">
        <v>830</v>
      </c>
      <c r="N2538" s="39" t="s">
        <v>264</v>
      </c>
      <c r="O2538" s="96" t="s">
        <v>3500</v>
      </c>
      <c r="P2538" s="49" t="s">
        <v>157</v>
      </c>
      <c r="Q2538" s="96" t="s">
        <v>104</v>
      </c>
      <c r="R2538" s="52">
        <v>7.9</v>
      </c>
      <c r="S2538" s="52">
        <f>R2538-T2538</f>
        <v>7.053571428571429</v>
      </c>
      <c r="T2538" s="52">
        <f>R2538*U2538/(U2538+100)</f>
        <v>0.8464285714285715</v>
      </c>
      <c r="U2538" s="50">
        <v>12</v>
      </c>
      <c r="V2538" s="53">
        <v>0</v>
      </c>
      <c r="W2538" s="147">
        <v>1</v>
      </c>
      <c r="X2538" s="148" t="s">
        <v>163</v>
      </c>
      <c r="Y2538" s="54">
        <f>R2538*W2538</f>
        <v>7.9</v>
      </c>
      <c r="Z2538" s="52">
        <f>S2538*W2538</f>
        <v>7.053571428571429</v>
      </c>
      <c r="AA2538" s="52">
        <f>T2538*W2538</f>
        <v>0.8464285714285715</v>
      </c>
      <c r="AB2538" s="52">
        <f>V2538*W2538</f>
        <v>0</v>
      </c>
      <c r="AC2538" s="53">
        <f>(R2538+V2538)*W2538</f>
        <v>7.9</v>
      </c>
      <c r="AD2538" s="138">
        <v>7.9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109</v>
      </c>
      <c r="F2539" s="96" t="s">
        <v>111</v>
      </c>
      <c r="G2539" s="97">
        <v>46132</v>
      </c>
      <c r="H2539" s="98">
        <v>0.6374652777777777</v>
      </c>
      <c r="I2539" s="50">
        <v>169002703</v>
      </c>
      <c r="J2539" s="96" t="s">
        <v>157</v>
      </c>
      <c r="K2539" s="49" t="s">
        <v>3498</v>
      </c>
      <c r="L2539" s="39" t="s">
        <v>3499</v>
      </c>
      <c r="M2539" s="49" t="s">
        <v>830</v>
      </c>
      <c r="N2539" s="39" t="s">
        <v>264</v>
      </c>
      <c r="O2539" s="96" t="s">
        <v>3500</v>
      </c>
      <c r="P2539" s="49" t="s">
        <v>157</v>
      </c>
      <c r="Q2539" s="96" t="s">
        <v>104</v>
      </c>
      <c r="R2539" s="52">
        <v>7.9</v>
      </c>
      <c r="S2539" s="52">
        <f>R2539-T2539</f>
        <v>7.053571428571429</v>
      </c>
      <c r="T2539" s="52">
        <f>R2539*U2539/(U2539+100)</f>
        <v>0.8464285714285715</v>
      </c>
      <c r="U2539" s="50">
        <v>12</v>
      </c>
      <c r="V2539" s="53">
        <v>0</v>
      </c>
      <c r="W2539" s="147">
        <v>1</v>
      </c>
      <c r="X2539" s="148" t="s">
        <v>163</v>
      </c>
      <c r="Y2539" s="54">
        <f>R2539*W2539</f>
        <v>7.9</v>
      </c>
      <c r="Z2539" s="52">
        <f>S2539*W2539</f>
        <v>7.053571428571429</v>
      </c>
      <c r="AA2539" s="52">
        <f>T2539*W2539</f>
        <v>0.8464285714285715</v>
      </c>
      <c r="AB2539" s="52">
        <f>V2539*W2539</f>
        <v>0</v>
      </c>
      <c r="AC2539" s="53">
        <f>(R2539+V2539)*W2539</f>
        <v>7.9</v>
      </c>
      <c r="AD2539" s="138">
        <v>7.9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109</v>
      </c>
      <c r="F2540" s="96" t="s">
        <v>111</v>
      </c>
      <c r="G2540" s="97">
        <v>46132</v>
      </c>
      <c r="H2540" s="98">
        <v>0.6374652777777777</v>
      </c>
      <c r="I2540" s="50">
        <v>169002703</v>
      </c>
      <c r="J2540" s="96" t="s">
        <v>157</v>
      </c>
      <c r="K2540" s="49" t="s">
        <v>3501</v>
      </c>
      <c r="L2540" s="39" t="s">
        <v>3502</v>
      </c>
      <c r="M2540" s="49" t="s">
        <v>313</v>
      </c>
      <c r="N2540" s="39" t="s">
        <v>2834</v>
      </c>
      <c r="O2540" s="96" t="s">
        <v>3503</v>
      </c>
      <c r="P2540" s="49" t="s">
        <v>157</v>
      </c>
      <c r="Q2540" s="96" t="s">
        <v>104</v>
      </c>
      <c r="R2540" s="52">
        <v>184.9</v>
      </c>
      <c r="S2540" s="52">
        <f>R2540-T2540</f>
        <v>165.08928571428572</v>
      </c>
      <c r="T2540" s="52">
        <f>R2540*U2540/(U2540+100)</f>
        <v>19.810714285714287</v>
      </c>
      <c r="U2540" s="50">
        <v>12</v>
      </c>
      <c r="V2540" s="53">
        <v>0</v>
      </c>
      <c r="W2540" s="147">
        <v>1</v>
      </c>
      <c r="X2540" s="148" t="s">
        <v>163</v>
      </c>
      <c r="Y2540" s="54">
        <f>R2540*W2540</f>
        <v>184.9</v>
      </c>
      <c r="Z2540" s="52">
        <f>S2540*W2540</f>
        <v>165.08928571428572</v>
      </c>
      <c r="AA2540" s="52">
        <f>T2540*W2540</f>
        <v>19.810714285714287</v>
      </c>
      <c r="AB2540" s="52">
        <f>V2540*W2540</f>
        <v>0</v>
      </c>
      <c r="AC2540" s="53">
        <f>(R2540+V2540)*W2540</f>
        <v>184.9</v>
      </c>
      <c r="AD2540" s="138">
        <v>184.9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109</v>
      </c>
      <c r="F2541" s="96" t="s">
        <v>111</v>
      </c>
      <c r="G2541" s="97">
        <v>46132</v>
      </c>
      <c r="H2541" s="98">
        <v>0.6374652777777777</v>
      </c>
      <c r="I2541" s="50">
        <v>169002703</v>
      </c>
      <c r="J2541" s="96" t="s">
        <v>157</v>
      </c>
      <c r="K2541" s="49" t="s">
        <v>1641</v>
      </c>
      <c r="L2541" s="39" t="s">
        <v>1642</v>
      </c>
      <c r="M2541" s="49" t="s">
        <v>1205</v>
      </c>
      <c r="N2541" s="39" t="s">
        <v>1643</v>
      </c>
      <c r="O2541" s="96" t="s">
        <v>1644</v>
      </c>
      <c r="P2541" s="49" t="s">
        <v>157</v>
      </c>
      <c r="Q2541" s="96" t="s">
        <v>104</v>
      </c>
      <c r="R2541" s="52">
        <v>22.33</v>
      </c>
      <c r="S2541" s="52">
        <f>R2541-T2541</f>
        <v>19.9375</v>
      </c>
      <c r="T2541" s="52">
        <f>R2541*U2541/(U2541+100)</f>
        <v>2.3924999999999996</v>
      </c>
      <c r="U2541" s="50">
        <v>12</v>
      </c>
      <c r="V2541" s="53">
        <v>0</v>
      </c>
      <c r="W2541" s="147">
        <v>1</v>
      </c>
      <c r="X2541" s="148" t="s">
        <v>163</v>
      </c>
      <c r="Y2541" s="54">
        <f>R2541*W2541</f>
        <v>22.33</v>
      </c>
      <c r="Z2541" s="52">
        <f>S2541*W2541</f>
        <v>19.9375</v>
      </c>
      <c r="AA2541" s="52">
        <f>T2541*W2541</f>
        <v>2.3924999999999996</v>
      </c>
      <c r="AB2541" s="52">
        <f>V2541*W2541</f>
        <v>0</v>
      </c>
      <c r="AC2541" s="53">
        <f>(R2541+V2541)*W2541</f>
        <v>22.33</v>
      </c>
      <c r="AD2541" s="138">
        <v>31.9</v>
      </c>
      <c r="AE2541" s="137">
        <v>9.57</v>
      </c>
      <c r="AF2541" s="139">
        <v>9.57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109</v>
      </c>
      <c r="F2542" s="96" t="s">
        <v>111</v>
      </c>
      <c r="G2542" s="97">
        <v>46132</v>
      </c>
      <c r="H2542" s="98">
        <v>0.6374652777777777</v>
      </c>
      <c r="I2542" s="50">
        <v>169002703</v>
      </c>
      <c r="J2542" s="96" t="s">
        <v>157</v>
      </c>
      <c r="K2542" s="49" t="s">
        <v>1641</v>
      </c>
      <c r="L2542" s="39" t="s">
        <v>1642</v>
      </c>
      <c r="M2542" s="49" t="s">
        <v>1205</v>
      </c>
      <c r="N2542" s="39" t="s">
        <v>1643</v>
      </c>
      <c r="O2542" s="96" t="s">
        <v>1644</v>
      </c>
      <c r="P2542" s="49" t="s">
        <v>157</v>
      </c>
      <c r="Q2542" s="96" t="s">
        <v>104</v>
      </c>
      <c r="R2542" s="52">
        <v>22.33</v>
      </c>
      <c r="S2542" s="52">
        <f>R2542-T2542</f>
        <v>19.9375</v>
      </c>
      <c r="T2542" s="52">
        <f>R2542*U2542/(U2542+100)</f>
        <v>2.3924999999999996</v>
      </c>
      <c r="U2542" s="50">
        <v>12</v>
      </c>
      <c r="V2542" s="53">
        <v>0</v>
      </c>
      <c r="W2542" s="147">
        <v>1</v>
      </c>
      <c r="X2542" s="148" t="s">
        <v>163</v>
      </c>
      <c r="Y2542" s="54">
        <f>R2542*W2542</f>
        <v>22.33</v>
      </c>
      <c r="Z2542" s="52">
        <f>S2542*W2542</f>
        <v>19.9375</v>
      </c>
      <c r="AA2542" s="52">
        <f>T2542*W2542</f>
        <v>2.3924999999999996</v>
      </c>
      <c r="AB2542" s="52">
        <f>V2542*W2542</f>
        <v>0</v>
      </c>
      <c r="AC2542" s="53">
        <f>(R2542+V2542)*W2542</f>
        <v>22.33</v>
      </c>
      <c r="AD2542" s="138">
        <v>31.9</v>
      </c>
      <c r="AE2542" s="137">
        <v>9.57</v>
      </c>
      <c r="AF2542" s="139">
        <v>9.57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109</v>
      </c>
      <c r="F2543" s="96" t="s">
        <v>111</v>
      </c>
      <c r="G2543" s="97">
        <v>46132</v>
      </c>
      <c r="H2543" s="98">
        <v>0.6374652777777777</v>
      </c>
      <c r="I2543" s="50">
        <v>169002703</v>
      </c>
      <c r="J2543" s="96" t="s">
        <v>157</v>
      </c>
      <c r="K2543" s="49" t="s">
        <v>3504</v>
      </c>
      <c r="L2543" s="39" t="s">
        <v>3505</v>
      </c>
      <c r="M2543" s="49" t="s">
        <v>1182</v>
      </c>
      <c r="N2543" s="39" t="s">
        <v>843</v>
      </c>
      <c r="O2543" s="96" t="s">
        <v>3506</v>
      </c>
      <c r="P2543" s="49" t="s">
        <v>157</v>
      </c>
      <c r="Q2543" s="96" t="s">
        <v>104</v>
      </c>
      <c r="R2543" s="52">
        <v>77.9</v>
      </c>
      <c r="S2543" s="52">
        <f>R2543-T2543</f>
        <v>69.55357142857143</v>
      </c>
      <c r="T2543" s="52">
        <f>R2543*U2543/(U2543+100)</f>
        <v>8.346428571428572</v>
      </c>
      <c r="U2543" s="50">
        <v>12</v>
      </c>
      <c r="V2543" s="53">
        <v>0</v>
      </c>
      <c r="W2543" s="147">
        <v>1</v>
      </c>
      <c r="X2543" s="148" t="s">
        <v>163</v>
      </c>
      <c r="Y2543" s="54">
        <f>R2543*W2543</f>
        <v>77.9</v>
      </c>
      <c r="Z2543" s="52">
        <f>S2543*W2543</f>
        <v>69.55357142857143</v>
      </c>
      <c r="AA2543" s="52">
        <f>T2543*W2543</f>
        <v>8.346428571428572</v>
      </c>
      <c r="AB2543" s="52">
        <f>V2543*W2543</f>
        <v>0</v>
      </c>
      <c r="AC2543" s="53">
        <f>(R2543+V2543)*W2543</f>
        <v>77.9</v>
      </c>
      <c r="AD2543" s="138">
        <v>77.9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109</v>
      </c>
      <c r="F2544" s="96" t="s">
        <v>111</v>
      </c>
      <c r="G2544" s="97">
        <v>46132</v>
      </c>
      <c r="H2544" s="98">
        <v>0.6374652777777777</v>
      </c>
      <c r="I2544" s="50">
        <v>169002703</v>
      </c>
      <c r="J2544" s="96" t="s">
        <v>157</v>
      </c>
      <c r="K2544" s="49" t="s">
        <v>3507</v>
      </c>
      <c r="L2544" s="39" t="s">
        <v>3508</v>
      </c>
      <c r="M2544" s="49" t="s">
        <v>185</v>
      </c>
      <c r="N2544" s="39" t="s">
        <v>843</v>
      </c>
      <c r="O2544" s="96" t="s">
        <v>3509</v>
      </c>
      <c r="P2544" s="49" t="s">
        <v>157</v>
      </c>
      <c r="Q2544" s="96" t="s">
        <v>104</v>
      </c>
      <c r="R2544" s="52">
        <v>41.9</v>
      </c>
      <c r="S2544" s="52">
        <f>R2544-T2544</f>
        <v>37.410714285714285</v>
      </c>
      <c r="T2544" s="52">
        <f>R2544*U2544/(U2544+100)</f>
        <v>4.489285714285714</v>
      </c>
      <c r="U2544" s="50">
        <v>12</v>
      </c>
      <c r="V2544" s="53">
        <v>0</v>
      </c>
      <c r="W2544" s="147">
        <v>1</v>
      </c>
      <c r="X2544" s="148" t="s">
        <v>163</v>
      </c>
      <c r="Y2544" s="54">
        <f>R2544*W2544</f>
        <v>41.9</v>
      </c>
      <c r="Z2544" s="52">
        <f>S2544*W2544</f>
        <v>37.410714285714285</v>
      </c>
      <c r="AA2544" s="52">
        <f>T2544*W2544</f>
        <v>4.489285714285714</v>
      </c>
      <c r="AB2544" s="52">
        <f>V2544*W2544</f>
        <v>0</v>
      </c>
      <c r="AC2544" s="53">
        <f>(R2544+V2544)*W2544</f>
        <v>41.9</v>
      </c>
      <c r="AD2544" s="138">
        <v>41.9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109</v>
      </c>
      <c r="F2545" s="96" t="s">
        <v>111</v>
      </c>
      <c r="G2545" s="97">
        <v>46132</v>
      </c>
      <c r="H2545" s="98">
        <v>0.6374652777777777</v>
      </c>
      <c r="I2545" s="50">
        <v>169002703</v>
      </c>
      <c r="J2545" s="96" t="s">
        <v>157</v>
      </c>
      <c r="K2545" s="49" t="s">
        <v>3510</v>
      </c>
      <c r="L2545" s="39" t="s">
        <v>3511</v>
      </c>
      <c r="M2545" s="49" t="s">
        <v>214</v>
      </c>
      <c r="N2545" s="39" t="s">
        <v>1752</v>
      </c>
      <c r="O2545" s="96" t="s">
        <v>3512</v>
      </c>
      <c r="P2545" s="49" t="s">
        <v>235</v>
      </c>
      <c r="Q2545" s="96" t="s">
        <v>236</v>
      </c>
      <c r="R2545" s="52">
        <v>39.9</v>
      </c>
      <c r="S2545" s="52">
        <f>R2545-T2545</f>
        <v>35.625</v>
      </c>
      <c r="T2545" s="52">
        <f>R2545*U2545/(U2545+100)</f>
        <v>4.2749999999999995</v>
      </c>
      <c r="U2545" s="50">
        <v>12</v>
      </c>
      <c r="V2545" s="53">
        <v>0</v>
      </c>
      <c r="W2545" s="147">
        <v>1</v>
      </c>
      <c r="X2545" s="148" t="s">
        <v>163</v>
      </c>
      <c r="Y2545" s="54">
        <f>R2545*W2545</f>
        <v>39.9</v>
      </c>
      <c r="Z2545" s="52">
        <f>S2545*W2545</f>
        <v>35.625</v>
      </c>
      <c r="AA2545" s="52">
        <f>T2545*W2545</f>
        <v>4.2749999999999995</v>
      </c>
      <c r="AB2545" s="52">
        <f>V2545*W2545</f>
        <v>0</v>
      </c>
      <c r="AC2545" s="53">
        <f>(R2545+V2545)*W2545</f>
        <v>39.9</v>
      </c>
      <c r="AD2545" s="138">
        <v>39.9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109</v>
      </c>
      <c r="F2546" s="96" t="s">
        <v>111</v>
      </c>
      <c r="G2546" s="97">
        <v>46132</v>
      </c>
      <c r="H2546" s="98">
        <v>0.6374652777777777</v>
      </c>
      <c r="I2546" s="50">
        <v>169002703</v>
      </c>
      <c r="J2546" s="96" t="s">
        <v>157</v>
      </c>
      <c r="K2546" s="49" t="s">
        <v>3513</v>
      </c>
      <c r="L2546" s="39" t="s">
        <v>3514</v>
      </c>
      <c r="M2546" s="49" t="s">
        <v>862</v>
      </c>
      <c r="N2546" s="39" t="s">
        <v>863</v>
      </c>
      <c r="O2546" s="96" t="s">
        <v>3515</v>
      </c>
      <c r="P2546" s="49" t="s">
        <v>157</v>
      </c>
      <c r="Q2546" s="96" t="s">
        <v>104</v>
      </c>
      <c r="R2546" s="52">
        <v>161</v>
      </c>
      <c r="S2546" s="52">
        <f>R2546-T2546</f>
        <v>133.05785123966942</v>
      </c>
      <c r="T2546" s="52">
        <f>R2546*U2546/(U2546+100)</f>
        <v>27.94214876033058</v>
      </c>
      <c r="U2546" s="50">
        <v>21</v>
      </c>
      <c r="V2546" s="53">
        <v>0</v>
      </c>
      <c r="W2546" s="147">
        <v>1</v>
      </c>
      <c r="X2546" s="148" t="s">
        <v>163</v>
      </c>
      <c r="Y2546" s="54">
        <f>R2546*W2546</f>
        <v>161</v>
      </c>
      <c r="Z2546" s="52">
        <f>S2546*W2546</f>
        <v>133.05785123966942</v>
      </c>
      <c r="AA2546" s="52">
        <f>T2546*W2546</f>
        <v>27.94214876033058</v>
      </c>
      <c r="AB2546" s="52">
        <f>V2546*W2546</f>
        <v>0</v>
      </c>
      <c r="AC2546" s="53">
        <f>(R2546+V2546)*W2546</f>
        <v>161</v>
      </c>
      <c r="AD2546" s="138">
        <v>161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109</v>
      </c>
      <c r="F2547" s="96" t="s">
        <v>111</v>
      </c>
      <c r="G2547" s="97">
        <v>46132</v>
      </c>
      <c r="H2547" s="98">
        <v>0.6374652777777777</v>
      </c>
      <c r="I2547" s="50">
        <v>169002703</v>
      </c>
      <c r="J2547" s="96" t="s">
        <v>157</v>
      </c>
      <c r="K2547" s="49" t="s">
        <v>655</v>
      </c>
      <c r="L2547" s="39" t="s">
        <v>656</v>
      </c>
      <c r="M2547" s="49" t="s">
        <v>190</v>
      </c>
      <c r="N2547" s="39" t="s">
        <v>532</v>
      </c>
      <c r="O2547" s="96" t="s">
        <v>657</v>
      </c>
      <c r="P2547" s="49" t="s">
        <v>157</v>
      </c>
      <c r="Q2547" s="96" t="s">
        <v>104</v>
      </c>
      <c r="R2547" s="52">
        <v>17.95</v>
      </c>
      <c r="S2547" s="52">
        <f>R2547-T2547</f>
        <v>16.026785714285715</v>
      </c>
      <c r="T2547" s="52">
        <f>R2547*U2547/(U2547+100)</f>
        <v>1.9232142857142855</v>
      </c>
      <c r="U2547" s="50">
        <v>12</v>
      </c>
      <c r="V2547" s="53">
        <v>0</v>
      </c>
      <c r="W2547" s="147">
        <v>0.786</v>
      </c>
      <c r="X2547" s="148" t="s">
        <v>193</v>
      </c>
      <c r="Y2547" s="54">
        <f>R2547*W2547</f>
        <v>14.1087</v>
      </c>
      <c r="Z2547" s="52">
        <f>S2547*W2547</f>
        <v>12.597053571428573</v>
      </c>
      <c r="AA2547" s="52">
        <f>T2547*W2547</f>
        <v>1.5116464285714284</v>
      </c>
      <c r="AB2547" s="52">
        <f>V2547*W2547</f>
        <v>0</v>
      </c>
      <c r="AC2547" s="53">
        <f>(R2547+V2547)*W2547</f>
        <v>14.1087</v>
      </c>
      <c r="AD2547" s="138">
        <v>17.95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109</v>
      </c>
      <c r="F2548" s="96" t="s">
        <v>111</v>
      </c>
      <c r="G2548" s="97">
        <v>46132</v>
      </c>
      <c r="H2548" s="98">
        <v>0.6374652777777777</v>
      </c>
      <c r="I2548" s="50">
        <v>169002703</v>
      </c>
      <c r="J2548" s="96" t="s">
        <v>157</v>
      </c>
      <c r="K2548" s="49" t="s">
        <v>680</v>
      </c>
      <c r="L2548" s="39" t="s">
        <v>681</v>
      </c>
      <c r="M2548" s="49" t="s">
        <v>190</v>
      </c>
      <c r="N2548" s="39" t="s">
        <v>532</v>
      </c>
      <c r="O2548" s="96" t="s">
        <v>682</v>
      </c>
      <c r="P2548" s="49" t="s">
        <v>157</v>
      </c>
      <c r="Q2548" s="96" t="s">
        <v>104</v>
      </c>
      <c r="R2548" s="52">
        <v>24.9</v>
      </c>
      <c r="S2548" s="52">
        <f>R2548-T2548</f>
        <v>22.232142857142858</v>
      </c>
      <c r="T2548" s="52">
        <f>R2548*U2548/(U2548+100)</f>
        <v>2.6678571428571423</v>
      </c>
      <c r="U2548" s="50">
        <v>12</v>
      </c>
      <c r="V2548" s="53">
        <v>0</v>
      </c>
      <c r="W2548" s="147">
        <v>0.272</v>
      </c>
      <c r="X2548" s="148" t="s">
        <v>193</v>
      </c>
      <c r="Y2548" s="54">
        <f>R2548*W2548</f>
        <v>6.7728</v>
      </c>
      <c r="Z2548" s="52">
        <f>S2548*W2548</f>
        <v>6.047142857142858</v>
      </c>
      <c r="AA2548" s="52">
        <f>T2548*W2548</f>
        <v>0.7256571428571428</v>
      </c>
      <c r="AB2548" s="52">
        <f>V2548*W2548</f>
        <v>0</v>
      </c>
      <c r="AC2548" s="53">
        <f>(R2548+V2548)*W2548</f>
        <v>6.7728</v>
      </c>
      <c r="AD2548" s="138">
        <v>24.9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109</v>
      </c>
      <c r="F2549" s="96" t="s">
        <v>111</v>
      </c>
      <c r="G2549" s="97">
        <v>46132</v>
      </c>
      <c r="H2549" s="98">
        <v>0.6374652777777777</v>
      </c>
      <c r="I2549" s="50">
        <v>169002703</v>
      </c>
      <c r="J2549" s="96" t="s">
        <v>157</v>
      </c>
      <c r="K2549" s="49" t="s">
        <v>1021</v>
      </c>
      <c r="L2549" s="39" t="s">
        <v>1022</v>
      </c>
      <c r="M2549" s="49" t="s">
        <v>190</v>
      </c>
      <c r="N2549" s="39" t="s">
        <v>532</v>
      </c>
      <c r="O2549" s="96" t="s">
        <v>1023</v>
      </c>
      <c r="P2549" s="49" t="s">
        <v>157</v>
      </c>
      <c r="Q2549" s="96" t="s">
        <v>104</v>
      </c>
      <c r="R2549" s="52">
        <v>48.9</v>
      </c>
      <c r="S2549" s="52">
        <f>R2549-T2549</f>
        <v>43.660714285714285</v>
      </c>
      <c r="T2549" s="52">
        <f>R2549*U2549/(U2549+100)</f>
        <v>5.239285714285714</v>
      </c>
      <c r="U2549" s="50">
        <v>12</v>
      </c>
      <c r="V2549" s="53">
        <v>0</v>
      </c>
      <c r="W2549" s="147">
        <v>0.512</v>
      </c>
      <c r="X2549" s="148" t="s">
        <v>193</v>
      </c>
      <c r="Y2549" s="54">
        <f>R2549*W2549</f>
        <v>25.0368</v>
      </c>
      <c r="Z2549" s="52">
        <f>S2549*W2549</f>
        <v>22.354285714285716</v>
      </c>
      <c r="AA2549" s="52">
        <f>T2549*W2549</f>
        <v>2.6825142857142854</v>
      </c>
      <c r="AB2549" s="52">
        <f>V2549*W2549</f>
        <v>0</v>
      </c>
      <c r="AC2549" s="53">
        <f>(R2549+V2549)*W2549</f>
        <v>25.0368</v>
      </c>
      <c r="AD2549" s="138">
        <v>48.9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109</v>
      </c>
      <c r="F2550" s="96" t="s">
        <v>111</v>
      </c>
      <c r="G2550" s="97">
        <v>46132</v>
      </c>
      <c r="H2550" s="98">
        <v>0.6374652777777777</v>
      </c>
      <c r="I2550" s="50">
        <v>169002703</v>
      </c>
      <c r="J2550" s="96" t="s">
        <v>157</v>
      </c>
      <c r="K2550" s="49" t="s">
        <v>2852</v>
      </c>
      <c r="L2550" s="39" t="s">
        <v>104</v>
      </c>
      <c r="M2550" s="49" t="s">
        <v>190</v>
      </c>
      <c r="N2550" s="39" t="s">
        <v>462</v>
      </c>
      <c r="O2550" s="96" t="s">
        <v>2853</v>
      </c>
      <c r="P2550" s="49" t="s">
        <v>157</v>
      </c>
      <c r="Q2550" s="96" t="s">
        <v>104</v>
      </c>
      <c r="R2550" s="52">
        <v>16.9</v>
      </c>
      <c r="S2550" s="52">
        <f>R2550-T2550</f>
        <v>15.089285714285714</v>
      </c>
      <c r="T2550" s="52">
        <f>R2550*U2550/(U2550+100)</f>
        <v>1.8107142857142855</v>
      </c>
      <c r="U2550" s="50">
        <v>12</v>
      </c>
      <c r="V2550" s="53">
        <v>0</v>
      </c>
      <c r="W2550" s="147">
        <v>1</v>
      </c>
      <c r="X2550" s="148" t="s">
        <v>163</v>
      </c>
      <c r="Y2550" s="54">
        <f>R2550*W2550</f>
        <v>16.9</v>
      </c>
      <c r="Z2550" s="52">
        <f>S2550*W2550</f>
        <v>15.089285714285714</v>
      </c>
      <c r="AA2550" s="52">
        <f>T2550*W2550</f>
        <v>1.8107142857142855</v>
      </c>
      <c r="AB2550" s="52">
        <f>V2550*W2550</f>
        <v>0</v>
      </c>
      <c r="AC2550" s="53">
        <f>(R2550+V2550)*W2550</f>
        <v>16.9</v>
      </c>
      <c r="AD2550" s="138">
        <v>16.9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109</v>
      </c>
      <c r="F2551" s="96" t="s">
        <v>111</v>
      </c>
      <c r="G2551" s="97">
        <v>46132</v>
      </c>
      <c r="H2551" s="98">
        <v>0.6374652777777777</v>
      </c>
      <c r="I2551" s="50">
        <v>169002703</v>
      </c>
      <c r="J2551" s="96" t="s">
        <v>157</v>
      </c>
      <c r="K2551" s="49" t="s">
        <v>1133</v>
      </c>
      <c r="L2551" s="39" t="s">
        <v>1134</v>
      </c>
      <c r="M2551" s="49" t="s">
        <v>649</v>
      </c>
      <c r="N2551" s="39" t="s">
        <v>440</v>
      </c>
      <c r="O2551" s="96" t="s">
        <v>1135</v>
      </c>
      <c r="P2551" s="49" t="s">
        <v>157</v>
      </c>
      <c r="Q2551" s="96" t="s">
        <v>104</v>
      </c>
      <c r="R2551" s="52">
        <v>125.93</v>
      </c>
      <c r="S2551" s="52">
        <f>R2551-T2551</f>
        <v>112.4375</v>
      </c>
      <c r="T2551" s="52">
        <f>R2551*U2551/(U2551+100)</f>
        <v>13.492500000000001</v>
      </c>
      <c r="U2551" s="50">
        <v>12</v>
      </c>
      <c r="V2551" s="53">
        <v>0</v>
      </c>
      <c r="W2551" s="147">
        <v>0.194</v>
      </c>
      <c r="X2551" s="148" t="s">
        <v>193</v>
      </c>
      <c r="Y2551" s="54">
        <f>R2551*W2551</f>
        <v>24.43042</v>
      </c>
      <c r="Z2551" s="52">
        <f>S2551*W2551</f>
        <v>21.812875000000002</v>
      </c>
      <c r="AA2551" s="52">
        <f>T2551*W2551</f>
        <v>2.6175450000000002</v>
      </c>
      <c r="AB2551" s="52">
        <f>V2551*W2551</f>
        <v>0</v>
      </c>
      <c r="AC2551" s="53">
        <f>(R2551+V2551)*W2551</f>
        <v>24.43042</v>
      </c>
      <c r="AD2551" s="138">
        <v>179.9</v>
      </c>
      <c r="AE2551" s="137">
        <v>53.97</v>
      </c>
      <c r="AF2551" s="139">
        <v>10.4702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109</v>
      </c>
      <c r="F2552" s="96" t="s">
        <v>111</v>
      </c>
      <c r="G2552" s="97">
        <v>46132</v>
      </c>
      <c r="H2552" s="98">
        <v>0.6374652777777777</v>
      </c>
      <c r="I2552" s="50">
        <v>169002703</v>
      </c>
      <c r="J2552" s="96" t="s">
        <v>157</v>
      </c>
      <c r="K2552" s="49" t="s">
        <v>845</v>
      </c>
      <c r="L2552" s="39" t="s">
        <v>846</v>
      </c>
      <c r="M2552" s="49" t="s">
        <v>522</v>
      </c>
      <c r="N2552" s="39" t="s">
        <v>688</v>
      </c>
      <c r="O2552" s="96" t="s">
        <v>1244</v>
      </c>
      <c r="P2552" s="49" t="s">
        <v>157</v>
      </c>
      <c r="Q2552" s="96" t="s">
        <v>104</v>
      </c>
      <c r="R2552" s="52">
        <v>227.9</v>
      </c>
      <c r="S2552" s="52">
        <f>R2552-T2552</f>
        <v>203.48214285714286</v>
      </c>
      <c r="T2552" s="52">
        <f>R2552*U2552/(U2552+100)</f>
        <v>24.417857142857144</v>
      </c>
      <c r="U2552" s="50">
        <v>12</v>
      </c>
      <c r="V2552" s="53">
        <v>0</v>
      </c>
      <c r="W2552" s="147">
        <v>0.168</v>
      </c>
      <c r="X2552" s="148" t="s">
        <v>193</v>
      </c>
      <c r="Y2552" s="54">
        <f>R2552*W2552</f>
        <v>38.287200000000006</v>
      </c>
      <c r="Z2552" s="52">
        <f>S2552*W2552</f>
        <v>34.185</v>
      </c>
      <c r="AA2552" s="52">
        <f>T2552*W2552</f>
        <v>4.102200000000001</v>
      </c>
      <c r="AB2552" s="52">
        <f>V2552*W2552</f>
        <v>0</v>
      </c>
      <c r="AC2552" s="53">
        <f>(R2552+V2552)*W2552</f>
        <v>38.287200000000006</v>
      </c>
      <c r="AD2552" s="138">
        <v>227.9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109</v>
      </c>
      <c r="F2553" s="96" t="s">
        <v>111</v>
      </c>
      <c r="G2553" s="97">
        <v>46132</v>
      </c>
      <c r="H2553" s="98">
        <v>0.6374652777777777</v>
      </c>
      <c r="I2553" s="50">
        <v>169002703</v>
      </c>
      <c r="J2553" s="96" t="s">
        <v>157</v>
      </c>
      <c r="K2553" s="49" t="s">
        <v>293</v>
      </c>
      <c r="L2553" s="39" t="s">
        <v>294</v>
      </c>
      <c r="M2553" s="49" t="s">
        <v>295</v>
      </c>
      <c r="N2553" s="39" t="s">
        <v>296</v>
      </c>
      <c r="O2553" s="96" t="s">
        <v>297</v>
      </c>
      <c r="P2553" s="49" t="s">
        <v>157</v>
      </c>
      <c r="Q2553" s="96" t="s">
        <v>104</v>
      </c>
      <c r="R2553" s="52">
        <v>2.9</v>
      </c>
      <c r="S2553" s="52">
        <f>R2553-T2553</f>
        <v>2.5892857142857144</v>
      </c>
      <c r="T2553" s="52">
        <f>R2553*U2553/(U2553+100)</f>
        <v>0.31071428571428567</v>
      </c>
      <c r="U2553" s="50">
        <v>12</v>
      </c>
      <c r="V2553" s="53">
        <v>0</v>
      </c>
      <c r="W2553" s="147">
        <v>4</v>
      </c>
      <c r="X2553" s="148" t="s">
        <v>163</v>
      </c>
      <c r="Y2553" s="54">
        <f>R2553*W2553</f>
        <v>11.6</v>
      </c>
      <c r="Z2553" s="52">
        <f>S2553*W2553</f>
        <v>10.357142857142858</v>
      </c>
      <c r="AA2553" s="52">
        <f>T2553*W2553</f>
        <v>1.2428571428571427</v>
      </c>
      <c r="AB2553" s="52">
        <f>V2553*W2553</f>
        <v>0</v>
      </c>
      <c r="AC2553" s="53">
        <f>(R2553+V2553)*W2553</f>
        <v>11.6</v>
      </c>
      <c r="AD2553" s="138">
        <v>2.9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109</v>
      </c>
      <c r="F2554" s="96" t="s">
        <v>111</v>
      </c>
      <c r="G2554" s="97">
        <v>46132</v>
      </c>
      <c r="H2554" s="98">
        <v>0.6374652777777777</v>
      </c>
      <c r="I2554" s="50">
        <v>169002703</v>
      </c>
      <c r="J2554" s="96" t="s">
        <v>157</v>
      </c>
      <c r="K2554" s="49" t="s">
        <v>560</v>
      </c>
      <c r="L2554" s="39" t="s">
        <v>104</v>
      </c>
      <c r="M2554" s="49" t="s">
        <v>554</v>
      </c>
      <c r="N2554" s="39" t="s">
        <v>296</v>
      </c>
      <c r="O2554" s="96" t="s">
        <v>561</v>
      </c>
      <c r="P2554" s="49" t="s">
        <v>157</v>
      </c>
      <c r="Q2554" s="96" t="s">
        <v>104</v>
      </c>
      <c r="R2554" s="52">
        <v>8.9</v>
      </c>
      <c r="S2554" s="52">
        <f>R2554-T2554</f>
        <v>7.946428571428572</v>
      </c>
      <c r="T2554" s="52">
        <f>R2554*U2554/(U2554+100)</f>
        <v>0.9535714285714286</v>
      </c>
      <c r="U2554" s="50">
        <v>12</v>
      </c>
      <c r="V2554" s="53">
        <v>0</v>
      </c>
      <c r="W2554" s="147">
        <v>2</v>
      </c>
      <c r="X2554" s="148" t="s">
        <v>163</v>
      </c>
      <c r="Y2554" s="54">
        <f>R2554*W2554</f>
        <v>17.8</v>
      </c>
      <c r="Z2554" s="52">
        <f>S2554*W2554</f>
        <v>15.892857142857144</v>
      </c>
      <c r="AA2554" s="52">
        <f>T2554*W2554</f>
        <v>1.9071428571428573</v>
      </c>
      <c r="AB2554" s="52">
        <f>V2554*W2554</f>
        <v>0</v>
      </c>
      <c r="AC2554" s="53">
        <f>(R2554+V2554)*W2554</f>
        <v>17.8</v>
      </c>
      <c r="AD2554" s="138">
        <v>8.9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109</v>
      </c>
      <c r="F2555" s="96" t="s">
        <v>111</v>
      </c>
      <c r="G2555" s="97">
        <v>46132</v>
      </c>
      <c r="H2555" s="98">
        <v>0.6374652777777777</v>
      </c>
      <c r="I2555" s="50">
        <v>169002703</v>
      </c>
      <c r="J2555" s="96" t="s">
        <v>157</v>
      </c>
      <c r="K2555" s="49" t="s">
        <v>942</v>
      </c>
      <c r="L2555" s="39"/>
      <c r="M2555" s="49" t="s">
        <v>295</v>
      </c>
      <c r="N2555" s="39" t="s">
        <v>433</v>
      </c>
      <c r="O2555" s="96" t="s">
        <v>1332</v>
      </c>
      <c r="P2555" s="49" t="s">
        <v>235</v>
      </c>
      <c r="Q2555" s="96" t="s">
        <v>944</v>
      </c>
      <c r="R2555" s="52">
        <v>9.9</v>
      </c>
      <c r="S2555" s="52">
        <f>R2555-T2555</f>
        <v>8.839285714285715</v>
      </c>
      <c r="T2555" s="52">
        <f>R2555*U2555/(U2555+100)</f>
        <v>1.0607142857142857</v>
      </c>
      <c r="U2555" s="50">
        <v>12</v>
      </c>
      <c r="V2555" s="53">
        <v>0</v>
      </c>
      <c r="W2555" s="147">
        <v>1</v>
      </c>
      <c r="X2555" s="148" t="s">
        <v>945</v>
      </c>
      <c r="Y2555" s="54">
        <f>R2555*W2555</f>
        <v>9.9</v>
      </c>
      <c r="Z2555" s="52">
        <f>S2555*W2555</f>
        <v>8.839285714285715</v>
      </c>
      <c r="AA2555" s="52">
        <f>T2555*W2555</f>
        <v>1.0607142857142857</v>
      </c>
      <c r="AB2555" s="52">
        <f>V2555*W2555</f>
        <v>0</v>
      </c>
      <c r="AC2555" s="53">
        <f>(R2555+V2555)*W2555</f>
        <v>9.9</v>
      </c>
      <c r="AD2555" s="138">
        <v>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109</v>
      </c>
      <c r="F2556" s="96" t="s">
        <v>111</v>
      </c>
      <c r="G2556" s="97">
        <v>46132</v>
      </c>
      <c r="H2556" s="98">
        <v>0.6380787037037037</v>
      </c>
      <c r="I2556" s="50">
        <v>169002704</v>
      </c>
      <c r="J2556" s="96" t="s">
        <v>157</v>
      </c>
      <c r="K2556" s="49" t="s">
        <v>2891</v>
      </c>
      <c r="L2556" s="39" t="s">
        <v>2892</v>
      </c>
      <c r="M2556" s="49" t="s">
        <v>1252</v>
      </c>
      <c r="N2556" s="39" t="s">
        <v>264</v>
      </c>
      <c r="O2556" s="96" t="s">
        <v>2893</v>
      </c>
      <c r="P2556" s="49" t="s">
        <v>157</v>
      </c>
      <c r="Q2556" s="96" t="s">
        <v>104</v>
      </c>
      <c r="R2556" s="52">
        <v>14.9</v>
      </c>
      <c r="S2556" s="52">
        <f>R2556-T2556</f>
        <v>13.303571428571429</v>
      </c>
      <c r="T2556" s="52">
        <f>R2556*U2556/(U2556+100)</f>
        <v>1.5964285714285715</v>
      </c>
      <c r="U2556" s="50">
        <v>12</v>
      </c>
      <c r="V2556" s="53">
        <v>0</v>
      </c>
      <c r="W2556" s="147">
        <v>1</v>
      </c>
      <c r="X2556" s="148" t="s">
        <v>163</v>
      </c>
      <c r="Y2556" s="54">
        <f>R2556*W2556</f>
        <v>14.9</v>
      </c>
      <c r="Z2556" s="52">
        <f>S2556*W2556</f>
        <v>13.303571428571429</v>
      </c>
      <c r="AA2556" s="52">
        <f>T2556*W2556</f>
        <v>1.5964285714285715</v>
      </c>
      <c r="AB2556" s="52">
        <f>V2556*W2556</f>
        <v>0</v>
      </c>
      <c r="AC2556" s="53">
        <f>(R2556+V2556)*W2556</f>
        <v>14.9</v>
      </c>
      <c r="AD2556" s="138">
        <v>14.9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109</v>
      </c>
      <c r="F2557" s="96" t="s">
        <v>111</v>
      </c>
      <c r="G2557" s="97">
        <v>46132</v>
      </c>
      <c r="H2557" s="98">
        <v>0.6380787037037037</v>
      </c>
      <c r="I2557" s="50">
        <v>169002704</v>
      </c>
      <c r="J2557" s="96" t="s">
        <v>157</v>
      </c>
      <c r="K2557" s="49" t="s">
        <v>3516</v>
      </c>
      <c r="L2557" s="39" t="s">
        <v>3517</v>
      </c>
      <c r="M2557" s="49" t="s">
        <v>185</v>
      </c>
      <c r="N2557" s="39" t="s">
        <v>244</v>
      </c>
      <c r="O2557" s="96" t="s">
        <v>3518</v>
      </c>
      <c r="P2557" s="49" t="s">
        <v>157</v>
      </c>
      <c r="Q2557" s="96" t="s">
        <v>104</v>
      </c>
      <c r="R2557" s="52">
        <v>19.9</v>
      </c>
      <c r="S2557" s="52">
        <f>R2557-T2557</f>
        <v>17.767857142857142</v>
      </c>
      <c r="T2557" s="52">
        <f>R2557*U2557/(U2557+100)</f>
        <v>2.132142857142857</v>
      </c>
      <c r="U2557" s="50">
        <v>12</v>
      </c>
      <c r="V2557" s="53">
        <v>0</v>
      </c>
      <c r="W2557" s="147">
        <v>1</v>
      </c>
      <c r="X2557" s="148" t="s">
        <v>163</v>
      </c>
      <c r="Y2557" s="54">
        <f>R2557*W2557</f>
        <v>19.9</v>
      </c>
      <c r="Z2557" s="52">
        <f>S2557*W2557</f>
        <v>17.767857142857142</v>
      </c>
      <c r="AA2557" s="52">
        <f>T2557*W2557</f>
        <v>2.132142857142857</v>
      </c>
      <c r="AB2557" s="52">
        <f>V2557*W2557</f>
        <v>0</v>
      </c>
      <c r="AC2557" s="53">
        <f>(R2557+V2557)*W2557</f>
        <v>19.9</v>
      </c>
      <c r="AD2557" s="138">
        <v>19.9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109</v>
      </c>
      <c r="F2558" s="96" t="s">
        <v>111</v>
      </c>
      <c r="G2558" s="97">
        <v>46132</v>
      </c>
      <c r="H2558" s="98">
        <v>0.6380787037037037</v>
      </c>
      <c r="I2558" s="50">
        <v>169002704</v>
      </c>
      <c r="J2558" s="96" t="s">
        <v>157</v>
      </c>
      <c r="K2558" s="49" t="s">
        <v>3519</v>
      </c>
      <c r="L2558" s="39" t="s">
        <v>3520</v>
      </c>
      <c r="M2558" s="49" t="s">
        <v>219</v>
      </c>
      <c r="N2558" s="39" t="s">
        <v>244</v>
      </c>
      <c r="O2558" s="96" t="s">
        <v>3521</v>
      </c>
      <c r="P2558" s="49" t="s">
        <v>157</v>
      </c>
      <c r="Q2558" s="96" t="s">
        <v>104</v>
      </c>
      <c r="R2558" s="52">
        <v>45.9</v>
      </c>
      <c r="S2558" s="52">
        <f>R2558-T2558</f>
        <v>40.982142857142854</v>
      </c>
      <c r="T2558" s="52">
        <f>R2558*U2558/(U2558+100)</f>
        <v>4.917857142857143</v>
      </c>
      <c r="U2558" s="50">
        <v>12</v>
      </c>
      <c r="V2558" s="53">
        <v>0</v>
      </c>
      <c r="W2558" s="147">
        <v>1</v>
      </c>
      <c r="X2558" s="148" t="s">
        <v>163</v>
      </c>
      <c r="Y2558" s="54">
        <f>R2558*W2558</f>
        <v>45.9</v>
      </c>
      <c r="Z2558" s="52">
        <f>S2558*W2558</f>
        <v>40.982142857142854</v>
      </c>
      <c r="AA2558" s="52">
        <f>T2558*W2558</f>
        <v>4.917857142857143</v>
      </c>
      <c r="AB2558" s="52">
        <f>V2558*W2558</f>
        <v>0</v>
      </c>
      <c r="AC2558" s="53">
        <f>(R2558+V2558)*W2558</f>
        <v>45.9</v>
      </c>
      <c r="AD2558" s="138">
        <v>45.9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109</v>
      </c>
      <c r="F2559" s="96" t="s">
        <v>111</v>
      </c>
      <c r="G2559" s="97">
        <v>46132</v>
      </c>
      <c r="H2559" s="98">
        <v>0.6380787037037037</v>
      </c>
      <c r="I2559" s="50">
        <v>169002704</v>
      </c>
      <c r="J2559" s="96" t="s">
        <v>157</v>
      </c>
      <c r="K2559" s="49" t="s">
        <v>919</v>
      </c>
      <c r="L2559" s="39" t="s">
        <v>920</v>
      </c>
      <c r="M2559" s="49" t="s">
        <v>600</v>
      </c>
      <c r="N2559" s="39" t="s">
        <v>601</v>
      </c>
      <c r="O2559" s="96" t="s">
        <v>3522</v>
      </c>
      <c r="P2559" s="49" t="s">
        <v>235</v>
      </c>
      <c r="Q2559" s="96" t="s">
        <v>236</v>
      </c>
      <c r="R2559" s="52">
        <v>29.9</v>
      </c>
      <c r="S2559" s="52">
        <f>R2559-T2559</f>
        <v>26.69642857142857</v>
      </c>
      <c r="T2559" s="52">
        <f>R2559*U2559/(U2559+100)</f>
        <v>3.2035714285714283</v>
      </c>
      <c r="U2559" s="50">
        <v>12</v>
      </c>
      <c r="V2559" s="53">
        <v>0</v>
      </c>
      <c r="W2559" s="147">
        <v>1</v>
      </c>
      <c r="X2559" s="148" t="s">
        <v>163</v>
      </c>
      <c r="Y2559" s="54">
        <f>R2559*W2559</f>
        <v>29.9</v>
      </c>
      <c r="Z2559" s="52">
        <f>S2559*W2559</f>
        <v>26.69642857142857</v>
      </c>
      <c r="AA2559" s="52">
        <f>T2559*W2559</f>
        <v>3.2035714285714283</v>
      </c>
      <c r="AB2559" s="52">
        <f>V2559*W2559</f>
        <v>0</v>
      </c>
      <c r="AC2559" s="53">
        <f>(R2559+V2559)*W2559</f>
        <v>29.9</v>
      </c>
      <c r="AD2559" s="138">
        <v>29.9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109</v>
      </c>
      <c r="F2560" s="96" t="s">
        <v>111</v>
      </c>
      <c r="G2560" s="97">
        <v>46132</v>
      </c>
      <c r="H2560" s="98">
        <v>0.6380787037037037</v>
      </c>
      <c r="I2560" s="50">
        <v>169002704</v>
      </c>
      <c r="J2560" s="96" t="s">
        <v>157</v>
      </c>
      <c r="K2560" s="49" t="s">
        <v>3523</v>
      </c>
      <c r="L2560" s="39" t="s">
        <v>3524</v>
      </c>
      <c r="M2560" s="49" t="s">
        <v>255</v>
      </c>
      <c r="N2560" s="39" t="s">
        <v>256</v>
      </c>
      <c r="O2560" s="96" t="s">
        <v>3525</v>
      </c>
      <c r="P2560" s="49" t="s">
        <v>157</v>
      </c>
      <c r="Q2560" s="96" t="s">
        <v>104</v>
      </c>
      <c r="R2560" s="52">
        <v>19.9</v>
      </c>
      <c r="S2560" s="52">
        <f>R2560-T2560</f>
        <v>16.446280991735534</v>
      </c>
      <c r="T2560" s="52">
        <f>R2560*U2560/(U2560+100)</f>
        <v>3.4537190082644624</v>
      </c>
      <c r="U2560" s="50">
        <v>21</v>
      </c>
      <c r="V2560" s="53">
        <v>3</v>
      </c>
      <c r="W2560" s="147">
        <v>1</v>
      </c>
      <c r="X2560" s="148" t="s">
        <v>163</v>
      </c>
      <c r="Y2560" s="54">
        <f>R2560*W2560</f>
        <v>19.9</v>
      </c>
      <c r="Z2560" s="52">
        <f>S2560*W2560</f>
        <v>16.446280991735534</v>
      </c>
      <c r="AA2560" s="52">
        <f>T2560*W2560</f>
        <v>3.4537190082644624</v>
      </c>
      <c r="AB2560" s="52">
        <f>V2560*W2560</f>
        <v>3</v>
      </c>
      <c r="AC2560" s="53">
        <f>(R2560+V2560)*W2560</f>
        <v>22.9</v>
      </c>
      <c r="AD2560" s="138">
        <v>19.9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109</v>
      </c>
      <c r="F2561" s="96" t="s">
        <v>111</v>
      </c>
      <c r="G2561" s="97">
        <v>46132</v>
      </c>
      <c r="H2561" s="98">
        <v>0.6380787037037037</v>
      </c>
      <c r="I2561" s="50">
        <v>169002704</v>
      </c>
      <c r="J2561" s="96" t="s">
        <v>157</v>
      </c>
      <c r="K2561" s="49" t="s">
        <v>3523</v>
      </c>
      <c r="L2561" s="39" t="s">
        <v>3524</v>
      </c>
      <c r="M2561" s="49" t="s">
        <v>255</v>
      </c>
      <c r="N2561" s="39" t="s">
        <v>256</v>
      </c>
      <c r="O2561" s="96" t="s">
        <v>3525</v>
      </c>
      <c r="P2561" s="49" t="s">
        <v>157</v>
      </c>
      <c r="Q2561" s="96" t="s">
        <v>104</v>
      </c>
      <c r="R2561" s="52">
        <v>19.9</v>
      </c>
      <c r="S2561" s="52">
        <f>R2561-T2561</f>
        <v>16.446280991735534</v>
      </c>
      <c r="T2561" s="52">
        <f>R2561*U2561/(U2561+100)</f>
        <v>3.4537190082644624</v>
      </c>
      <c r="U2561" s="50">
        <v>21</v>
      </c>
      <c r="V2561" s="53">
        <v>3</v>
      </c>
      <c r="W2561" s="147">
        <v>1</v>
      </c>
      <c r="X2561" s="148" t="s">
        <v>163</v>
      </c>
      <c r="Y2561" s="54">
        <f>R2561*W2561</f>
        <v>19.9</v>
      </c>
      <c r="Z2561" s="52">
        <f>S2561*W2561</f>
        <v>16.446280991735534</v>
      </c>
      <c r="AA2561" s="52">
        <f>T2561*W2561</f>
        <v>3.4537190082644624</v>
      </c>
      <c r="AB2561" s="52">
        <f>V2561*W2561</f>
        <v>3</v>
      </c>
      <c r="AC2561" s="53">
        <f>(R2561+V2561)*W2561</f>
        <v>22.9</v>
      </c>
      <c r="AD2561" s="138">
        <v>19.9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109</v>
      </c>
      <c r="F2562" s="96" t="s">
        <v>111</v>
      </c>
      <c r="G2562" s="97">
        <v>46132</v>
      </c>
      <c r="H2562" s="98">
        <v>0.6380787037037037</v>
      </c>
      <c r="I2562" s="50">
        <v>169002704</v>
      </c>
      <c r="J2562" s="96" t="s">
        <v>157</v>
      </c>
      <c r="K2562" s="49" t="s">
        <v>3523</v>
      </c>
      <c r="L2562" s="39" t="s">
        <v>3524</v>
      </c>
      <c r="M2562" s="49" t="s">
        <v>255</v>
      </c>
      <c r="N2562" s="39" t="s">
        <v>256</v>
      </c>
      <c r="O2562" s="96" t="s">
        <v>3525</v>
      </c>
      <c r="P2562" s="49" t="s">
        <v>157</v>
      </c>
      <c r="Q2562" s="96" t="s">
        <v>104</v>
      </c>
      <c r="R2562" s="52">
        <v>19.9</v>
      </c>
      <c r="S2562" s="52">
        <f>R2562-T2562</f>
        <v>16.446280991735534</v>
      </c>
      <c r="T2562" s="52">
        <f>R2562*U2562/(U2562+100)</f>
        <v>3.4537190082644624</v>
      </c>
      <c r="U2562" s="50">
        <v>21</v>
      </c>
      <c r="V2562" s="53">
        <v>3</v>
      </c>
      <c r="W2562" s="147">
        <v>1</v>
      </c>
      <c r="X2562" s="148" t="s">
        <v>163</v>
      </c>
      <c r="Y2562" s="54">
        <f>R2562*W2562</f>
        <v>19.9</v>
      </c>
      <c r="Z2562" s="52">
        <f>S2562*W2562</f>
        <v>16.446280991735534</v>
      </c>
      <c r="AA2562" s="52">
        <f>T2562*W2562</f>
        <v>3.4537190082644624</v>
      </c>
      <c r="AB2562" s="52">
        <f>V2562*W2562</f>
        <v>3</v>
      </c>
      <c r="AC2562" s="53">
        <f>(R2562+V2562)*W2562</f>
        <v>22.9</v>
      </c>
      <c r="AD2562" s="138">
        <v>19.9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109</v>
      </c>
      <c r="F2563" s="96" t="s">
        <v>111</v>
      </c>
      <c r="G2563" s="97">
        <v>46132</v>
      </c>
      <c r="H2563" s="98">
        <v>0.6385879629629629</v>
      </c>
      <c r="I2563" s="50">
        <v>169002705</v>
      </c>
      <c r="J2563" s="96" t="s">
        <v>157</v>
      </c>
      <c r="K2563" s="49" t="s">
        <v>3177</v>
      </c>
      <c r="L2563" s="39" t="s">
        <v>3178</v>
      </c>
      <c r="M2563" s="49" t="s">
        <v>196</v>
      </c>
      <c r="N2563" s="39" t="s">
        <v>197</v>
      </c>
      <c r="O2563" s="96" t="s">
        <v>3179</v>
      </c>
      <c r="P2563" s="49" t="s">
        <v>157</v>
      </c>
      <c r="Q2563" s="96" t="s">
        <v>104</v>
      </c>
      <c r="R2563" s="52">
        <v>19.9</v>
      </c>
      <c r="S2563" s="52">
        <f>R2563-T2563</f>
        <v>17.767857142857142</v>
      </c>
      <c r="T2563" s="52">
        <f>R2563*U2563/(U2563+100)</f>
        <v>2.132142857142857</v>
      </c>
      <c r="U2563" s="50">
        <v>12</v>
      </c>
      <c r="V2563" s="53">
        <v>0</v>
      </c>
      <c r="W2563" s="147">
        <v>1</v>
      </c>
      <c r="X2563" s="148" t="s">
        <v>163</v>
      </c>
      <c r="Y2563" s="54">
        <f>R2563*W2563</f>
        <v>19.9</v>
      </c>
      <c r="Z2563" s="52">
        <f>S2563*W2563</f>
        <v>17.767857142857142</v>
      </c>
      <c r="AA2563" s="52">
        <f>T2563*W2563</f>
        <v>2.132142857142857</v>
      </c>
      <c r="AB2563" s="52">
        <f>V2563*W2563</f>
        <v>0</v>
      </c>
      <c r="AC2563" s="53">
        <f>(R2563+V2563)*W2563</f>
        <v>19.9</v>
      </c>
      <c r="AD2563" s="138">
        <v>19.9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109</v>
      </c>
      <c r="F2564" s="96" t="s">
        <v>111</v>
      </c>
      <c r="G2564" s="97">
        <v>46132</v>
      </c>
      <c r="H2564" s="98">
        <v>0.6385879629629629</v>
      </c>
      <c r="I2564" s="50">
        <v>169002705</v>
      </c>
      <c r="J2564" s="96" t="s">
        <v>157</v>
      </c>
      <c r="K2564" s="49" t="s">
        <v>3526</v>
      </c>
      <c r="L2564" s="39" t="s">
        <v>3527</v>
      </c>
      <c r="M2564" s="49" t="s">
        <v>1153</v>
      </c>
      <c r="N2564" s="39" t="s">
        <v>197</v>
      </c>
      <c r="O2564" s="96" t="s">
        <v>3528</v>
      </c>
      <c r="P2564" s="49" t="s">
        <v>157</v>
      </c>
      <c r="Q2564" s="96" t="s">
        <v>104</v>
      </c>
      <c r="R2564" s="52">
        <v>27.9</v>
      </c>
      <c r="S2564" s="52">
        <f>R2564-T2564</f>
        <v>24.910714285714285</v>
      </c>
      <c r="T2564" s="52">
        <f>R2564*U2564/(U2564+100)</f>
        <v>2.989285714285714</v>
      </c>
      <c r="U2564" s="50">
        <v>12</v>
      </c>
      <c r="V2564" s="53">
        <v>0</v>
      </c>
      <c r="W2564" s="147">
        <v>1</v>
      </c>
      <c r="X2564" s="148" t="s">
        <v>163</v>
      </c>
      <c r="Y2564" s="54">
        <f>R2564*W2564</f>
        <v>27.9</v>
      </c>
      <c r="Z2564" s="52">
        <f>S2564*W2564</f>
        <v>24.910714285714285</v>
      </c>
      <c r="AA2564" s="52">
        <f>T2564*W2564</f>
        <v>2.989285714285714</v>
      </c>
      <c r="AB2564" s="52">
        <f>V2564*W2564</f>
        <v>0</v>
      </c>
      <c r="AC2564" s="53">
        <f>(R2564+V2564)*W2564</f>
        <v>27.9</v>
      </c>
      <c r="AD2564" s="138">
        <v>27.9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109</v>
      </c>
      <c r="F2565" s="96" t="s">
        <v>111</v>
      </c>
      <c r="G2565" s="97">
        <v>46132</v>
      </c>
      <c r="H2565" s="98">
        <v>0.6385879629629629</v>
      </c>
      <c r="I2565" s="50">
        <v>169002705</v>
      </c>
      <c r="J2565" s="96" t="s">
        <v>157</v>
      </c>
      <c r="K2565" s="49" t="s">
        <v>237</v>
      </c>
      <c r="L2565" s="39" t="s">
        <v>238</v>
      </c>
      <c r="M2565" s="49" t="s">
        <v>196</v>
      </c>
      <c r="N2565" s="39" t="s">
        <v>239</v>
      </c>
      <c r="O2565" s="96" t="s">
        <v>3529</v>
      </c>
      <c r="P2565" s="49" t="s">
        <v>157</v>
      </c>
      <c r="Q2565" s="96" t="s">
        <v>104</v>
      </c>
      <c r="R2565" s="52">
        <v>27.9</v>
      </c>
      <c r="S2565" s="52">
        <f>R2565-T2565</f>
        <v>24.910714285714285</v>
      </c>
      <c r="T2565" s="52">
        <f>R2565*U2565/(U2565+100)</f>
        <v>2.989285714285714</v>
      </c>
      <c r="U2565" s="50">
        <v>12</v>
      </c>
      <c r="V2565" s="53">
        <v>0</v>
      </c>
      <c r="W2565" s="147">
        <v>1</v>
      </c>
      <c r="X2565" s="148" t="s">
        <v>163</v>
      </c>
      <c r="Y2565" s="54">
        <f>R2565*W2565</f>
        <v>27.9</v>
      </c>
      <c r="Z2565" s="52">
        <f>S2565*W2565</f>
        <v>24.910714285714285</v>
      </c>
      <c r="AA2565" s="52">
        <f>T2565*W2565</f>
        <v>2.989285714285714</v>
      </c>
      <c r="AB2565" s="52">
        <f>V2565*W2565</f>
        <v>0</v>
      </c>
      <c r="AC2565" s="53">
        <f>(R2565+V2565)*W2565</f>
        <v>27.9</v>
      </c>
      <c r="AD2565" s="138">
        <v>27.9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109</v>
      </c>
      <c r="F2566" s="96" t="s">
        <v>111</v>
      </c>
      <c r="G2566" s="97">
        <v>46132</v>
      </c>
      <c r="H2566" s="98">
        <v>0.6385879629629629</v>
      </c>
      <c r="I2566" s="50">
        <v>169002705</v>
      </c>
      <c r="J2566" s="96" t="s">
        <v>157</v>
      </c>
      <c r="K2566" s="49" t="s">
        <v>2061</v>
      </c>
      <c r="L2566" s="39" t="s">
        <v>2062</v>
      </c>
      <c r="M2566" s="49" t="s">
        <v>2063</v>
      </c>
      <c r="N2566" s="39" t="s">
        <v>172</v>
      </c>
      <c r="O2566" s="96" t="s">
        <v>2064</v>
      </c>
      <c r="P2566" s="49" t="s">
        <v>157</v>
      </c>
      <c r="Q2566" s="96" t="s">
        <v>104</v>
      </c>
      <c r="R2566" s="52">
        <v>13.9</v>
      </c>
      <c r="S2566" s="52">
        <f>R2566-T2566</f>
        <v>12.410714285714286</v>
      </c>
      <c r="T2566" s="52">
        <f>R2566*U2566/(U2566+100)</f>
        <v>1.4892857142857143</v>
      </c>
      <c r="U2566" s="50">
        <v>12</v>
      </c>
      <c r="V2566" s="53">
        <v>0</v>
      </c>
      <c r="W2566" s="147">
        <v>1</v>
      </c>
      <c r="X2566" s="148" t="s">
        <v>163</v>
      </c>
      <c r="Y2566" s="54">
        <f>R2566*W2566</f>
        <v>13.9</v>
      </c>
      <c r="Z2566" s="52">
        <f>S2566*W2566</f>
        <v>12.410714285714286</v>
      </c>
      <c r="AA2566" s="52">
        <f>T2566*W2566</f>
        <v>1.4892857142857143</v>
      </c>
      <c r="AB2566" s="52">
        <f>V2566*W2566</f>
        <v>0</v>
      </c>
      <c r="AC2566" s="53">
        <f>(R2566+V2566)*W2566</f>
        <v>13.9</v>
      </c>
      <c r="AD2566" s="138">
        <v>13.9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109</v>
      </c>
      <c r="F2567" s="96" t="s">
        <v>111</v>
      </c>
      <c r="G2567" s="97">
        <v>46132</v>
      </c>
      <c r="H2567" s="98">
        <v>0.6385879629629629</v>
      </c>
      <c r="I2567" s="50">
        <v>169002705</v>
      </c>
      <c r="J2567" s="96" t="s">
        <v>157</v>
      </c>
      <c r="K2567" s="49" t="s">
        <v>2864</v>
      </c>
      <c r="L2567" s="39" t="s">
        <v>2865</v>
      </c>
      <c r="M2567" s="49" t="s">
        <v>2063</v>
      </c>
      <c r="N2567" s="39" t="s">
        <v>172</v>
      </c>
      <c r="O2567" s="96" t="s">
        <v>2866</v>
      </c>
      <c r="P2567" s="49" t="s">
        <v>157</v>
      </c>
      <c r="Q2567" s="96" t="s">
        <v>104</v>
      </c>
      <c r="R2567" s="52">
        <v>13.9</v>
      </c>
      <c r="S2567" s="52">
        <f>R2567-T2567</f>
        <v>12.410714285714286</v>
      </c>
      <c r="T2567" s="52">
        <f>R2567*U2567/(U2567+100)</f>
        <v>1.4892857142857143</v>
      </c>
      <c r="U2567" s="50">
        <v>12</v>
      </c>
      <c r="V2567" s="53">
        <v>0</v>
      </c>
      <c r="W2567" s="147">
        <v>1</v>
      </c>
      <c r="X2567" s="148" t="s">
        <v>163</v>
      </c>
      <c r="Y2567" s="54">
        <f>R2567*W2567</f>
        <v>13.9</v>
      </c>
      <c r="Z2567" s="52">
        <f>S2567*W2567</f>
        <v>12.410714285714286</v>
      </c>
      <c r="AA2567" s="52">
        <f>T2567*W2567</f>
        <v>1.4892857142857143</v>
      </c>
      <c r="AB2567" s="52">
        <f>V2567*W2567</f>
        <v>0</v>
      </c>
      <c r="AC2567" s="53">
        <f>(R2567+V2567)*W2567</f>
        <v>13.9</v>
      </c>
      <c r="AD2567" s="138">
        <v>13.9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109</v>
      </c>
      <c r="F2568" s="96" t="s">
        <v>111</v>
      </c>
      <c r="G2568" s="97">
        <v>46132</v>
      </c>
      <c r="H2568" s="98">
        <v>0.6385879629629629</v>
      </c>
      <c r="I2568" s="50">
        <v>169002705</v>
      </c>
      <c r="J2568" s="96" t="s">
        <v>157</v>
      </c>
      <c r="K2568" s="49" t="s">
        <v>169</v>
      </c>
      <c r="L2568" s="39" t="s">
        <v>170</v>
      </c>
      <c r="M2568" s="49" t="s">
        <v>171</v>
      </c>
      <c r="N2568" s="39" t="s">
        <v>172</v>
      </c>
      <c r="O2568" s="96" t="s">
        <v>3530</v>
      </c>
      <c r="P2568" s="49" t="s">
        <v>157</v>
      </c>
      <c r="Q2568" s="96" t="s">
        <v>104</v>
      </c>
      <c r="R2568" s="52">
        <v>10.9</v>
      </c>
      <c r="S2568" s="52">
        <f>R2568-T2568</f>
        <v>9.732142857142858</v>
      </c>
      <c r="T2568" s="52">
        <f>R2568*U2568/(U2568+100)</f>
        <v>1.167857142857143</v>
      </c>
      <c r="U2568" s="50">
        <v>12</v>
      </c>
      <c r="V2568" s="53">
        <v>0</v>
      </c>
      <c r="W2568" s="147">
        <v>1</v>
      </c>
      <c r="X2568" s="148" t="s">
        <v>163</v>
      </c>
      <c r="Y2568" s="54">
        <f>R2568*W2568</f>
        <v>10.9</v>
      </c>
      <c r="Z2568" s="52">
        <f>S2568*W2568</f>
        <v>9.732142857142858</v>
      </c>
      <c r="AA2568" s="52">
        <f>T2568*W2568</f>
        <v>1.167857142857143</v>
      </c>
      <c r="AB2568" s="52">
        <f>V2568*W2568</f>
        <v>0</v>
      </c>
      <c r="AC2568" s="53">
        <f>(R2568+V2568)*W2568</f>
        <v>10.9</v>
      </c>
      <c r="AD2568" s="138">
        <v>10.9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109</v>
      </c>
      <c r="F2569" s="96" t="s">
        <v>111</v>
      </c>
      <c r="G2569" s="97">
        <v>46132</v>
      </c>
      <c r="H2569" s="98">
        <v>0.6385879629629629</v>
      </c>
      <c r="I2569" s="50">
        <v>169002705</v>
      </c>
      <c r="J2569" s="96" t="s">
        <v>157</v>
      </c>
      <c r="K2569" s="49" t="s">
        <v>174</v>
      </c>
      <c r="L2569" s="39" t="s">
        <v>175</v>
      </c>
      <c r="M2569" s="49" t="s">
        <v>171</v>
      </c>
      <c r="N2569" s="39" t="s">
        <v>172</v>
      </c>
      <c r="O2569" s="96" t="s">
        <v>3531</v>
      </c>
      <c r="P2569" s="49" t="s">
        <v>157</v>
      </c>
      <c r="Q2569" s="96" t="s">
        <v>104</v>
      </c>
      <c r="R2569" s="52">
        <v>11.4</v>
      </c>
      <c r="S2569" s="52">
        <f>R2569-T2569</f>
        <v>10.178571428571429</v>
      </c>
      <c r="T2569" s="52">
        <f>R2569*U2569/(U2569+100)</f>
        <v>1.2214285714285715</v>
      </c>
      <c r="U2569" s="50">
        <v>12</v>
      </c>
      <c r="V2569" s="53">
        <v>0</v>
      </c>
      <c r="W2569" s="147">
        <v>1</v>
      </c>
      <c r="X2569" s="148" t="s">
        <v>163</v>
      </c>
      <c r="Y2569" s="54">
        <f>R2569*W2569</f>
        <v>11.4</v>
      </c>
      <c r="Z2569" s="52">
        <f>S2569*W2569</f>
        <v>10.178571428571429</v>
      </c>
      <c r="AA2569" s="52">
        <f>T2569*W2569</f>
        <v>1.2214285714285715</v>
      </c>
      <c r="AB2569" s="52">
        <f>V2569*W2569</f>
        <v>0</v>
      </c>
      <c r="AC2569" s="53">
        <f>(R2569+V2569)*W2569</f>
        <v>11.4</v>
      </c>
      <c r="AD2569" s="138">
        <v>11.4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109</v>
      </c>
      <c r="F2570" s="96" t="s">
        <v>111</v>
      </c>
      <c r="G2570" s="97">
        <v>46132</v>
      </c>
      <c r="H2570" s="98">
        <v>0.6385879629629629</v>
      </c>
      <c r="I2570" s="50">
        <v>169002705</v>
      </c>
      <c r="J2570" s="96" t="s">
        <v>157</v>
      </c>
      <c r="K2570" s="49" t="s">
        <v>1780</v>
      </c>
      <c r="L2570" s="39" t="s">
        <v>1781</v>
      </c>
      <c r="M2570" s="49" t="s">
        <v>171</v>
      </c>
      <c r="N2570" s="39" t="s">
        <v>172</v>
      </c>
      <c r="O2570" s="96" t="s">
        <v>1782</v>
      </c>
      <c r="P2570" s="49" t="s">
        <v>157</v>
      </c>
      <c r="Q2570" s="96" t="s">
        <v>104</v>
      </c>
      <c r="R2570" s="52">
        <v>11.4</v>
      </c>
      <c r="S2570" s="52">
        <f>R2570-T2570</f>
        <v>10.178571428571429</v>
      </c>
      <c r="T2570" s="52">
        <f>R2570*U2570/(U2570+100)</f>
        <v>1.2214285714285715</v>
      </c>
      <c r="U2570" s="50">
        <v>12</v>
      </c>
      <c r="V2570" s="53">
        <v>0</v>
      </c>
      <c r="W2570" s="147">
        <v>1</v>
      </c>
      <c r="X2570" s="148" t="s">
        <v>163</v>
      </c>
      <c r="Y2570" s="54">
        <f>R2570*W2570</f>
        <v>11.4</v>
      </c>
      <c r="Z2570" s="52">
        <f>S2570*W2570</f>
        <v>10.178571428571429</v>
      </c>
      <c r="AA2570" s="52">
        <f>T2570*W2570</f>
        <v>1.2214285714285715</v>
      </c>
      <c r="AB2570" s="52">
        <f>V2570*W2570</f>
        <v>0</v>
      </c>
      <c r="AC2570" s="53">
        <f>(R2570+V2570)*W2570</f>
        <v>11.4</v>
      </c>
      <c r="AD2570" s="138">
        <v>11.4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109</v>
      </c>
      <c r="F2571" s="96" t="s">
        <v>111</v>
      </c>
      <c r="G2571" s="97">
        <v>46132</v>
      </c>
      <c r="H2571" s="98">
        <v>0.6385879629629629</v>
      </c>
      <c r="I2571" s="50">
        <v>169002705</v>
      </c>
      <c r="J2571" s="96" t="s">
        <v>157</v>
      </c>
      <c r="K2571" s="49" t="s">
        <v>3532</v>
      </c>
      <c r="L2571" s="39" t="s">
        <v>3533</v>
      </c>
      <c r="M2571" s="49" t="s">
        <v>2018</v>
      </c>
      <c r="N2571" s="39" t="s">
        <v>172</v>
      </c>
      <c r="O2571" s="96" t="s">
        <v>3534</v>
      </c>
      <c r="P2571" s="49" t="s">
        <v>157</v>
      </c>
      <c r="Q2571" s="96" t="s">
        <v>104</v>
      </c>
      <c r="R2571" s="52">
        <v>22.9</v>
      </c>
      <c r="S2571" s="52">
        <f>R2571-T2571</f>
        <v>20.44642857142857</v>
      </c>
      <c r="T2571" s="52">
        <f>R2571*U2571/(U2571+100)</f>
        <v>2.4535714285714283</v>
      </c>
      <c r="U2571" s="50">
        <v>12</v>
      </c>
      <c r="V2571" s="53">
        <v>0</v>
      </c>
      <c r="W2571" s="147">
        <v>1</v>
      </c>
      <c r="X2571" s="148" t="s">
        <v>163</v>
      </c>
      <c r="Y2571" s="54">
        <f>R2571*W2571</f>
        <v>22.9</v>
      </c>
      <c r="Z2571" s="52">
        <f>S2571*W2571</f>
        <v>20.44642857142857</v>
      </c>
      <c r="AA2571" s="52">
        <f>T2571*W2571</f>
        <v>2.4535714285714283</v>
      </c>
      <c r="AB2571" s="52">
        <f>V2571*W2571</f>
        <v>0</v>
      </c>
      <c r="AC2571" s="53">
        <f>(R2571+V2571)*W2571</f>
        <v>22.9</v>
      </c>
      <c r="AD2571" s="138">
        <v>22.9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109</v>
      </c>
      <c r="F2572" s="96" t="s">
        <v>111</v>
      </c>
      <c r="G2572" s="97">
        <v>46132</v>
      </c>
      <c r="H2572" s="98">
        <v>0.6385879629629629</v>
      </c>
      <c r="I2572" s="50">
        <v>169002705</v>
      </c>
      <c r="J2572" s="96" t="s">
        <v>157</v>
      </c>
      <c r="K2572" s="49" t="s">
        <v>3535</v>
      </c>
      <c r="L2572" s="39" t="s">
        <v>3536</v>
      </c>
      <c r="M2572" s="49" t="s">
        <v>3537</v>
      </c>
      <c r="N2572" s="39" t="s">
        <v>172</v>
      </c>
      <c r="O2572" s="96" t="s">
        <v>3538</v>
      </c>
      <c r="P2572" s="49" t="s">
        <v>157</v>
      </c>
      <c r="Q2572" s="96" t="s">
        <v>104</v>
      </c>
      <c r="R2572" s="52">
        <v>18.5</v>
      </c>
      <c r="S2572" s="52">
        <f>R2572-T2572</f>
        <v>16.517857142857142</v>
      </c>
      <c r="T2572" s="52">
        <f>R2572*U2572/(U2572+100)</f>
        <v>1.9821428571428572</v>
      </c>
      <c r="U2572" s="50">
        <v>12</v>
      </c>
      <c r="V2572" s="53">
        <v>0</v>
      </c>
      <c r="W2572" s="147">
        <v>1</v>
      </c>
      <c r="X2572" s="148" t="s">
        <v>163</v>
      </c>
      <c r="Y2572" s="54">
        <f>R2572*W2572</f>
        <v>18.5</v>
      </c>
      <c r="Z2572" s="52">
        <f>S2572*W2572</f>
        <v>16.517857142857142</v>
      </c>
      <c r="AA2572" s="52">
        <f>T2572*W2572</f>
        <v>1.9821428571428572</v>
      </c>
      <c r="AB2572" s="52">
        <f>V2572*W2572</f>
        <v>0</v>
      </c>
      <c r="AC2572" s="53">
        <f>(R2572+V2572)*W2572</f>
        <v>18.5</v>
      </c>
      <c r="AD2572" s="138">
        <v>18.5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109</v>
      </c>
      <c r="F2573" s="96" t="s">
        <v>111</v>
      </c>
      <c r="G2573" s="97">
        <v>46132</v>
      </c>
      <c r="H2573" s="98">
        <v>0.6385879629629629</v>
      </c>
      <c r="I2573" s="50">
        <v>169002705</v>
      </c>
      <c r="J2573" s="96" t="s">
        <v>157</v>
      </c>
      <c r="K2573" s="49" t="s">
        <v>3539</v>
      </c>
      <c r="L2573" s="39" t="s">
        <v>3540</v>
      </c>
      <c r="M2573" s="49" t="s">
        <v>3537</v>
      </c>
      <c r="N2573" s="39" t="s">
        <v>172</v>
      </c>
      <c r="O2573" s="96" t="s">
        <v>3541</v>
      </c>
      <c r="P2573" s="49" t="s">
        <v>157</v>
      </c>
      <c r="Q2573" s="96" t="s">
        <v>104</v>
      </c>
      <c r="R2573" s="52">
        <v>18.5</v>
      </c>
      <c r="S2573" s="52">
        <f>R2573-T2573</f>
        <v>16.517857142857142</v>
      </c>
      <c r="T2573" s="52">
        <f>R2573*U2573/(U2573+100)</f>
        <v>1.9821428571428572</v>
      </c>
      <c r="U2573" s="50">
        <v>12</v>
      </c>
      <c r="V2573" s="53">
        <v>0</v>
      </c>
      <c r="W2573" s="147">
        <v>1</v>
      </c>
      <c r="X2573" s="148" t="s">
        <v>163</v>
      </c>
      <c r="Y2573" s="54">
        <f>R2573*W2573</f>
        <v>18.5</v>
      </c>
      <c r="Z2573" s="52">
        <f>S2573*W2573</f>
        <v>16.517857142857142</v>
      </c>
      <c r="AA2573" s="52">
        <f>T2573*W2573</f>
        <v>1.9821428571428572</v>
      </c>
      <c r="AB2573" s="52">
        <f>V2573*W2573</f>
        <v>0</v>
      </c>
      <c r="AC2573" s="53">
        <f>(R2573+V2573)*W2573</f>
        <v>18.5</v>
      </c>
      <c r="AD2573" s="138">
        <v>18.5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109</v>
      </c>
      <c r="F2574" s="96" t="s">
        <v>111</v>
      </c>
      <c r="G2574" s="97">
        <v>46132</v>
      </c>
      <c r="H2574" s="98">
        <v>0.6385879629629629</v>
      </c>
      <c r="I2574" s="50">
        <v>169002705</v>
      </c>
      <c r="J2574" s="96" t="s">
        <v>157</v>
      </c>
      <c r="K2574" s="49" t="s">
        <v>3542</v>
      </c>
      <c r="L2574" s="39" t="s">
        <v>3543</v>
      </c>
      <c r="M2574" s="49" t="s">
        <v>318</v>
      </c>
      <c r="N2574" s="39" t="s">
        <v>319</v>
      </c>
      <c r="O2574" s="96" t="s">
        <v>3544</v>
      </c>
      <c r="P2574" s="49" t="s">
        <v>157</v>
      </c>
      <c r="Q2574" s="96" t="s">
        <v>104</v>
      </c>
      <c r="R2574" s="52">
        <v>39.9</v>
      </c>
      <c r="S2574" s="52">
        <f>R2574-T2574</f>
        <v>35.625</v>
      </c>
      <c r="T2574" s="52">
        <f>R2574*U2574/(U2574+100)</f>
        <v>4.2749999999999995</v>
      </c>
      <c r="U2574" s="50">
        <v>12</v>
      </c>
      <c r="V2574" s="53">
        <v>0</v>
      </c>
      <c r="W2574" s="147">
        <v>1</v>
      </c>
      <c r="X2574" s="148" t="s">
        <v>163</v>
      </c>
      <c r="Y2574" s="54">
        <f>R2574*W2574</f>
        <v>39.9</v>
      </c>
      <c r="Z2574" s="52">
        <f>S2574*W2574</f>
        <v>35.625</v>
      </c>
      <c r="AA2574" s="52">
        <f>T2574*W2574</f>
        <v>4.2749999999999995</v>
      </c>
      <c r="AB2574" s="52">
        <f>V2574*W2574</f>
        <v>0</v>
      </c>
      <c r="AC2574" s="53">
        <f>(R2574+V2574)*W2574</f>
        <v>39.9</v>
      </c>
      <c r="AD2574" s="138">
        <v>39.9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109</v>
      </c>
      <c r="F2575" s="96" t="s">
        <v>111</v>
      </c>
      <c r="G2575" s="97">
        <v>46132</v>
      </c>
      <c r="H2575" s="98">
        <v>0.6385879629629629</v>
      </c>
      <c r="I2575" s="50">
        <v>169002705</v>
      </c>
      <c r="J2575" s="96" t="s">
        <v>157</v>
      </c>
      <c r="K2575" s="49" t="s">
        <v>3545</v>
      </c>
      <c r="L2575" s="39" t="s">
        <v>3546</v>
      </c>
      <c r="M2575" s="49" t="s">
        <v>318</v>
      </c>
      <c r="N2575" s="39" t="s">
        <v>319</v>
      </c>
      <c r="O2575" s="96" t="s">
        <v>3547</v>
      </c>
      <c r="P2575" s="49" t="s">
        <v>157</v>
      </c>
      <c r="Q2575" s="96" t="s">
        <v>104</v>
      </c>
      <c r="R2575" s="52">
        <v>45.9</v>
      </c>
      <c r="S2575" s="52">
        <f>R2575-T2575</f>
        <v>40.982142857142854</v>
      </c>
      <c r="T2575" s="52">
        <f>R2575*U2575/(U2575+100)</f>
        <v>4.917857142857143</v>
      </c>
      <c r="U2575" s="50">
        <v>12</v>
      </c>
      <c r="V2575" s="53">
        <v>0</v>
      </c>
      <c r="W2575" s="147">
        <v>1</v>
      </c>
      <c r="X2575" s="148" t="s">
        <v>163</v>
      </c>
      <c r="Y2575" s="54">
        <f>R2575*W2575</f>
        <v>45.9</v>
      </c>
      <c r="Z2575" s="52">
        <f>S2575*W2575</f>
        <v>40.982142857142854</v>
      </c>
      <c r="AA2575" s="52">
        <f>T2575*W2575</f>
        <v>4.917857142857143</v>
      </c>
      <c r="AB2575" s="52">
        <f>V2575*W2575</f>
        <v>0</v>
      </c>
      <c r="AC2575" s="53">
        <f>(R2575+V2575)*W2575</f>
        <v>45.9</v>
      </c>
      <c r="AD2575" s="138">
        <v>45.9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109</v>
      </c>
      <c r="F2576" s="96" t="s">
        <v>111</v>
      </c>
      <c r="G2576" s="97">
        <v>46132</v>
      </c>
      <c r="H2576" s="98">
        <v>0.6385879629629629</v>
      </c>
      <c r="I2576" s="50">
        <v>169002705</v>
      </c>
      <c r="J2576" s="96" t="s">
        <v>157</v>
      </c>
      <c r="K2576" s="49" t="s">
        <v>2646</v>
      </c>
      <c r="L2576" s="39" t="s">
        <v>2647</v>
      </c>
      <c r="M2576" s="49" t="s">
        <v>823</v>
      </c>
      <c r="N2576" s="39" t="s">
        <v>1890</v>
      </c>
      <c r="O2576" s="96" t="s">
        <v>2648</v>
      </c>
      <c r="P2576" s="49" t="s">
        <v>157</v>
      </c>
      <c r="Q2576" s="96" t="s">
        <v>104</v>
      </c>
      <c r="R2576" s="52">
        <v>19.9</v>
      </c>
      <c r="S2576" s="52">
        <f>R2576-T2576</f>
        <v>17.767857142857142</v>
      </c>
      <c r="T2576" s="52">
        <f>R2576*U2576/(U2576+100)</f>
        <v>2.132142857142857</v>
      </c>
      <c r="U2576" s="50">
        <v>12</v>
      </c>
      <c r="V2576" s="53">
        <v>0</v>
      </c>
      <c r="W2576" s="147">
        <v>1</v>
      </c>
      <c r="X2576" s="148" t="s">
        <v>163</v>
      </c>
      <c r="Y2576" s="54">
        <f>R2576*W2576</f>
        <v>19.9</v>
      </c>
      <c r="Z2576" s="52">
        <f>S2576*W2576</f>
        <v>17.767857142857142</v>
      </c>
      <c r="AA2576" s="52">
        <f>T2576*W2576</f>
        <v>2.132142857142857</v>
      </c>
      <c r="AB2576" s="52">
        <f>V2576*W2576</f>
        <v>0</v>
      </c>
      <c r="AC2576" s="53">
        <f>(R2576+V2576)*W2576</f>
        <v>19.9</v>
      </c>
      <c r="AD2576" s="138">
        <v>19.9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109</v>
      </c>
      <c r="F2577" s="96" t="s">
        <v>111</v>
      </c>
      <c r="G2577" s="97">
        <v>46132</v>
      </c>
      <c r="H2577" s="98">
        <v>0.6385879629629629</v>
      </c>
      <c r="I2577" s="50">
        <v>169002705</v>
      </c>
      <c r="J2577" s="96" t="s">
        <v>157</v>
      </c>
      <c r="K2577" s="49" t="s">
        <v>2646</v>
      </c>
      <c r="L2577" s="39" t="s">
        <v>2647</v>
      </c>
      <c r="M2577" s="49" t="s">
        <v>823</v>
      </c>
      <c r="N2577" s="39" t="s">
        <v>1890</v>
      </c>
      <c r="O2577" s="96" t="s">
        <v>2648</v>
      </c>
      <c r="P2577" s="49" t="s">
        <v>157</v>
      </c>
      <c r="Q2577" s="96" t="s">
        <v>104</v>
      </c>
      <c r="R2577" s="52">
        <v>19.9</v>
      </c>
      <c r="S2577" s="52">
        <f>R2577-T2577</f>
        <v>17.767857142857142</v>
      </c>
      <c r="T2577" s="52">
        <f>R2577*U2577/(U2577+100)</f>
        <v>2.132142857142857</v>
      </c>
      <c r="U2577" s="50">
        <v>12</v>
      </c>
      <c r="V2577" s="53">
        <v>0</v>
      </c>
      <c r="W2577" s="147">
        <v>1</v>
      </c>
      <c r="X2577" s="148" t="s">
        <v>163</v>
      </c>
      <c r="Y2577" s="54">
        <f>R2577*W2577</f>
        <v>19.9</v>
      </c>
      <c r="Z2577" s="52">
        <f>S2577*W2577</f>
        <v>17.767857142857142</v>
      </c>
      <c r="AA2577" s="52">
        <f>T2577*W2577</f>
        <v>2.132142857142857</v>
      </c>
      <c r="AB2577" s="52">
        <f>V2577*W2577</f>
        <v>0</v>
      </c>
      <c r="AC2577" s="53">
        <f>(R2577+V2577)*W2577</f>
        <v>19.9</v>
      </c>
      <c r="AD2577" s="138">
        <v>19.9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109</v>
      </c>
      <c r="F2578" s="96" t="s">
        <v>111</v>
      </c>
      <c r="G2578" s="97">
        <v>46132</v>
      </c>
      <c r="H2578" s="98">
        <v>0.6404976851851852</v>
      </c>
      <c r="I2578" s="50">
        <v>169002706</v>
      </c>
      <c r="J2578" s="96" t="s">
        <v>157</v>
      </c>
      <c r="K2578" s="49" t="s">
        <v>303</v>
      </c>
      <c r="L2578" s="39" t="s">
        <v>304</v>
      </c>
      <c r="M2578" s="49" t="s">
        <v>214</v>
      </c>
      <c r="N2578" s="39" t="s">
        <v>296</v>
      </c>
      <c r="O2578" s="96" t="s">
        <v>305</v>
      </c>
      <c r="P2578" s="49" t="s">
        <v>157</v>
      </c>
      <c r="Q2578" s="96" t="s">
        <v>104</v>
      </c>
      <c r="R2578" s="52">
        <v>11.9</v>
      </c>
      <c r="S2578" s="52">
        <f>R2578-T2578</f>
        <v>10.625</v>
      </c>
      <c r="T2578" s="52">
        <f>R2578*U2578/(U2578+100)</f>
        <v>1.2750000000000001</v>
      </c>
      <c r="U2578" s="50">
        <v>12</v>
      </c>
      <c r="V2578" s="53">
        <v>0</v>
      </c>
      <c r="W2578" s="147">
        <v>2</v>
      </c>
      <c r="X2578" s="148" t="s">
        <v>163</v>
      </c>
      <c r="Y2578" s="54">
        <f>R2578*W2578</f>
        <v>23.8</v>
      </c>
      <c r="Z2578" s="52">
        <f>S2578*W2578</f>
        <v>21.25</v>
      </c>
      <c r="AA2578" s="52">
        <f>T2578*W2578</f>
        <v>2.5500000000000003</v>
      </c>
      <c r="AB2578" s="52">
        <f>V2578*W2578</f>
        <v>0</v>
      </c>
      <c r="AC2578" s="53">
        <f>(R2578+V2578)*W2578</f>
        <v>23.8</v>
      </c>
      <c r="AD2578" s="138">
        <v>11.9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109</v>
      </c>
      <c r="F2579" s="96" t="s">
        <v>111</v>
      </c>
      <c r="G2579" s="97">
        <v>46132</v>
      </c>
      <c r="H2579" s="98">
        <v>0.6404976851851852</v>
      </c>
      <c r="I2579" s="50">
        <v>169002706</v>
      </c>
      <c r="J2579" s="96" t="s">
        <v>157</v>
      </c>
      <c r="K2579" s="49" t="s">
        <v>1817</v>
      </c>
      <c r="L2579" s="39" t="s">
        <v>1818</v>
      </c>
      <c r="M2579" s="49" t="s">
        <v>277</v>
      </c>
      <c r="N2579" s="39" t="s">
        <v>490</v>
      </c>
      <c r="O2579" s="96" t="s">
        <v>1819</v>
      </c>
      <c r="P2579" s="49" t="s">
        <v>157</v>
      </c>
      <c r="Q2579" s="96" t="s">
        <v>104</v>
      </c>
      <c r="R2579" s="52">
        <v>35.9</v>
      </c>
      <c r="S2579" s="52">
        <f>R2579-T2579</f>
        <v>32.05357142857143</v>
      </c>
      <c r="T2579" s="52">
        <f>R2579*U2579/(U2579+100)</f>
        <v>3.846428571428571</v>
      </c>
      <c r="U2579" s="50">
        <v>12</v>
      </c>
      <c r="V2579" s="53">
        <v>0</v>
      </c>
      <c r="W2579" s="147">
        <v>1</v>
      </c>
      <c r="X2579" s="148" t="s">
        <v>163</v>
      </c>
      <c r="Y2579" s="54">
        <f>R2579*W2579</f>
        <v>35.9</v>
      </c>
      <c r="Z2579" s="52">
        <f>S2579*W2579</f>
        <v>32.05357142857143</v>
      </c>
      <c r="AA2579" s="52">
        <f>T2579*W2579</f>
        <v>3.846428571428571</v>
      </c>
      <c r="AB2579" s="52">
        <f>V2579*W2579</f>
        <v>0</v>
      </c>
      <c r="AC2579" s="53">
        <f>(R2579+V2579)*W2579</f>
        <v>35.9</v>
      </c>
      <c r="AD2579" s="138">
        <v>35.9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109</v>
      </c>
      <c r="F2580" s="96" t="s">
        <v>111</v>
      </c>
      <c r="G2580" s="97">
        <v>46132</v>
      </c>
      <c r="H2580" s="98">
        <v>0.6404976851851852</v>
      </c>
      <c r="I2580" s="50">
        <v>169002706</v>
      </c>
      <c r="J2580" s="96" t="s">
        <v>157</v>
      </c>
      <c r="K2580" s="49" t="s">
        <v>293</v>
      </c>
      <c r="L2580" s="39" t="s">
        <v>294</v>
      </c>
      <c r="M2580" s="49" t="s">
        <v>295</v>
      </c>
      <c r="N2580" s="39" t="s">
        <v>296</v>
      </c>
      <c r="O2580" s="96" t="s">
        <v>297</v>
      </c>
      <c r="P2580" s="49" t="s">
        <v>157</v>
      </c>
      <c r="Q2580" s="96" t="s">
        <v>104</v>
      </c>
      <c r="R2580" s="52">
        <v>2.9</v>
      </c>
      <c r="S2580" s="52">
        <f>R2580-T2580</f>
        <v>2.5892857142857144</v>
      </c>
      <c r="T2580" s="52">
        <f>R2580*U2580/(U2580+100)</f>
        <v>0.31071428571428567</v>
      </c>
      <c r="U2580" s="50">
        <v>12</v>
      </c>
      <c r="V2580" s="53">
        <v>0</v>
      </c>
      <c r="W2580" s="147">
        <v>2</v>
      </c>
      <c r="X2580" s="148" t="s">
        <v>163</v>
      </c>
      <c r="Y2580" s="54">
        <f>R2580*W2580</f>
        <v>5.8</v>
      </c>
      <c r="Z2580" s="52">
        <f>S2580*W2580</f>
        <v>5.178571428571429</v>
      </c>
      <c r="AA2580" s="52">
        <f>T2580*W2580</f>
        <v>0.6214285714285713</v>
      </c>
      <c r="AB2580" s="52">
        <f>V2580*W2580</f>
        <v>0</v>
      </c>
      <c r="AC2580" s="53">
        <f>(R2580+V2580)*W2580</f>
        <v>5.8</v>
      </c>
      <c r="AD2580" s="138">
        <v>2.9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109</v>
      </c>
      <c r="F2581" s="96" t="s">
        <v>111</v>
      </c>
      <c r="G2581" s="97">
        <v>46132</v>
      </c>
      <c r="H2581" s="98">
        <v>0.6404976851851852</v>
      </c>
      <c r="I2581" s="50">
        <v>169002706</v>
      </c>
      <c r="J2581" s="96" t="s">
        <v>157</v>
      </c>
      <c r="K2581" s="49" t="s">
        <v>3548</v>
      </c>
      <c r="L2581" s="39"/>
      <c r="M2581" s="49" t="s">
        <v>268</v>
      </c>
      <c r="N2581" s="39" t="s">
        <v>433</v>
      </c>
      <c r="O2581" s="96" t="s">
        <v>3549</v>
      </c>
      <c r="P2581" s="49" t="s">
        <v>157</v>
      </c>
      <c r="Q2581" s="96" t="s">
        <v>104</v>
      </c>
      <c r="R2581" s="52">
        <v>32.9</v>
      </c>
      <c r="S2581" s="52">
        <f>R2581-T2581</f>
        <v>29.375</v>
      </c>
      <c r="T2581" s="52">
        <f>R2581*U2581/(U2581+100)</f>
        <v>3.5249999999999995</v>
      </c>
      <c r="U2581" s="50">
        <v>12</v>
      </c>
      <c r="V2581" s="53">
        <v>0</v>
      </c>
      <c r="W2581" s="147">
        <v>1</v>
      </c>
      <c r="X2581" s="148" t="s">
        <v>945</v>
      </c>
      <c r="Y2581" s="54">
        <f>R2581*W2581</f>
        <v>32.9</v>
      </c>
      <c r="Z2581" s="52">
        <f>S2581*W2581</f>
        <v>29.375</v>
      </c>
      <c r="AA2581" s="52">
        <f>T2581*W2581</f>
        <v>3.5249999999999995</v>
      </c>
      <c r="AB2581" s="52">
        <f>V2581*W2581</f>
        <v>0</v>
      </c>
      <c r="AC2581" s="53">
        <f>(R2581+V2581)*W2581</f>
        <v>32.9</v>
      </c>
      <c r="AD2581" s="138">
        <v>32.9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109</v>
      </c>
      <c r="F2582" s="96" t="s">
        <v>111</v>
      </c>
      <c r="G2582" s="97">
        <v>46132</v>
      </c>
      <c r="H2582" s="98">
        <v>0.6418518518518519</v>
      </c>
      <c r="I2582" s="50">
        <v>169002707</v>
      </c>
      <c r="J2582" s="96" t="s">
        <v>157</v>
      </c>
      <c r="K2582" s="49" t="s">
        <v>754</v>
      </c>
      <c r="L2582" s="39" t="s">
        <v>755</v>
      </c>
      <c r="M2582" s="49" t="s">
        <v>214</v>
      </c>
      <c r="N2582" s="39" t="s">
        <v>756</v>
      </c>
      <c r="O2582" s="96" t="s">
        <v>1184</v>
      </c>
      <c r="P2582" s="49" t="s">
        <v>157</v>
      </c>
      <c r="Q2582" s="96" t="s">
        <v>104</v>
      </c>
      <c r="R2582" s="52">
        <v>19.9</v>
      </c>
      <c r="S2582" s="52">
        <f>R2582-T2582</f>
        <v>17.767857142857142</v>
      </c>
      <c r="T2582" s="52">
        <f>R2582*U2582/(U2582+100)</f>
        <v>2.132142857142857</v>
      </c>
      <c r="U2582" s="50">
        <v>12</v>
      </c>
      <c r="V2582" s="53">
        <v>0</v>
      </c>
      <c r="W2582" s="147">
        <v>2</v>
      </c>
      <c r="X2582" s="148" t="s">
        <v>163</v>
      </c>
      <c r="Y2582" s="54">
        <f>R2582*W2582</f>
        <v>39.8</v>
      </c>
      <c r="Z2582" s="52">
        <f>S2582*W2582</f>
        <v>35.535714285714285</v>
      </c>
      <c r="AA2582" s="52">
        <f>T2582*W2582</f>
        <v>4.264285714285714</v>
      </c>
      <c r="AB2582" s="52">
        <f>V2582*W2582</f>
        <v>0</v>
      </c>
      <c r="AC2582" s="53">
        <f>(R2582+V2582)*W2582</f>
        <v>39.8</v>
      </c>
      <c r="AD2582" s="138">
        <v>19.9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109</v>
      </c>
      <c r="F2583" s="96" t="s">
        <v>111</v>
      </c>
      <c r="G2583" s="97">
        <v>46132</v>
      </c>
      <c r="H2583" s="98">
        <v>0.6418518518518519</v>
      </c>
      <c r="I2583" s="50">
        <v>169002707</v>
      </c>
      <c r="J2583" s="96" t="s">
        <v>157</v>
      </c>
      <c r="K2583" s="49" t="s">
        <v>303</v>
      </c>
      <c r="L2583" s="39" t="s">
        <v>304</v>
      </c>
      <c r="M2583" s="49" t="s">
        <v>214</v>
      </c>
      <c r="N2583" s="39" t="s">
        <v>296</v>
      </c>
      <c r="O2583" s="96" t="s">
        <v>305</v>
      </c>
      <c r="P2583" s="49" t="s">
        <v>157</v>
      </c>
      <c r="Q2583" s="96" t="s">
        <v>104</v>
      </c>
      <c r="R2583" s="52">
        <v>11.9</v>
      </c>
      <c r="S2583" s="52">
        <f>R2583-T2583</f>
        <v>10.625</v>
      </c>
      <c r="T2583" s="52">
        <f>R2583*U2583/(U2583+100)</f>
        <v>1.2750000000000001</v>
      </c>
      <c r="U2583" s="50">
        <v>12</v>
      </c>
      <c r="V2583" s="53">
        <v>0</v>
      </c>
      <c r="W2583" s="147">
        <v>2</v>
      </c>
      <c r="X2583" s="148" t="s">
        <v>163</v>
      </c>
      <c r="Y2583" s="54">
        <f>R2583*W2583</f>
        <v>23.8</v>
      </c>
      <c r="Z2583" s="52">
        <f>S2583*W2583</f>
        <v>21.25</v>
      </c>
      <c r="AA2583" s="52">
        <f>T2583*W2583</f>
        <v>2.5500000000000003</v>
      </c>
      <c r="AB2583" s="52">
        <f>V2583*W2583</f>
        <v>0</v>
      </c>
      <c r="AC2583" s="53">
        <f>(R2583+V2583)*W2583</f>
        <v>23.8</v>
      </c>
      <c r="AD2583" s="138">
        <v>11.9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109</v>
      </c>
      <c r="F2584" s="96" t="s">
        <v>111</v>
      </c>
      <c r="G2584" s="97">
        <v>46132</v>
      </c>
      <c r="H2584" s="98">
        <v>0.6418518518518519</v>
      </c>
      <c r="I2584" s="50">
        <v>169002707</v>
      </c>
      <c r="J2584" s="96" t="s">
        <v>157</v>
      </c>
      <c r="K2584" s="49" t="s">
        <v>390</v>
      </c>
      <c r="L2584" s="39" t="s">
        <v>391</v>
      </c>
      <c r="M2584" s="49" t="s">
        <v>214</v>
      </c>
      <c r="N2584" s="39" t="s">
        <v>273</v>
      </c>
      <c r="O2584" s="96" t="s">
        <v>1110</v>
      </c>
      <c r="P2584" s="49" t="s">
        <v>157</v>
      </c>
      <c r="Q2584" s="96" t="s">
        <v>104</v>
      </c>
      <c r="R2584" s="52">
        <v>15.9</v>
      </c>
      <c r="S2584" s="52">
        <f>R2584-T2584</f>
        <v>14.196428571428571</v>
      </c>
      <c r="T2584" s="52">
        <f>R2584*U2584/(U2584+100)</f>
        <v>1.7035714285714287</v>
      </c>
      <c r="U2584" s="50">
        <v>12</v>
      </c>
      <c r="V2584" s="53">
        <v>0</v>
      </c>
      <c r="W2584" s="147">
        <v>2</v>
      </c>
      <c r="X2584" s="148" t="s">
        <v>163</v>
      </c>
      <c r="Y2584" s="54">
        <f>R2584*W2584</f>
        <v>31.8</v>
      </c>
      <c r="Z2584" s="52">
        <f>S2584*W2584</f>
        <v>28.392857142857142</v>
      </c>
      <c r="AA2584" s="52">
        <f>T2584*W2584</f>
        <v>3.4071428571428575</v>
      </c>
      <c r="AB2584" s="52">
        <f>V2584*W2584</f>
        <v>0</v>
      </c>
      <c r="AC2584" s="53">
        <f>(R2584+V2584)*W2584</f>
        <v>31.8</v>
      </c>
      <c r="AD2584" s="138">
        <v>15.9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109</v>
      </c>
      <c r="F2585" s="96" t="s">
        <v>111</v>
      </c>
      <c r="G2585" s="97">
        <v>46132</v>
      </c>
      <c r="H2585" s="98">
        <v>0.6418518518518519</v>
      </c>
      <c r="I2585" s="50">
        <v>169002707</v>
      </c>
      <c r="J2585" s="96" t="s">
        <v>157</v>
      </c>
      <c r="K2585" s="49" t="s">
        <v>293</v>
      </c>
      <c r="L2585" s="39" t="s">
        <v>294</v>
      </c>
      <c r="M2585" s="49" t="s">
        <v>295</v>
      </c>
      <c r="N2585" s="39" t="s">
        <v>296</v>
      </c>
      <c r="O2585" s="96" t="s">
        <v>297</v>
      </c>
      <c r="P2585" s="49" t="s">
        <v>157</v>
      </c>
      <c r="Q2585" s="96" t="s">
        <v>104</v>
      </c>
      <c r="R2585" s="52">
        <v>2.9</v>
      </c>
      <c r="S2585" s="52">
        <f>R2585-T2585</f>
        <v>2.5892857142857144</v>
      </c>
      <c r="T2585" s="52">
        <f>R2585*U2585/(U2585+100)</f>
        <v>0.31071428571428567</v>
      </c>
      <c r="U2585" s="50">
        <v>12</v>
      </c>
      <c r="V2585" s="53">
        <v>0</v>
      </c>
      <c r="W2585" s="147">
        <v>6</v>
      </c>
      <c r="X2585" s="148" t="s">
        <v>163</v>
      </c>
      <c r="Y2585" s="54">
        <f>R2585*W2585</f>
        <v>17.4</v>
      </c>
      <c r="Z2585" s="52">
        <f>S2585*W2585</f>
        <v>15.535714285714286</v>
      </c>
      <c r="AA2585" s="52">
        <f>T2585*W2585</f>
        <v>1.8642857142857139</v>
      </c>
      <c r="AB2585" s="52">
        <f>V2585*W2585</f>
        <v>0</v>
      </c>
      <c r="AC2585" s="53">
        <f>(R2585+V2585)*W2585</f>
        <v>17.4</v>
      </c>
      <c r="AD2585" s="138">
        <v>2.9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109</v>
      </c>
      <c r="F2586" s="96" t="s">
        <v>111</v>
      </c>
      <c r="G2586" s="97">
        <v>46132</v>
      </c>
      <c r="H2586" s="98">
        <v>0.6418518518518519</v>
      </c>
      <c r="I2586" s="50">
        <v>169002707</v>
      </c>
      <c r="J2586" s="96" t="s">
        <v>157</v>
      </c>
      <c r="K2586" s="49" t="s">
        <v>1531</v>
      </c>
      <c r="L2586" s="39"/>
      <c r="M2586" s="49" t="s">
        <v>295</v>
      </c>
      <c r="N2586" s="39" t="s">
        <v>433</v>
      </c>
      <c r="O2586" s="96" t="s">
        <v>1532</v>
      </c>
      <c r="P2586" s="49" t="s">
        <v>235</v>
      </c>
      <c r="Q2586" s="96" t="s">
        <v>1533</v>
      </c>
      <c r="R2586" s="52">
        <v>19.9</v>
      </c>
      <c r="S2586" s="52">
        <f>R2586-T2586</f>
        <v>17.767857142857142</v>
      </c>
      <c r="T2586" s="52">
        <f>R2586*U2586/(U2586+100)</f>
        <v>2.132142857142857</v>
      </c>
      <c r="U2586" s="50">
        <v>12</v>
      </c>
      <c r="V2586" s="53">
        <v>0</v>
      </c>
      <c r="W2586" s="147">
        <v>1</v>
      </c>
      <c r="X2586" s="148" t="s">
        <v>945</v>
      </c>
      <c r="Y2586" s="54">
        <f>R2586*W2586</f>
        <v>19.9</v>
      </c>
      <c r="Z2586" s="52">
        <f>S2586*W2586</f>
        <v>17.767857142857142</v>
      </c>
      <c r="AA2586" s="52">
        <f>T2586*W2586</f>
        <v>2.132142857142857</v>
      </c>
      <c r="AB2586" s="52">
        <f>V2586*W2586</f>
        <v>0</v>
      </c>
      <c r="AC2586" s="53">
        <f>(R2586+V2586)*W2586</f>
        <v>19.9</v>
      </c>
      <c r="AD2586" s="138">
        <v>19.9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109</v>
      </c>
      <c r="F2587" s="96" t="s">
        <v>111</v>
      </c>
      <c r="G2587" s="97">
        <v>46132</v>
      </c>
      <c r="H2587" s="98">
        <v>0.6423032407407407</v>
      </c>
      <c r="I2587" s="50">
        <v>169002708</v>
      </c>
      <c r="J2587" s="96" t="s">
        <v>157</v>
      </c>
      <c r="K2587" s="49" t="s">
        <v>3550</v>
      </c>
      <c r="L2587" s="39" t="s">
        <v>3551</v>
      </c>
      <c r="M2587" s="49" t="s">
        <v>3552</v>
      </c>
      <c r="N2587" s="39" t="s">
        <v>1467</v>
      </c>
      <c r="O2587" s="96" t="s">
        <v>3553</v>
      </c>
      <c r="P2587" s="49" t="s">
        <v>157</v>
      </c>
      <c r="Q2587" s="96" t="s">
        <v>104</v>
      </c>
      <c r="R2587" s="52">
        <v>12.4</v>
      </c>
      <c r="S2587" s="52">
        <f>R2587-T2587</f>
        <v>11.071428571428571</v>
      </c>
      <c r="T2587" s="52">
        <f>R2587*U2587/(U2587+100)</f>
        <v>1.3285714285714287</v>
      </c>
      <c r="U2587" s="50">
        <v>12</v>
      </c>
      <c r="V2587" s="53">
        <v>0</v>
      </c>
      <c r="W2587" s="147">
        <v>1</v>
      </c>
      <c r="X2587" s="148" t="s">
        <v>163</v>
      </c>
      <c r="Y2587" s="54">
        <f>R2587*W2587</f>
        <v>12.4</v>
      </c>
      <c r="Z2587" s="52">
        <f>S2587*W2587</f>
        <v>11.071428571428571</v>
      </c>
      <c r="AA2587" s="52">
        <f>T2587*W2587</f>
        <v>1.3285714285714287</v>
      </c>
      <c r="AB2587" s="52">
        <f>V2587*W2587</f>
        <v>0</v>
      </c>
      <c r="AC2587" s="53">
        <f>(R2587+V2587)*W2587</f>
        <v>12.4</v>
      </c>
      <c r="AD2587" s="138">
        <v>12.4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109</v>
      </c>
      <c r="F2588" s="96" t="s">
        <v>111</v>
      </c>
      <c r="G2588" s="97">
        <v>46132</v>
      </c>
      <c r="H2588" s="98">
        <v>0.6423032407407407</v>
      </c>
      <c r="I2588" s="50">
        <v>169002708</v>
      </c>
      <c r="J2588" s="96" t="s">
        <v>157</v>
      </c>
      <c r="K2588" s="49" t="s">
        <v>3554</v>
      </c>
      <c r="L2588" s="39" t="s">
        <v>3555</v>
      </c>
      <c r="M2588" s="49" t="s">
        <v>1222</v>
      </c>
      <c r="N2588" s="39" t="s">
        <v>1886</v>
      </c>
      <c r="O2588" s="96" t="s">
        <v>3556</v>
      </c>
      <c r="P2588" s="49" t="s">
        <v>157</v>
      </c>
      <c r="Q2588" s="96" t="s">
        <v>104</v>
      </c>
      <c r="R2588" s="52">
        <v>27.9</v>
      </c>
      <c r="S2588" s="52">
        <f>R2588-T2588</f>
        <v>23.05785123966942</v>
      </c>
      <c r="T2588" s="52">
        <f>R2588*U2588/(U2588+100)</f>
        <v>4.842148760330578</v>
      </c>
      <c r="U2588" s="50">
        <v>21</v>
      </c>
      <c r="V2588" s="53">
        <v>0</v>
      </c>
      <c r="W2588" s="147">
        <v>1</v>
      </c>
      <c r="X2588" s="148" t="s">
        <v>163</v>
      </c>
      <c r="Y2588" s="54">
        <f>R2588*W2588</f>
        <v>27.9</v>
      </c>
      <c r="Z2588" s="52">
        <f>S2588*W2588</f>
        <v>23.05785123966942</v>
      </c>
      <c r="AA2588" s="52">
        <f>T2588*W2588</f>
        <v>4.842148760330578</v>
      </c>
      <c r="AB2588" s="52">
        <f>V2588*W2588</f>
        <v>0</v>
      </c>
      <c r="AC2588" s="53">
        <f>(R2588+V2588)*W2588</f>
        <v>27.9</v>
      </c>
      <c r="AD2588" s="138">
        <v>27.9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109</v>
      </c>
      <c r="F2589" s="96" t="s">
        <v>111</v>
      </c>
      <c r="G2589" s="97">
        <v>46132</v>
      </c>
      <c r="H2589" s="98">
        <v>0.6423032407407407</v>
      </c>
      <c r="I2589" s="50">
        <v>169002708</v>
      </c>
      <c r="J2589" s="96" t="s">
        <v>157</v>
      </c>
      <c r="K2589" s="49" t="s">
        <v>3554</v>
      </c>
      <c r="L2589" s="39" t="s">
        <v>3555</v>
      </c>
      <c r="M2589" s="49" t="s">
        <v>1222</v>
      </c>
      <c r="N2589" s="39" t="s">
        <v>1886</v>
      </c>
      <c r="O2589" s="96" t="s">
        <v>3556</v>
      </c>
      <c r="P2589" s="49" t="s">
        <v>157</v>
      </c>
      <c r="Q2589" s="96" t="s">
        <v>104</v>
      </c>
      <c r="R2589" s="52">
        <v>27.9</v>
      </c>
      <c r="S2589" s="52">
        <f>R2589-T2589</f>
        <v>23.05785123966942</v>
      </c>
      <c r="T2589" s="52">
        <f>R2589*U2589/(U2589+100)</f>
        <v>4.842148760330578</v>
      </c>
      <c r="U2589" s="50">
        <v>21</v>
      </c>
      <c r="V2589" s="53">
        <v>0</v>
      </c>
      <c r="W2589" s="147">
        <v>1</v>
      </c>
      <c r="X2589" s="148" t="s">
        <v>163</v>
      </c>
      <c r="Y2589" s="54">
        <f>R2589*W2589</f>
        <v>27.9</v>
      </c>
      <c r="Z2589" s="52">
        <f>S2589*W2589</f>
        <v>23.05785123966942</v>
      </c>
      <c r="AA2589" s="52">
        <f>T2589*W2589</f>
        <v>4.842148760330578</v>
      </c>
      <c r="AB2589" s="52">
        <f>V2589*W2589</f>
        <v>0</v>
      </c>
      <c r="AC2589" s="53">
        <f>(R2589+V2589)*W2589</f>
        <v>27.9</v>
      </c>
      <c r="AD2589" s="138">
        <v>27.9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109</v>
      </c>
      <c r="F2590" s="96" t="s">
        <v>111</v>
      </c>
      <c r="G2590" s="97">
        <v>46132</v>
      </c>
      <c r="H2590" s="98">
        <v>0.6423032407407407</v>
      </c>
      <c r="I2590" s="50">
        <v>169002708</v>
      </c>
      <c r="J2590" s="96" t="s">
        <v>157</v>
      </c>
      <c r="K2590" s="49" t="s">
        <v>183</v>
      </c>
      <c r="L2590" s="39" t="s">
        <v>184</v>
      </c>
      <c r="M2590" s="49" t="s">
        <v>185</v>
      </c>
      <c r="N2590" s="39" t="s">
        <v>186</v>
      </c>
      <c r="O2590" s="96" t="s">
        <v>988</v>
      </c>
      <c r="P2590" s="49" t="s">
        <v>157</v>
      </c>
      <c r="Q2590" s="96" t="s">
        <v>104</v>
      </c>
      <c r="R2590" s="52">
        <v>1.9</v>
      </c>
      <c r="S2590" s="52">
        <f>R2590-T2590</f>
        <v>1.5702479338842974</v>
      </c>
      <c r="T2590" s="52">
        <f>R2590*U2590/(U2590+100)</f>
        <v>0.32975206611570246</v>
      </c>
      <c r="U2590" s="50">
        <v>21</v>
      </c>
      <c r="V2590" s="53">
        <v>0</v>
      </c>
      <c r="W2590" s="147">
        <v>1</v>
      </c>
      <c r="X2590" s="148" t="s">
        <v>163</v>
      </c>
      <c r="Y2590" s="54">
        <f>R2590*W2590</f>
        <v>1.9</v>
      </c>
      <c r="Z2590" s="52">
        <f>S2590*W2590</f>
        <v>1.5702479338842974</v>
      </c>
      <c r="AA2590" s="52">
        <f>T2590*W2590</f>
        <v>0.32975206611570246</v>
      </c>
      <c r="AB2590" s="52">
        <f>V2590*W2590</f>
        <v>0</v>
      </c>
      <c r="AC2590" s="53">
        <f>(R2590+V2590)*W2590</f>
        <v>1.9</v>
      </c>
      <c r="AD2590" s="138">
        <v>1.9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109</v>
      </c>
      <c r="F2591" s="96" t="s">
        <v>111</v>
      </c>
      <c r="G2591" s="97">
        <v>46132</v>
      </c>
      <c r="H2591" s="98">
        <v>0.6423032407407407</v>
      </c>
      <c r="I2591" s="50">
        <v>169002708</v>
      </c>
      <c r="J2591" s="96" t="s">
        <v>157</v>
      </c>
      <c r="K2591" s="49" t="s">
        <v>271</v>
      </c>
      <c r="L2591" s="39" t="s">
        <v>272</v>
      </c>
      <c r="M2591" s="49" t="s">
        <v>214</v>
      </c>
      <c r="N2591" s="39" t="s">
        <v>273</v>
      </c>
      <c r="O2591" s="96" t="s">
        <v>1715</v>
      </c>
      <c r="P2591" s="49" t="s">
        <v>157</v>
      </c>
      <c r="Q2591" s="96" t="s">
        <v>104</v>
      </c>
      <c r="R2591" s="52">
        <v>13.9</v>
      </c>
      <c r="S2591" s="52">
        <f>R2591-T2591</f>
        <v>12.410714285714286</v>
      </c>
      <c r="T2591" s="52">
        <f>R2591*U2591/(U2591+100)</f>
        <v>1.4892857142857143</v>
      </c>
      <c r="U2591" s="50">
        <v>12</v>
      </c>
      <c r="V2591" s="53">
        <v>0</v>
      </c>
      <c r="W2591" s="147">
        <v>2</v>
      </c>
      <c r="X2591" s="148" t="s">
        <v>163</v>
      </c>
      <c r="Y2591" s="54">
        <f>R2591*W2591</f>
        <v>27.8</v>
      </c>
      <c r="Z2591" s="52">
        <f>S2591*W2591</f>
        <v>24.821428571428573</v>
      </c>
      <c r="AA2591" s="52">
        <f>T2591*W2591</f>
        <v>2.9785714285714286</v>
      </c>
      <c r="AB2591" s="52">
        <f>V2591*W2591</f>
        <v>0</v>
      </c>
      <c r="AC2591" s="53">
        <f>(R2591+V2591)*W2591</f>
        <v>27.8</v>
      </c>
      <c r="AD2591" s="138">
        <v>13.9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109</v>
      </c>
      <c r="F2592" s="96" t="s">
        <v>111</v>
      </c>
      <c r="G2592" s="97">
        <v>46132</v>
      </c>
      <c r="H2592" s="98">
        <v>0.6423032407407407</v>
      </c>
      <c r="I2592" s="50">
        <v>169002708</v>
      </c>
      <c r="J2592" s="96" t="s">
        <v>157</v>
      </c>
      <c r="K2592" s="49" t="s">
        <v>293</v>
      </c>
      <c r="L2592" s="39" t="s">
        <v>294</v>
      </c>
      <c r="M2592" s="49" t="s">
        <v>295</v>
      </c>
      <c r="N2592" s="39" t="s">
        <v>296</v>
      </c>
      <c r="O2592" s="96" t="s">
        <v>297</v>
      </c>
      <c r="P2592" s="49" t="s">
        <v>157</v>
      </c>
      <c r="Q2592" s="96" t="s">
        <v>104</v>
      </c>
      <c r="R2592" s="52">
        <v>2.9</v>
      </c>
      <c r="S2592" s="52">
        <f>R2592-T2592</f>
        <v>2.5892857142857144</v>
      </c>
      <c r="T2592" s="52">
        <f>R2592*U2592/(U2592+100)</f>
        <v>0.31071428571428567</v>
      </c>
      <c r="U2592" s="50">
        <v>12</v>
      </c>
      <c r="V2592" s="53">
        <v>0</v>
      </c>
      <c r="W2592" s="147">
        <v>2</v>
      </c>
      <c r="X2592" s="148" t="s">
        <v>163</v>
      </c>
      <c r="Y2592" s="54">
        <f>R2592*W2592</f>
        <v>5.8</v>
      </c>
      <c r="Z2592" s="52">
        <f>S2592*W2592</f>
        <v>5.178571428571429</v>
      </c>
      <c r="AA2592" s="52">
        <f>T2592*W2592</f>
        <v>0.6214285714285713</v>
      </c>
      <c r="AB2592" s="52">
        <f>V2592*W2592</f>
        <v>0</v>
      </c>
      <c r="AC2592" s="53">
        <f>(R2592+V2592)*W2592</f>
        <v>5.8</v>
      </c>
      <c r="AD2592" s="138">
        <v>2.9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109</v>
      </c>
      <c r="F2593" s="96" t="s">
        <v>111</v>
      </c>
      <c r="G2593" s="97">
        <v>46132</v>
      </c>
      <c r="H2593" s="98">
        <v>0.6433101851851852</v>
      </c>
      <c r="I2593" s="50">
        <v>169002709</v>
      </c>
      <c r="J2593" s="96" t="s">
        <v>157</v>
      </c>
      <c r="K2593" s="49" t="s">
        <v>3557</v>
      </c>
      <c r="L2593" s="39" t="s">
        <v>3558</v>
      </c>
      <c r="M2593" s="49" t="s">
        <v>3559</v>
      </c>
      <c r="N2593" s="39" t="s">
        <v>167</v>
      </c>
      <c r="O2593" s="96" t="s">
        <v>3560</v>
      </c>
      <c r="P2593" s="49" t="s">
        <v>157</v>
      </c>
      <c r="Q2593" s="96" t="s">
        <v>104</v>
      </c>
      <c r="R2593" s="52">
        <v>33.9</v>
      </c>
      <c r="S2593" s="52">
        <f>R2593-T2593</f>
        <v>28.016528925619834</v>
      </c>
      <c r="T2593" s="52">
        <f>R2593*U2593/(U2593+100)</f>
        <v>5.883471074380165</v>
      </c>
      <c r="U2593" s="50">
        <v>21</v>
      </c>
      <c r="V2593" s="53">
        <v>0</v>
      </c>
      <c r="W2593" s="147">
        <v>1</v>
      </c>
      <c r="X2593" s="148" t="s">
        <v>163</v>
      </c>
      <c r="Y2593" s="54">
        <f>R2593*W2593</f>
        <v>33.9</v>
      </c>
      <c r="Z2593" s="52">
        <f>S2593*W2593</f>
        <v>28.016528925619834</v>
      </c>
      <c r="AA2593" s="52">
        <f>T2593*W2593</f>
        <v>5.883471074380165</v>
      </c>
      <c r="AB2593" s="52">
        <f>V2593*W2593</f>
        <v>0</v>
      </c>
      <c r="AC2593" s="53">
        <f>(R2593+V2593)*W2593</f>
        <v>33.9</v>
      </c>
      <c r="AD2593" s="138">
        <v>33.9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109</v>
      </c>
      <c r="F2594" s="96" t="s">
        <v>111</v>
      </c>
      <c r="G2594" s="97">
        <v>46132</v>
      </c>
      <c r="H2594" s="98">
        <v>0.6433101851851852</v>
      </c>
      <c r="I2594" s="50">
        <v>169002709</v>
      </c>
      <c r="J2594" s="96" t="s">
        <v>157</v>
      </c>
      <c r="K2594" s="49" t="s">
        <v>3557</v>
      </c>
      <c r="L2594" s="39" t="s">
        <v>3558</v>
      </c>
      <c r="M2594" s="49" t="s">
        <v>3559</v>
      </c>
      <c r="N2594" s="39" t="s">
        <v>167</v>
      </c>
      <c r="O2594" s="96" t="s">
        <v>3560</v>
      </c>
      <c r="P2594" s="49" t="s">
        <v>157</v>
      </c>
      <c r="Q2594" s="96" t="s">
        <v>104</v>
      </c>
      <c r="R2594" s="52">
        <v>33.9</v>
      </c>
      <c r="S2594" s="52">
        <f>R2594-T2594</f>
        <v>28.016528925619834</v>
      </c>
      <c r="T2594" s="52">
        <f>R2594*U2594/(U2594+100)</f>
        <v>5.883471074380165</v>
      </c>
      <c r="U2594" s="50">
        <v>21</v>
      </c>
      <c r="V2594" s="53">
        <v>0</v>
      </c>
      <c r="W2594" s="147">
        <v>1</v>
      </c>
      <c r="X2594" s="148" t="s">
        <v>163</v>
      </c>
      <c r="Y2594" s="54">
        <f>R2594*W2594</f>
        <v>33.9</v>
      </c>
      <c r="Z2594" s="52">
        <f>S2594*W2594</f>
        <v>28.016528925619834</v>
      </c>
      <c r="AA2594" s="52">
        <f>T2594*W2594</f>
        <v>5.883471074380165</v>
      </c>
      <c r="AB2594" s="52">
        <f>V2594*W2594</f>
        <v>0</v>
      </c>
      <c r="AC2594" s="53">
        <f>(R2594+V2594)*W2594</f>
        <v>33.9</v>
      </c>
      <c r="AD2594" s="138">
        <v>33.9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109</v>
      </c>
      <c r="F2595" s="96" t="s">
        <v>111</v>
      </c>
      <c r="G2595" s="97">
        <v>46132</v>
      </c>
      <c r="H2595" s="98">
        <v>0.6433101851851852</v>
      </c>
      <c r="I2595" s="50">
        <v>169002709</v>
      </c>
      <c r="J2595" s="96" t="s">
        <v>157</v>
      </c>
      <c r="K2595" s="49" t="s">
        <v>507</v>
      </c>
      <c r="L2595" s="39" t="s">
        <v>508</v>
      </c>
      <c r="M2595" s="49" t="s">
        <v>509</v>
      </c>
      <c r="N2595" s="39" t="s">
        <v>256</v>
      </c>
      <c r="O2595" s="96" t="s">
        <v>1024</v>
      </c>
      <c r="P2595" s="49" t="s">
        <v>235</v>
      </c>
      <c r="Q2595" s="96" t="s">
        <v>236</v>
      </c>
      <c r="R2595" s="52">
        <v>15.9</v>
      </c>
      <c r="S2595" s="52">
        <f>R2595-T2595</f>
        <v>13.140495867768596</v>
      </c>
      <c r="T2595" s="52">
        <f>R2595*U2595/(U2595+100)</f>
        <v>2.759504132231405</v>
      </c>
      <c r="U2595" s="50">
        <v>21</v>
      </c>
      <c r="V2595" s="53">
        <v>0</v>
      </c>
      <c r="W2595" s="147">
        <v>1</v>
      </c>
      <c r="X2595" s="148" t="s">
        <v>163</v>
      </c>
      <c r="Y2595" s="54">
        <f>R2595*W2595</f>
        <v>15.9</v>
      </c>
      <c r="Z2595" s="52">
        <f>S2595*W2595</f>
        <v>13.140495867768596</v>
      </c>
      <c r="AA2595" s="52">
        <f>T2595*W2595</f>
        <v>2.759504132231405</v>
      </c>
      <c r="AB2595" s="52">
        <f>V2595*W2595</f>
        <v>0</v>
      </c>
      <c r="AC2595" s="53">
        <f>(R2595+V2595)*W2595</f>
        <v>15.9</v>
      </c>
      <c r="AD2595" s="138">
        <v>15.9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109</v>
      </c>
      <c r="F2596" s="96" t="s">
        <v>111</v>
      </c>
      <c r="G2596" s="97">
        <v>46132</v>
      </c>
      <c r="H2596" s="98">
        <v>0.6445833333333333</v>
      </c>
      <c r="I2596" s="50">
        <v>169002710</v>
      </c>
      <c r="J2596" s="96" t="s">
        <v>157</v>
      </c>
      <c r="K2596" s="49" t="s">
        <v>507</v>
      </c>
      <c r="L2596" s="39" t="s">
        <v>508</v>
      </c>
      <c r="M2596" s="49" t="s">
        <v>509</v>
      </c>
      <c r="N2596" s="39" t="s">
        <v>256</v>
      </c>
      <c r="O2596" s="96" t="s">
        <v>1024</v>
      </c>
      <c r="P2596" s="49" t="s">
        <v>235</v>
      </c>
      <c r="Q2596" s="96" t="s">
        <v>236</v>
      </c>
      <c r="R2596" s="52">
        <v>15.9</v>
      </c>
      <c r="S2596" s="52">
        <f>R2596-T2596</f>
        <v>13.140495867768596</v>
      </c>
      <c r="T2596" s="52">
        <f>R2596*U2596/(U2596+100)</f>
        <v>2.759504132231405</v>
      </c>
      <c r="U2596" s="50">
        <v>21</v>
      </c>
      <c r="V2596" s="53">
        <v>0</v>
      </c>
      <c r="W2596" s="147">
        <v>6</v>
      </c>
      <c r="X2596" s="148" t="s">
        <v>163</v>
      </c>
      <c r="Y2596" s="54">
        <f>R2596*W2596</f>
        <v>95.4</v>
      </c>
      <c r="Z2596" s="52">
        <f>S2596*W2596</f>
        <v>78.84297520661158</v>
      </c>
      <c r="AA2596" s="52">
        <f>T2596*W2596</f>
        <v>16.55702479338843</v>
      </c>
      <c r="AB2596" s="52">
        <f>V2596*W2596</f>
        <v>0</v>
      </c>
      <c r="AC2596" s="53">
        <f>(R2596+V2596)*W2596</f>
        <v>95.4</v>
      </c>
      <c r="AD2596" s="138">
        <v>15.9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109</v>
      </c>
      <c r="F2597" s="96" t="s">
        <v>111</v>
      </c>
      <c r="G2597" s="97">
        <v>46132</v>
      </c>
      <c r="H2597" s="98">
        <v>0.6454050925925926</v>
      </c>
      <c r="I2597" s="50">
        <v>169002711</v>
      </c>
      <c r="J2597" s="96" t="s">
        <v>157</v>
      </c>
      <c r="K2597" s="49" t="s">
        <v>1691</v>
      </c>
      <c r="L2597" s="39" t="s">
        <v>104</v>
      </c>
      <c r="M2597" s="49" t="s">
        <v>554</v>
      </c>
      <c r="N2597" s="39" t="s">
        <v>296</v>
      </c>
      <c r="O2597" s="96" t="s">
        <v>1692</v>
      </c>
      <c r="P2597" s="49" t="s">
        <v>157</v>
      </c>
      <c r="Q2597" s="96" t="s">
        <v>104</v>
      </c>
      <c r="R2597" s="52">
        <v>11.9</v>
      </c>
      <c r="S2597" s="52">
        <f>R2597-T2597</f>
        <v>10.625</v>
      </c>
      <c r="T2597" s="52">
        <f>R2597*U2597/(U2597+100)</f>
        <v>1.2750000000000001</v>
      </c>
      <c r="U2597" s="50">
        <v>12</v>
      </c>
      <c r="V2597" s="53">
        <v>0</v>
      </c>
      <c r="W2597" s="147">
        <v>1</v>
      </c>
      <c r="X2597" s="148" t="s">
        <v>163</v>
      </c>
      <c r="Y2597" s="54">
        <f>R2597*W2597</f>
        <v>11.9</v>
      </c>
      <c r="Z2597" s="52">
        <f>S2597*W2597</f>
        <v>10.625</v>
      </c>
      <c r="AA2597" s="52">
        <f>T2597*W2597</f>
        <v>1.2750000000000001</v>
      </c>
      <c r="AB2597" s="52">
        <f>V2597*W2597</f>
        <v>0</v>
      </c>
      <c r="AC2597" s="53">
        <f>(R2597+V2597)*W2597</f>
        <v>11.9</v>
      </c>
      <c r="AD2597" s="138">
        <v>11.9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109</v>
      </c>
      <c r="F2598" s="96" t="s">
        <v>111</v>
      </c>
      <c r="G2598" s="97">
        <v>46132</v>
      </c>
      <c r="H2598" s="98">
        <v>0.6459027777777778</v>
      </c>
      <c r="I2598" s="50">
        <v>169002712</v>
      </c>
      <c r="J2598" s="96" t="s">
        <v>157</v>
      </c>
      <c r="K2598" s="49" t="s">
        <v>3561</v>
      </c>
      <c r="L2598" s="39" t="s">
        <v>3562</v>
      </c>
      <c r="M2598" s="49" t="s">
        <v>196</v>
      </c>
      <c r="N2598" s="39" t="s">
        <v>747</v>
      </c>
      <c r="O2598" s="96" t="s">
        <v>3563</v>
      </c>
      <c r="P2598" s="49" t="s">
        <v>157</v>
      </c>
      <c r="Q2598" s="96" t="s">
        <v>104</v>
      </c>
      <c r="R2598" s="52">
        <v>17.9</v>
      </c>
      <c r="S2598" s="52">
        <f>R2598-T2598</f>
        <v>15.982142857142856</v>
      </c>
      <c r="T2598" s="52">
        <f>R2598*U2598/(U2598+100)</f>
        <v>1.9178571428571427</v>
      </c>
      <c r="U2598" s="50">
        <v>12</v>
      </c>
      <c r="V2598" s="53">
        <v>0</v>
      </c>
      <c r="W2598" s="147">
        <v>1</v>
      </c>
      <c r="X2598" s="148" t="s">
        <v>163</v>
      </c>
      <c r="Y2598" s="54">
        <f>R2598*W2598</f>
        <v>17.9</v>
      </c>
      <c r="Z2598" s="52">
        <f>S2598*W2598</f>
        <v>15.982142857142856</v>
      </c>
      <c r="AA2598" s="52">
        <f>T2598*W2598</f>
        <v>1.9178571428571427</v>
      </c>
      <c r="AB2598" s="52">
        <f>V2598*W2598</f>
        <v>0</v>
      </c>
      <c r="AC2598" s="53">
        <f>(R2598+V2598)*W2598</f>
        <v>17.9</v>
      </c>
      <c r="AD2598" s="138">
        <v>17.9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109</v>
      </c>
      <c r="F2599" s="96" t="s">
        <v>111</v>
      </c>
      <c r="G2599" s="97">
        <v>46132</v>
      </c>
      <c r="H2599" s="98">
        <v>0.6459027777777778</v>
      </c>
      <c r="I2599" s="50">
        <v>169002712</v>
      </c>
      <c r="J2599" s="96" t="s">
        <v>157</v>
      </c>
      <c r="K2599" s="49" t="s">
        <v>3564</v>
      </c>
      <c r="L2599" s="39" t="s">
        <v>3565</v>
      </c>
      <c r="M2599" s="49" t="s">
        <v>3537</v>
      </c>
      <c r="N2599" s="39" t="s">
        <v>481</v>
      </c>
      <c r="O2599" s="96" t="s">
        <v>3566</v>
      </c>
      <c r="P2599" s="49" t="s">
        <v>157</v>
      </c>
      <c r="Q2599" s="96" t="s">
        <v>104</v>
      </c>
      <c r="R2599" s="52">
        <v>77.9</v>
      </c>
      <c r="S2599" s="52">
        <f>R2599-T2599</f>
        <v>69.55357142857143</v>
      </c>
      <c r="T2599" s="52">
        <f>R2599*U2599/(U2599+100)</f>
        <v>8.346428571428572</v>
      </c>
      <c r="U2599" s="50">
        <v>12</v>
      </c>
      <c r="V2599" s="53">
        <v>0</v>
      </c>
      <c r="W2599" s="147">
        <v>1</v>
      </c>
      <c r="X2599" s="148" t="s">
        <v>163</v>
      </c>
      <c r="Y2599" s="54">
        <f>R2599*W2599</f>
        <v>77.9</v>
      </c>
      <c r="Z2599" s="52">
        <f>S2599*W2599</f>
        <v>69.55357142857143</v>
      </c>
      <c r="AA2599" s="52">
        <f>T2599*W2599</f>
        <v>8.346428571428572</v>
      </c>
      <c r="AB2599" s="52">
        <f>V2599*W2599</f>
        <v>0</v>
      </c>
      <c r="AC2599" s="53">
        <f>(R2599+V2599)*W2599</f>
        <v>77.9</v>
      </c>
      <c r="AD2599" s="138">
        <v>77.9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109</v>
      </c>
      <c r="F2600" s="96" t="s">
        <v>111</v>
      </c>
      <c r="G2600" s="97">
        <v>46132</v>
      </c>
      <c r="H2600" s="98">
        <v>0.6459027777777778</v>
      </c>
      <c r="I2600" s="50">
        <v>169002712</v>
      </c>
      <c r="J2600" s="96" t="s">
        <v>157</v>
      </c>
      <c r="K2600" s="49" t="s">
        <v>2758</v>
      </c>
      <c r="L2600" s="39" t="s">
        <v>2759</v>
      </c>
      <c r="M2600" s="49" t="s">
        <v>219</v>
      </c>
      <c r="N2600" s="39" t="s">
        <v>167</v>
      </c>
      <c r="O2600" s="96" t="s">
        <v>2760</v>
      </c>
      <c r="P2600" s="49" t="s">
        <v>157</v>
      </c>
      <c r="Q2600" s="96" t="s">
        <v>104</v>
      </c>
      <c r="R2600" s="52">
        <v>39.9</v>
      </c>
      <c r="S2600" s="52">
        <f>R2600-T2600</f>
        <v>32.97520661157024</v>
      </c>
      <c r="T2600" s="52">
        <f>R2600*U2600/(U2600+100)</f>
        <v>6.924793388429752</v>
      </c>
      <c r="U2600" s="50">
        <v>21</v>
      </c>
      <c r="V2600" s="53">
        <v>0</v>
      </c>
      <c r="W2600" s="147">
        <v>1</v>
      </c>
      <c r="X2600" s="148" t="s">
        <v>163</v>
      </c>
      <c r="Y2600" s="54">
        <f>R2600*W2600</f>
        <v>39.9</v>
      </c>
      <c r="Z2600" s="52">
        <f>S2600*W2600</f>
        <v>32.97520661157024</v>
      </c>
      <c r="AA2600" s="52">
        <f>T2600*W2600</f>
        <v>6.924793388429752</v>
      </c>
      <c r="AB2600" s="52">
        <f>V2600*W2600</f>
        <v>0</v>
      </c>
      <c r="AC2600" s="53">
        <f>(R2600+V2600)*W2600</f>
        <v>39.9</v>
      </c>
      <c r="AD2600" s="138">
        <v>39.9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109</v>
      </c>
      <c r="F2601" s="96" t="s">
        <v>111</v>
      </c>
      <c r="G2601" s="97">
        <v>46132</v>
      </c>
      <c r="H2601" s="98">
        <v>0.6459027777777778</v>
      </c>
      <c r="I2601" s="50">
        <v>169002712</v>
      </c>
      <c r="J2601" s="96" t="s">
        <v>157</v>
      </c>
      <c r="K2601" s="49" t="s">
        <v>739</v>
      </c>
      <c r="L2601" s="39" t="s">
        <v>740</v>
      </c>
      <c r="M2601" s="49" t="s">
        <v>214</v>
      </c>
      <c r="N2601" s="39" t="s">
        <v>418</v>
      </c>
      <c r="O2601" s="96" t="s">
        <v>1147</v>
      </c>
      <c r="P2601" s="49" t="s">
        <v>157</v>
      </c>
      <c r="Q2601" s="96" t="s">
        <v>104</v>
      </c>
      <c r="R2601" s="52">
        <v>21.9</v>
      </c>
      <c r="S2601" s="52">
        <f>R2601-T2601</f>
        <v>19.553571428571427</v>
      </c>
      <c r="T2601" s="52">
        <f>R2601*U2601/(U2601+100)</f>
        <v>2.346428571428571</v>
      </c>
      <c r="U2601" s="50">
        <v>12</v>
      </c>
      <c r="V2601" s="53">
        <v>0</v>
      </c>
      <c r="W2601" s="147">
        <v>1</v>
      </c>
      <c r="X2601" s="148" t="s">
        <v>163</v>
      </c>
      <c r="Y2601" s="54">
        <f>R2601*W2601</f>
        <v>21.9</v>
      </c>
      <c r="Z2601" s="52">
        <f>S2601*W2601</f>
        <v>19.553571428571427</v>
      </c>
      <c r="AA2601" s="52">
        <f>T2601*W2601</f>
        <v>2.346428571428571</v>
      </c>
      <c r="AB2601" s="52">
        <f>V2601*W2601</f>
        <v>0</v>
      </c>
      <c r="AC2601" s="53">
        <f>(R2601+V2601)*W2601</f>
        <v>21.9</v>
      </c>
      <c r="AD2601" s="138">
        <v>21.9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109</v>
      </c>
      <c r="F2602" s="96" t="s">
        <v>111</v>
      </c>
      <c r="G2602" s="97">
        <v>46132</v>
      </c>
      <c r="H2602" s="98">
        <v>0.6459027777777778</v>
      </c>
      <c r="I2602" s="50">
        <v>169002712</v>
      </c>
      <c r="J2602" s="96" t="s">
        <v>157</v>
      </c>
      <c r="K2602" s="49" t="s">
        <v>3548</v>
      </c>
      <c r="L2602" s="39"/>
      <c r="M2602" s="49" t="s">
        <v>268</v>
      </c>
      <c r="N2602" s="39" t="s">
        <v>433</v>
      </c>
      <c r="O2602" s="96" t="s">
        <v>3549</v>
      </c>
      <c r="P2602" s="49" t="s">
        <v>157</v>
      </c>
      <c r="Q2602" s="96" t="s">
        <v>104</v>
      </c>
      <c r="R2602" s="52">
        <v>32.9</v>
      </c>
      <c r="S2602" s="52">
        <f>R2602-T2602</f>
        <v>29.375</v>
      </c>
      <c r="T2602" s="52">
        <f>R2602*U2602/(U2602+100)</f>
        <v>3.5249999999999995</v>
      </c>
      <c r="U2602" s="50">
        <v>12</v>
      </c>
      <c r="V2602" s="53">
        <v>0</v>
      </c>
      <c r="W2602" s="147">
        <v>1</v>
      </c>
      <c r="X2602" s="148" t="s">
        <v>945</v>
      </c>
      <c r="Y2602" s="54">
        <f>R2602*W2602</f>
        <v>32.9</v>
      </c>
      <c r="Z2602" s="52">
        <f>S2602*W2602</f>
        <v>29.375</v>
      </c>
      <c r="AA2602" s="52">
        <f>T2602*W2602</f>
        <v>3.5249999999999995</v>
      </c>
      <c r="AB2602" s="52">
        <f>V2602*W2602</f>
        <v>0</v>
      </c>
      <c r="AC2602" s="53">
        <f>(R2602+V2602)*W2602</f>
        <v>32.9</v>
      </c>
      <c r="AD2602" s="138">
        <v>32.9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109</v>
      </c>
      <c r="F2603" s="96" t="s">
        <v>111</v>
      </c>
      <c r="G2603" s="97">
        <v>46132</v>
      </c>
      <c r="H2603" s="98">
        <v>0.6463888888888889</v>
      </c>
      <c r="I2603" s="50">
        <v>169002713</v>
      </c>
      <c r="J2603" s="96" t="s">
        <v>157</v>
      </c>
      <c r="K2603" s="49" t="s">
        <v>3567</v>
      </c>
      <c r="L2603" s="39" t="s">
        <v>3568</v>
      </c>
      <c r="M2603" s="49" t="s">
        <v>636</v>
      </c>
      <c r="N2603" s="39" t="s">
        <v>244</v>
      </c>
      <c r="O2603" s="96" t="s">
        <v>3569</v>
      </c>
      <c r="P2603" s="49" t="s">
        <v>157</v>
      </c>
      <c r="Q2603" s="96" t="s">
        <v>104</v>
      </c>
      <c r="R2603" s="52">
        <v>14.4</v>
      </c>
      <c r="S2603" s="52">
        <f>R2603-T2603</f>
        <v>12.857142857142858</v>
      </c>
      <c r="T2603" s="52">
        <f>R2603*U2603/(U2603+100)</f>
        <v>1.542857142857143</v>
      </c>
      <c r="U2603" s="50">
        <v>12</v>
      </c>
      <c r="V2603" s="53">
        <v>0</v>
      </c>
      <c r="W2603" s="147">
        <v>1</v>
      </c>
      <c r="X2603" s="148" t="s">
        <v>163</v>
      </c>
      <c r="Y2603" s="54">
        <f>R2603*W2603</f>
        <v>14.4</v>
      </c>
      <c r="Z2603" s="52">
        <f>S2603*W2603</f>
        <v>12.857142857142858</v>
      </c>
      <c r="AA2603" s="52">
        <f>T2603*W2603</f>
        <v>1.542857142857143</v>
      </c>
      <c r="AB2603" s="52">
        <f>V2603*W2603</f>
        <v>0</v>
      </c>
      <c r="AC2603" s="53">
        <f>(R2603+V2603)*W2603</f>
        <v>14.4</v>
      </c>
      <c r="AD2603" s="138">
        <v>14.4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109</v>
      </c>
      <c r="F2604" s="96" t="s">
        <v>111</v>
      </c>
      <c r="G2604" s="97">
        <v>46132</v>
      </c>
      <c r="H2604" s="98">
        <v>0.6463888888888889</v>
      </c>
      <c r="I2604" s="50">
        <v>169002713</v>
      </c>
      <c r="J2604" s="96" t="s">
        <v>157</v>
      </c>
      <c r="K2604" s="49" t="s">
        <v>638</v>
      </c>
      <c r="L2604" s="39" t="s">
        <v>639</v>
      </c>
      <c r="M2604" s="49" t="s">
        <v>640</v>
      </c>
      <c r="N2604" s="39" t="s">
        <v>641</v>
      </c>
      <c r="O2604" s="96" t="s">
        <v>3570</v>
      </c>
      <c r="P2604" s="49" t="s">
        <v>157</v>
      </c>
      <c r="Q2604" s="96" t="s">
        <v>104</v>
      </c>
      <c r="R2604" s="52">
        <v>13.9</v>
      </c>
      <c r="S2604" s="52">
        <f>R2604-T2604</f>
        <v>12.410714285714286</v>
      </c>
      <c r="T2604" s="52">
        <f>R2604*U2604/(U2604+100)</f>
        <v>1.4892857142857143</v>
      </c>
      <c r="U2604" s="50">
        <v>12</v>
      </c>
      <c r="V2604" s="53">
        <v>0</v>
      </c>
      <c r="W2604" s="147">
        <v>1</v>
      </c>
      <c r="X2604" s="148" t="s">
        <v>163</v>
      </c>
      <c r="Y2604" s="54">
        <f>R2604*W2604</f>
        <v>13.9</v>
      </c>
      <c r="Z2604" s="52">
        <f>S2604*W2604</f>
        <v>12.410714285714286</v>
      </c>
      <c r="AA2604" s="52">
        <f>T2604*W2604</f>
        <v>1.4892857142857143</v>
      </c>
      <c r="AB2604" s="52">
        <f>V2604*W2604</f>
        <v>0</v>
      </c>
      <c r="AC2604" s="53">
        <f>(R2604+V2604)*W2604</f>
        <v>13.9</v>
      </c>
      <c r="AD2604" s="138">
        <v>13.9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109</v>
      </c>
      <c r="F2605" s="96" t="s">
        <v>111</v>
      </c>
      <c r="G2605" s="97">
        <v>46132</v>
      </c>
      <c r="H2605" s="98">
        <v>0.6463888888888889</v>
      </c>
      <c r="I2605" s="50">
        <v>169002713</v>
      </c>
      <c r="J2605" s="96" t="s">
        <v>157</v>
      </c>
      <c r="K2605" s="49" t="s">
        <v>2364</v>
      </c>
      <c r="L2605" s="39" t="s">
        <v>2365</v>
      </c>
      <c r="M2605" s="49" t="s">
        <v>185</v>
      </c>
      <c r="N2605" s="39" t="s">
        <v>319</v>
      </c>
      <c r="O2605" s="96" t="s">
        <v>2366</v>
      </c>
      <c r="P2605" s="49" t="s">
        <v>157</v>
      </c>
      <c r="Q2605" s="96" t="s">
        <v>104</v>
      </c>
      <c r="R2605" s="52">
        <v>42.9</v>
      </c>
      <c r="S2605" s="52">
        <f>R2605-T2605</f>
        <v>38.30357142857143</v>
      </c>
      <c r="T2605" s="52">
        <f>R2605*U2605/(U2605+100)</f>
        <v>4.596428571428571</v>
      </c>
      <c r="U2605" s="50">
        <v>12</v>
      </c>
      <c r="V2605" s="53">
        <v>0</v>
      </c>
      <c r="W2605" s="147">
        <v>1</v>
      </c>
      <c r="X2605" s="148" t="s">
        <v>163</v>
      </c>
      <c r="Y2605" s="54">
        <f>R2605*W2605</f>
        <v>42.9</v>
      </c>
      <c r="Z2605" s="52">
        <f>S2605*W2605</f>
        <v>38.30357142857143</v>
      </c>
      <c r="AA2605" s="52">
        <f>T2605*W2605</f>
        <v>4.596428571428571</v>
      </c>
      <c r="AB2605" s="52">
        <f>V2605*W2605</f>
        <v>0</v>
      </c>
      <c r="AC2605" s="53">
        <f>(R2605+V2605)*W2605</f>
        <v>42.9</v>
      </c>
      <c r="AD2605" s="138">
        <v>42.9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109</v>
      </c>
      <c r="F2606" s="96" t="s">
        <v>111</v>
      </c>
      <c r="G2606" s="97">
        <v>46132</v>
      </c>
      <c r="H2606" s="98">
        <v>0.6463888888888889</v>
      </c>
      <c r="I2606" s="50">
        <v>169002713</v>
      </c>
      <c r="J2606" s="96" t="s">
        <v>157</v>
      </c>
      <c r="K2606" s="49" t="s">
        <v>3571</v>
      </c>
      <c r="L2606" s="39" t="s">
        <v>3572</v>
      </c>
      <c r="M2606" s="49" t="s">
        <v>214</v>
      </c>
      <c r="N2606" s="39" t="s">
        <v>2173</v>
      </c>
      <c r="O2606" s="96" t="s">
        <v>3573</v>
      </c>
      <c r="P2606" s="49" t="s">
        <v>157</v>
      </c>
      <c r="Q2606" s="96" t="s">
        <v>104</v>
      </c>
      <c r="R2606" s="52">
        <v>41.9</v>
      </c>
      <c r="S2606" s="52">
        <f>R2606-T2606</f>
        <v>37.410714285714285</v>
      </c>
      <c r="T2606" s="52">
        <f>R2606*U2606/(U2606+100)</f>
        <v>4.489285714285714</v>
      </c>
      <c r="U2606" s="50">
        <v>12</v>
      </c>
      <c r="V2606" s="53">
        <v>0</v>
      </c>
      <c r="W2606" s="147">
        <v>1</v>
      </c>
      <c r="X2606" s="148" t="s">
        <v>163</v>
      </c>
      <c r="Y2606" s="54">
        <f>R2606*W2606</f>
        <v>41.9</v>
      </c>
      <c r="Z2606" s="52">
        <f>S2606*W2606</f>
        <v>37.410714285714285</v>
      </c>
      <c r="AA2606" s="52">
        <f>T2606*W2606</f>
        <v>4.489285714285714</v>
      </c>
      <c r="AB2606" s="52">
        <f>V2606*W2606</f>
        <v>0</v>
      </c>
      <c r="AC2606" s="53">
        <f>(R2606+V2606)*W2606</f>
        <v>41.9</v>
      </c>
      <c r="AD2606" s="138">
        <v>41.9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109</v>
      </c>
      <c r="F2607" s="96" t="s">
        <v>111</v>
      </c>
      <c r="G2607" s="97">
        <v>46132</v>
      </c>
      <c r="H2607" s="98">
        <v>0.6463888888888889</v>
      </c>
      <c r="I2607" s="50">
        <v>169002713</v>
      </c>
      <c r="J2607" s="96" t="s">
        <v>157</v>
      </c>
      <c r="K2607" s="49" t="s">
        <v>3574</v>
      </c>
      <c r="L2607" s="39" t="s">
        <v>3575</v>
      </c>
      <c r="M2607" s="49" t="s">
        <v>214</v>
      </c>
      <c r="N2607" s="39" t="s">
        <v>1595</v>
      </c>
      <c r="O2607" s="96" t="s">
        <v>3576</v>
      </c>
      <c r="P2607" s="49" t="s">
        <v>157</v>
      </c>
      <c r="Q2607" s="96" t="s">
        <v>104</v>
      </c>
      <c r="R2607" s="52">
        <v>37.9</v>
      </c>
      <c r="S2607" s="52">
        <f>R2607-T2607</f>
        <v>33.839285714285715</v>
      </c>
      <c r="T2607" s="52">
        <f>R2607*U2607/(U2607+100)</f>
        <v>4.060714285714285</v>
      </c>
      <c r="U2607" s="50">
        <v>12</v>
      </c>
      <c r="V2607" s="53">
        <v>0</v>
      </c>
      <c r="W2607" s="147">
        <v>1</v>
      </c>
      <c r="X2607" s="148" t="s">
        <v>163</v>
      </c>
      <c r="Y2607" s="54">
        <f>R2607*W2607</f>
        <v>37.9</v>
      </c>
      <c r="Z2607" s="52">
        <f>S2607*W2607</f>
        <v>33.839285714285715</v>
      </c>
      <c r="AA2607" s="52">
        <f>T2607*W2607</f>
        <v>4.060714285714285</v>
      </c>
      <c r="AB2607" s="52">
        <f>V2607*W2607</f>
        <v>0</v>
      </c>
      <c r="AC2607" s="53">
        <f>(R2607+V2607)*W2607</f>
        <v>37.9</v>
      </c>
      <c r="AD2607" s="138">
        <v>37.9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109</v>
      </c>
      <c r="F2608" s="96" t="s">
        <v>111</v>
      </c>
      <c r="G2608" s="97">
        <v>46132</v>
      </c>
      <c r="H2608" s="98">
        <v>0.6463888888888889</v>
      </c>
      <c r="I2608" s="50">
        <v>169002713</v>
      </c>
      <c r="J2608" s="96" t="s">
        <v>157</v>
      </c>
      <c r="K2608" s="49" t="s">
        <v>3574</v>
      </c>
      <c r="L2608" s="39" t="s">
        <v>3575</v>
      </c>
      <c r="M2608" s="49" t="s">
        <v>214</v>
      </c>
      <c r="N2608" s="39" t="s">
        <v>1595</v>
      </c>
      <c r="O2608" s="96" t="s">
        <v>3576</v>
      </c>
      <c r="P2608" s="49" t="s">
        <v>157</v>
      </c>
      <c r="Q2608" s="96" t="s">
        <v>104</v>
      </c>
      <c r="R2608" s="52">
        <v>37.9</v>
      </c>
      <c r="S2608" s="52">
        <f>R2608-T2608</f>
        <v>33.839285714285715</v>
      </c>
      <c r="T2608" s="52">
        <f>R2608*U2608/(U2608+100)</f>
        <v>4.060714285714285</v>
      </c>
      <c r="U2608" s="50">
        <v>12</v>
      </c>
      <c r="V2608" s="53">
        <v>0</v>
      </c>
      <c r="W2608" s="147">
        <v>1</v>
      </c>
      <c r="X2608" s="148" t="s">
        <v>163</v>
      </c>
      <c r="Y2608" s="54">
        <f>R2608*W2608</f>
        <v>37.9</v>
      </c>
      <c r="Z2608" s="52">
        <f>S2608*W2608</f>
        <v>33.839285714285715</v>
      </c>
      <c r="AA2608" s="52">
        <f>T2608*W2608</f>
        <v>4.060714285714285</v>
      </c>
      <c r="AB2608" s="52">
        <f>V2608*W2608</f>
        <v>0</v>
      </c>
      <c r="AC2608" s="53">
        <f>(R2608+V2608)*W2608</f>
        <v>37.9</v>
      </c>
      <c r="AD2608" s="138">
        <v>37.9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109</v>
      </c>
      <c r="F2609" s="96" t="s">
        <v>111</v>
      </c>
      <c r="G2609" s="97">
        <v>46132</v>
      </c>
      <c r="H2609" s="98">
        <v>0.6463888888888889</v>
      </c>
      <c r="I2609" s="50">
        <v>169002713</v>
      </c>
      <c r="J2609" s="96" t="s">
        <v>157</v>
      </c>
      <c r="K2609" s="49" t="s">
        <v>507</v>
      </c>
      <c r="L2609" s="39" t="s">
        <v>508</v>
      </c>
      <c r="M2609" s="49" t="s">
        <v>509</v>
      </c>
      <c r="N2609" s="39" t="s">
        <v>256</v>
      </c>
      <c r="O2609" s="96" t="s">
        <v>1024</v>
      </c>
      <c r="P2609" s="49" t="s">
        <v>235</v>
      </c>
      <c r="Q2609" s="96" t="s">
        <v>236</v>
      </c>
      <c r="R2609" s="52">
        <v>15.9</v>
      </c>
      <c r="S2609" s="52">
        <f>R2609-T2609</f>
        <v>13.140495867768596</v>
      </c>
      <c r="T2609" s="52">
        <f>R2609*U2609/(U2609+100)</f>
        <v>2.759504132231405</v>
      </c>
      <c r="U2609" s="50">
        <v>21</v>
      </c>
      <c r="V2609" s="53">
        <v>0</v>
      </c>
      <c r="W2609" s="147">
        <v>1</v>
      </c>
      <c r="X2609" s="148" t="s">
        <v>163</v>
      </c>
      <c r="Y2609" s="54">
        <f>R2609*W2609</f>
        <v>15.9</v>
      </c>
      <c r="Z2609" s="52">
        <f>S2609*W2609</f>
        <v>13.140495867768596</v>
      </c>
      <c r="AA2609" s="52">
        <f>T2609*W2609</f>
        <v>2.759504132231405</v>
      </c>
      <c r="AB2609" s="52">
        <f>V2609*W2609</f>
        <v>0</v>
      </c>
      <c r="AC2609" s="53">
        <f>(R2609+V2609)*W2609</f>
        <v>15.9</v>
      </c>
      <c r="AD2609" s="138">
        <v>15.9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109</v>
      </c>
      <c r="F2610" s="96" t="s">
        <v>111</v>
      </c>
      <c r="G2610" s="97">
        <v>46132</v>
      </c>
      <c r="H2610" s="98">
        <v>0.6463888888888889</v>
      </c>
      <c r="I2610" s="50">
        <v>169002713</v>
      </c>
      <c r="J2610" s="96" t="s">
        <v>157</v>
      </c>
      <c r="K2610" s="49" t="s">
        <v>1776</v>
      </c>
      <c r="L2610" s="39" t="s">
        <v>1777</v>
      </c>
      <c r="M2610" s="49" t="s">
        <v>1452</v>
      </c>
      <c r="N2610" s="39" t="s">
        <v>653</v>
      </c>
      <c r="O2610" s="96" t="s">
        <v>1778</v>
      </c>
      <c r="P2610" s="49" t="s">
        <v>235</v>
      </c>
      <c r="Q2610" s="96" t="s">
        <v>236</v>
      </c>
      <c r="R2610" s="52">
        <v>19.9</v>
      </c>
      <c r="S2610" s="52">
        <f>R2610-T2610</f>
        <v>16.446280991735534</v>
      </c>
      <c r="T2610" s="52">
        <f>R2610*U2610/(U2610+100)</f>
        <v>3.4537190082644624</v>
      </c>
      <c r="U2610" s="50">
        <v>21</v>
      </c>
      <c r="V2610" s="53">
        <v>0</v>
      </c>
      <c r="W2610" s="147">
        <v>1</v>
      </c>
      <c r="X2610" s="148" t="s">
        <v>163</v>
      </c>
      <c r="Y2610" s="54">
        <f>R2610*W2610</f>
        <v>19.9</v>
      </c>
      <c r="Z2610" s="52">
        <f>S2610*W2610</f>
        <v>16.446280991735534</v>
      </c>
      <c r="AA2610" s="52">
        <f>T2610*W2610</f>
        <v>3.4537190082644624</v>
      </c>
      <c r="AB2610" s="52">
        <f>V2610*W2610</f>
        <v>0</v>
      </c>
      <c r="AC2610" s="53">
        <f>(R2610+V2610)*W2610</f>
        <v>19.9</v>
      </c>
      <c r="AD2610" s="138">
        <v>19.9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109</v>
      </c>
      <c r="F2611" s="96" t="s">
        <v>111</v>
      </c>
      <c r="G2611" s="97">
        <v>46132</v>
      </c>
      <c r="H2611" s="98">
        <v>0.6463888888888889</v>
      </c>
      <c r="I2611" s="50">
        <v>169002713</v>
      </c>
      <c r="J2611" s="96" t="s">
        <v>157</v>
      </c>
      <c r="K2611" s="49" t="s">
        <v>2327</v>
      </c>
      <c r="L2611" s="39" t="s">
        <v>2328</v>
      </c>
      <c r="M2611" s="49" t="s">
        <v>2329</v>
      </c>
      <c r="N2611" s="39" t="s">
        <v>653</v>
      </c>
      <c r="O2611" s="96" t="s">
        <v>2330</v>
      </c>
      <c r="P2611" s="49" t="s">
        <v>157</v>
      </c>
      <c r="Q2611" s="96" t="s">
        <v>104</v>
      </c>
      <c r="R2611" s="52">
        <v>22.9</v>
      </c>
      <c r="S2611" s="52">
        <f>R2611-T2611</f>
        <v>18.925619834710744</v>
      </c>
      <c r="T2611" s="52">
        <f>R2611*U2611/(U2611+100)</f>
        <v>3.974380165289256</v>
      </c>
      <c r="U2611" s="50">
        <v>21</v>
      </c>
      <c r="V2611" s="53">
        <v>0</v>
      </c>
      <c r="W2611" s="147">
        <v>1</v>
      </c>
      <c r="X2611" s="148" t="s">
        <v>163</v>
      </c>
      <c r="Y2611" s="54">
        <f>R2611*W2611</f>
        <v>22.9</v>
      </c>
      <c r="Z2611" s="52">
        <f>S2611*W2611</f>
        <v>18.925619834710744</v>
      </c>
      <c r="AA2611" s="52">
        <f>T2611*W2611</f>
        <v>3.974380165289256</v>
      </c>
      <c r="AB2611" s="52">
        <f>V2611*W2611</f>
        <v>0</v>
      </c>
      <c r="AC2611" s="53">
        <f>(R2611+V2611)*W2611</f>
        <v>22.9</v>
      </c>
      <c r="AD2611" s="138">
        <v>22.9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109</v>
      </c>
      <c r="F2612" s="96" t="s">
        <v>111</v>
      </c>
      <c r="G2612" s="97">
        <v>46132</v>
      </c>
      <c r="H2612" s="98">
        <v>0.6463888888888889</v>
      </c>
      <c r="I2612" s="50">
        <v>169002713</v>
      </c>
      <c r="J2612" s="96" t="s">
        <v>157</v>
      </c>
      <c r="K2612" s="49" t="s">
        <v>2327</v>
      </c>
      <c r="L2612" s="39" t="s">
        <v>2328</v>
      </c>
      <c r="M2612" s="49" t="s">
        <v>2329</v>
      </c>
      <c r="N2612" s="39" t="s">
        <v>653</v>
      </c>
      <c r="O2612" s="96" t="s">
        <v>2330</v>
      </c>
      <c r="P2612" s="49" t="s">
        <v>157</v>
      </c>
      <c r="Q2612" s="96" t="s">
        <v>104</v>
      </c>
      <c r="R2612" s="52">
        <v>22.9</v>
      </c>
      <c r="S2612" s="52">
        <f>R2612-T2612</f>
        <v>18.925619834710744</v>
      </c>
      <c r="T2612" s="52">
        <f>R2612*U2612/(U2612+100)</f>
        <v>3.974380165289256</v>
      </c>
      <c r="U2612" s="50">
        <v>21</v>
      </c>
      <c r="V2612" s="53">
        <v>0</v>
      </c>
      <c r="W2612" s="147">
        <v>1</v>
      </c>
      <c r="X2612" s="148" t="s">
        <v>163</v>
      </c>
      <c r="Y2612" s="54">
        <f>R2612*W2612</f>
        <v>22.9</v>
      </c>
      <c r="Z2612" s="52">
        <f>S2612*W2612</f>
        <v>18.925619834710744</v>
      </c>
      <c r="AA2612" s="52">
        <f>T2612*W2612</f>
        <v>3.974380165289256</v>
      </c>
      <c r="AB2612" s="52">
        <f>V2612*W2612</f>
        <v>0</v>
      </c>
      <c r="AC2612" s="53">
        <f>(R2612+V2612)*W2612</f>
        <v>22.9</v>
      </c>
      <c r="AD2612" s="138">
        <v>22.9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109</v>
      </c>
      <c r="F2613" s="96" t="s">
        <v>111</v>
      </c>
      <c r="G2613" s="97">
        <v>46132</v>
      </c>
      <c r="H2613" s="98">
        <v>0.6463888888888889</v>
      </c>
      <c r="I2613" s="50">
        <v>169002713</v>
      </c>
      <c r="J2613" s="96" t="s">
        <v>157</v>
      </c>
      <c r="K2613" s="49" t="s">
        <v>2327</v>
      </c>
      <c r="L2613" s="39" t="s">
        <v>2328</v>
      </c>
      <c r="M2613" s="49" t="s">
        <v>2329</v>
      </c>
      <c r="N2613" s="39" t="s">
        <v>653</v>
      </c>
      <c r="O2613" s="96" t="s">
        <v>2330</v>
      </c>
      <c r="P2613" s="49" t="s">
        <v>157</v>
      </c>
      <c r="Q2613" s="96" t="s">
        <v>104</v>
      </c>
      <c r="R2613" s="52">
        <v>22.9</v>
      </c>
      <c r="S2613" s="52">
        <f>R2613-T2613</f>
        <v>18.925619834710744</v>
      </c>
      <c r="T2613" s="52">
        <f>R2613*U2613/(U2613+100)</f>
        <v>3.974380165289256</v>
      </c>
      <c r="U2613" s="50">
        <v>21</v>
      </c>
      <c r="V2613" s="53">
        <v>0</v>
      </c>
      <c r="W2613" s="147">
        <v>1</v>
      </c>
      <c r="X2613" s="148" t="s">
        <v>163</v>
      </c>
      <c r="Y2613" s="54">
        <f>R2613*W2613</f>
        <v>22.9</v>
      </c>
      <c r="Z2613" s="52">
        <f>S2613*W2613</f>
        <v>18.925619834710744</v>
      </c>
      <c r="AA2613" s="52">
        <f>T2613*W2613</f>
        <v>3.974380165289256</v>
      </c>
      <c r="AB2613" s="52">
        <f>V2613*W2613</f>
        <v>0</v>
      </c>
      <c r="AC2613" s="53">
        <f>(R2613+V2613)*W2613</f>
        <v>22.9</v>
      </c>
      <c r="AD2613" s="138">
        <v>22.9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109</v>
      </c>
      <c r="F2614" s="96" t="s">
        <v>111</v>
      </c>
      <c r="G2614" s="97">
        <v>46132</v>
      </c>
      <c r="H2614" s="98">
        <v>0.6463888888888889</v>
      </c>
      <c r="I2614" s="50">
        <v>169002713</v>
      </c>
      <c r="J2614" s="96" t="s">
        <v>157</v>
      </c>
      <c r="K2614" s="49" t="s">
        <v>1161</v>
      </c>
      <c r="L2614" s="39" t="s">
        <v>1162</v>
      </c>
      <c r="M2614" s="49" t="s">
        <v>268</v>
      </c>
      <c r="N2614" s="39" t="s">
        <v>296</v>
      </c>
      <c r="O2614" s="96" t="s">
        <v>1163</v>
      </c>
      <c r="P2614" s="49" t="s">
        <v>157</v>
      </c>
      <c r="Q2614" s="96" t="s">
        <v>104</v>
      </c>
      <c r="R2614" s="52">
        <v>34.9</v>
      </c>
      <c r="S2614" s="52">
        <f>R2614-T2614</f>
        <v>31.160714285714285</v>
      </c>
      <c r="T2614" s="52">
        <f>R2614*U2614/(U2614+100)</f>
        <v>3.739285714285714</v>
      </c>
      <c r="U2614" s="50">
        <v>12</v>
      </c>
      <c r="V2614" s="53">
        <v>0</v>
      </c>
      <c r="W2614" s="147">
        <v>1</v>
      </c>
      <c r="X2614" s="148" t="s">
        <v>163</v>
      </c>
      <c r="Y2614" s="54">
        <f>R2614*W2614</f>
        <v>34.9</v>
      </c>
      <c r="Z2614" s="52">
        <f>S2614*W2614</f>
        <v>31.160714285714285</v>
      </c>
      <c r="AA2614" s="52">
        <f>T2614*W2614</f>
        <v>3.739285714285714</v>
      </c>
      <c r="AB2614" s="52">
        <f>V2614*W2614</f>
        <v>0</v>
      </c>
      <c r="AC2614" s="53">
        <f>(R2614+V2614)*W2614</f>
        <v>34.9</v>
      </c>
      <c r="AD2614" s="138">
        <v>34.9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109</v>
      </c>
      <c r="F2615" s="96" t="s">
        <v>111</v>
      </c>
      <c r="G2615" s="97">
        <v>46132</v>
      </c>
      <c r="H2615" s="98">
        <v>0.6481481481481481</v>
      </c>
      <c r="I2615" s="50">
        <v>169002714</v>
      </c>
      <c r="J2615" s="96" t="s">
        <v>157</v>
      </c>
      <c r="K2615" s="49" t="s">
        <v>3292</v>
      </c>
      <c r="L2615" s="39" t="s">
        <v>3293</v>
      </c>
      <c r="M2615" s="49" t="s">
        <v>792</v>
      </c>
      <c r="N2615" s="39" t="s">
        <v>793</v>
      </c>
      <c r="O2615" s="96" t="s">
        <v>3294</v>
      </c>
      <c r="P2615" s="49" t="s">
        <v>157</v>
      </c>
      <c r="Q2615" s="96" t="s">
        <v>104</v>
      </c>
      <c r="R2615" s="52">
        <v>16.9</v>
      </c>
      <c r="S2615" s="52">
        <f>R2615-T2615</f>
        <v>15.089285714285714</v>
      </c>
      <c r="T2615" s="52">
        <f>R2615*U2615/(U2615+100)</f>
        <v>1.8107142857142855</v>
      </c>
      <c r="U2615" s="50">
        <v>12</v>
      </c>
      <c r="V2615" s="53">
        <v>0</v>
      </c>
      <c r="W2615" s="147">
        <v>1</v>
      </c>
      <c r="X2615" s="148" t="s">
        <v>163</v>
      </c>
      <c r="Y2615" s="54">
        <f>R2615*W2615</f>
        <v>16.9</v>
      </c>
      <c r="Z2615" s="52">
        <f>S2615*W2615</f>
        <v>15.089285714285714</v>
      </c>
      <c r="AA2615" s="52">
        <f>T2615*W2615</f>
        <v>1.8107142857142855</v>
      </c>
      <c r="AB2615" s="52">
        <f>V2615*W2615</f>
        <v>0</v>
      </c>
      <c r="AC2615" s="53">
        <f>(R2615+V2615)*W2615</f>
        <v>16.9</v>
      </c>
      <c r="AD2615" s="138">
        <v>16.9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109</v>
      </c>
      <c r="F2616" s="96" t="s">
        <v>111</v>
      </c>
      <c r="G2616" s="97">
        <v>46132</v>
      </c>
      <c r="H2616" s="98">
        <v>0.6481481481481481</v>
      </c>
      <c r="I2616" s="50">
        <v>169002714</v>
      </c>
      <c r="J2616" s="96" t="s">
        <v>157</v>
      </c>
      <c r="K2616" s="49" t="s">
        <v>1100</v>
      </c>
      <c r="L2616" s="39" t="s">
        <v>1101</v>
      </c>
      <c r="M2616" s="49" t="s">
        <v>444</v>
      </c>
      <c r="N2616" s="39" t="s">
        <v>228</v>
      </c>
      <c r="O2616" s="96" t="s">
        <v>1102</v>
      </c>
      <c r="P2616" s="49" t="s">
        <v>157</v>
      </c>
      <c r="Q2616" s="96" t="s">
        <v>104</v>
      </c>
      <c r="R2616" s="52">
        <v>17.9</v>
      </c>
      <c r="S2616" s="52">
        <f>R2616-T2616</f>
        <v>15.982142857142856</v>
      </c>
      <c r="T2616" s="52">
        <f>R2616*U2616/(U2616+100)</f>
        <v>1.9178571428571427</v>
      </c>
      <c r="U2616" s="50">
        <v>12</v>
      </c>
      <c r="V2616" s="53">
        <v>0</v>
      </c>
      <c r="W2616" s="147">
        <v>1</v>
      </c>
      <c r="X2616" s="148" t="s">
        <v>163</v>
      </c>
      <c r="Y2616" s="54">
        <f>R2616*W2616</f>
        <v>17.9</v>
      </c>
      <c r="Z2616" s="52">
        <f>S2616*W2616</f>
        <v>15.982142857142856</v>
      </c>
      <c r="AA2616" s="52">
        <f>T2616*W2616</f>
        <v>1.9178571428571427</v>
      </c>
      <c r="AB2616" s="52">
        <f>V2616*W2616</f>
        <v>0</v>
      </c>
      <c r="AC2616" s="53">
        <f>(R2616+V2616)*W2616</f>
        <v>17.9</v>
      </c>
      <c r="AD2616" s="138">
        <v>17.9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109</v>
      </c>
      <c r="F2617" s="96" t="s">
        <v>111</v>
      </c>
      <c r="G2617" s="97">
        <v>46132</v>
      </c>
      <c r="H2617" s="98">
        <v>0.6481481481481481</v>
      </c>
      <c r="I2617" s="50">
        <v>169002714</v>
      </c>
      <c r="J2617" s="96" t="s">
        <v>157</v>
      </c>
      <c r="K2617" s="49" t="s">
        <v>3577</v>
      </c>
      <c r="L2617" s="39" t="s">
        <v>3578</v>
      </c>
      <c r="M2617" s="49" t="s">
        <v>893</v>
      </c>
      <c r="N2617" s="39" t="s">
        <v>319</v>
      </c>
      <c r="O2617" s="96" t="s">
        <v>3579</v>
      </c>
      <c r="P2617" s="49" t="s">
        <v>157</v>
      </c>
      <c r="Q2617" s="96" t="s">
        <v>104</v>
      </c>
      <c r="R2617" s="52">
        <v>33.9</v>
      </c>
      <c r="S2617" s="52">
        <f>R2617-T2617</f>
        <v>30.267857142857142</v>
      </c>
      <c r="T2617" s="52">
        <f>R2617*U2617/(U2617+100)</f>
        <v>3.6321428571428567</v>
      </c>
      <c r="U2617" s="50">
        <v>12</v>
      </c>
      <c r="V2617" s="53">
        <v>0</v>
      </c>
      <c r="W2617" s="147">
        <v>1</v>
      </c>
      <c r="X2617" s="148" t="s">
        <v>163</v>
      </c>
      <c r="Y2617" s="54">
        <f>R2617*W2617</f>
        <v>33.9</v>
      </c>
      <c r="Z2617" s="52">
        <f>S2617*W2617</f>
        <v>30.267857142857142</v>
      </c>
      <c r="AA2617" s="52">
        <f>T2617*W2617</f>
        <v>3.6321428571428567</v>
      </c>
      <c r="AB2617" s="52">
        <f>V2617*W2617</f>
        <v>0</v>
      </c>
      <c r="AC2617" s="53">
        <f>(R2617+V2617)*W2617</f>
        <v>33.9</v>
      </c>
      <c r="AD2617" s="138">
        <v>33.9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109</v>
      </c>
      <c r="F2618" s="96" t="s">
        <v>111</v>
      </c>
      <c r="G2618" s="97">
        <v>46132</v>
      </c>
      <c r="H2618" s="98">
        <v>0.6481481481481481</v>
      </c>
      <c r="I2618" s="50">
        <v>169002714</v>
      </c>
      <c r="J2618" s="96" t="s">
        <v>157</v>
      </c>
      <c r="K2618" s="49" t="s">
        <v>1143</v>
      </c>
      <c r="L2618" s="39" t="s">
        <v>1144</v>
      </c>
      <c r="M2618" s="49" t="s">
        <v>466</v>
      </c>
      <c r="N2618" s="39" t="s">
        <v>210</v>
      </c>
      <c r="O2618" s="96" t="s">
        <v>1145</v>
      </c>
      <c r="P2618" s="49" t="s">
        <v>157</v>
      </c>
      <c r="Q2618" s="96" t="s">
        <v>104</v>
      </c>
      <c r="R2618" s="52">
        <v>22.9</v>
      </c>
      <c r="S2618" s="52">
        <f>R2618-T2618</f>
        <v>20.44642857142857</v>
      </c>
      <c r="T2618" s="52">
        <f>R2618*U2618/(U2618+100)</f>
        <v>2.4535714285714283</v>
      </c>
      <c r="U2618" s="50">
        <v>12</v>
      </c>
      <c r="V2618" s="53">
        <v>0</v>
      </c>
      <c r="W2618" s="147">
        <v>1</v>
      </c>
      <c r="X2618" s="148" t="s">
        <v>163</v>
      </c>
      <c r="Y2618" s="54">
        <f>R2618*W2618</f>
        <v>22.9</v>
      </c>
      <c r="Z2618" s="52">
        <f>S2618*W2618</f>
        <v>20.44642857142857</v>
      </c>
      <c r="AA2618" s="52">
        <f>T2618*W2618</f>
        <v>2.4535714285714283</v>
      </c>
      <c r="AB2618" s="52">
        <f>V2618*W2618</f>
        <v>0</v>
      </c>
      <c r="AC2618" s="53">
        <f>(R2618+V2618)*W2618</f>
        <v>22.9</v>
      </c>
      <c r="AD2618" s="138">
        <v>22.9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109</v>
      </c>
      <c r="F2619" s="96" t="s">
        <v>111</v>
      </c>
      <c r="G2619" s="97">
        <v>46132</v>
      </c>
      <c r="H2619" s="98">
        <v>0.6481481481481481</v>
      </c>
      <c r="I2619" s="50">
        <v>169002714</v>
      </c>
      <c r="J2619" s="96" t="s">
        <v>157</v>
      </c>
      <c r="K2619" s="49" t="s">
        <v>3254</v>
      </c>
      <c r="L2619" s="39" t="s">
        <v>3255</v>
      </c>
      <c r="M2619" s="49" t="s">
        <v>2847</v>
      </c>
      <c r="N2619" s="39" t="s">
        <v>3129</v>
      </c>
      <c r="O2619" s="96" t="s">
        <v>3256</v>
      </c>
      <c r="P2619" s="49" t="s">
        <v>157</v>
      </c>
      <c r="Q2619" s="96" t="s">
        <v>104</v>
      </c>
      <c r="R2619" s="52">
        <v>129</v>
      </c>
      <c r="S2619" s="52">
        <f>R2619-T2619</f>
        <v>115.17857142857143</v>
      </c>
      <c r="T2619" s="52">
        <f>R2619*U2619/(U2619+100)</f>
        <v>13.821428571428571</v>
      </c>
      <c r="U2619" s="50">
        <v>12</v>
      </c>
      <c r="V2619" s="53">
        <v>0</v>
      </c>
      <c r="W2619" s="147">
        <v>0.212</v>
      </c>
      <c r="X2619" s="148" t="s">
        <v>193</v>
      </c>
      <c r="Y2619" s="54">
        <f>R2619*W2619</f>
        <v>27.348</v>
      </c>
      <c r="Z2619" s="52">
        <f>S2619*W2619</f>
        <v>24.41785714285714</v>
      </c>
      <c r="AA2619" s="52">
        <f>T2619*W2619</f>
        <v>2.930142857142857</v>
      </c>
      <c r="AB2619" s="52">
        <f>V2619*W2619</f>
        <v>0</v>
      </c>
      <c r="AC2619" s="53">
        <f>(R2619+V2619)*W2619</f>
        <v>27.348</v>
      </c>
      <c r="AD2619" s="138">
        <v>129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109</v>
      </c>
      <c r="F2620" s="96" t="s">
        <v>111</v>
      </c>
      <c r="G2620" s="97">
        <v>46132</v>
      </c>
      <c r="H2620" s="98">
        <v>0.6481481481481481</v>
      </c>
      <c r="I2620" s="50">
        <v>169002714</v>
      </c>
      <c r="J2620" s="96" t="s">
        <v>157</v>
      </c>
      <c r="K2620" s="49" t="s">
        <v>515</v>
      </c>
      <c r="L2620" s="39" t="s">
        <v>104</v>
      </c>
      <c r="M2620" s="49" t="s">
        <v>214</v>
      </c>
      <c r="N2620" s="39" t="s">
        <v>296</v>
      </c>
      <c r="O2620" s="96" t="s">
        <v>1109</v>
      </c>
      <c r="P2620" s="49" t="s">
        <v>157</v>
      </c>
      <c r="Q2620" s="96" t="s">
        <v>104</v>
      </c>
      <c r="R2620" s="52">
        <v>15.9</v>
      </c>
      <c r="S2620" s="52">
        <f>R2620-T2620</f>
        <v>14.196428571428571</v>
      </c>
      <c r="T2620" s="52">
        <f>R2620*U2620/(U2620+100)</f>
        <v>1.7035714285714287</v>
      </c>
      <c r="U2620" s="50">
        <v>12</v>
      </c>
      <c r="V2620" s="53">
        <v>0</v>
      </c>
      <c r="W2620" s="147">
        <v>2</v>
      </c>
      <c r="X2620" s="148" t="s">
        <v>163</v>
      </c>
      <c r="Y2620" s="54">
        <f>R2620*W2620</f>
        <v>31.8</v>
      </c>
      <c r="Z2620" s="52">
        <f>S2620*W2620</f>
        <v>28.392857142857142</v>
      </c>
      <c r="AA2620" s="52">
        <f>T2620*W2620</f>
        <v>3.4071428571428575</v>
      </c>
      <c r="AB2620" s="52">
        <f>V2620*W2620</f>
        <v>0</v>
      </c>
      <c r="AC2620" s="53">
        <f>(R2620+V2620)*W2620</f>
        <v>31.8</v>
      </c>
      <c r="AD2620" s="138">
        <v>15.9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109</v>
      </c>
      <c r="F2621" s="96" t="s">
        <v>111</v>
      </c>
      <c r="G2621" s="97">
        <v>46132</v>
      </c>
      <c r="H2621" s="98">
        <v>0.6481481481481481</v>
      </c>
      <c r="I2621" s="50">
        <v>169002714</v>
      </c>
      <c r="J2621" s="96" t="s">
        <v>157</v>
      </c>
      <c r="K2621" s="49" t="s">
        <v>303</v>
      </c>
      <c r="L2621" s="39" t="s">
        <v>304</v>
      </c>
      <c r="M2621" s="49" t="s">
        <v>214</v>
      </c>
      <c r="N2621" s="39" t="s">
        <v>296</v>
      </c>
      <c r="O2621" s="96" t="s">
        <v>305</v>
      </c>
      <c r="P2621" s="49" t="s">
        <v>157</v>
      </c>
      <c r="Q2621" s="96" t="s">
        <v>104</v>
      </c>
      <c r="R2621" s="52">
        <v>11.9</v>
      </c>
      <c r="S2621" s="52">
        <f>R2621-T2621</f>
        <v>10.625</v>
      </c>
      <c r="T2621" s="52">
        <f>R2621*U2621/(U2621+100)</f>
        <v>1.2750000000000001</v>
      </c>
      <c r="U2621" s="50">
        <v>12</v>
      </c>
      <c r="V2621" s="53">
        <v>0</v>
      </c>
      <c r="W2621" s="147">
        <v>1</v>
      </c>
      <c r="X2621" s="148" t="s">
        <v>163</v>
      </c>
      <c r="Y2621" s="54">
        <f>R2621*W2621</f>
        <v>11.9</v>
      </c>
      <c r="Z2621" s="52">
        <f>S2621*W2621</f>
        <v>10.625</v>
      </c>
      <c r="AA2621" s="52">
        <f>T2621*W2621</f>
        <v>1.2750000000000001</v>
      </c>
      <c r="AB2621" s="52">
        <f>V2621*W2621</f>
        <v>0</v>
      </c>
      <c r="AC2621" s="53">
        <f>(R2621+V2621)*W2621</f>
        <v>11.9</v>
      </c>
      <c r="AD2621" s="138">
        <v>11.9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109</v>
      </c>
      <c r="F2622" s="96" t="s">
        <v>111</v>
      </c>
      <c r="G2622" s="97">
        <v>46132</v>
      </c>
      <c r="H2622" s="98">
        <v>0.6481481481481481</v>
      </c>
      <c r="I2622" s="50">
        <v>169002714</v>
      </c>
      <c r="J2622" s="96" t="s">
        <v>157</v>
      </c>
      <c r="K2622" s="49" t="s">
        <v>293</v>
      </c>
      <c r="L2622" s="39" t="s">
        <v>294</v>
      </c>
      <c r="M2622" s="49" t="s">
        <v>295</v>
      </c>
      <c r="N2622" s="39" t="s">
        <v>296</v>
      </c>
      <c r="O2622" s="96" t="s">
        <v>297</v>
      </c>
      <c r="P2622" s="49" t="s">
        <v>157</v>
      </c>
      <c r="Q2622" s="96" t="s">
        <v>104</v>
      </c>
      <c r="R2622" s="52">
        <v>2.9</v>
      </c>
      <c r="S2622" s="52">
        <f>R2622-T2622</f>
        <v>2.5892857142857144</v>
      </c>
      <c r="T2622" s="52">
        <f>R2622*U2622/(U2622+100)</f>
        <v>0.31071428571428567</v>
      </c>
      <c r="U2622" s="50">
        <v>12</v>
      </c>
      <c r="V2622" s="53">
        <v>0</v>
      </c>
      <c r="W2622" s="147">
        <v>8</v>
      </c>
      <c r="X2622" s="148" t="s">
        <v>163</v>
      </c>
      <c r="Y2622" s="54">
        <f>R2622*W2622</f>
        <v>23.2</v>
      </c>
      <c r="Z2622" s="52">
        <f>S2622*W2622</f>
        <v>20.714285714285715</v>
      </c>
      <c r="AA2622" s="52">
        <f>T2622*W2622</f>
        <v>2.4857142857142853</v>
      </c>
      <c r="AB2622" s="52">
        <f>V2622*W2622</f>
        <v>0</v>
      </c>
      <c r="AC2622" s="53">
        <f>(R2622+V2622)*W2622</f>
        <v>23.2</v>
      </c>
      <c r="AD2622" s="138">
        <v>2.9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109</v>
      </c>
      <c r="F2623" s="96" t="s">
        <v>111</v>
      </c>
      <c r="G2623" s="97">
        <v>46132</v>
      </c>
      <c r="H2623" s="98">
        <v>0.6484953703703704</v>
      </c>
      <c r="I2623" s="50">
        <v>169002715</v>
      </c>
      <c r="J2623" s="96" t="s">
        <v>157</v>
      </c>
      <c r="K2623" s="49" t="s">
        <v>2662</v>
      </c>
      <c r="L2623" s="39" t="s">
        <v>104</v>
      </c>
      <c r="M2623" s="49" t="s">
        <v>190</v>
      </c>
      <c r="N2623" s="39" t="s">
        <v>462</v>
      </c>
      <c r="O2623" s="96" t="s">
        <v>2663</v>
      </c>
      <c r="P2623" s="49" t="s">
        <v>157</v>
      </c>
      <c r="Q2623" s="96" t="s">
        <v>104</v>
      </c>
      <c r="R2623" s="52">
        <v>23.9</v>
      </c>
      <c r="S2623" s="52">
        <f>R2623-T2623</f>
        <v>21.33928571428571</v>
      </c>
      <c r="T2623" s="52">
        <f>R2623*U2623/(U2623+100)</f>
        <v>2.5607142857142855</v>
      </c>
      <c r="U2623" s="50">
        <v>12</v>
      </c>
      <c r="V2623" s="53">
        <v>0</v>
      </c>
      <c r="W2623" s="147">
        <v>1</v>
      </c>
      <c r="X2623" s="148" t="s">
        <v>163</v>
      </c>
      <c r="Y2623" s="54">
        <f>R2623*W2623</f>
        <v>23.9</v>
      </c>
      <c r="Z2623" s="52">
        <f>S2623*W2623</f>
        <v>21.33928571428571</v>
      </c>
      <c r="AA2623" s="52">
        <f>T2623*W2623</f>
        <v>2.5607142857142855</v>
      </c>
      <c r="AB2623" s="52">
        <f>V2623*W2623</f>
        <v>0</v>
      </c>
      <c r="AC2623" s="53">
        <f>(R2623+V2623)*W2623</f>
        <v>23.9</v>
      </c>
      <c r="AD2623" s="138">
        <v>23.9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109</v>
      </c>
      <c r="F2624" s="96" t="s">
        <v>111</v>
      </c>
      <c r="G2624" s="97">
        <v>46132</v>
      </c>
      <c r="H2624" s="98">
        <v>0.6484953703703704</v>
      </c>
      <c r="I2624" s="50">
        <v>169002715</v>
      </c>
      <c r="J2624" s="96" t="s">
        <v>157</v>
      </c>
      <c r="K2624" s="49" t="s">
        <v>959</v>
      </c>
      <c r="L2624" s="39"/>
      <c r="M2624" s="49" t="s">
        <v>554</v>
      </c>
      <c r="N2624" s="39" t="s">
        <v>433</v>
      </c>
      <c r="O2624" s="96" t="s">
        <v>3580</v>
      </c>
      <c r="P2624" s="49" t="s">
        <v>157</v>
      </c>
      <c r="Q2624" s="96" t="s">
        <v>104</v>
      </c>
      <c r="R2624" s="52">
        <v>34.9</v>
      </c>
      <c r="S2624" s="52">
        <f>R2624-T2624</f>
        <v>31.160714285714285</v>
      </c>
      <c r="T2624" s="52">
        <f>R2624*U2624/(U2624+100)</f>
        <v>3.739285714285714</v>
      </c>
      <c r="U2624" s="50">
        <v>12</v>
      </c>
      <c r="V2624" s="53">
        <v>0</v>
      </c>
      <c r="W2624" s="147">
        <v>1</v>
      </c>
      <c r="X2624" s="148" t="s">
        <v>945</v>
      </c>
      <c r="Y2624" s="54">
        <f>R2624*W2624</f>
        <v>34.9</v>
      </c>
      <c r="Z2624" s="52">
        <f>S2624*W2624</f>
        <v>31.160714285714285</v>
      </c>
      <c r="AA2624" s="52">
        <f>T2624*W2624</f>
        <v>3.739285714285714</v>
      </c>
      <c r="AB2624" s="52">
        <f>V2624*W2624</f>
        <v>0</v>
      </c>
      <c r="AC2624" s="53">
        <f>(R2624+V2624)*W2624</f>
        <v>34.9</v>
      </c>
      <c r="AD2624" s="138">
        <v>34.9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109</v>
      </c>
      <c r="F2625" s="96" t="s">
        <v>111</v>
      </c>
      <c r="G2625" s="97">
        <v>46132</v>
      </c>
      <c r="H2625" s="98">
        <v>0.6490393518518518</v>
      </c>
      <c r="I2625" s="50">
        <v>169002716</v>
      </c>
      <c r="J2625" s="96" t="s">
        <v>157</v>
      </c>
      <c r="K2625" s="49" t="s">
        <v>2522</v>
      </c>
      <c r="L2625" s="39" t="s">
        <v>2523</v>
      </c>
      <c r="M2625" s="49" t="s">
        <v>219</v>
      </c>
      <c r="N2625" s="39" t="s">
        <v>641</v>
      </c>
      <c r="O2625" s="96" t="s">
        <v>2524</v>
      </c>
      <c r="P2625" s="49" t="s">
        <v>157</v>
      </c>
      <c r="Q2625" s="96" t="s">
        <v>104</v>
      </c>
      <c r="R2625" s="52">
        <v>35.9</v>
      </c>
      <c r="S2625" s="52">
        <f>R2625-T2625</f>
        <v>32.05357142857143</v>
      </c>
      <c r="T2625" s="52">
        <f>R2625*U2625/(U2625+100)</f>
        <v>3.846428571428571</v>
      </c>
      <c r="U2625" s="50">
        <v>12</v>
      </c>
      <c r="V2625" s="53">
        <v>0</v>
      </c>
      <c r="W2625" s="147">
        <v>1</v>
      </c>
      <c r="X2625" s="148" t="s">
        <v>163</v>
      </c>
      <c r="Y2625" s="54">
        <f>R2625*W2625</f>
        <v>35.9</v>
      </c>
      <c r="Z2625" s="52">
        <f>S2625*W2625</f>
        <v>32.05357142857143</v>
      </c>
      <c r="AA2625" s="52">
        <f>T2625*W2625</f>
        <v>3.846428571428571</v>
      </c>
      <c r="AB2625" s="52">
        <f>V2625*W2625</f>
        <v>0</v>
      </c>
      <c r="AC2625" s="53">
        <f>(R2625+V2625)*W2625</f>
        <v>35.9</v>
      </c>
      <c r="AD2625" s="138">
        <v>35.9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109</v>
      </c>
      <c r="F2626" s="96" t="s">
        <v>111</v>
      </c>
      <c r="G2626" s="97">
        <v>46132</v>
      </c>
      <c r="H2626" s="98">
        <v>0.6490393518518518</v>
      </c>
      <c r="I2626" s="50">
        <v>169002716</v>
      </c>
      <c r="J2626" s="96" t="s">
        <v>157</v>
      </c>
      <c r="K2626" s="49" t="s">
        <v>666</v>
      </c>
      <c r="L2626" s="39" t="s">
        <v>667</v>
      </c>
      <c r="M2626" s="49" t="s">
        <v>243</v>
      </c>
      <c r="N2626" s="39" t="s">
        <v>244</v>
      </c>
      <c r="O2626" s="96" t="s">
        <v>2621</v>
      </c>
      <c r="P2626" s="49" t="s">
        <v>235</v>
      </c>
      <c r="Q2626" s="96" t="s">
        <v>236</v>
      </c>
      <c r="R2626" s="52">
        <v>29.9</v>
      </c>
      <c r="S2626" s="52">
        <f>R2626-T2626</f>
        <v>26.69642857142857</v>
      </c>
      <c r="T2626" s="52">
        <f>R2626*U2626/(U2626+100)</f>
        <v>3.2035714285714283</v>
      </c>
      <c r="U2626" s="50">
        <v>12</v>
      </c>
      <c r="V2626" s="53">
        <v>0</v>
      </c>
      <c r="W2626" s="147">
        <v>1</v>
      </c>
      <c r="X2626" s="148" t="s">
        <v>163</v>
      </c>
      <c r="Y2626" s="54">
        <f>R2626*W2626</f>
        <v>29.9</v>
      </c>
      <c r="Z2626" s="52">
        <f>S2626*W2626</f>
        <v>26.69642857142857</v>
      </c>
      <c r="AA2626" s="52">
        <f>T2626*W2626</f>
        <v>3.2035714285714283</v>
      </c>
      <c r="AB2626" s="52">
        <f>V2626*W2626</f>
        <v>0</v>
      </c>
      <c r="AC2626" s="53">
        <f>(R2626+V2626)*W2626</f>
        <v>29.9</v>
      </c>
      <c r="AD2626" s="138">
        <v>29.9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109</v>
      </c>
      <c r="F2627" s="96" t="s">
        <v>111</v>
      </c>
      <c r="G2627" s="97">
        <v>46132</v>
      </c>
      <c r="H2627" s="98">
        <v>0.6490393518518518</v>
      </c>
      <c r="I2627" s="50">
        <v>169002716</v>
      </c>
      <c r="J2627" s="96" t="s">
        <v>157</v>
      </c>
      <c r="K2627" s="49" t="s">
        <v>3581</v>
      </c>
      <c r="L2627" s="39" t="s">
        <v>3582</v>
      </c>
      <c r="M2627" s="49" t="s">
        <v>341</v>
      </c>
      <c r="N2627" s="39" t="s">
        <v>587</v>
      </c>
      <c r="O2627" s="96" t="s">
        <v>3583</v>
      </c>
      <c r="P2627" s="49" t="s">
        <v>157</v>
      </c>
      <c r="Q2627" s="96" t="s">
        <v>104</v>
      </c>
      <c r="R2627" s="52">
        <v>33.9</v>
      </c>
      <c r="S2627" s="52">
        <f>R2627-T2627</f>
        <v>28.016528925619834</v>
      </c>
      <c r="T2627" s="52">
        <f>R2627*U2627/(U2627+100)</f>
        <v>5.883471074380165</v>
      </c>
      <c r="U2627" s="50">
        <v>21</v>
      </c>
      <c r="V2627" s="53">
        <v>0</v>
      </c>
      <c r="W2627" s="147">
        <v>1</v>
      </c>
      <c r="X2627" s="148" t="s">
        <v>163</v>
      </c>
      <c r="Y2627" s="54">
        <f>R2627*W2627</f>
        <v>33.9</v>
      </c>
      <c r="Z2627" s="52">
        <f>S2627*W2627</f>
        <v>28.016528925619834</v>
      </c>
      <c r="AA2627" s="52">
        <f>T2627*W2627</f>
        <v>5.883471074380165</v>
      </c>
      <c r="AB2627" s="52">
        <f>V2627*W2627</f>
        <v>0</v>
      </c>
      <c r="AC2627" s="53">
        <f>(R2627+V2627)*W2627</f>
        <v>33.9</v>
      </c>
      <c r="AD2627" s="138">
        <v>33.9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109</v>
      </c>
      <c r="F2628" s="96" t="s">
        <v>111</v>
      </c>
      <c r="G2628" s="97">
        <v>46132</v>
      </c>
      <c r="H2628" s="98">
        <v>0.6495023148148148</v>
      </c>
      <c r="I2628" s="50">
        <v>169002717</v>
      </c>
      <c r="J2628" s="96" t="s">
        <v>157</v>
      </c>
      <c r="K2628" s="49" t="s">
        <v>3584</v>
      </c>
      <c r="L2628" s="39" t="s">
        <v>3585</v>
      </c>
      <c r="M2628" s="49" t="s">
        <v>2296</v>
      </c>
      <c r="N2628" s="39" t="s">
        <v>414</v>
      </c>
      <c r="O2628" s="96" t="s">
        <v>3586</v>
      </c>
      <c r="P2628" s="49" t="s">
        <v>157</v>
      </c>
      <c r="Q2628" s="96" t="s">
        <v>104</v>
      </c>
      <c r="R2628" s="52">
        <v>9.4</v>
      </c>
      <c r="S2628" s="52">
        <f>R2628-T2628</f>
        <v>8.392857142857142</v>
      </c>
      <c r="T2628" s="52">
        <f>R2628*U2628/(U2628+100)</f>
        <v>1.0071428571428573</v>
      </c>
      <c r="U2628" s="50">
        <v>12</v>
      </c>
      <c r="V2628" s="53">
        <v>0</v>
      </c>
      <c r="W2628" s="147">
        <v>1</v>
      </c>
      <c r="X2628" s="148" t="s">
        <v>163</v>
      </c>
      <c r="Y2628" s="54">
        <f>R2628*W2628</f>
        <v>9.4</v>
      </c>
      <c r="Z2628" s="52">
        <f>S2628*W2628</f>
        <v>8.392857142857142</v>
      </c>
      <c r="AA2628" s="52">
        <f>T2628*W2628</f>
        <v>1.0071428571428573</v>
      </c>
      <c r="AB2628" s="52">
        <f>V2628*W2628</f>
        <v>0</v>
      </c>
      <c r="AC2628" s="53">
        <f>(R2628+V2628)*W2628</f>
        <v>9.4</v>
      </c>
      <c r="AD2628" s="138">
        <v>9.4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109</v>
      </c>
      <c r="F2629" s="96" t="s">
        <v>111</v>
      </c>
      <c r="G2629" s="97">
        <v>46132</v>
      </c>
      <c r="H2629" s="98">
        <v>0.6495023148148148</v>
      </c>
      <c r="I2629" s="50">
        <v>169002717</v>
      </c>
      <c r="J2629" s="96" t="s">
        <v>157</v>
      </c>
      <c r="K2629" s="49" t="s">
        <v>3584</v>
      </c>
      <c r="L2629" s="39" t="s">
        <v>3585</v>
      </c>
      <c r="M2629" s="49" t="s">
        <v>2296</v>
      </c>
      <c r="N2629" s="39" t="s">
        <v>414</v>
      </c>
      <c r="O2629" s="96" t="s">
        <v>3586</v>
      </c>
      <c r="P2629" s="49" t="s">
        <v>157</v>
      </c>
      <c r="Q2629" s="96" t="s">
        <v>104</v>
      </c>
      <c r="R2629" s="52">
        <v>9.4</v>
      </c>
      <c r="S2629" s="52">
        <f>R2629-T2629</f>
        <v>8.392857142857142</v>
      </c>
      <c r="T2629" s="52">
        <f>R2629*U2629/(U2629+100)</f>
        <v>1.0071428571428573</v>
      </c>
      <c r="U2629" s="50">
        <v>12</v>
      </c>
      <c r="V2629" s="53">
        <v>0</v>
      </c>
      <c r="W2629" s="147">
        <v>1</v>
      </c>
      <c r="X2629" s="148" t="s">
        <v>163</v>
      </c>
      <c r="Y2629" s="54">
        <f>R2629*W2629</f>
        <v>9.4</v>
      </c>
      <c r="Z2629" s="52">
        <f>S2629*W2629</f>
        <v>8.392857142857142</v>
      </c>
      <c r="AA2629" s="52">
        <f>T2629*W2629</f>
        <v>1.0071428571428573</v>
      </c>
      <c r="AB2629" s="52">
        <f>V2629*W2629</f>
        <v>0</v>
      </c>
      <c r="AC2629" s="53">
        <f>(R2629+V2629)*W2629</f>
        <v>9.4</v>
      </c>
      <c r="AD2629" s="138">
        <v>9.4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109</v>
      </c>
      <c r="F2630" s="96" t="s">
        <v>111</v>
      </c>
      <c r="G2630" s="97">
        <v>46132</v>
      </c>
      <c r="H2630" s="98">
        <v>0.6495023148148148</v>
      </c>
      <c r="I2630" s="50">
        <v>169002717</v>
      </c>
      <c r="J2630" s="96" t="s">
        <v>157</v>
      </c>
      <c r="K2630" s="49" t="s">
        <v>3587</v>
      </c>
      <c r="L2630" s="39" t="s">
        <v>3588</v>
      </c>
      <c r="M2630" s="49" t="s">
        <v>185</v>
      </c>
      <c r="N2630" s="39" t="s">
        <v>319</v>
      </c>
      <c r="O2630" s="96" t="s">
        <v>3589</v>
      </c>
      <c r="P2630" s="49" t="s">
        <v>157</v>
      </c>
      <c r="Q2630" s="96" t="s">
        <v>104</v>
      </c>
      <c r="R2630" s="52">
        <v>21.9</v>
      </c>
      <c r="S2630" s="52">
        <f>R2630-T2630</f>
        <v>19.553571428571427</v>
      </c>
      <c r="T2630" s="52">
        <f>R2630*U2630/(U2630+100)</f>
        <v>2.346428571428571</v>
      </c>
      <c r="U2630" s="50">
        <v>12</v>
      </c>
      <c r="V2630" s="53">
        <v>0</v>
      </c>
      <c r="W2630" s="147">
        <v>1</v>
      </c>
      <c r="X2630" s="148" t="s">
        <v>163</v>
      </c>
      <c r="Y2630" s="54">
        <f>R2630*W2630</f>
        <v>21.9</v>
      </c>
      <c r="Z2630" s="52">
        <f>S2630*W2630</f>
        <v>19.553571428571427</v>
      </c>
      <c r="AA2630" s="52">
        <f>T2630*W2630</f>
        <v>2.346428571428571</v>
      </c>
      <c r="AB2630" s="52">
        <f>V2630*W2630</f>
        <v>0</v>
      </c>
      <c r="AC2630" s="53">
        <f>(R2630+V2630)*W2630</f>
        <v>21.9</v>
      </c>
      <c r="AD2630" s="138">
        <v>21.9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109</v>
      </c>
      <c r="F2631" s="96" t="s">
        <v>111</v>
      </c>
      <c r="G2631" s="97">
        <v>46132</v>
      </c>
      <c r="H2631" s="98">
        <v>0.6495023148148148</v>
      </c>
      <c r="I2631" s="50">
        <v>169002717</v>
      </c>
      <c r="J2631" s="96" t="s">
        <v>157</v>
      </c>
      <c r="K2631" s="49" t="s">
        <v>3587</v>
      </c>
      <c r="L2631" s="39" t="s">
        <v>3588</v>
      </c>
      <c r="M2631" s="49" t="s">
        <v>185</v>
      </c>
      <c r="N2631" s="39" t="s">
        <v>319</v>
      </c>
      <c r="O2631" s="96" t="s">
        <v>3589</v>
      </c>
      <c r="P2631" s="49" t="s">
        <v>157</v>
      </c>
      <c r="Q2631" s="96" t="s">
        <v>104</v>
      </c>
      <c r="R2631" s="52">
        <v>21.9</v>
      </c>
      <c r="S2631" s="52">
        <f>R2631-T2631</f>
        <v>19.553571428571427</v>
      </c>
      <c r="T2631" s="52">
        <f>R2631*U2631/(U2631+100)</f>
        <v>2.346428571428571</v>
      </c>
      <c r="U2631" s="50">
        <v>12</v>
      </c>
      <c r="V2631" s="53">
        <v>0</v>
      </c>
      <c r="W2631" s="147">
        <v>1</v>
      </c>
      <c r="X2631" s="148" t="s">
        <v>163</v>
      </c>
      <c r="Y2631" s="54">
        <f>R2631*W2631</f>
        <v>21.9</v>
      </c>
      <c r="Z2631" s="52">
        <f>S2631*W2631</f>
        <v>19.553571428571427</v>
      </c>
      <c r="AA2631" s="52">
        <f>T2631*W2631</f>
        <v>2.346428571428571</v>
      </c>
      <c r="AB2631" s="52">
        <f>V2631*W2631</f>
        <v>0</v>
      </c>
      <c r="AC2631" s="53">
        <f>(R2631+V2631)*W2631</f>
        <v>21.9</v>
      </c>
      <c r="AD2631" s="138">
        <v>21.9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109</v>
      </c>
      <c r="F2632" s="96" t="s">
        <v>111</v>
      </c>
      <c r="G2632" s="97">
        <v>46132</v>
      </c>
      <c r="H2632" s="98">
        <v>0.6495023148148148</v>
      </c>
      <c r="I2632" s="50">
        <v>169002717</v>
      </c>
      <c r="J2632" s="96" t="s">
        <v>157</v>
      </c>
      <c r="K2632" s="49" t="s">
        <v>758</v>
      </c>
      <c r="L2632" s="39" t="s">
        <v>759</v>
      </c>
      <c r="M2632" s="49" t="s">
        <v>201</v>
      </c>
      <c r="N2632" s="39" t="s">
        <v>202</v>
      </c>
      <c r="O2632" s="96" t="s">
        <v>1235</v>
      </c>
      <c r="P2632" s="49" t="s">
        <v>235</v>
      </c>
      <c r="Q2632" s="96" t="s">
        <v>236</v>
      </c>
      <c r="R2632" s="52">
        <v>19.9</v>
      </c>
      <c r="S2632" s="52">
        <f>R2632-T2632</f>
        <v>17.767857142857142</v>
      </c>
      <c r="T2632" s="52">
        <f>R2632*U2632/(U2632+100)</f>
        <v>2.132142857142857</v>
      </c>
      <c r="U2632" s="50">
        <v>12</v>
      </c>
      <c r="V2632" s="53">
        <v>0</v>
      </c>
      <c r="W2632" s="147">
        <v>1</v>
      </c>
      <c r="X2632" s="148" t="s">
        <v>163</v>
      </c>
      <c r="Y2632" s="54">
        <f>R2632*W2632</f>
        <v>19.9</v>
      </c>
      <c r="Z2632" s="52">
        <f>S2632*W2632</f>
        <v>17.767857142857142</v>
      </c>
      <c r="AA2632" s="52">
        <f>T2632*W2632</f>
        <v>2.132142857142857</v>
      </c>
      <c r="AB2632" s="52">
        <f>V2632*W2632</f>
        <v>0</v>
      </c>
      <c r="AC2632" s="53">
        <f>(R2632+V2632)*W2632</f>
        <v>19.9</v>
      </c>
      <c r="AD2632" s="138">
        <v>19.9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109</v>
      </c>
      <c r="F2633" s="96" t="s">
        <v>111</v>
      </c>
      <c r="G2633" s="97">
        <v>46132</v>
      </c>
      <c r="H2633" s="98">
        <v>0.6495023148148148</v>
      </c>
      <c r="I2633" s="50">
        <v>169002717</v>
      </c>
      <c r="J2633" s="96" t="s">
        <v>157</v>
      </c>
      <c r="K2633" s="49" t="s">
        <v>758</v>
      </c>
      <c r="L2633" s="39" t="s">
        <v>759</v>
      </c>
      <c r="M2633" s="49" t="s">
        <v>201</v>
      </c>
      <c r="N2633" s="39" t="s">
        <v>202</v>
      </c>
      <c r="O2633" s="96" t="s">
        <v>1235</v>
      </c>
      <c r="P2633" s="49" t="s">
        <v>235</v>
      </c>
      <c r="Q2633" s="96" t="s">
        <v>236</v>
      </c>
      <c r="R2633" s="52">
        <v>19.9</v>
      </c>
      <c r="S2633" s="52">
        <f>R2633-T2633</f>
        <v>17.767857142857142</v>
      </c>
      <c r="T2633" s="52">
        <f>R2633*U2633/(U2633+100)</f>
        <v>2.132142857142857</v>
      </c>
      <c r="U2633" s="50">
        <v>12</v>
      </c>
      <c r="V2633" s="53">
        <v>0</v>
      </c>
      <c r="W2633" s="147">
        <v>1</v>
      </c>
      <c r="X2633" s="148" t="s">
        <v>163</v>
      </c>
      <c r="Y2633" s="54">
        <f>R2633*W2633</f>
        <v>19.9</v>
      </c>
      <c r="Z2633" s="52">
        <f>S2633*W2633</f>
        <v>17.767857142857142</v>
      </c>
      <c r="AA2633" s="52">
        <f>T2633*W2633</f>
        <v>2.132142857142857</v>
      </c>
      <c r="AB2633" s="52">
        <f>V2633*W2633</f>
        <v>0</v>
      </c>
      <c r="AC2633" s="53">
        <f>(R2633+V2633)*W2633</f>
        <v>19.9</v>
      </c>
      <c r="AD2633" s="138">
        <v>19.9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109</v>
      </c>
      <c r="F2634" s="96" t="s">
        <v>111</v>
      </c>
      <c r="G2634" s="97">
        <v>46132</v>
      </c>
      <c r="H2634" s="98">
        <v>0.6495023148148148</v>
      </c>
      <c r="I2634" s="50">
        <v>169002717</v>
      </c>
      <c r="J2634" s="96" t="s">
        <v>157</v>
      </c>
      <c r="K2634" s="49" t="s">
        <v>1616</v>
      </c>
      <c r="L2634" s="39" t="s">
        <v>1617</v>
      </c>
      <c r="M2634" s="49" t="s">
        <v>649</v>
      </c>
      <c r="N2634" s="39" t="s">
        <v>1618</v>
      </c>
      <c r="O2634" s="96" t="s">
        <v>1619</v>
      </c>
      <c r="P2634" s="49" t="s">
        <v>157</v>
      </c>
      <c r="Q2634" s="96" t="s">
        <v>104</v>
      </c>
      <c r="R2634" s="52">
        <v>27.9</v>
      </c>
      <c r="S2634" s="52">
        <f>R2634-T2634</f>
        <v>24.910714285714285</v>
      </c>
      <c r="T2634" s="52">
        <f>R2634*U2634/(U2634+100)</f>
        <v>2.989285714285714</v>
      </c>
      <c r="U2634" s="50">
        <v>12</v>
      </c>
      <c r="V2634" s="53">
        <v>0</v>
      </c>
      <c r="W2634" s="147">
        <v>1</v>
      </c>
      <c r="X2634" s="148" t="s">
        <v>163</v>
      </c>
      <c r="Y2634" s="54">
        <f>R2634*W2634</f>
        <v>27.9</v>
      </c>
      <c r="Z2634" s="52">
        <f>S2634*W2634</f>
        <v>24.910714285714285</v>
      </c>
      <c r="AA2634" s="52">
        <f>T2634*W2634</f>
        <v>2.989285714285714</v>
      </c>
      <c r="AB2634" s="52">
        <f>V2634*W2634</f>
        <v>0</v>
      </c>
      <c r="AC2634" s="53">
        <f>(R2634+V2634)*W2634</f>
        <v>27.9</v>
      </c>
      <c r="AD2634" s="138">
        <v>27.9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109</v>
      </c>
      <c r="F2635" s="96" t="s">
        <v>111</v>
      </c>
      <c r="G2635" s="97">
        <v>46132</v>
      </c>
      <c r="H2635" s="98">
        <v>0.6495023148148148</v>
      </c>
      <c r="I2635" s="50">
        <v>169002717</v>
      </c>
      <c r="J2635" s="96" t="s">
        <v>157</v>
      </c>
      <c r="K2635" s="49" t="s">
        <v>1616</v>
      </c>
      <c r="L2635" s="39" t="s">
        <v>1617</v>
      </c>
      <c r="M2635" s="49" t="s">
        <v>649</v>
      </c>
      <c r="N2635" s="39" t="s">
        <v>1618</v>
      </c>
      <c r="O2635" s="96" t="s">
        <v>1619</v>
      </c>
      <c r="P2635" s="49" t="s">
        <v>157</v>
      </c>
      <c r="Q2635" s="96" t="s">
        <v>104</v>
      </c>
      <c r="R2635" s="52">
        <v>27.9</v>
      </c>
      <c r="S2635" s="52">
        <f>R2635-T2635</f>
        <v>24.910714285714285</v>
      </c>
      <c r="T2635" s="52">
        <f>R2635*U2635/(U2635+100)</f>
        <v>2.989285714285714</v>
      </c>
      <c r="U2635" s="50">
        <v>12</v>
      </c>
      <c r="V2635" s="53">
        <v>0</v>
      </c>
      <c r="W2635" s="147">
        <v>1</v>
      </c>
      <c r="X2635" s="148" t="s">
        <v>163</v>
      </c>
      <c r="Y2635" s="54">
        <f>R2635*W2635</f>
        <v>27.9</v>
      </c>
      <c r="Z2635" s="52">
        <f>S2635*W2635</f>
        <v>24.910714285714285</v>
      </c>
      <c r="AA2635" s="52">
        <f>T2635*W2635</f>
        <v>2.989285714285714</v>
      </c>
      <c r="AB2635" s="52">
        <f>V2635*W2635</f>
        <v>0</v>
      </c>
      <c r="AC2635" s="53">
        <f>(R2635+V2635)*W2635</f>
        <v>27.9</v>
      </c>
      <c r="AD2635" s="138">
        <v>27.9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109</v>
      </c>
      <c r="F2636" s="96" t="s">
        <v>111</v>
      </c>
      <c r="G2636" s="97">
        <v>46132</v>
      </c>
      <c r="H2636" s="98">
        <v>0.6495023148148148</v>
      </c>
      <c r="I2636" s="50">
        <v>169002717</v>
      </c>
      <c r="J2636" s="96" t="s">
        <v>157</v>
      </c>
      <c r="K2636" s="49" t="s">
        <v>293</v>
      </c>
      <c r="L2636" s="39" t="s">
        <v>294</v>
      </c>
      <c r="M2636" s="49" t="s">
        <v>295</v>
      </c>
      <c r="N2636" s="39" t="s">
        <v>296</v>
      </c>
      <c r="O2636" s="96" t="s">
        <v>297</v>
      </c>
      <c r="P2636" s="49" t="s">
        <v>157</v>
      </c>
      <c r="Q2636" s="96" t="s">
        <v>104</v>
      </c>
      <c r="R2636" s="52">
        <v>2.9</v>
      </c>
      <c r="S2636" s="52">
        <f>R2636-T2636</f>
        <v>2.5892857142857144</v>
      </c>
      <c r="T2636" s="52">
        <f>R2636*U2636/(U2636+100)</f>
        <v>0.31071428571428567</v>
      </c>
      <c r="U2636" s="50">
        <v>12</v>
      </c>
      <c r="V2636" s="53">
        <v>0</v>
      </c>
      <c r="W2636" s="147">
        <v>6</v>
      </c>
      <c r="X2636" s="148" t="s">
        <v>163</v>
      </c>
      <c r="Y2636" s="54">
        <f>R2636*W2636</f>
        <v>17.4</v>
      </c>
      <c r="Z2636" s="52">
        <f>S2636*W2636</f>
        <v>15.535714285714286</v>
      </c>
      <c r="AA2636" s="52">
        <f>T2636*W2636</f>
        <v>1.8642857142857139</v>
      </c>
      <c r="AB2636" s="52">
        <f>V2636*W2636</f>
        <v>0</v>
      </c>
      <c r="AC2636" s="53">
        <f>(R2636+V2636)*W2636</f>
        <v>17.4</v>
      </c>
      <c r="AD2636" s="138">
        <v>2.9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109</v>
      </c>
      <c r="F2637" s="96" t="s">
        <v>111</v>
      </c>
      <c r="G2637" s="97">
        <v>46132</v>
      </c>
      <c r="H2637" s="98">
        <v>0.6499652777777778</v>
      </c>
      <c r="I2637" s="50">
        <v>169002718</v>
      </c>
      <c r="J2637" s="96" t="s">
        <v>157</v>
      </c>
      <c r="K2637" s="49" t="s">
        <v>655</v>
      </c>
      <c r="L2637" s="39" t="s">
        <v>656</v>
      </c>
      <c r="M2637" s="49" t="s">
        <v>190</v>
      </c>
      <c r="N2637" s="39" t="s">
        <v>532</v>
      </c>
      <c r="O2637" s="96" t="s">
        <v>657</v>
      </c>
      <c r="P2637" s="49" t="s">
        <v>157</v>
      </c>
      <c r="Q2637" s="96" t="s">
        <v>104</v>
      </c>
      <c r="R2637" s="52">
        <v>17.95</v>
      </c>
      <c r="S2637" s="52">
        <f>R2637-T2637</f>
        <v>16.026785714285715</v>
      </c>
      <c r="T2637" s="52">
        <f>R2637*U2637/(U2637+100)</f>
        <v>1.9232142857142855</v>
      </c>
      <c r="U2637" s="50">
        <v>12</v>
      </c>
      <c r="V2637" s="53">
        <v>0</v>
      </c>
      <c r="W2637" s="147">
        <v>0.338</v>
      </c>
      <c r="X2637" s="148" t="s">
        <v>193</v>
      </c>
      <c r="Y2637" s="54">
        <f>R2637*W2637</f>
        <v>6.0671</v>
      </c>
      <c r="Z2637" s="52">
        <f>S2637*W2637</f>
        <v>5.417053571428572</v>
      </c>
      <c r="AA2637" s="52">
        <f>T2637*W2637</f>
        <v>0.6500464285714286</v>
      </c>
      <c r="AB2637" s="52">
        <f>V2637*W2637</f>
        <v>0</v>
      </c>
      <c r="AC2637" s="53">
        <f>(R2637+V2637)*W2637</f>
        <v>6.0671</v>
      </c>
      <c r="AD2637" s="138">
        <v>17.95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109</v>
      </c>
      <c r="F2638" s="96" t="s">
        <v>111</v>
      </c>
      <c r="G2638" s="97">
        <v>46132</v>
      </c>
      <c r="H2638" s="98">
        <v>0.6499652777777778</v>
      </c>
      <c r="I2638" s="50">
        <v>169002718</v>
      </c>
      <c r="J2638" s="96" t="s">
        <v>157</v>
      </c>
      <c r="K2638" s="49" t="s">
        <v>942</v>
      </c>
      <c r="L2638" s="39"/>
      <c r="M2638" s="49" t="s">
        <v>295</v>
      </c>
      <c r="N2638" s="39" t="s">
        <v>433</v>
      </c>
      <c r="O2638" s="96" t="s">
        <v>1332</v>
      </c>
      <c r="P2638" s="49" t="s">
        <v>235</v>
      </c>
      <c r="Q2638" s="96" t="s">
        <v>944</v>
      </c>
      <c r="R2638" s="52">
        <v>9.9</v>
      </c>
      <c r="S2638" s="52">
        <f>R2638-T2638</f>
        <v>8.839285714285715</v>
      </c>
      <c r="T2638" s="52">
        <f>R2638*U2638/(U2638+100)</f>
        <v>1.0607142857142857</v>
      </c>
      <c r="U2638" s="50">
        <v>12</v>
      </c>
      <c r="V2638" s="53">
        <v>0</v>
      </c>
      <c r="W2638" s="147">
        <v>1</v>
      </c>
      <c r="X2638" s="148" t="s">
        <v>945</v>
      </c>
      <c r="Y2638" s="54">
        <f>R2638*W2638</f>
        <v>9.9</v>
      </c>
      <c r="Z2638" s="52">
        <f>S2638*W2638</f>
        <v>8.839285714285715</v>
      </c>
      <c r="AA2638" s="52">
        <f>T2638*W2638</f>
        <v>1.0607142857142857</v>
      </c>
      <c r="AB2638" s="52">
        <f>V2638*W2638</f>
        <v>0</v>
      </c>
      <c r="AC2638" s="53">
        <f>(R2638+V2638)*W2638</f>
        <v>9.9</v>
      </c>
      <c r="AD2638" s="138">
        <v>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109</v>
      </c>
      <c r="F2639" s="96" t="s">
        <v>111</v>
      </c>
      <c r="G2639" s="97">
        <v>46132</v>
      </c>
      <c r="H2639" s="98">
        <v>0.6502777777777777</v>
      </c>
      <c r="I2639" s="50">
        <v>169002719</v>
      </c>
      <c r="J2639" s="96" t="s">
        <v>157</v>
      </c>
      <c r="K2639" s="49" t="s">
        <v>3590</v>
      </c>
      <c r="L2639" s="39" t="s">
        <v>3591</v>
      </c>
      <c r="M2639" s="49" t="s">
        <v>509</v>
      </c>
      <c r="N2639" s="39" t="s">
        <v>256</v>
      </c>
      <c r="O2639" s="96" t="s">
        <v>3592</v>
      </c>
      <c r="P2639" s="49" t="s">
        <v>157</v>
      </c>
      <c r="Q2639" s="96" t="s">
        <v>104</v>
      </c>
      <c r="R2639" s="52">
        <v>12.9</v>
      </c>
      <c r="S2639" s="52">
        <f>R2639-T2639</f>
        <v>10.661157024793388</v>
      </c>
      <c r="T2639" s="52">
        <f>R2639*U2639/(U2639+100)</f>
        <v>2.238842975206612</v>
      </c>
      <c r="U2639" s="50">
        <v>21</v>
      </c>
      <c r="V2639" s="53">
        <v>3</v>
      </c>
      <c r="W2639" s="147">
        <v>1</v>
      </c>
      <c r="X2639" s="148" t="s">
        <v>163</v>
      </c>
      <c r="Y2639" s="54">
        <f>R2639*W2639</f>
        <v>12.9</v>
      </c>
      <c r="Z2639" s="52">
        <f>S2639*W2639</f>
        <v>10.661157024793388</v>
      </c>
      <c r="AA2639" s="52">
        <f>T2639*W2639</f>
        <v>2.238842975206612</v>
      </c>
      <c r="AB2639" s="52">
        <f>V2639*W2639</f>
        <v>3</v>
      </c>
      <c r="AC2639" s="53">
        <f>(R2639+V2639)*W2639</f>
        <v>15.9</v>
      </c>
      <c r="AD2639" s="138">
        <v>12.9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109</v>
      </c>
      <c r="F2640" s="96" t="s">
        <v>111</v>
      </c>
      <c r="G2640" s="97">
        <v>46132</v>
      </c>
      <c r="H2640" s="98">
        <v>0.6502777777777777</v>
      </c>
      <c r="I2640" s="50">
        <v>169002719</v>
      </c>
      <c r="J2640" s="96" t="s">
        <v>157</v>
      </c>
      <c r="K2640" s="49" t="s">
        <v>3590</v>
      </c>
      <c r="L2640" s="39" t="s">
        <v>3591</v>
      </c>
      <c r="M2640" s="49" t="s">
        <v>509</v>
      </c>
      <c r="N2640" s="39" t="s">
        <v>256</v>
      </c>
      <c r="O2640" s="96" t="s">
        <v>3592</v>
      </c>
      <c r="P2640" s="49" t="s">
        <v>157</v>
      </c>
      <c r="Q2640" s="96" t="s">
        <v>104</v>
      </c>
      <c r="R2640" s="52">
        <v>12.9</v>
      </c>
      <c r="S2640" s="52">
        <f>R2640-T2640</f>
        <v>10.661157024793388</v>
      </c>
      <c r="T2640" s="52">
        <f>R2640*U2640/(U2640+100)</f>
        <v>2.238842975206612</v>
      </c>
      <c r="U2640" s="50">
        <v>21</v>
      </c>
      <c r="V2640" s="53">
        <v>3</v>
      </c>
      <c r="W2640" s="147">
        <v>7</v>
      </c>
      <c r="X2640" s="148" t="s">
        <v>163</v>
      </c>
      <c r="Y2640" s="54">
        <f>R2640*W2640</f>
        <v>90.3</v>
      </c>
      <c r="Z2640" s="52">
        <f>S2640*W2640</f>
        <v>74.62809917355372</v>
      </c>
      <c r="AA2640" s="52">
        <f>T2640*W2640</f>
        <v>15.671900826446283</v>
      </c>
      <c r="AB2640" s="52">
        <f>V2640*W2640</f>
        <v>21</v>
      </c>
      <c r="AC2640" s="53">
        <f>(R2640+V2640)*W2640</f>
        <v>111.3</v>
      </c>
      <c r="AD2640" s="138">
        <v>12.9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109</v>
      </c>
      <c r="F2641" s="96" t="s">
        <v>111</v>
      </c>
      <c r="G2641" s="97">
        <v>46132</v>
      </c>
      <c r="H2641" s="98">
        <v>0.6502777777777777</v>
      </c>
      <c r="I2641" s="50">
        <v>169002719</v>
      </c>
      <c r="J2641" s="96" t="s">
        <v>157</v>
      </c>
      <c r="K2641" s="49" t="s">
        <v>3593</v>
      </c>
      <c r="L2641" s="39" t="s">
        <v>3594</v>
      </c>
      <c r="M2641" s="49" t="s">
        <v>2612</v>
      </c>
      <c r="N2641" s="39" t="s">
        <v>998</v>
      </c>
      <c r="O2641" s="96" t="s">
        <v>3595</v>
      </c>
      <c r="P2641" s="49" t="s">
        <v>157</v>
      </c>
      <c r="Q2641" s="96" t="s">
        <v>104</v>
      </c>
      <c r="R2641" s="52">
        <v>33</v>
      </c>
      <c r="S2641" s="52">
        <f>R2641-T2641</f>
        <v>29.464285714285715</v>
      </c>
      <c r="T2641" s="52">
        <f>R2641*U2641/(U2641+100)</f>
        <v>3.5357142857142856</v>
      </c>
      <c r="U2641" s="50">
        <v>12</v>
      </c>
      <c r="V2641" s="53">
        <v>0</v>
      </c>
      <c r="W2641" s="147">
        <v>1</v>
      </c>
      <c r="X2641" s="148" t="s">
        <v>945</v>
      </c>
      <c r="Y2641" s="54">
        <f>R2641*W2641</f>
        <v>33</v>
      </c>
      <c r="Z2641" s="52">
        <f>S2641*W2641</f>
        <v>29.464285714285715</v>
      </c>
      <c r="AA2641" s="52">
        <f>T2641*W2641</f>
        <v>3.5357142857142856</v>
      </c>
      <c r="AB2641" s="52">
        <f>V2641*W2641</f>
        <v>0</v>
      </c>
      <c r="AC2641" s="53">
        <f>(R2641+V2641)*W2641</f>
        <v>33</v>
      </c>
      <c r="AD2641" s="138">
        <v>33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109</v>
      </c>
      <c r="F2642" s="96" t="s">
        <v>111</v>
      </c>
      <c r="G2642" s="97">
        <v>46132</v>
      </c>
      <c r="H2642" s="98">
        <v>0.6510763888888889</v>
      </c>
      <c r="I2642" s="50">
        <v>169002720</v>
      </c>
      <c r="J2642" s="96" t="s">
        <v>157</v>
      </c>
      <c r="K2642" s="49" t="s">
        <v>932</v>
      </c>
      <c r="L2642" s="39" t="s">
        <v>933</v>
      </c>
      <c r="M2642" s="49" t="s">
        <v>823</v>
      </c>
      <c r="N2642" s="39" t="s">
        <v>609</v>
      </c>
      <c r="O2642" s="96" t="s">
        <v>1472</v>
      </c>
      <c r="P2642" s="49" t="s">
        <v>157</v>
      </c>
      <c r="Q2642" s="96" t="s">
        <v>104</v>
      </c>
      <c r="R2642" s="52">
        <v>16.9</v>
      </c>
      <c r="S2642" s="52">
        <f>R2642-T2642</f>
        <v>15.089285714285714</v>
      </c>
      <c r="T2642" s="52">
        <f>R2642*U2642/(U2642+100)</f>
        <v>1.8107142857142855</v>
      </c>
      <c r="U2642" s="50">
        <v>12</v>
      </c>
      <c r="V2642" s="53">
        <v>0</v>
      </c>
      <c r="W2642" s="147">
        <v>6</v>
      </c>
      <c r="X2642" s="148" t="s">
        <v>163</v>
      </c>
      <c r="Y2642" s="54">
        <f>R2642*W2642</f>
        <v>101.39999999999999</v>
      </c>
      <c r="Z2642" s="52">
        <f>S2642*W2642</f>
        <v>90.53571428571428</v>
      </c>
      <c r="AA2642" s="52">
        <f>T2642*W2642</f>
        <v>10.864285714285714</v>
      </c>
      <c r="AB2642" s="52">
        <f>V2642*W2642</f>
        <v>0</v>
      </c>
      <c r="AC2642" s="53">
        <f>(R2642+V2642)*W2642</f>
        <v>101.39999999999999</v>
      </c>
      <c r="AD2642" s="138">
        <v>16.9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109</v>
      </c>
      <c r="F2643" s="96" t="s">
        <v>111</v>
      </c>
      <c r="G2643" s="97">
        <v>46132</v>
      </c>
      <c r="H2643" s="98">
        <v>0.6510763888888889</v>
      </c>
      <c r="I2643" s="50">
        <v>169002720</v>
      </c>
      <c r="J2643" s="96" t="s">
        <v>157</v>
      </c>
      <c r="K2643" s="49" t="s">
        <v>212</v>
      </c>
      <c r="L2643" s="39" t="s">
        <v>213</v>
      </c>
      <c r="M2643" s="49" t="s">
        <v>214</v>
      </c>
      <c r="N2643" s="39" t="s">
        <v>215</v>
      </c>
      <c r="O2643" s="96" t="s">
        <v>2151</v>
      </c>
      <c r="P2643" s="49" t="s">
        <v>157</v>
      </c>
      <c r="Q2643" s="96" t="s">
        <v>104</v>
      </c>
      <c r="R2643" s="52">
        <v>24.9</v>
      </c>
      <c r="S2643" s="52">
        <f>R2643-T2643</f>
        <v>22.232142857142858</v>
      </c>
      <c r="T2643" s="52">
        <f>R2643*U2643/(U2643+100)</f>
        <v>2.6678571428571423</v>
      </c>
      <c r="U2643" s="50">
        <v>12</v>
      </c>
      <c r="V2643" s="53">
        <v>0</v>
      </c>
      <c r="W2643" s="147">
        <v>1</v>
      </c>
      <c r="X2643" s="148" t="s">
        <v>163</v>
      </c>
      <c r="Y2643" s="54">
        <f>R2643*W2643</f>
        <v>24.9</v>
      </c>
      <c r="Z2643" s="52">
        <f>S2643*W2643</f>
        <v>22.232142857142858</v>
      </c>
      <c r="AA2643" s="52">
        <f>T2643*W2643</f>
        <v>2.6678571428571423</v>
      </c>
      <c r="AB2643" s="52">
        <f>V2643*W2643</f>
        <v>0</v>
      </c>
      <c r="AC2643" s="53">
        <f>(R2643+V2643)*W2643</f>
        <v>24.9</v>
      </c>
      <c r="AD2643" s="138">
        <v>24.9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109</v>
      </c>
      <c r="F2644" s="96" t="s">
        <v>111</v>
      </c>
      <c r="G2644" s="97">
        <v>46132</v>
      </c>
      <c r="H2644" s="98">
        <v>0.6528703703703703</v>
      </c>
      <c r="I2644" s="50">
        <v>169002721</v>
      </c>
      <c r="J2644" s="96" t="s">
        <v>157</v>
      </c>
      <c r="K2644" s="49" t="s">
        <v>3596</v>
      </c>
      <c r="L2644" s="39" t="s">
        <v>3597</v>
      </c>
      <c r="M2644" s="49" t="s">
        <v>243</v>
      </c>
      <c r="N2644" s="39" t="s">
        <v>244</v>
      </c>
      <c r="O2644" s="96" t="s">
        <v>3598</v>
      </c>
      <c r="P2644" s="49" t="s">
        <v>157</v>
      </c>
      <c r="Q2644" s="96" t="s">
        <v>104</v>
      </c>
      <c r="R2644" s="52">
        <v>44.9</v>
      </c>
      <c r="S2644" s="52">
        <f>R2644-T2644</f>
        <v>40.089285714285715</v>
      </c>
      <c r="T2644" s="52">
        <f>R2644*U2644/(U2644+100)</f>
        <v>4.810714285714285</v>
      </c>
      <c r="U2644" s="50">
        <v>12</v>
      </c>
      <c r="V2644" s="53">
        <v>0</v>
      </c>
      <c r="W2644" s="147">
        <v>1</v>
      </c>
      <c r="X2644" s="148" t="s">
        <v>163</v>
      </c>
      <c r="Y2644" s="54">
        <f>R2644*W2644</f>
        <v>44.9</v>
      </c>
      <c r="Z2644" s="52">
        <f>S2644*W2644</f>
        <v>40.089285714285715</v>
      </c>
      <c r="AA2644" s="52">
        <f>T2644*W2644</f>
        <v>4.810714285714285</v>
      </c>
      <c r="AB2644" s="52">
        <f>V2644*W2644</f>
        <v>0</v>
      </c>
      <c r="AC2644" s="53">
        <f>(R2644+V2644)*W2644</f>
        <v>44.9</v>
      </c>
      <c r="AD2644" s="138">
        <v>44.9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109</v>
      </c>
      <c r="F2645" s="96" t="s">
        <v>111</v>
      </c>
      <c r="G2645" s="97">
        <v>46132</v>
      </c>
      <c r="H2645" s="98">
        <v>0.6528703703703703</v>
      </c>
      <c r="I2645" s="50">
        <v>169002721</v>
      </c>
      <c r="J2645" s="96" t="s">
        <v>157</v>
      </c>
      <c r="K2645" s="49" t="s">
        <v>3599</v>
      </c>
      <c r="L2645" s="39" t="s">
        <v>3600</v>
      </c>
      <c r="M2645" s="49" t="s">
        <v>527</v>
      </c>
      <c r="N2645" s="39" t="s">
        <v>528</v>
      </c>
      <c r="O2645" s="96" t="s">
        <v>3601</v>
      </c>
      <c r="P2645" s="49" t="s">
        <v>157</v>
      </c>
      <c r="Q2645" s="96" t="s">
        <v>104</v>
      </c>
      <c r="R2645" s="52">
        <v>39.9</v>
      </c>
      <c r="S2645" s="52">
        <f>R2645-T2645</f>
        <v>35.625</v>
      </c>
      <c r="T2645" s="52">
        <f>R2645*U2645/(U2645+100)</f>
        <v>4.2749999999999995</v>
      </c>
      <c r="U2645" s="50">
        <v>12</v>
      </c>
      <c r="V2645" s="53">
        <v>0</v>
      </c>
      <c r="W2645" s="147">
        <v>1</v>
      </c>
      <c r="X2645" s="148" t="s">
        <v>163</v>
      </c>
      <c r="Y2645" s="54">
        <f>R2645*W2645</f>
        <v>39.9</v>
      </c>
      <c r="Z2645" s="52">
        <f>S2645*W2645</f>
        <v>35.625</v>
      </c>
      <c r="AA2645" s="52">
        <f>T2645*W2645</f>
        <v>4.2749999999999995</v>
      </c>
      <c r="AB2645" s="52">
        <f>V2645*W2645</f>
        <v>0</v>
      </c>
      <c r="AC2645" s="53">
        <f>(R2645+V2645)*W2645</f>
        <v>39.9</v>
      </c>
      <c r="AD2645" s="138">
        <v>39.9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109</v>
      </c>
      <c r="F2646" s="96" t="s">
        <v>111</v>
      </c>
      <c r="G2646" s="97">
        <v>46132</v>
      </c>
      <c r="H2646" s="98">
        <v>0.6528703703703703</v>
      </c>
      <c r="I2646" s="50">
        <v>169002721</v>
      </c>
      <c r="J2646" s="96" t="s">
        <v>157</v>
      </c>
      <c r="K2646" s="49" t="s">
        <v>537</v>
      </c>
      <c r="L2646" s="39" t="s">
        <v>538</v>
      </c>
      <c r="M2646" s="49" t="s">
        <v>539</v>
      </c>
      <c r="N2646" s="39" t="s">
        <v>348</v>
      </c>
      <c r="O2646" s="96" t="s">
        <v>3602</v>
      </c>
      <c r="P2646" s="49" t="s">
        <v>157</v>
      </c>
      <c r="Q2646" s="96" t="s">
        <v>104</v>
      </c>
      <c r="R2646" s="52">
        <v>5.4</v>
      </c>
      <c r="S2646" s="52">
        <f>R2646-T2646</f>
        <v>4.821428571428572</v>
      </c>
      <c r="T2646" s="52">
        <f>R2646*U2646/(U2646+100)</f>
        <v>0.5785714285714286</v>
      </c>
      <c r="U2646" s="50">
        <v>12</v>
      </c>
      <c r="V2646" s="53">
        <v>0</v>
      </c>
      <c r="W2646" s="147">
        <v>1</v>
      </c>
      <c r="X2646" s="148" t="s">
        <v>163</v>
      </c>
      <c r="Y2646" s="54">
        <f>R2646*W2646</f>
        <v>5.4</v>
      </c>
      <c r="Z2646" s="52">
        <f>S2646*W2646</f>
        <v>4.821428571428572</v>
      </c>
      <c r="AA2646" s="52">
        <f>T2646*W2646</f>
        <v>0.5785714285714286</v>
      </c>
      <c r="AB2646" s="52">
        <f>V2646*W2646</f>
        <v>0</v>
      </c>
      <c r="AC2646" s="53">
        <f>(R2646+V2646)*W2646</f>
        <v>5.4</v>
      </c>
      <c r="AD2646" s="138">
        <v>5.4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109</v>
      </c>
      <c r="F2647" s="96" t="s">
        <v>111</v>
      </c>
      <c r="G2647" s="97">
        <v>46132</v>
      </c>
      <c r="H2647" s="98">
        <v>0.6528703703703703</v>
      </c>
      <c r="I2647" s="50">
        <v>169002721</v>
      </c>
      <c r="J2647" s="96" t="s">
        <v>157</v>
      </c>
      <c r="K2647" s="49" t="s">
        <v>537</v>
      </c>
      <c r="L2647" s="39" t="s">
        <v>538</v>
      </c>
      <c r="M2647" s="49" t="s">
        <v>539</v>
      </c>
      <c r="N2647" s="39" t="s">
        <v>348</v>
      </c>
      <c r="O2647" s="96" t="s">
        <v>3602</v>
      </c>
      <c r="P2647" s="49" t="s">
        <v>157</v>
      </c>
      <c r="Q2647" s="96" t="s">
        <v>104</v>
      </c>
      <c r="R2647" s="52">
        <v>5.4</v>
      </c>
      <c r="S2647" s="52">
        <f>R2647-T2647</f>
        <v>4.821428571428572</v>
      </c>
      <c r="T2647" s="52">
        <f>R2647*U2647/(U2647+100)</f>
        <v>0.5785714285714286</v>
      </c>
      <c r="U2647" s="50">
        <v>12</v>
      </c>
      <c r="V2647" s="53">
        <v>0</v>
      </c>
      <c r="W2647" s="147">
        <v>1</v>
      </c>
      <c r="X2647" s="148" t="s">
        <v>163</v>
      </c>
      <c r="Y2647" s="54">
        <f>R2647*W2647</f>
        <v>5.4</v>
      </c>
      <c r="Z2647" s="52">
        <f>S2647*W2647</f>
        <v>4.821428571428572</v>
      </c>
      <c r="AA2647" s="52">
        <f>T2647*W2647</f>
        <v>0.5785714285714286</v>
      </c>
      <c r="AB2647" s="52">
        <f>V2647*W2647</f>
        <v>0</v>
      </c>
      <c r="AC2647" s="53">
        <f>(R2647+V2647)*W2647</f>
        <v>5.4</v>
      </c>
      <c r="AD2647" s="138">
        <v>5.4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109</v>
      </c>
      <c r="F2648" s="96" t="s">
        <v>111</v>
      </c>
      <c r="G2648" s="97">
        <v>46132</v>
      </c>
      <c r="H2648" s="98">
        <v>0.6528703703703703</v>
      </c>
      <c r="I2648" s="50">
        <v>169002721</v>
      </c>
      <c r="J2648" s="96" t="s">
        <v>157</v>
      </c>
      <c r="K2648" s="49" t="s">
        <v>758</v>
      </c>
      <c r="L2648" s="39" t="s">
        <v>759</v>
      </c>
      <c r="M2648" s="49" t="s">
        <v>201</v>
      </c>
      <c r="N2648" s="39" t="s">
        <v>202</v>
      </c>
      <c r="O2648" s="96" t="s">
        <v>1235</v>
      </c>
      <c r="P2648" s="49" t="s">
        <v>235</v>
      </c>
      <c r="Q2648" s="96" t="s">
        <v>236</v>
      </c>
      <c r="R2648" s="52">
        <v>19.9</v>
      </c>
      <c r="S2648" s="52">
        <f>R2648-T2648</f>
        <v>17.767857142857142</v>
      </c>
      <c r="T2648" s="52">
        <f>R2648*U2648/(U2648+100)</f>
        <v>2.132142857142857</v>
      </c>
      <c r="U2648" s="50">
        <v>12</v>
      </c>
      <c r="V2648" s="53">
        <v>0</v>
      </c>
      <c r="W2648" s="147">
        <v>1</v>
      </c>
      <c r="X2648" s="148" t="s">
        <v>163</v>
      </c>
      <c r="Y2648" s="54">
        <f>R2648*W2648</f>
        <v>19.9</v>
      </c>
      <c r="Z2648" s="52">
        <f>S2648*W2648</f>
        <v>17.767857142857142</v>
      </c>
      <c r="AA2648" s="52">
        <f>T2648*W2648</f>
        <v>2.132142857142857</v>
      </c>
      <c r="AB2648" s="52">
        <f>V2648*W2648</f>
        <v>0</v>
      </c>
      <c r="AC2648" s="53">
        <f>(R2648+V2648)*W2648</f>
        <v>19.9</v>
      </c>
      <c r="AD2648" s="138">
        <v>19.9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109</v>
      </c>
      <c r="F2649" s="96" t="s">
        <v>111</v>
      </c>
      <c r="G2649" s="97">
        <v>46132</v>
      </c>
      <c r="H2649" s="98">
        <v>0.6528703703703703</v>
      </c>
      <c r="I2649" s="50">
        <v>169002721</v>
      </c>
      <c r="J2649" s="96" t="s">
        <v>157</v>
      </c>
      <c r="K2649" s="49" t="s">
        <v>758</v>
      </c>
      <c r="L2649" s="39" t="s">
        <v>759</v>
      </c>
      <c r="M2649" s="49" t="s">
        <v>201</v>
      </c>
      <c r="N2649" s="39" t="s">
        <v>202</v>
      </c>
      <c r="O2649" s="96" t="s">
        <v>1235</v>
      </c>
      <c r="P2649" s="49" t="s">
        <v>235</v>
      </c>
      <c r="Q2649" s="96" t="s">
        <v>236</v>
      </c>
      <c r="R2649" s="52">
        <v>19.9</v>
      </c>
      <c r="S2649" s="52">
        <f>R2649-T2649</f>
        <v>17.767857142857142</v>
      </c>
      <c r="T2649" s="52">
        <f>R2649*U2649/(U2649+100)</f>
        <v>2.132142857142857</v>
      </c>
      <c r="U2649" s="50">
        <v>12</v>
      </c>
      <c r="V2649" s="53">
        <v>0</v>
      </c>
      <c r="W2649" s="147">
        <v>1</v>
      </c>
      <c r="X2649" s="148" t="s">
        <v>163</v>
      </c>
      <c r="Y2649" s="54">
        <f>R2649*W2649</f>
        <v>19.9</v>
      </c>
      <c r="Z2649" s="52">
        <f>S2649*W2649</f>
        <v>17.767857142857142</v>
      </c>
      <c r="AA2649" s="52">
        <f>T2649*W2649</f>
        <v>2.132142857142857</v>
      </c>
      <c r="AB2649" s="52">
        <f>V2649*W2649</f>
        <v>0</v>
      </c>
      <c r="AC2649" s="53">
        <f>(R2649+V2649)*W2649</f>
        <v>19.9</v>
      </c>
      <c r="AD2649" s="138">
        <v>19.9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109</v>
      </c>
      <c r="F2650" s="96" t="s">
        <v>111</v>
      </c>
      <c r="G2650" s="97">
        <v>46132</v>
      </c>
      <c r="H2650" s="98">
        <v>0.6528703703703703</v>
      </c>
      <c r="I2650" s="50">
        <v>169002721</v>
      </c>
      <c r="J2650" s="96" t="s">
        <v>157</v>
      </c>
      <c r="K2650" s="49" t="s">
        <v>447</v>
      </c>
      <c r="L2650" s="39" t="s">
        <v>448</v>
      </c>
      <c r="M2650" s="49" t="s">
        <v>201</v>
      </c>
      <c r="N2650" s="39" t="s">
        <v>202</v>
      </c>
      <c r="O2650" s="96" t="s">
        <v>2367</v>
      </c>
      <c r="P2650" s="49" t="s">
        <v>235</v>
      </c>
      <c r="Q2650" s="96" t="s">
        <v>236</v>
      </c>
      <c r="R2650" s="52">
        <v>19.9</v>
      </c>
      <c r="S2650" s="52">
        <f>R2650-T2650</f>
        <v>17.767857142857142</v>
      </c>
      <c r="T2650" s="52">
        <f>R2650*U2650/(U2650+100)</f>
        <v>2.132142857142857</v>
      </c>
      <c r="U2650" s="50">
        <v>12</v>
      </c>
      <c r="V2650" s="53">
        <v>0</v>
      </c>
      <c r="W2650" s="147">
        <v>1</v>
      </c>
      <c r="X2650" s="148" t="s">
        <v>163</v>
      </c>
      <c r="Y2650" s="54">
        <f>R2650*W2650</f>
        <v>19.9</v>
      </c>
      <c r="Z2650" s="52">
        <f>S2650*W2650</f>
        <v>17.767857142857142</v>
      </c>
      <c r="AA2650" s="52">
        <f>T2650*W2650</f>
        <v>2.132142857142857</v>
      </c>
      <c r="AB2650" s="52">
        <f>V2650*W2650</f>
        <v>0</v>
      </c>
      <c r="AC2650" s="53">
        <f>(R2650+V2650)*W2650</f>
        <v>19.9</v>
      </c>
      <c r="AD2650" s="138">
        <v>19.9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109</v>
      </c>
      <c r="F2651" s="96" t="s">
        <v>111</v>
      </c>
      <c r="G2651" s="97">
        <v>46132</v>
      </c>
      <c r="H2651" s="98">
        <v>0.6528703703703703</v>
      </c>
      <c r="I2651" s="50">
        <v>169002721</v>
      </c>
      <c r="J2651" s="96" t="s">
        <v>157</v>
      </c>
      <c r="K2651" s="49" t="s">
        <v>754</v>
      </c>
      <c r="L2651" s="39" t="s">
        <v>755</v>
      </c>
      <c r="M2651" s="49" t="s">
        <v>214</v>
      </c>
      <c r="N2651" s="39" t="s">
        <v>756</v>
      </c>
      <c r="O2651" s="96" t="s">
        <v>1184</v>
      </c>
      <c r="P2651" s="49" t="s">
        <v>157</v>
      </c>
      <c r="Q2651" s="96" t="s">
        <v>104</v>
      </c>
      <c r="R2651" s="52">
        <v>19.9</v>
      </c>
      <c r="S2651" s="52">
        <f>R2651-T2651</f>
        <v>17.767857142857142</v>
      </c>
      <c r="T2651" s="52">
        <f>R2651*U2651/(U2651+100)</f>
        <v>2.132142857142857</v>
      </c>
      <c r="U2651" s="50">
        <v>12</v>
      </c>
      <c r="V2651" s="53">
        <v>0</v>
      </c>
      <c r="W2651" s="147">
        <v>1</v>
      </c>
      <c r="X2651" s="148" t="s">
        <v>163</v>
      </c>
      <c r="Y2651" s="54">
        <f>R2651*W2651</f>
        <v>19.9</v>
      </c>
      <c r="Z2651" s="52">
        <f>S2651*W2651</f>
        <v>17.767857142857142</v>
      </c>
      <c r="AA2651" s="52">
        <f>T2651*W2651</f>
        <v>2.132142857142857</v>
      </c>
      <c r="AB2651" s="52">
        <f>V2651*W2651</f>
        <v>0</v>
      </c>
      <c r="AC2651" s="53">
        <f>(R2651+V2651)*W2651</f>
        <v>19.9</v>
      </c>
      <c r="AD2651" s="138">
        <v>19.9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109</v>
      </c>
      <c r="F2652" s="96" t="s">
        <v>111</v>
      </c>
      <c r="G2652" s="97">
        <v>46132</v>
      </c>
      <c r="H2652" s="98">
        <v>0.6528703703703703</v>
      </c>
      <c r="I2652" s="50">
        <v>169002721</v>
      </c>
      <c r="J2652" s="96" t="s">
        <v>157</v>
      </c>
      <c r="K2652" s="49" t="s">
        <v>3124</v>
      </c>
      <c r="L2652" s="39" t="s">
        <v>3125</v>
      </c>
      <c r="M2652" s="49" t="s">
        <v>255</v>
      </c>
      <c r="N2652" s="39" t="s">
        <v>256</v>
      </c>
      <c r="O2652" s="96" t="s">
        <v>3126</v>
      </c>
      <c r="P2652" s="49" t="s">
        <v>157</v>
      </c>
      <c r="Q2652" s="96" t="s">
        <v>104</v>
      </c>
      <c r="R2652" s="52">
        <v>24.9</v>
      </c>
      <c r="S2652" s="52">
        <f>R2652-T2652</f>
        <v>20.578512396694215</v>
      </c>
      <c r="T2652" s="52">
        <f>R2652*U2652/(U2652+100)</f>
        <v>4.321487603305785</v>
      </c>
      <c r="U2652" s="50">
        <v>21</v>
      </c>
      <c r="V2652" s="53">
        <v>0</v>
      </c>
      <c r="W2652" s="147">
        <v>1</v>
      </c>
      <c r="X2652" s="148" t="s">
        <v>163</v>
      </c>
      <c r="Y2652" s="54">
        <f>R2652*W2652</f>
        <v>24.9</v>
      </c>
      <c r="Z2652" s="52">
        <f>S2652*W2652</f>
        <v>20.578512396694215</v>
      </c>
      <c r="AA2652" s="52">
        <f>T2652*W2652</f>
        <v>4.321487603305785</v>
      </c>
      <c r="AB2652" s="52">
        <f>V2652*W2652</f>
        <v>0</v>
      </c>
      <c r="AC2652" s="53">
        <f>(R2652+V2652)*W2652</f>
        <v>24.9</v>
      </c>
      <c r="AD2652" s="138">
        <v>24.9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109</v>
      </c>
      <c r="F2653" s="96" t="s">
        <v>111</v>
      </c>
      <c r="G2653" s="97">
        <v>46132</v>
      </c>
      <c r="H2653" s="98">
        <v>0.6528703703703703</v>
      </c>
      <c r="I2653" s="50">
        <v>169002721</v>
      </c>
      <c r="J2653" s="96" t="s">
        <v>157</v>
      </c>
      <c r="K2653" s="49" t="s">
        <v>3124</v>
      </c>
      <c r="L2653" s="39" t="s">
        <v>3125</v>
      </c>
      <c r="M2653" s="49" t="s">
        <v>255</v>
      </c>
      <c r="N2653" s="39" t="s">
        <v>256</v>
      </c>
      <c r="O2653" s="96" t="s">
        <v>3126</v>
      </c>
      <c r="P2653" s="49" t="s">
        <v>157</v>
      </c>
      <c r="Q2653" s="96" t="s">
        <v>104</v>
      </c>
      <c r="R2653" s="52">
        <v>24.9</v>
      </c>
      <c r="S2653" s="52">
        <f>R2653-T2653</f>
        <v>20.578512396694215</v>
      </c>
      <c r="T2653" s="52">
        <f>R2653*U2653/(U2653+100)</f>
        <v>4.321487603305785</v>
      </c>
      <c r="U2653" s="50">
        <v>21</v>
      </c>
      <c r="V2653" s="53">
        <v>0</v>
      </c>
      <c r="W2653" s="147">
        <v>1</v>
      </c>
      <c r="X2653" s="148" t="s">
        <v>163</v>
      </c>
      <c r="Y2653" s="54">
        <f>R2653*W2653</f>
        <v>24.9</v>
      </c>
      <c r="Z2653" s="52">
        <f>S2653*W2653</f>
        <v>20.578512396694215</v>
      </c>
      <c r="AA2653" s="52">
        <f>T2653*W2653</f>
        <v>4.321487603305785</v>
      </c>
      <c r="AB2653" s="52">
        <f>V2653*W2653</f>
        <v>0</v>
      </c>
      <c r="AC2653" s="53">
        <f>(R2653+V2653)*W2653</f>
        <v>24.9</v>
      </c>
      <c r="AD2653" s="138">
        <v>24.9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109</v>
      </c>
      <c r="F2654" s="96" t="s">
        <v>111</v>
      </c>
      <c r="G2654" s="97">
        <v>46132</v>
      </c>
      <c r="H2654" s="98">
        <v>0.6528703703703703</v>
      </c>
      <c r="I2654" s="50">
        <v>169002721</v>
      </c>
      <c r="J2654" s="96" t="s">
        <v>157</v>
      </c>
      <c r="K2654" s="49" t="s">
        <v>3603</v>
      </c>
      <c r="L2654" s="39" t="s">
        <v>3604</v>
      </c>
      <c r="M2654" s="49" t="s">
        <v>255</v>
      </c>
      <c r="N2654" s="39" t="s">
        <v>256</v>
      </c>
      <c r="O2654" s="96" t="s">
        <v>3605</v>
      </c>
      <c r="P2654" s="49" t="s">
        <v>157</v>
      </c>
      <c r="Q2654" s="96" t="s">
        <v>104</v>
      </c>
      <c r="R2654" s="52">
        <v>23.9</v>
      </c>
      <c r="S2654" s="52">
        <f>R2654-T2654</f>
        <v>19.752066115702476</v>
      </c>
      <c r="T2654" s="52">
        <f>R2654*U2654/(U2654+100)</f>
        <v>4.147933884297521</v>
      </c>
      <c r="U2654" s="50">
        <v>21</v>
      </c>
      <c r="V2654" s="53">
        <v>0</v>
      </c>
      <c r="W2654" s="147">
        <v>1</v>
      </c>
      <c r="X2654" s="148" t="s">
        <v>163</v>
      </c>
      <c r="Y2654" s="54">
        <f>R2654*W2654</f>
        <v>23.9</v>
      </c>
      <c r="Z2654" s="52">
        <f>S2654*W2654</f>
        <v>19.752066115702476</v>
      </c>
      <c r="AA2654" s="52">
        <f>T2654*W2654</f>
        <v>4.147933884297521</v>
      </c>
      <c r="AB2654" s="52">
        <f>V2654*W2654</f>
        <v>0</v>
      </c>
      <c r="AC2654" s="53">
        <f>(R2654+V2654)*W2654</f>
        <v>23.9</v>
      </c>
      <c r="AD2654" s="138">
        <v>23.9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109</v>
      </c>
      <c r="F2655" s="96" t="s">
        <v>111</v>
      </c>
      <c r="G2655" s="97">
        <v>46132</v>
      </c>
      <c r="H2655" s="98">
        <v>0.6528703703703703</v>
      </c>
      <c r="I2655" s="50">
        <v>169002721</v>
      </c>
      <c r="J2655" s="96" t="s">
        <v>157</v>
      </c>
      <c r="K2655" s="49" t="s">
        <v>3606</v>
      </c>
      <c r="L2655" s="39" t="s">
        <v>3607</v>
      </c>
      <c r="M2655" s="49" t="s">
        <v>255</v>
      </c>
      <c r="N2655" s="39" t="s">
        <v>256</v>
      </c>
      <c r="O2655" s="96" t="s">
        <v>3608</v>
      </c>
      <c r="P2655" s="49" t="s">
        <v>157</v>
      </c>
      <c r="Q2655" s="96" t="s">
        <v>104</v>
      </c>
      <c r="R2655" s="52">
        <v>23.9</v>
      </c>
      <c r="S2655" s="52">
        <f>R2655-T2655</f>
        <v>19.752066115702476</v>
      </c>
      <c r="T2655" s="52">
        <f>R2655*U2655/(U2655+100)</f>
        <v>4.147933884297521</v>
      </c>
      <c r="U2655" s="50">
        <v>21</v>
      </c>
      <c r="V2655" s="53">
        <v>0</v>
      </c>
      <c r="W2655" s="147">
        <v>1</v>
      </c>
      <c r="X2655" s="148" t="s">
        <v>163</v>
      </c>
      <c r="Y2655" s="54">
        <f>R2655*W2655</f>
        <v>23.9</v>
      </c>
      <c r="Z2655" s="52">
        <f>S2655*W2655</f>
        <v>19.752066115702476</v>
      </c>
      <c r="AA2655" s="52">
        <f>T2655*W2655</f>
        <v>4.147933884297521</v>
      </c>
      <c r="AB2655" s="52">
        <f>V2655*W2655</f>
        <v>0</v>
      </c>
      <c r="AC2655" s="53">
        <f>(R2655+V2655)*W2655</f>
        <v>23.9</v>
      </c>
      <c r="AD2655" s="138">
        <v>23.9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109</v>
      </c>
      <c r="F2656" s="96" t="s">
        <v>111</v>
      </c>
      <c r="G2656" s="97">
        <v>46132</v>
      </c>
      <c r="H2656" s="98">
        <v>0.6528703703703703</v>
      </c>
      <c r="I2656" s="50">
        <v>169002721</v>
      </c>
      <c r="J2656" s="96" t="s">
        <v>157</v>
      </c>
      <c r="K2656" s="49" t="s">
        <v>530</v>
      </c>
      <c r="L2656" s="39" t="s">
        <v>531</v>
      </c>
      <c r="M2656" s="49" t="s">
        <v>190</v>
      </c>
      <c r="N2656" s="39" t="s">
        <v>532</v>
      </c>
      <c r="O2656" s="96" t="s">
        <v>533</v>
      </c>
      <c r="P2656" s="49" t="s">
        <v>157</v>
      </c>
      <c r="Q2656" s="96" t="s">
        <v>104</v>
      </c>
      <c r="R2656" s="52">
        <v>25.9</v>
      </c>
      <c r="S2656" s="52">
        <f>R2656-T2656</f>
        <v>23.125</v>
      </c>
      <c r="T2656" s="52">
        <f>R2656*U2656/(U2656+100)</f>
        <v>2.7749999999999995</v>
      </c>
      <c r="U2656" s="50">
        <v>12</v>
      </c>
      <c r="V2656" s="53">
        <v>0</v>
      </c>
      <c r="W2656" s="147">
        <v>0.424</v>
      </c>
      <c r="X2656" s="148" t="s">
        <v>193</v>
      </c>
      <c r="Y2656" s="54">
        <f>R2656*W2656</f>
        <v>10.981599999999998</v>
      </c>
      <c r="Z2656" s="52">
        <f>S2656*W2656</f>
        <v>9.805</v>
      </c>
      <c r="AA2656" s="52">
        <f>T2656*W2656</f>
        <v>1.1765999999999996</v>
      </c>
      <c r="AB2656" s="52">
        <f>V2656*W2656</f>
        <v>0</v>
      </c>
      <c r="AC2656" s="53">
        <f>(R2656+V2656)*W2656</f>
        <v>10.981599999999998</v>
      </c>
      <c r="AD2656" s="138">
        <v>25.9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109</v>
      </c>
      <c r="F2657" s="96" t="s">
        <v>111</v>
      </c>
      <c r="G2657" s="97">
        <v>46132</v>
      </c>
      <c r="H2657" s="98">
        <v>0.6528703703703703</v>
      </c>
      <c r="I2657" s="50">
        <v>169002721</v>
      </c>
      <c r="J2657" s="96" t="s">
        <v>157</v>
      </c>
      <c r="K2657" s="49" t="s">
        <v>631</v>
      </c>
      <c r="L2657" s="39" t="s">
        <v>632</v>
      </c>
      <c r="M2657" s="49" t="s">
        <v>190</v>
      </c>
      <c r="N2657" s="39" t="s">
        <v>191</v>
      </c>
      <c r="O2657" s="96" t="s">
        <v>633</v>
      </c>
      <c r="P2657" s="49" t="s">
        <v>157</v>
      </c>
      <c r="Q2657" s="96" t="s">
        <v>104</v>
      </c>
      <c r="R2657" s="52">
        <v>56.9</v>
      </c>
      <c r="S2657" s="52">
        <f>R2657-T2657</f>
        <v>50.80357142857143</v>
      </c>
      <c r="T2657" s="52">
        <f>R2657*U2657/(U2657+100)</f>
        <v>6.096428571428571</v>
      </c>
      <c r="U2657" s="50">
        <v>12</v>
      </c>
      <c r="V2657" s="53">
        <v>0</v>
      </c>
      <c r="W2657" s="147">
        <v>0.092</v>
      </c>
      <c r="X2657" s="148" t="s">
        <v>193</v>
      </c>
      <c r="Y2657" s="54">
        <f>R2657*W2657</f>
        <v>5.2348</v>
      </c>
      <c r="Z2657" s="52">
        <f>S2657*W2657</f>
        <v>4.673928571428571</v>
      </c>
      <c r="AA2657" s="52">
        <f>T2657*W2657</f>
        <v>0.5608714285714285</v>
      </c>
      <c r="AB2657" s="52">
        <f>V2657*W2657</f>
        <v>0</v>
      </c>
      <c r="AC2657" s="53">
        <f>(R2657+V2657)*W2657</f>
        <v>5.2348</v>
      </c>
      <c r="AD2657" s="138">
        <v>56.9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109</v>
      </c>
      <c r="F2658" s="96" t="s">
        <v>111</v>
      </c>
      <c r="G2658" s="97">
        <v>46132</v>
      </c>
      <c r="H2658" s="98">
        <v>0.6528703703703703</v>
      </c>
      <c r="I2658" s="50">
        <v>169002721</v>
      </c>
      <c r="J2658" s="96" t="s">
        <v>157</v>
      </c>
      <c r="K2658" s="49" t="s">
        <v>2852</v>
      </c>
      <c r="L2658" s="39" t="s">
        <v>104</v>
      </c>
      <c r="M2658" s="49" t="s">
        <v>190</v>
      </c>
      <c r="N2658" s="39" t="s">
        <v>462</v>
      </c>
      <c r="O2658" s="96" t="s">
        <v>2853</v>
      </c>
      <c r="P2658" s="49" t="s">
        <v>157</v>
      </c>
      <c r="Q2658" s="96" t="s">
        <v>104</v>
      </c>
      <c r="R2658" s="52">
        <v>16.9</v>
      </c>
      <c r="S2658" s="52">
        <f>R2658-T2658</f>
        <v>15.089285714285714</v>
      </c>
      <c r="T2658" s="52">
        <f>R2658*U2658/(U2658+100)</f>
        <v>1.8107142857142855</v>
      </c>
      <c r="U2658" s="50">
        <v>12</v>
      </c>
      <c r="V2658" s="53">
        <v>0</v>
      </c>
      <c r="W2658" s="147">
        <v>1</v>
      </c>
      <c r="X2658" s="148" t="s">
        <v>163</v>
      </c>
      <c r="Y2658" s="54">
        <f>R2658*W2658</f>
        <v>16.9</v>
      </c>
      <c r="Z2658" s="52">
        <f>S2658*W2658</f>
        <v>15.089285714285714</v>
      </c>
      <c r="AA2658" s="52">
        <f>T2658*W2658</f>
        <v>1.8107142857142855</v>
      </c>
      <c r="AB2658" s="52">
        <f>V2658*W2658</f>
        <v>0</v>
      </c>
      <c r="AC2658" s="53">
        <f>(R2658+V2658)*W2658</f>
        <v>16.9</v>
      </c>
      <c r="AD2658" s="138">
        <v>16.9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109</v>
      </c>
      <c r="F2659" s="96" t="s">
        <v>111</v>
      </c>
      <c r="G2659" s="97">
        <v>46132</v>
      </c>
      <c r="H2659" s="98">
        <v>0.6528703703703703</v>
      </c>
      <c r="I2659" s="50">
        <v>169002721</v>
      </c>
      <c r="J2659" s="96" t="s">
        <v>157</v>
      </c>
      <c r="K2659" s="49" t="s">
        <v>683</v>
      </c>
      <c r="L2659" s="39" t="s">
        <v>684</v>
      </c>
      <c r="M2659" s="49" t="s">
        <v>190</v>
      </c>
      <c r="N2659" s="39" t="s">
        <v>191</v>
      </c>
      <c r="O2659" s="96" t="s">
        <v>685</v>
      </c>
      <c r="P2659" s="49" t="s">
        <v>157</v>
      </c>
      <c r="Q2659" s="96" t="s">
        <v>104</v>
      </c>
      <c r="R2659" s="52">
        <v>105.9</v>
      </c>
      <c r="S2659" s="52">
        <f>R2659-T2659</f>
        <v>94.55357142857143</v>
      </c>
      <c r="T2659" s="52">
        <f>R2659*U2659/(U2659+100)</f>
        <v>11.346428571428573</v>
      </c>
      <c r="U2659" s="50">
        <v>12</v>
      </c>
      <c r="V2659" s="53">
        <v>0</v>
      </c>
      <c r="W2659" s="147">
        <v>0.28</v>
      </c>
      <c r="X2659" s="148" t="s">
        <v>193</v>
      </c>
      <c r="Y2659" s="54">
        <f>R2659*W2659</f>
        <v>29.652000000000005</v>
      </c>
      <c r="Z2659" s="52">
        <f>S2659*W2659</f>
        <v>26.475</v>
      </c>
      <c r="AA2659" s="52">
        <f>T2659*W2659</f>
        <v>3.177000000000001</v>
      </c>
      <c r="AB2659" s="52">
        <f>V2659*W2659</f>
        <v>0</v>
      </c>
      <c r="AC2659" s="53">
        <f>(R2659+V2659)*W2659</f>
        <v>29.652000000000005</v>
      </c>
      <c r="AD2659" s="138">
        <v>105.9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109</v>
      </c>
      <c r="F2660" s="96" t="s">
        <v>111</v>
      </c>
      <c r="G2660" s="97">
        <v>46132</v>
      </c>
      <c r="H2660" s="98">
        <v>0.6528703703703703</v>
      </c>
      <c r="I2660" s="50">
        <v>169002721</v>
      </c>
      <c r="J2660" s="96" t="s">
        <v>157</v>
      </c>
      <c r="K2660" s="49" t="s">
        <v>739</v>
      </c>
      <c r="L2660" s="39" t="s">
        <v>740</v>
      </c>
      <c r="M2660" s="49" t="s">
        <v>214</v>
      </c>
      <c r="N2660" s="39" t="s">
        <v>418</v>
      </c>
      <c r="O2660" s="96" t="s">
        <v>1147</v>
      </c>
      <c r="P2660" s="49" t="s">
        <v>157</v>
      </c>
      <c r="Q2660" s="96" t="s">
        <v>104</v>
      </c>
      <c r="R2660" s="52">
        <v>21.9</v>
      </c>
      <c r="S2660" s="52">
        <f>R2660-T2660</f>
        <v>19.553571428571427</v>
      </c>
      <c r="T2660" s="52">
        <f>R2660*U2660/(U2660+100)</f>
        <v>2.346428571428571</v>
      </c>
      <c r="U2660" s="50">
        <v>12</v>
      </c>
      <c r="V2660" s="53">
        <v>0</v>
      </c>
      <c r="W2660" s="147">
        <v>1</v>
      </c>
      <c r="X2660" s="148" t="s">
        <v>163</v>
      </c>
      <c r="Y2660" s="54">
        <f>R2660*W2660</f>
        <v>21.9</v>
      </c>
      <c r="Z2660" s="52">
        <f>S2660*W2660</f>
        <v>19.553571428571427</v>
      </c>
      <c r="AA2660" s="52">
        <f>T2660*W2660</f>
        <v>2.346428571428571</v>
      </c>
      <c r="AB2660" s="52">
        <f>V2660*W2660</f>
        <v>0</v>
      </c>
      <c r="AC2660" s="53">
        <f>(R2660+V2660)*W2660</f>
        <v>21.9</v>
      </c>
      <c r="AD2660" s="138">
        <v>21.9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109</v>
      </c>
      <c r="F2661" s="96" t="s">
        <v>111</v>
      </c>
      <c r="G2661" s="97">
        <v>46132</v>
      </c>
      <c r="H2661" s="98">
        <v>0.6528703703703703</v>
      </c>
      <c r="I2661" s="50">
        <v>169002721</v>
      </c>
      <c r="J2661" s="96" t="s">
        <v>157</v>
      </c>
      <c r="K2661" s="49" t="s">
        <v>517</v>
      </c>
      <c r="L2661" s="39" t="s">
        <v>518</v>
      </c>
      <c r="M2661" s="49" t="s">
        <v>214</v>
      </c>
      <c r="N2661" s="39" t="s">
        <v>273</v>
      </c>
      <c r="O2661" s="96" t="s">
        <v>1111</v>
      </c>
      <c r="P2661" s="49" t="s">
        <v>157</v>
      </c>
      <c r="Q2661" s="96" t="s">
        <v>104</v>
      </c>
      <c r="R2661" s="52">
        <v>15.9</v>
      </c>
      <c r="S2661" s="52">
        <f>R2661-T2661</f>
        <v>14.196428571428571</v>
      </c>
      <c r="T2661" s="52">
        <f>R2661*U2661/(U2661+100)</f>
        <v>1.7035714285714287</v>
      </c>
      <c r="U2661" s="50">
        <v>12</v>
      </c>
      <c r="V2661" s="53">
        <v>0</v>
      </c>
      <c r="W2661" s="147">
        <v>2</v>
      </c>
      <c r="X2661" s="148" t="s">
        <v>163</v>
      </c>
      <c r="Y2661" s="54">
        <f>R2661*W2661</f>
        <v>31.8</v>
      </c>
      <c r="Z2661" s="52">
        <f>S2661*W2661</f>
        <v>28.392857142857142</v>
      </c>
      <c r="AA2661" s="52">
        <f>T2661*W2661</f>
        <v>3.4071428571428575</v>
      </c>
      <c r="AB2661" s="52">
        <f>V2661*W2661</f>
        <v>0</v>
      </c>
      <c r="AC2661" s="53">
        <f>(R2661+V2661)*W2661</f>
        <v>31.8</v>
      </c>
      <c r="AD2661" s="138">
        <v>15.9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109</v>
      </c>
      <c r="F2662" s="96" t="s">
        <v>111</v>
      </c>
      <c r="G2662" s="97">
        <v>46132</v>
      </c>
      <c r="H2662" s="98">
        <v>0.6528703703703703</v>
      </c>
      <c r="I2662" s="50">
        <v>169002721</v>
      </c>
      <c r="J2662" s="96" t="s">
        <v>157</v>
      </c>
      <c r="K2662" s="49" t="s">
        <v>293</v>
      </c>
      <c r="L2662" s="39" t="s">
        <v>294</v>
      </c>
      <c r="M2662" s="49" t="s">
        <v>295</v>
      </c>
      <c r="N2662" s="39" t="s">
        <v>296</v>
      </c>
      <c r="O2662" s="96" t="s">
        <v>297</v>
      </c>
      <c r="P2662" s="49" t="s">
        <v>157</v>
      </c>
      <c r="Q2662" s="96" t="s">
        <v>104</v>
      </c>
      <c r="R2662" s="52">
        <v>2.9</v>
      </c>
      <c r="S2662" s="52">
        <f>R2662-T2662</f>
        <v>2.5892857142857144</v>
      </c>
      <c r="T2662" s="52">
        <f>R2662*U2662/(U2662+100)</f>
        <v>0.31071428571428567</v>
      </c>
      <c r="U2662" s="50">
        <v>12</v>
      </c>
      <c r="V2662" s="53">
        <v>0</v>
      </c>
      <c r="W2662" s="147">
        <v>3</v>
      </c>
      <c r="X2662" s="148" t="s">
        <v>163</v>
      </c>
      <c r="Y2662" s="54">
        <f>R2662*W2662</f>
        <v>8.7</v>
      </c>
      <c r="Z2662" s="52">
        <f>S2662*W2662</f>
        <v>7.767857142857143</v>
      </c>
      <c r="AA2662" s="52">
        <f>T2662*W2662</f>
        <v>0.9321428571428569</v>
      </c>
      <c r="AB2662" s="52">
        <f>V2662*W2662</f>
        <v>0</v>
      </c>
      <c r="AC2662" s="53">
        <f>(R2662+V2662)*W2662</f>
        <v>8.7</v>
      </c>
      <c r="AD2662" s="138">
        <v>2.9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109</v>
      </c>
      <c r="F2663" s="96" t="s">
        <v>111</v>
      </c>
      <c r="G2663" s="97">
        <v>46132</v>
      </c>
      <c r="H2663" s="98">
        <v>0.6528703703703703</v>
      </c>
      <c r="I2663" s="50">
        <v>169002721</v>
      </c>
      <c r="J2663" s="96" t="s">
        <v>157</v>
      </c>
      <c r="K2663" s="49" t="s">
        <v>942</v>
      </c>
      <c r="L2663" s="39"/>
      <c r="M2663" s="49" t="s">
        <v>295</v>
      </c>
      <c r="N2663" s="39" t="s">
        <v>433</v>
      </c>
      <c r="O2663" s="96" t="s">
        <v>1332</v>
      </c>
      <c r="P2663" s="49" t="s">
        <v>235</v>
      </c>
      <c r="Q2663" s="96" t="s">
        <v>944</v>
      </c>
      <c r="R2663" s="52">
        <v>9.9</v>
      </c>
      <c r="S2663" s="52">
        <f>R2663-T2663</f>
        <v>8.839285714285715</v>
      </c>
      <c r="T2663" s="52">
        <f>R2663*U2663/(U2663+100)</f>
        <v>1.0607142857142857</v>
      </c>
      <c r="U2663" s="50">
        <v>12</v>
      </c>
      <c r="V2663" s="53">
        <v>0</v>
      </c>
      <c r="W2663" s="147">
        <v>1</v>
      </c>
      <c r="X2663" s="148" t="s">
        <v>945</v>
      </c>
      <c r="Y2663" s="54">
        <f>R2663*W2663</f>
        <v>9.9</v>
      </c>
      <c r="Z2663" s="52">
        <f>S2663*W2663</f>
        <v>8.839285714285715</v>
      </c>
      <c r="AA2663" s="52">
        <f>T2663*W2663</f>
        <v>1.0607142857142857</v>
      </c>
      <c r="AB2663" s="52">
        <f>V2663*W2663</f>
        <v>0</v>
      </c>
      <c r="AC2663" s="53">
        <f>(R2663+V2663)*W2663</f>
        <v>9.9</v>
      </c>
      <c r="AD2663" s="138">
        <v>9.9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109</v>
      </c>
      <c r="F2664" s="96" t="s">
        <v>111</v>
      </c>
      <c r="G2664" s="97">
        <v>46132</v>
      </c>
      <c r="H2664" s="98">
        <v>0.6535300925925925</v>
      </c>
      <c r="I2664" s="50">
        <v>169002722</v>
      </c>
      <c r="J2664" s="96" t="s">
        <v>157</v>
      </c>
      <c r="K2664" s="49" t="s">
        <v>303</v>
      </c>
      <c r="L2664" s="39" t="s">
        <v>304</v>
      </c>
      <c r="M2664" s="49" t="s">
        <v>214</v>
      </c>
      <c r="N2664" s="39" t="s">
        <v>296</v>
      </c>
      <c r="O2664" s="96" t="s">
        <v>305</v>
      </c>
      <c r="P2664" s="49" t="s">
        <v>157</v>
      </c>
      <c r="Q2664" s="96" t="s">
        <v>104</v>
      </c>
      <c r="R2664" s="52">
        <v>11.9</v>
      </c>
      <c r="S2664" s="52">
        <f>R2664-T2664</f>
        <v>10.625</v>
      </c>
      <c r="T2664" s="52">
        <f>R2664*U2664/(U2664+100)</f>
        <v>1.2750000000000001</v>
      </c>
      <c r="U2664" s="50">
        <v>12</v>
      </c>
      <c r="V2664" s="53">
        <v>0</v>
      </c>
      <c r="W2664" s="147">
        <v>2</v>
      </c>
      <c r="X2664" s="148" t="s">
        <v>163</v>
      </c>
      <c r="Y2664" s="54">
        <f>R2664*W2664</f>
        <v>23.8</v>
      </c>
      <c r="Z2664" s="52">
        <f>S2664*W2664</f>
        <v>21.25</v>
      </c>
      <c r="AA2664" s="52">
        <f>T2664*W2664</f>
        <v>2.5500000000000003</v>
      </c>
      <c r="AB2664" s="52">
        <f>V2664*W2664</f>
        <v>0</v>
      </c>
      <c r="AC2664" s="53">
        <f>(R2664+V2664)*W2664</f>
        <v>23.8</v>
      </c>
      <c r="AD2664" s="138">
        <v>11.9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109</v>
      </c>
      <c r="F2665" s="96" t="s">
        <v>111</v>
      </c>
      <c r="G2665" s="97">
        <v>46132</v>
      </c>
      <c r="H2665" s="98">
        <v>0.6535300925925925</v>
      </c>
      <c r="I2665" s="50">
        <v>169002722</v>
      </c>
      <c r="J2665" s="96" t="s">
        <v>157</v>
      </c>
      <c r="K2665" s="49" t="s">
        <v>293</v>
      </c>
      <c r="L2665" s="39" t="s">
        <v>294</v>
      </c>
      <c r="M2665" s="49" t="s">
        <v>295</v>
      </c>
      <c r="N2665" s="39" t="s">
        <v>296</v>
      </c>
      <c r="O2665" s="96" t="s">
        <v>297</v>
      </c>
      <c r="P2665" s="49" t="s">
        <v>157</v>
      </c>
      <c r="Q2665" s="96" t="s">
        <v>104</v>
      </c>
      <c r="R2665" s="52">
        <v>2.9</v>
      </c>
      <c r="S2665" s="52">
        <f>R2665-T2665</f>
        <v>2.5892857142857144</v>
      </c>
      <c r="T2665" s="52">
        <f>R2665*U2665/(U2665+100)</f>
        <v>0.31071428571428567</v>
      </c>
      <c r="U2665" s="50">
        <v>12</v>
      </c>
      <c r="V2665" s="53">
        <v>0</v>
      </c>
      <c r="W2665" s="147">
        <v>3</v>
      </c>
      <c r="X2665" s="148" t="s">
        <v>163</v>
      </c>
      <c r="Y2665" s="54">
        <f>R2665*W2665</f>
        <v>8.7</v>
      </c>
      <c r="Z2665" s="52">
        <f>S2665*W2665</f>
        <v>7.767857142857143</v>
      </c>
      <c r="AA2665" s="52">
        <f>T2665*W2665</f>
        <v>0.9321428571428569</v>
      </c>
      <c r="AB2665" s="52">
        <f>V2665*W2665</f>
        <v>0</v>
      </c>
      <c r="AC2665" s="53">
        <f>(R2665+V2665)*W2665</f>
        <v>8.7</v>
      </c>
      <c r="AD2665" s="138">
        <v>2.9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109</v>
      </c>
      <c r="F2666" s="96" t="s">
        <v>111</v>
      </c>
      <c r="G2666" s="97">
        <v>46132</v>
      </c>
      <c r="H2666" s="98">
        <v>0.6535300925925925</v>
      </c>
      <c r="I2666" s="50">
        <v>169002722</v>
      </c>
      <c r="J2666" s="96" t="s">
        <v>157</v>
      </c>
      <c r="K2666" s="49" t="s">
        <v>560</v>
      </c>
      <c r="L2666" s="39" t="s">
        <v>104</v>
      </c>
      <c r="M2666" s="49" t="s">
        <v>554</v>
      </c>
      <c r="N2666" s="39" t="s">
        <v>296</v>
      </c>
      <c r="O2666" s="96" t="s">
        <v>561</v>
      </c>
      <c r="P2666" s="49" t="s">
        <v>157</v>
      </c>
      <c r="Q2666" s="96" t="s">
        <v>104</v>
      </c>
      <c r="R2666" s="52">
        <v>8.9</v>
      </c>
      <c r="S2666" s="52">
        <f>R2666-T2666</f>
        <v>7.946428571428572</v>
      </c>
      <c r="T2666" s="52">
        <f>R2666*U2666/(U2666+100)</f>
        <v>0.9535714285714286</v>
      </c>
      <c r="U2666" s="50">
        <v>12</v>
      </c>
      <c r="V2666" s="53">
        <v>0</v>
      </c>
      <c r="W2666" s="147">
        <v>2</v>
      </c>
      <c r="X2666" s="148" t="s">
        <v>163</v>
      </c>
      <c r="Y2666" s="54">
        <f>R2666*W2666</f>
        <v>17.8</v>
      </c>
      <c r="Z2666" s="52">
        <f>S2666*W2666</f>
        <v>15.892857142857144</v>
      </c>
      <c r="AA2666" s="52">
        <f>T2666*W2666</f>
        <v>1.9071428571428573</v>
      </c>
      <c r="AB2666" s="52">
        <f>V2666*W2666</f>
        <v>0</v>
      </c>
      <c r="AC2666" s="53">
        <f>(R2666+V2666)*W2666</f>
        <v>17.8</v>
      </c>
      <c r="AD2666" s="138">
        <v>8.9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109</v>
      </c>
      <c r="F2667" s="96" t="s">
        <v>111</v>
      </c>
      <c r="G2667" s="97">
        <v>46132</v>
      </c>
      <c r="H2667" s="98">
        <v>0.6535300925925925</v>
      </c>
      <c r="I2667" s="50">
        <v>169002722</v>
      </c>
      <c r="J2667" s="96" t="s">
        <v>157</v>
      </c>
      <c r="K2667" s="49" t="s">
        <v>3548</v>
      </c>
      <c r="L2667" s="39"/>
      <c r="M2667" s="49" t="s">
        <v>268</v>
      </c>
      <c r="N2667" s="39" t="s">
        <v>433</v>
      </c>
      <c r="O2667" s="96" t="s">
        <v>3549</v>
      </c>
      <c r="P2667" s="49" t="s">
        <v>157</v>
      </c>
      <c r="Q2667" s="96" t="s">
        <v>104</v>
      </c>
      <c r="R2667" s="52">
        <v>32.9</v>
      </c>
      <c r="S2667" s="52">
        <f>R2667-T2667</f>
        <v>29.375</v>
      </c>
      <c r="T2667" s="52">
        <f>R2667*U2667/(U2667+100)</f>
        <v>3.5249999999999995</v>
      </c>
      <c r="U2667" s="50">
        <v>12</v>
      </c>
      <c r="V2667" s="53">
        <v>0</v>
      </c>
      <c r="W2667" s="147">
        <v>1</v>
      </c>
      <c r="X2667" s="148" t="s">
        <v>945</v>
      </c>
      <c r="Y2667" s="54">
        <f>R2667*W2667</f>
        <v>32.9</v>
      </c>
      <c r="Z2667" s="52">
        <f>S2667*W2667</f>
        <v>29.375</v>
      </c>
      <c r="AA2667" s="52">
        <f>T2667*W2667</f>
        <v>3.5249999999999995</v>
      </c>
      <c r="AB2667" s="52">
        <f>V2667*W2667</f>
        <v>0</v>
      </c>
      <c r="AC2667" s="53">
        <f>(R2667+V2667)*W2667</f>
        <v>32.9</v>
      </c>
      <c r="AD2667" s="138">
        <v>32.9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109</v>
      </c>
      <c r="F2668" s="96" t="s">
        <v>111</v>
      </c>
      <c r="G2668" s="97">
        <v>46132</v>
      </c>
      <c r="H2668" s="98">
        <v>0.6536574074074074</v>
      </c>
      <c r="I2668" s="50">
        <v>169002723</v>
      </c>
      <c r="J2668" s="96" t="s">
        <v>157</v>
      </c>
      <c r="K2668" s="49" t="s">
        <v>828</v>
      </c>
      <c r="L2668" s="39" t="s">
        <v>829</v>
      </c>
      <c r="M2668" s="49" t="s">
        <v>830</v>
      </c>
      <c r="N2668" s="39" t="s">
        <v>505</v>
      </c>
      <c r="O2668" s="96" t="s">
        <v>2599</v>
      </c>
      <c r="P2668" s="49" t="s">
        <v>157</v>
      </c>
      <c r="Q2668" s="96" t="s">
        <v>104</v>
      </c>
      <c r="R2668" s="52">
        <v>9.9</v>
      </c>
      <c r="S2668" s="52">
        <f>R2668-T2668</f>
        <v>8.839285714285715</v>
      </c>
      <c r="T2668" s="52">
        <f>R2668*U2668/(U2668+100)</f>
        <v>1.0607142857142857</v>
      </c>
      <c r="U2668" s="50">
        <v>12</v>
      </c>
      <c r="V2668" s="53">
        <v>0</v>
      </c>
      <c r="W2668" s="147">
        <v>1</v>
      </c>
      <c r="X2668" s="148" t="s">
        <v>163</v>
      </c>
      <c r="Y2668" s="54">
        <f>R2668*W2668</f>
        <v>9.9</v>
      </c>
      <c r="Z2668" s="52">
        <f>S2668*W2668</f>
        <v>8.839285714285715</v>
      </c>
      <c r="AA2668" s="52">
        <f>T2668*W2668</f>
        <v>1.0607142857142857</v>
      </c>
      <c r="AB2668" s="52">
        <f>V2668*W2668</f>
        <v>0</v>
      </c>
      <c r="AC2668" s="53">
        <f>(R2668+V2668)*W2668</f>
        <v>9.9</v>
      </c>
      <c r="AD2668" s="138">
        <v>9.9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109</v>
      </c>
      <c r="F2669" s="96" t="s">
        <v>111</v>
      </c>
      <c r="G2669" s="97">
        <v>46132</v>
      </c>
      <c r="H2669" s="98">
        <v>0.6561689814814815</v>
      </c>
      <c r="I2669" s="50">
        <v>169002724</v>
      </c>
      <c r="J2669" s="96" t="s">
        <v>157</v>
      </c>
      <c r="K2669" s="49" t="s">
        <v>3609</v>
      </c>
      <c r="L2669" s="39" t="s">
        <v>3610</v>
      </c>
      <c r="M2669" s="49" t="s">
        <v>219</v>
      </c>
      <c r="N2669" s="39" t="s">
        <v>244</v>
      </c>
      <c r="O2669" s="96" t="s">
        <v>3611</v>
      </c>
      <c r="P2669" s="49" t="s">
        <v>157</v>
      </c>
      <c r="Q2669" s="96" t="s">
        <v>104</v>
      </c>
      <c r="R2669" s="52">
        <v>29.9</v>
      </c>
      <c r="S2669" s="52">
        <f>R2669-T2669</f>
        <v>26.69642857142857</v>
      </c>
      <c r="T2669" s="52">
        <f>R2669*U2669/(U2669+100)</f>
        <v>3.2035714285714283</v>
      </c>
      <c r="U2669" s="50">
        <v>12</v>
      </c>
      <c r="V2669" s="53">
        <v>0</v>
      </c>
      <c r="W2669" s="147">
        <v>1</v>
      </c>
      <c r="X2669" s="148" t="s">
        <v>163</v>
      </c>
      <c r="Y2669" s="54">
        <f>R2669*W2669</f>
        <v>29.9</v>
      </c>
      <c r="Z2669" s="52">
        <f>S2669*W2669</f>
        <v>26.69642857142857</v>
      </c>
      <c r="AA2669" s="52">
        <f>T2669*W2669</f>
        <v>3.2035714285714283</v>
      </c>
      <c r="AB2669" s="52">
        <f>V2669*W2669</f>
        <v>0</v>
      </c>
      <c r="AC2669" s="53">
        <f>(R2669+V2669)*W2669</f>
        <v>29.9</v>
      </c>
      <c r="AD2669" s="138">
        <v>29.9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109</v>
      </c>
      <c r="F2670" s="96" t="s">
        <v>111</v>
      </c>
      <c r="G2670" s="97">
        <v>46132</v>
      </c>
      <c r="H2670" s="98">
        <v>0.6561689814814815</v>
      </c>
      <c r="I2670" s="50">
        <v>169002724</v>
      </c>
      <c r="J2670" s="96" t="s">
        <v>157</v>
      </c>
      <c r="K2670" s="49" t="s">
        <v>3484</v>
      </c>
      <c r="L2670" s="39" t="s">
        <v>3485</v>
      </c>
      <c r="M2670" s="49" t="s">
        <v>1941</v>
      </c>
      <c r="N2670" s="39" t="s">
        <v>1075</v>
      </c>
      <c r="O2670" s="96" t="s">
        <v>3486</v>
      </c>
      <c r="P2670" s="49" t="s">
        <v>157</v>
      </c>
      <c r="Q2670" s="96" t="s">
        <v>104</v>
      </c>
      <c r="R2670" s="52">
        <v>11.9</v>
      </c>
      <c r="S2670" s="52">
        <f>R2670-T2670</f>
        <v>9.834710743801653</v>
      </c>
      <c r="T2670" s="52">
        <f>R2670*U2670/(U2670+100)</f>
        <v>2.0652892561983474</v>
      </c>
      <c r="U2670" s="50">
        <v>21</v>
      </c>
      <c r="V2670" s="53">
        <v>0</v>
      </c>
      <c r="W2670" s="147">
        <v>1</v>
      </c>
      <c r="X2670" s="148" t="s">
        <v>163</v>
      </c>
      <c r="Y2670" s="54">
        <f>R2670*W2670</f>
        <v>11.9</v>
      </c>
      <c r="Z2670" s="52">
        <f>S2670*W2670</f>
        <v>9.834710743801653</v>
      </c>
      <c r="AA2670" s="52">
        <f>T2670*W2670</f>
        <v>2.0652892561983474</v>
      </c>
      <c r="AB2670" s="52">
        <f>V2670*W2670</f>
        <v>0</v>
      </c>
      <c r="AC2670" s="53">
        <f>(R2670+V2670)*W2670</f>
        <v>11.9</v>
      </c>
      <c r="AD2670" s="138">
        <v>11.9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109</v>
      </c>
      <c r="F2671" s="96" t="s">
        <v>111</v>
      </c>
      <c r="G2671" s="97">
        <v>46132</v>
      </c>
      <c r="H2671" s="98">
        <v>0.6575347222222222</v>
      </c>
      <c r="I2671" s="50">
        <v>169002725</v>
      </c>
      <c r="J2671" s="96" t="s">
        <v>157</v>
      </c>
      <c r="K2671" s="49" t="s">
        <v>3612</v>
      </c>
      <c r="L2671" s="39" t="s">
        <v>3613</v>
      </c>
      <c r="M2671" s="49" t="s">
        <v>341</v>
      </c>
      <c r="N2671" s="39" t="s">
        <v>233</v>
      </c>
      <c r="O2671" s="96" t="s">
        <v>3614</v>
      </c>
      <c r="P2671" s="49" t="s">
        <v>157</v>
      </c>
      <c r="Q2671" s="96" t="s">
        <v>104</v>
      </c>
      <c r="R2671" s="52">
        <v>18.9</v>
      </c>
      <c r="S2671" s="52">
        <f>R2671-T2671</f>
        <v>15.6198347107438</v>
      </c>
      <c r="T2671" s="52">
        <f>R2671*U2671/(U2671+100)</f>
        <v>3.2801652892561983</v>
      </c>
      <c r="U2671" s="50">
        <v>21</v>
      </c>
      <c r="V2671" s="53">
        <v>0</v>
      </c>
      <c r="W2671" s="147">
        <v>1</v>
      </c>
      <c r="X2671" s="148" t="s">
        <v>163</v>
      </c>
      <c r="Y2671" s="54">
        <f>R2671*W2671</f>
        <v>18.9</v>
      </c>
      <c r="Z2671" s="52">
        <f>S2671*W2671</f>
        <v>15.6198347107438</v>
      </c>
      <c r="AA2671" s="52">
        <f>T2671*W2671</f>
        <v>3.2801652892561983</v>
      </c>
      <c r="AB2671" s="52">
        <f>V2671*W2671</f>
        <v>0</v>
      </c>
      <c r="AC2671" s="53">
        <f>(R2671+V2671)*W2671</f>
        <v>18.9</v>
      </c>
      <c r="AD2671" s="138">
        <v>18.9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109</v>
      </c>
      <c r="F2672" s="96" t="s">
        <v>111</v>
      </c>
      <c r="G2672" s="97">
        <v>46132</v>
      </c>
      <c r="H2672" s="98">
        <v>0.6575347222222222</v>
      </c>
      <c r="I2672" s="50">
        <v>169002725</v>
      </c>
      <c r="J2672" s="96" t="s">
        <v>157</v>
      </c>
      <c r="K2672" s="49" t="s">
        <v>3615</v>
      </c>
      <c r="L2672" s="39" t="s">
        <v>3616</v>
      </c>
      <c r="M2672" s="49" t="s">
        <v>214</v>
      </c>
      <c r="N2672" s="39" t="s">
        <v>548</v>
      </c>
      <c r="O2672" s="96" t="s">
        <v>3617</v>
      </c>
      <c r="P2672" s="49" t="s">
        <v>235</v>
      </c>
      <c r="Q2672" s="96" t="s">
        <v>236</v>
      </c>
      <c r="R2672" s="52">
        <v>26.9</v>
      </c>
      <c r="S2672" s="52">
        <f>R2672-T2672</f>
        <v>24.017857142857142</v>
      </c>
      <c r="T2672" s="52">
        <f>R2672*U2672/(U2672+100)</f>
        <v>2.8821428571428567</v>
      </c>
      <c r="U2672" s="50">
        <v>12</v>
      </c>
      <c r="V2672" s="53">
        <v>0</v>
      </c>
      <c r="W2672" s="147">
        <v>1</v>
      </c>
      <c r="X2672" s="148" t="s">
        <v>163</v>
      </c>
      <c r="Y2672" s="54">
        <f>R2672*W2672</f>
        <v>26.9</v>
      </c>
      <c r="Z2672" s="52">
        <f>S2672*W2672</f>
        <v>24.017857142857142</v>
      </c>
      <c r="AA2672" s="52">
        <f>T2672*W2672</f>
        <v>2.8821428571428567</v>
      </c>
      <c r="AB2672" s="52">
        <f>V2672*W2672</f>
        <v>0</v>
      </c>
      <c r="AC2672" s="53">
        <f>(R2672+V2672)*W2672</f>
        <v>26.9</v>
      </c>
      <c r="AD2672" s="138">
        <v>26.9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109</v>
      </c>
      <c r="F2673" s="96" t="s">
        <v>111</v>
      </c>
      <c r="G2673" s="97">
        <v>46132</v>
      </c>
      <c r="H2673" s="98">
        <v>0.6575347222222222</v>
      </c>
      <c r="I2673" s="50">
        <v>169002725</v>
      </c>
      <c r="J2673" s="96" t="s">
        <v>157</v>
      </c>
      <c r="K2673" s="49" t="s">
        <v>258</v>
      </c>
      <c r="L2673" s="39" t="s">
        <v>259</v>
      </c>
      <c r="M2673" s="49" t="s">
        <v>185</v>
      </c>
      <c r="N2673" s="39" t="s">
        <v>186</v>
      </c>
      <c r="O2673" s="96" t="s">
        <v>2307</v>
      </c>
      <c r="P2673" s="49" t="s">
        <v>157</v>
      </c>
      <c r="Q2673" s="96" t="s">
        <v>104</v>
      </c>
      <c r="R2673" s="52">
        <v>19.9</v>
      </c>
      <c r="S2673" s="52">
        <f>R2673-T2673</f>
        <v>16.446280991735534</v>
      </c>
      <c r="T2673" s="52">
        <f>R2673*U2673/(U2673+100)</f>
        <v>3.4537190082644624</v>
      </c>
      <c r="U2673" s="50">
        <v>21</v>
      </c>
      <c r="V2673" s="53">
        <v>0</v>
      </c>
      <c r="W2673" s="147">
        <v>1</v>
      </c>
      <c r="X2673" s="148" t="s">
        <v>163</v>
      </c>
      <c r="Y2673" s="54">
        <f>R2673*W2673</f>
        <v>19.9</v>
      </c>
      <c r="Z2673" s="52">
        <f>S2673*W2673</f>
        <v>16.446280991735534</v>
      </c>
      <c r="AA2673" s="52">
        <f>T2673*W2673</f>
        <v>3.4537190082644624</v>
      </c>
      <c r="AB2673" s="52">
        <f>V2673*W2673</f>
        <v>0</v>
      </c>
      <c r="AC2673" s="53">
        <f>(R2673+V2673)*W2673</f>
        <v>19.9</v>
      </c>
      <c r="AD2673" s="138">
        <v>19.9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109</v>
      </c>
      <c r="F2674" s="96" t="s">
        <v>111</v>
      </c>
      <c r="G2674" s="97">
        <v>46132</v>
      </c>
      <c r="H2674" s="98">
        <v>0.6575347222222222</v>
      </c>
      <c r="I2674" s="50">
        <v>169002725</v>
      </c>
      <c r="J2674" s="96" t="s">
        <v>157</v>
      </c>
      <c r="K2674" s="49" t="s">
        <v>258</v>
      </c>
      <c r="L2674" s="39" t="s">
        <v>259</v>
      </c>
      <c r="M2674" s="49" t="s">
        <v>185</v>
      </c>
      <c r="N2674" s="39" t="s">
        <v>186</v>
      </c>
      <c r="O2674" s="96" t="s">
        <v>2307</v>
      </c>
      <c r="P2674" s="49" t="s">
        <v>157</v>
      </c>
      <c r="Q2674" s="96" t="s">
        <v>104</v>
      </c>
      <c r="R2674" s="52">
        <v>19.9</v>
      </c>
      <c r="S2674" s="52">
        <f>R2674-T2674</f>
        <v>16.446280991735534</v>
      </c>
      <c r="T2674" s="52">
        <f>R2674*U2674/(U2674+100)</f>
        <v>3.4537190082644624</v>
      </c>
      <c r="U2674" s="50">
        <v>21</v>
      </c>
      <c r="V2674" s="53">
        <v>0</v>
      </c>
      <c r="W2674" s="147">
        <v>1</v>
      </c>
      <c r="X2674" s="148" t="s">
        <v>163</v>
      </c>
      <c r="Y2674" s="54">
        <f>R2674*W2674</f>
        <v>19.9</v>
      </c>
      <c r="Z2674" s="52">
        <f>S2674*W2674</f>
        <v>16.446280991735534</v>
      </c>
      <c r="AA2674" s="52">
        <f>T2674*W2674</f>
        <v>3.4537190082644624</v>
      </c>
      <c r="AB2674" s="52">
        <f>V2674*W2674</f>
        <v>0</v>
      </c>
      <c r="AC2674" s="53">
        <f>(R2674+V2674)*W2674</f>
        <v>19.9</v>
      </c>
      <c r="AD2674" s="138">
        <v>19.9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109</v>
      </c>
      <c r="F2675" s="96" t="s">
        <v>111</v>
      </c>
      <c r="G2675" s="97">
        <v>46132</v>
      </c>
      <c r="H2675" s="98">
        <v>0.6575347222222222</v>
      </c>
      <c r="I2675" s="50">
        <v>169002725</v>
      </c>
      <c r="J2675" s="96" t="s">
        <v>157</v>
      </c>
      <c r="K2675" s="49" t="s">
        <v>1021</v>
      </c>
      <c r="L2675" s="39" t="s">
        <v>1022</v>
      </c>
      <c r="M2675" s="49" t="s">
        <v>190</v>
      </c>
      <c r="N2675" s="39" t="s">
        <v>532</v>
      </c>
      <c r="O2675" s="96" t="s">
        <v>1023</v>
      </c>
      <c r="P2675" s="49" t="s">
        <v>157</v>
      </c>
      <c r="Q2675" s="96" t="s">
        <v>104</v>
      </c>
      <c r="R2675" s="52">
        <v>48.9</v>
      </c>
      <c r="S2675" s="52">
        <f>R2675-T2675</f>
        <v>43.660714285714285</v>
      </c>
      <c r="T2675" s="52">
        <f>R2675*U2675/(U2675+100)</f>
        <v>5.239285714285714</v>
      </c>
      <c r="U2675" s="50">
        <v>12</v>
      </c>
      <c r="V2675" s="53">
        <v>0</v>
      </c>
      <c r="W2675" s="147">
        <v>0.378</v>
      </c>
      <c r="X2675" s="148" t="s">
        <v>193</v>
      </c>
      <c r="Y2675" s="54">
        <f>R2675*W2675</f>
        <v>18.4842</v>
      </c>
      <c r="Z2675" s="52">
        <f>S2675*W2675</f>
        <v>16.50375</v>
      </c>
      <c r="AA2675" s="52">
        <f>T2675*W2675</f>
        <v>1.9804499999999998</v>
      </c>
      <c r="AB2675" s="52">
        <f>V2675*W2675</f>
        <v>0</v>
      </c>
      <c r="AC2675" s="53">
        <f>(R2675+V2675)*W2675</f>
        <v>18.4842</v>
      </c>
      <c r="AD2675" s="138">
        <v>48.9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109</v>
      </c>
      <c r="F2676" s="96" t="s">
        <v>111</v>
      </c>
      <c r="G2676" s="97">
        <v>46132</v>
      </c>
      <c r="H2676" s="98">
        <v>0.6575347222222222</v>
      </c>
      <c r="I2676" s="50">
        <v>169002725</v>
      </c>
      <c r="J2676" s="96" t="s">
        <v>157</v>
      </c>
      <c r="K2676" s="49" t="s">
        <v>303</v>
      </c>
      <c r="L2676" s="39" t="s">
        <v>304</v>
      </c>
      <c r="M2676" s="49" t="s">
        <v>214</v>
      </c>
      <c r="N2676" s="39" t="s">
        <v>296</v>
      </c>
      <c r="O2676" s="96" t="s">
        <v>305</v>
      </c>
      <c r="P2676" s="49" t="s">
        <v>157</v>
      </c>
      <c r="Q2676" s="96" t="s">
        <v>104</v>
      </c>
      <c r="R2676" s="52">
        <v>11.9</v>
      </c>
      <c r="S2676" s="52">
        <f>R2676-T2676</f>
        <v>10.625</v>
      </c>
      <c r="T2676" s="52">
        <f>R2676*U2676/(U2676+100)</f>
        <v>1.2750000000000001</v>
      </c>
      <c r="U2676" s="50">
        <v>12</v>
      </c>
      <c r="V2676" s="53">
        <v>0</v>
      </c>
      <c r="W2676" s="147">
        <v>2</v>
      </c>
      <c r="X2676" s="148" t="s">
        <v>163</v>
      </c>
      <c r="Y2676" s="54">
        <f>R2676*W2676</f>
        <v>23.8</v>
      </c>
      <c r="Z2676" s="52">
        <f>S2676*W2676</f>
        <v>21.25</v>
      </c>
      <c r="AA2676" s="52">
        <f>T2676*W2676</f>
        <v>2.5500000000000003</v>
      </c>
      <c r="AB2676" s="52">
        <f>V2676*W2676</f>
        <v>0</v>
      </c>
      <c r="AC2676" s="53">
        <f>(R2676+V2676)*W2676</f>
        <v>23.8</v>
      </c>
      <c r="AD2676" s="138">
        <v>11.9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109</v>
      </c>
      <c r="F2677" s="96" t="s">
        <v>111</v>
      </c>
      <c r="G2677" s="97">
        <v>46132</v>
      </c>
      <c r="H2677" s="98">
        <v>0.6582060185185186</v>
      </c>
      <c r="I2677" s="50">
        <v>169002726</v>
      </c>
      <c r="J2677" s="96" t="s">
        <v>157</v>
      </c>
      <c r="K2677" s="49" t="s">
        <v>507</v>
      </c>
      <c r="L2677" s="39" t="s">
        <v>508</v>
      </c>
      <c r="M2677" s="49" t="s">
        <v>509</v>
      </c>
      <c r="N2677" s="39" t="s">
        <v>256</v>
      </c>
      <c r="O2677" s="96" t="s">
        <v>1024</v>
      </c>
      <c r="P2677" s="49" t="s">
        <v>235</v>
      </c>
      <c r="Q2677" s="96" t="s">
        <v>236</v>
      </c>
      <c r="R2677" s="52">
        <v>15.9</v>
      </c>
      <c r="S2677" s="52">
        <f>R2677-T2677</f>
        <v>13.140495867768596</v>
      </c>
      <c r="T2677" s="52">
        <f>R2677*U2677/(U2677+100)</f>
        <v>2.759504132231405</v>
      </c>
      <c r="U2677" s="50">
        <v>21</v>
      </c>
      <c r="V2677" s="53">
        <v>0</v>
      </c>
      <c r="W2677" s="147">
        <v>6</v>
      </c>
      <c r="X2677" s="148" t="s">
        <v>163</v>
      </c>
      <c r="Y2677" s="54">
        <f>R2677*W2677</f>
        <v>95.4</v>
      </c>
      <c r="Z2677" s="52">
        <f>S2677*W2677</f>
        <v>78.84297520661158</v>
      </c>
      <c r="AA2677" s="52">
        <f>T2677*W2677</f>
        <v>16.55702479338843</v>
      </c>
      <c r="AB2677" s="52">
        <f>V2677*W2677</f>
        <v>0</v>
      </c>
      <c r="AC2677" s="53">
        <f>(R2677+V2677)*W2677</f>
        <v>95.4</v>
      </c>
      <c r="AD2677" s="138">
        <v>15.9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109</v>
      </c>
      <c r="F2678" s="96" t="s">
        <v>111</v>
      </c>
      <c r="G2678" s="97">
        <v>46132</v>
      </c>
      <c r="H2678" s="98">
        <v>0.6582060185185186</v>
      </c>
      <c r="I2678" s="50">
        <v>169002726</v>
      </c>
      <c r="J2678" s="96" t="s">
        <v>157</v>
      </c>
      <c r="K2678" s="49" t="s">
        <v>3618</v>
      </c>
      <c r="L2678" s="39" t="s">
        <v>3619</v>
      </c>
      <c r="M2678" s="49" t="s">
        <v>277</v>
      </c>
      <c r="N2678" s="39" t="s">
        <v>688</v>
      </c>
      <c r="O2678" s="96" t="s">
        <v>3620</v>
      </c>
      <c r="P2678" s="49" t="s">
        <v>157</v>
      </c>
      <c r="Q2678" s="96" t="s">
        <v>104</v>
      </c>
      <c r="R2678" s="52">
        <v>213.9</v>
      </c>
      <c r="S2678" s="52">
        <f>R2678-T2678</f>
        <v>190.98214285714286</v>
      </c>
      <c r="T2678" s="52">
        <f>R2678*U2678/(U2678+100)</f>
        <v>22.917857142857144</v>
      </c>
      <c r="U2678" s="50">
        <v>12</v>
      </c>
      <c r="V2678" s="53">
        <v>0</v>
      </c>
      <c r="W2678" s="147">
        <v>0.194</v>
      </c>
      <c r="X2678" s="148" t="s">
        <v>193</v>
      </c>
      <c r="Y2678" s="54">
        <f>R2678*W2678</f>
        <v>41.4966</v>
      </c>
      <c r="Z2678" s="52">
        <f>S2678*W2678</f>
        <v>37.050535714285715</v>
      </c>
      <c r="AA2678" s="52">
        <f>T2678*W2678</f>
        <v>4.446064285714286</v>
      </c>
      <c r="AB2678" s="52">
        <f>V2678*W2678</f>
        <v>0</v>
      </c>
      <c r="AC2678" s="53">
        <f>(R2678+V2678)*W2678</f>
        <v>41.4966</v>
      </c>
      <c r="AD2678" s="138">
        <v>213.9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109</v>
      </c>
      <c r="F2679" s="96" t="s">
        <v>111</v>
      </c>
      <c r="G2679" s="97">
        <v>46132</v>
      </c>
      <c r="H2679" s="98">
        <v>0.6582060185185186</v>
      </c>
      <c r="I2679" s="50">
        <v>169002726</v>
      </c>
      <c r="J2679" s="96" t="s">
        <v>157</v>
      </c>
      <c r="K2679" s="49" t="s">
        <v>553</v>
      </c>
      <c r="L2679" s="39" t="s">
        <v>104</v>
      </c>
      <c r="M2679" s="49" t="s">
        <v>554</v>
      </c>
      <c r="N2679" s="39" t="s">
        <v>296</v>
      </c>
      <c r="O2679" s="96" t="s">
        <v>555</v>
      </c>
      <c r="P2679" s="49" t="s">
        <v>157</v>
      </c>
      <c r="Q2679" s="96" t="s">
        <v>104</v>
      </c>
      <c r="R2679" s="52">
        <v>8.9</v>
      </c>
      <c r="S2679" s="52">
        <f>R2679-T2679</f>
        <v>7.946428571428572</v>
      </c>
      <c r="T2679" s="52">
        <f>R2679*U2679/(U2679+100)</f>
        <v>0.9535714285714286</v>
      </c>
      <c r="U2679" s="50">
        <v>12</v>
      </c>
      <c r="V2679" s="53">
        <v>0</v>
      </c>
      <c r="W2679" s="147">
        <v>2</v>
      </c>
      <c r="X2679" s="148" t="s">
        <v>163</v>
      </c>
      <c r="Y2679" s="54">
        <f>R2679*W2679</f>
        <v>17.8</v>
      </c>
      <c r="Z2679" s="52">
        <f>S2679*W2679</f>
        <v>15.892857142857144</v>
      </c>
      <c r="AA2679" s="52">
        <f>T2679*W2679</f>
        <v>1.9071428571428573</v>
      </c>
      <c r="AB2679" s="52">
        <f>V2679*W2679</f>
        <v>0</v>
      </c>
      <c r="AC2679" s="53">
        <f>(R2679+V2679)*W2679</f>
        <v>17.8</v>
      </c>
      <c r="AD2679" s="138">
        <v>8.9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109</v>
      </c>
      <c r="F2680" s="96" t="s">
        <v>111</v>
      </c>
      <c r="G2680" s="97">
        <v>46132</v>
      </c>
      <c r="H2680" s="98">
        <v>0.6582060185185186</v>
      </c>
      <c r="I2680" s="50">
        <v>169002726</v>
      </c>
      <c r="J2680" s="96" t="s">
        <v>157</v>
      </c>
      <c r="K2680" s="49" t="s">
        <v>2424</v>
      </c>
      <c r="L2680" s="39" t="s">
        <v>2425</v>
      </c>
      <c r="M2680" s="49" t="s">
        <v>277</v>
      </c>
      <c r="N2680" s="39" t="s">
        <v>408</v>
      </c>
      <c r="O2680" s="96" t="s">
        <v>2426</v>
      </c>
      <c r="P2680" s="49" t="s">
        <v>157</v>
      </c>
      <c r="Q2680" s="96" t="s">
        <v>104</v>
      </c>
      <c r="R2680" s="52">
        <v>227.9</v>
      </c>
      <c r="S2680" s="52">
        <f>R2680-T2680</f>
        <v>203.48214285714286</v>
      </c>
      <c r="T2680" s="52">
        <f>R2680*U2680/(U2680+100)</f>
        <v>24.417857142857144</v>
      </c>
      <c r="U2680" s="50">
        <v>12</v>
      </c>
      <c r="V2680" s="53">
        <v>0</v>
      </c>
      <c r="W2680" s="147">
        <v>0.226</v>
      </c>
      <c r="X2680" s="148" t="s">
        <v>410</v>
      </c>
      <c r="Y2680" s="54">
        <f>R2680*W2680</f>
        <v>51.5054</v>
      </c>
      <c r="Z2680" s="52">
        <f>S2680*W2680</f>
        <v>45.986964285714286</v>
      </c>
      <c r="AA2680" s="52">
        <f>T2680*W2680</f>
        <v>5.518435714285715</v>
      </c>
      <c r="AB2680" s="52">
        <f>V2680*W2680</f>
        <v>0</v>
      </c>
      <c r="AC2680" s="53">
        <f>(R2680+V2680)*W2680</f>
        <v>51.5054</v>
      </c>
      <c r="AD2680" s="138">
        <v>227.9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109</v>
      </c>
      <c r="F2681" s="96" t="s">
        <v>111</v>
      </c>
      <c r="G2681" s="97">
        <v>46132</v>
      </c>
      <c r="H2681" s="98">
        <v>0.6590046296296296</v>
      </c>
      <c r="I2681" s="50">
        <v>169002727</v>
      </c>
      <c r="J2681" s="96" t="s">
        <v>157</v>
      </c>
      <c r="K2681" s="49" t="s">
        <v>3621</v>
      </c>
      <c r="L2681" s="39" t="s">
        <v>3622</v>
      </c>
      <c r="M2681" s="49" t="s">
        <v>466</v>
      </c>
      <c r="N2681" s="39" t="s">
        <v>228</v>
      </c>
      <c r="O2681" s="96" t="s">
        <v>3623</v>
      </c>
      <c r="P2681" s="49" t="s">
        <v>157</v>
      </c>
      <c r="Q2681" s="96" t="s">
        <v>104</v>
      </c>
      <c r="R2681" s="52">
        <v>39.9</v>
      </c>
      <c r="S2681" s="52">
        <f>R2681-T2681</f>
        <v>35.625</v>
      </c>
      <c r="T2681" s="52">
        <f>R2681*U2681/(U2681+100)</f>
        <v>4.2749999999999995</v>
      </c>
      <c r="U2681" s="50">
        <v>12</v>
      </c>
      <c r="V2681" s="53">
        <v>0</v>
      </c>
      <c r="W2681" s="147">
        <v>1</v>
      </c>
      <c r="X2681" s="148" t="s">
        <v>163</v>
      </c>
      <c r="Y2681" s="54">
        <f>R2681*W2681</f>
        <v>39.9</v>
      </c>
      <c r="Z2681" s="52">
        <f>S2681*W2681</f>
        <v>35.625</v>
      </c>
      <c r="AA2681" s="52">
        <f>T2681*W2681</f>
        <v>4.2749999999999995</v>
      </c>
      <c r="AB2681" s="52">
        <f>V2681*W2681</f>
        <v>0</v>
      </c>
      <c r="AC2681" s="53">
        <f>(R2681+V2681)*W2681</f>
        <v>39.9</v>
      </c>
      <c r="AD2681" s="138">
        <v>39.9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109</v>
      </c>
      <c r="F2682" s="96" t="s">
        <v>111</v>
      </c>
      <c r="G2682" s="97">
        <v>46132</v>
      </c>
      <c r="H2682" s="98">
        <v>0.6590046296296296</v>
      </c>
      <c r="I2682" s="50">
        <v>169002727</v>
      </c>
      <c r="J2682" s="96" t="s">
        <v>157</v>
      </c>
      <c r="K2682" s="49" t="s">
        <v>1980</v>
      </c>
      <c r="L2682" s="39" t="s">
        <v>1981</v>
      </c>
      <c r="M2682" s="49" t="s">
        <v>277</v>
      </c>
      <c r="N2682" s="39" t="s">
        <v>751</v>
      </c>
      <c r="O2682" s="96" t="s">
        <v>1982</v>
      </c>
      <c r="P2682" s="49" t="s">
        <v>235</v>
      </c>
      <c r="Q2682" s="96" t="s">
        <v>753</v>
      </c>
      <c r="R2682" s="52">
        <v>34.9</v>
      </c>
      <c r="S2682" s="52">
        <f>R2682-T2682</f>
        <v>31.160714285714285</v>
      </c>
      <c r="T2682" s="52">
        <f>R2682*U2682/(U2682+100)</f>
        <v>3.739285714285714</v>
      </c>
      <c r="U2682" s="50">
        <v>12</v>
      </c>
      <c r="V2682" s="53">
        <v>0</v>
      </c>
      <c r="W2682" s="147">
        <v>1</v>
      </c>
      <c r="X2682" s="148" t="s">
        <v>163</v>
      </c>
      <c r="Y2682" s="54">
        <f>R2682*W2682</f>
        <v>34.9</v>
      </c>
      <c r="Z2682" s="52">
        <f>S2682*W2682</f>
        <v>31.160714285714285</v>
      </c>
      <c r="AA2682" s="52">
        <f>T2682*W2682</f>
        <v>3.739285714285714</v>
      </c>
      <c r="AB2682" s="52">
        <f>V2682*W2682</f>
        <v>0</v>
      </c>
      <c r="AC2682" s="53">
        <f>(R2682+V2682)*W2682</f>
        <v>34.9</v>
      </c>
      <c r="AD2682" s="138">
        <v>34.9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109</v>
      </c>
      <c r="F2683" s="96" t="s">
        <v>111</v>
      </c>
      <c r="G2683" s="97">
        <v>46132</v>
      </c>
      <c r="H2683" s="98">
        <v>0.6590046296296296</v>
      </c>
      <c r="I2683" s="50">
        <v>169002727</v>
      </c>
      <c r="J2683" s="96" t="s">
        <v>157</v>
      </c>
      <c r="K2683" s="49" t="s">
        <v>507</v>
      </c>
      <c r="L2683" s="39" t="s">
        <v>508</v>
      </c>
      <c r="M2683" s="49" t="s">
        <v>509</v>
      </c>
      <c r="N2683" s="39" t="s">
        <v>256</v>
      </c>
      <c r="O2683" s="96" t="s">
        <v>1024</v>
      </c>
      <c r="P2683" s="49" t="s">
        <v>235</v>
      </c>
      <c r="Q2683" s="96" t="s">
        <v>236</v>
      </c>
      <c r="R2683" s="52">
        <v>15.9</v>
      </c>
      <c r="S2683" s="52">
        <f>R2683-T2683</f>
        <v>13.140495867768596</v>
      </c>
      <c r="T2683" s="52">
        <f>R2683*U2683/(U2683+100)</f>
        <v>2.759504132231405</v>
      </c>
      <c r="U2683" s="50">
        <v>21</v>
      </c>
      <c r="V2683" s="53">
        <v>0</v>
      </c>
      <c r="W2683" s="147">
        <v>6</v>
      </c>
      <c r="X2683" s="148" t="s">
        <v>163</v>
      </c>
      <c r="Y2683" s="54">
        <f>R2683*W2683</f>
        <v>95.4</v>
      </c>
      <c r="Z2683" s="52">
        <f>S2683*W2683</f>
        <v>78.84297520661158</v>
      </c>
      <c r="AA2683" s="52">
        <f>T2683*W2683</f>
        <v>16.55702479338843</v>
      </c>
      <c r="AB2683" s="52">
        <f>V2683*W2683</f>
        <v>0</v>
      </c>
      <c r="AC2683" s="53">
        <f>(R2683+V2683)*W2683</f>
        <v>95.4</v>
      </c>
      <c r="AD2683" s="138">
        <v>15.9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109</v>
      </c>
      <c r="F2684" s="96" t="s">
        <v>111</v>
      </c>
      <c r="G2684" s="97">
        <v>46132</v>
      </c>
      <c r="H2684" s="98">
        <v>0.6590046296296296</v>
      </c>
      <c r="I2684" s="50">
        <v>169002727</v>
      </c>
      <c r="J2684" s="96" t="s">
        <v>157</v>
      </c>
      <c r="K2684" s="49" t="s">
        <v>680</v>
      </c>
      <c r="L2684" s="39" t="s">
        <v>681</v>
      </c>
      <c r="M2684" s="49" t="s">
        <v>190</v>
      </c>
      <c r="N2684" s="39" t="s">
        <v>532</v>
      </c>
      <c r="O2684" s="96" t="s">
        <v>682</v>
      </c>
      <c r="P2684" s="49" t="s">
        <v>157</v>
      </c>
      <c r="Q2684" s="96" t="s">
        <v>104</v>
      </c>
      <c r="R2684" s="52">
        <v>24.9</v>
      </c>
      <c r="S2684" s="52">
        <f>R2684-T2684</f>
        <v>22.232142857142858</v>
      </c>
      <c r="T2684" s="52">
        <f>R2684*U2684/(U2684+100)</f>
        <v>2.6678571428571423</v>
      </c>
      <c r="U2684" s="50">
        <v>12</v>
      </c>
      <c r="V2684" s="53">
        <v>0</v>
      </c>
      <c r="W2684" s="147">
        <v>0.526</v>
      </c>
      <c r="X2684" s="148" t="s">
        <v>193</v>
      </c>
      <c r="Y2684" s="54">
        <f>R2684*W2684</f>
        <v>13.0974</v>
      </c>
      <c r="Z2684" s="52">
        <f>S2684*W2684</f>
        <v>11.694107142857144</v>
      </c>
      <c r="AA2684" s="52">
        <f>T2684*W2684</f>
        <v>1.403292857142857</v>
      </c>
      <c r="AB2684" s="52">
        <f>V2684*W2684</f>
        <v>0</v>
      </c>
      <c r="AC2684" s="53">
        <f>(R2684+V2684)*W2684</f>
        <v>13.0974</v>
      </c>
      <c r="AD2684" s="138">
        <v>24.9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109</v>
      </c>
      <c r="F2685" s="96" t="s">
        <v>111</v>
      </c>
      <c r="G2685" s="97">
        <v>46132</v>
      </c>
      <c r="H2685" s="98">
        <v>0.6590046296296296</v>
      </c>
      <c r="I2685" s="50">
        <v>169002727</v>
      </c>
      <c r="J2685" s="96" t="s">
        <v>157</v>
      </c>
      <c r="K2685" s="49" t="s">
        <v>2852</v>
      </c>
      <c r="L2685" s="39" t="s">
        <v>104</v>
      </c>
      <c r="M2685" s="49" t="s">
        <v>190</v>
      </c>
      <c r="N2685" s="39" t="s">
        <v>462</v>
      </c>
      <c r="O2685" s="96" t="s">
        <v>2853</v>
      </c>
      <c r="P2685" s="49" t="s">
        <v>157</v>
      </c>
      <c r="Q2685" s="96" t="s">
        <v>104</v>
      </c>
      <c r="R2685" s="52">
        <v>16.9</v>
      </c>
      <c r="S2685" s="52">
        <f>R2685-T2685</f>
        <v>15.089285714285714</v>
      </c>
      <c r="T2685" s="52">
        <f>R2685*U2685/(U2685+100)</f>
        <v>1.8107142857142855</v>
      </c>
      <c r="U2685" s="50">
        <v>12</v>
      </c>
      <c r="V2685" s="53">
        <v>0</v>
      </c>
      <c r="W2685" s="147">
        <v>1</v>
      </c>
      <c r="X2685" s="148" t="s">
        <v>163</v>
      </c>
      <c r="Y2685" s="54">
        <f>R2685*W2685</f>
        <v>16.9</v>
      </c>
      <c r="Z2685" s="52">
        <f>S2685*W2685</f>
        <v>15.089285714285714</v>
      </c>
      <c r="AA2685" s="52">
        <f>T2685*W2685</f>
        <v>1.8107142857142855</v>
      </c>
      <c r="AB2685" s="52">
        <f>V2685*W2685</f>
        <v>0</v>
      </c>
      <c r="AC2685" s="53">
        <f>(R2685+V2685)*W2685</f>
        <v>16.9</v>
      </c>
      <c r="AD2685" s="138">
        <v>16.9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109</v>
      </c>
      <c r="F2686" s="96" t="s">
        <v>111</v>
      </c>
      <c r="G2686" s="97">
        <v>46132</v>
      </c>
      <c r="H2686" s="98">
        <v>0.6590046296296296</v>
      </c>
      <c r="I2686" s="50">
        <v>169002727</v>
      </c>
      <c r="J2686" s="96" t="s">
        <v>157</v>
      </c>
      <c r="K2686" s="49" t="s">
        <v>271</v>
      </c>
      <c r="L2686" s="39" t="s">
        <v>272</v>
      </c>
      <c r="M2686" s="49" t="s">
        <v>214</v>
      </c>
      <c r="N2686" s="39" t="s">
        <v>273</v>
      </c>
      <c r="O2686" s="96" t="s">
        <v>1715</v>
      </c>
      <c r="P2686" s="49" t="s">
        <v>157</v>
      </c>
      <c r="Q2686" s="96" t="s">
        <v>104</v>
      </c>
      <c r="R2686" s="52">
        <v>13.9</v>
      </c>
      <c r="S2686" s="52">
        <f>R2686-T2686</f>
        <v>12.410714285714286</v>
      </c>
      <c r="T2686" s="52">
        <f>R2686*U2686/(U2686+100)</f>
        <v>1.4892857142857143</v>
      </c>
      <c r="U2686" s="50">
        <v>12</v>
      </c>
      <c r="V2686" s="53">
        <v>0</v>
      </c>
      <c r="W2686" s="147">
        <v>1</v>
      </c>
      <c r="X2686" s="148" t="s">
        <v>163</v>
      </c>
      <c r="Y2686" s="54">
        <f>R2686*W2686</f>
        <v>13.9</v>
      </c>
      <c r="Z2686" s="52">
        <f>S2686*W2686</f>
        <v>12.410714285714286</v>
      </c>
      <c r="AA2686" s="52">
        <f>T2686*W2686</f>
        <v>1.4892857142857143</v>
      </c>
      <c r="AB2686" s="52">
        <f>V2686*W2686</f>
        <v>0</v>
      </c>
      <c r="AC2686" s="53">
        <f>(R2686+V2686)*W2686</f>
        <v>13.9</v>
      </c>
      <c r="AD2686" s="138">
        <v>13.9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109</v>
      </c>
      <c r="F2687" s="96" t="s">
        <v>111</v>
      </c>
      <c r="G2687" s="97">
        <v>46132</v>
      </c>
      <c r="H2687" s="98">
        <v>0.6590046296296296</v>
      </c>
      <c r="I2687" s="50">
        <v>169002727</v>
      </c>
      <c r="J2687" s="96" t="s">
        <v>157</v>
      </c>
      <c r="K2687" s="49" t="s">
        <v>390</v>
      </c>
      <c r="L2687" s="39" t="s">
        <v>391</v>
      </c>
      <c r="M2687" s="49" t="s">
        <v>214</v>
      </c>
      <c r="N2687" s="39" t="s">
        <v>273</v>
      </c>
      <c r="O2687" s="96" t="s">
        <v>1110</v>
      </c>
      <c r="P2687" s="49" t="s">
        <v>157</v>
      </c>
      <c r="Q2687" s="96" t="s">
        <v>104</v>
      </c>
      <c r="R2687" s="52">
        <v>15.9</v>
      </c>
      <c r="S2687" s="52">
        <f>R2687-T2687</f>
        <v>14.196428571428571</v>
      </c>
      <c r="T2687" s="52">
        <f>R2687*U2687/(U2687+100)</f>
        <v>1.7035714285714287</v>
      </c>
      <c r="U2687" s="50">
        <v>12</v>
      </c>
      <c r="V2687" s="53">
        <v>0</v>
      </c>
      <c r="W2687" s="147">
        <v>1</v>
      </c>
      <c r="X2687" s="148" t="s">
        <v>163</v>
      </c>
      <c r="Y2687" s="54">
        <f>R2687*W2687</f>
        <v>15.9</v>
      </c>
      <c r="Z2687" s="52">
        <f>S2687*W2687</f>
        <v>14.196428571428571</v>
      </c>
      <c r="AA2687" s="52">
        <f>T2687*W2687</f>
        <v>1.7035714285714287</v>
      </c>
      <c r="AB2687" s="52">
        <f>V2687*W2687</f>
        <v>0</v>
      </c>
      <c r="AC2687" s="53">
        <f>(R2687+V2687)*W2687</f>
        <v>15.9</v>
      </c>
      <c r="AD2687" s="138">
        <v>15.9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109</v>
      </c>
      <c r="F2688" s="96" t="s">
        <v>111</v>
      </c>
      <c r="G2688" s="97">
        <v>46132</v>
      </c>
      <c r="H2688" s="98">
        <v>0.6590046296296296</v>
      </c>
      <c r="I2688" s="50">
        <v>169002727</v>
      </c>
      <c r="J2688" s="96" t="s">
        <v>157</v>
      </c>
      <c r="K2688" s="49" t="s">
        <v>371</v>
      </c>
      <c r="L2688" s="39" t="s">
        <v>372</v>
      </c>
      <c r="M2688" s="49" t="s">
        <v>277</v>
      </c>
      <c r="N2688" s="39" t="s">
        <v>373</v>
      </c>
      <c r="O2688" s="96" t="s">
        <v>2042</v>
      </c>
      <c r="P2688" s="49" t="s">
        <v>157</v>
      </c>
      <c r="Q2688" s="96" t="s">
        <v>104</v>
      </c>
      <c r="R2688" s="52">
        <v>208.9</v>
      </c>
      <c r="S2688" s="52">
        <f>R2688-T2688</f>
        <v>186.51785714285714</v>
      </c>
      <c r="T2688" s="52">
        <f>R2688*U2688/(U2688+100)</f>
        <v>22.38214285714286</v>
      </c>
      <c r="U2688" s="50">
        <v>12</v>
      </c>
      <c r="V2688" s="53">
        <v>0</v>
      </c>
      <c r="W2688" s="147">
        <v>0.366</v>
      </c>
      <c r="X2688" s="148" t="s">
        <v>193</v>
      </c>
      <c r="Y2688" s="54">
        <f>R2688*W2688</f>
        <v>76.4574</v>
      </c>
      <c r="Z2688" s="52">
        <f>S2688*W2688</f>
        <v>68.2655357142857</v>
      </c>
      <c r="AA2688" s="52">
        <f>T2688*W2688</f>
        <v>8.191864285714287</v>
      </c>
      <c r="AB2688" s="52">
        <f>V2688*W2688</f>
        <v>0</v>
      </c>
      <c r="AC2688" s="53">
        <f>(R2688+V2688)*W2688</f>
        <v>76.4574</v>
      </c>
      <c r="AD2688" s="138">
        <v>208.9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109</v>
      </c>
      <c r="F2689" s="96" t="s">
        <v>111</v>
      </c>
      <c r="G2689" s="97">
        <v>46132</v>
      </c>
      <c r="H2689" s="98">
        <v>0.6590046296296296</v>
      </c>
      <c r="I2689" s="50">
        <v>169002727</v>
      </c>
      <c r="J2689" s="96" t="s">
        <v>157</v>
      </c>
      <c r="K2689" s="49" t="s">
        <v>3548</v>
      </c>
      <c r="L2689" s="39"/>
      <c r="M2689" s="49" t="s">
        <v>268</v>
      </c>
      <c r="N2689" s="39" t="s">
        <v>433</v>
      </c>
      <c r="O2689" s="96" t="s">
        <v>3549</v>
      </c>
      <c r="P2689" s="49" t="s">
        <v>157</v>
      </c>
      <c r="Q2689" s="96" t="s">
        <v>104</v>
      </c>
      <c r="R2689" s="52">
        <v>32.9</v>
      </c>
      <c r="S2689" s="52">
        <f>R2689-T2689</f>
        <v>29.375</v>
      </c>
      <c r="T2689" s="52">
        <f>R2689*U2689/(U2689+100)</f>
        <v>3.5249999999999995</v>
      </c>
      <c r="U2689" s="50">
        <v>12</v>
      </c>
      <c r="V2689" s="53">
        <v>0</v>
      </c>
      <c r="W2689" s="147">
        <v>1</v>
      </c>
      <c r="X2689" s="148" t="s">
        <v>945</v>
      </c>
      <c r="Y2689" s="54">
        <f>R2689*W2689</f>
        <v>32.9</v>
      </c>
      <c r="Z2689" s="52">
        <f>S2689*W2689</f>
        <v>29.375</v>
      </c>
      <c r="AA2689" s="52">
        <f>T2689*W2689</f>
        <v>3.5249999999999995</v>
      </c>
      <c r="AB2689" s="52">
        <f>V2689*W2689</f>
        <v>0</v>
      </c>
      <c r="AC2689" s="53">
        <f>(R2689+V2689)*W2689</f>
        <v>32.9</v>
      </c>
      <c r="AD2689" s="138">
        <v>32.9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109</v>
      </c>
      <c r="F2690" s="96" t="s">
        <v>111</v>
      </c>
      <c r="G2690" s="97">
        <v>46132</v>
      </c>
      <c r="H2690" s="98">
        <v>0.6599074074074074</v>
      </c>
      <c r="I2690" s="50">
        <v>169002728</v>
      </c>
      <c r="J2690" s="96" t="s">
        <v>157</v>
      </c>
      <c r="K2690" s="49" t="s">
        <v>3624</v>
      </c>
      <c r="L2690" s="39" t="s">
        <v>3625</v>
      </c>
      <c r="M2690" s="49" t="s">
        <v>568</v>
      </c>
      <c r="N2690" s="39" t="s">
        <v>576</v>
      </c>
      <c r="O2690" s="96" t="s">
        <v>3626</v>
      </c>
      <c r="P2690" s="49" t="s">
        <v>157</v>
      </c>
      <c r="Q2690" s="96" t="s">
        <v>104</v>
      </c>
      <c r="R2690" s="52">
        <v>27.9</v>
      </c>
      <c r="S2690" s="52">
        <f>R2690-T2690</f>
        <v>24.910714285714285</v>
      </c>
      <c r="T2690" s="52">
        <f>R2690*U2690/(U2690+100)</f>
        <v>2.989285714285714</v>
      </c>
      <c r="U2690" s="50">
        <v>12</v>
      </c>
      <c r="V2690" s="53">
        <v>0</v>
      </c>
      <c r="W2690" s="147">
        <v>1</v>
      </c>
      <c r="X2690" s="148" t="s">
        <v>163</v>
      </c>
      <c r="Y2690" s="54">
        <f>R2690*W2690</f>
        <v>27.9</v>
      </c>
      <c r="Z2690" s="52">
        <f>S2690*W2690</f>
        <v>24.910714285714285</v>
      </c>
      <c r="AA2690" s="52">
        <f>T2690*W2690</f>
        <v>2.989285714285714</v>
      </c>
      <c r="AB2690" s="52">
        <f>V2690*W2690</f>
        <v>0</v>
      </c>
      <c r="AC2690" s="53">
        <f>(R2690+V2690)*W2690</f>
        <v>27.9</v>
      </c>
      <c r="AD2690" s="138">
        <v>27.9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109</v>
      </c>
      <c r="F2691" s="96" t="s">
        <v>111</v>
      </c>
      <c r="G2691" s="97">
        <v>46132</v>
      </c>
      <c r="H2691" s="98">
        <v>0.6599074074074074</v>
      </c>
      <c r="I2691" s="50">
        <v>169002728</v>
      </c>
      <c r="J2691" s="96" t="s">
        <v>157</v>
      </c>
      <c r="K2691" s="49" t="s">
        <v>1645</v>
      </c>
      <c r="L2691" s="39" t="s">
        <v>1646</v>
      </c>
      <c r="M2691" s="49" t="s">
        <v>1647</v>
      </c>
      <c r="N2691" s="39" t="s">
        <v>373</v>
      </c>
      <c r="O2691" s="96" t="s">
        <v>1648</v>
      </c>
      <c r="P2691" s="49" t="s">
        <v>157</v>
      </c>
      <c r="Q2691" s="96" t="s">
        <v>104</v>
      </c>
      <c r="R2691" s="52">
        <v>38.43</v>
      </c>
      <c r="S2691" s="52">
        <f>R2691-T2691</f>
        <v>34.3125</v>
      </c>
      <c r="T2691" s="52">
        <f>R2691*U2691/(U2691+100)</f>
        <v>4.1175</v>
      </c>
      <c r="U2691" s="50">
        <v>12</v>
      </c>
      <c r="V2691" s="53">
        <v>0</v>
      </c>
      <c r="W2691" s="147">
        <v>1</v>
      </c>
      <c r="X2691" s="148" t="s">
        <v>163</v>
      </c>
      <c r="Y2691" s="54">
        <f>R2691*W2691</f>
        <v>38.43</v>
      </c>
      <c r="Z2691" s="52">
        <f>S2691*W2691</f>
        <v>34.3125</v>
      </c>
      <c r="AA2691" s="52">
        <f>T2691*W2691</f>
        <v>4.1175</v>
      </c>
      <c r="AB2691" s="52">
        <f>V2691*W2691</f>
        <v>0</v>
      </c>
      <c r="AC2691" s="53">
        <f>(R2691+V2691)*W2691</f>
        <v>38.43</v>
      </c>
      <c r="AD2691" s="138">
        <v>54.9</v>
      </c>
      <c r="AE2691" s="137">
        <v>16.47</v>
      </c>
      <c r="AF2691" s="139">
        <v>16.47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109</v>
      </c>
      <c r="F2692" s="96" t="s">
        <v>111</v>
      </c>
      <c r="G2692" s="97">
        <v>46132</v>
      </c>
      <c r="H2692" s="98">
        <v>0.6599074074074074</v>
      </c>
      <c r="I2692" s="50">
        <v>169002728</v>
      </c>
      <c r="J2692" s="96" t="s">
        <v>157</v>
      </c>
      <c r="K2692" s="49" t="s">
        <v>2430</v>
      </c>
      <c r="L2692" s="39" t="s">
        <v>2431</v>
      </c>
      <c r="M2692" s="49" t="s">
        <v>1647</v>
      </c>
      <c r="N2692" s="39" t="s">
        <v>838</v>
      </c>
      <c r="O2692" s="96" t="s">
        <v>2432</v>
      </c>
      <c r="P2692" s="49" t="s">
        <v>157</v>
      </c>
      <c r="Q2692" s="96" t="s">
        <v>104</v>
      </c>
      <c r="R2692" s="52">
        <v>44.03</v>
      </c>
      <c r="S2692" s="52">
        <f>R2692-T2692</f>
        <v>39.3125</v>
      </c>
      <c r="T2692" s="52">
        <f>R2692*U2692/(U2692+100)</f>
        <v>4.7175</v>
      </c>
      <c r="U2692" s="50">
        <v>12</v>
      </c>
      <c r="V2692" s="53">
        <v>0</v>
      </c>
      <c r="W2692" s="147">
        <v>1</v>
      </c>
      <c r="X2692" s="148" t="s">
        <v>163</v>
      </c>
      <c r="Y2692" s="54">
        <f>R2692*W2692</f>
        <v>44.03</v>
      </c>
      <c r="Z2692" s="52">
        <f>S2692*W2692</f>
        <v>39.3125</v>
      </c>
      <c r="AA2692" s="52">
        <f>T2692*W2692</f>
        <v>4.7175</v>
      </c>
      <c r="AB2692" s="52">
        <f>V2692*W2692</f>
        <v>0</v>
      </c>
      <c r="AC2692" s="53">
        <f>(R2692+V2692)*W2692</f>
        <v>44.03</v>
      </c>
      <c r="AD2692" s="138">
        <v>62.9</v>
      </c>
      <c r="AE2692" s="137">
        <v>18.87</v>
      </c>
      <c r="AF2692" s="139">
        <v>18.87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109</v>
      </c>
      <c r="F2693" s="96" t="s">
        <v>111</v>
      </c>
      <c r="G2693" s="97">
        <v>46132</v>
      </c>
      <c r="H2693" s="98">
        <v>0.6599074074074074</v>
      </c>
      <c r="I2693" s="50">
        <v>169002728</v>
      </c>
      <c r="J2693" s="96" t="s">
        <v>157</v>
      </c>
      <c r="K2693" s="49" t="s">
        <v>1275</v>
      </c>
      <c r="L2693" s="39" t="s">
        <v>1276</v>
      </c>
      <c r="M2693" s="49" t="s">
        <v>214</v>
      </c>
      <c r="N2693" s="39" t="s">
        <v>501</v>
      </c>
      <c r="O2693" s="96" t="s">
        <v>1277</v>
      </c>
      <c r="P2693" s="49" t="s">
        <v>157</v>
      </c>
      <c r="Q2693" s="96" t="s">
        <v>104</v>
      </c>
      <c r="R2693" s="52">
        <v>13.9</v>
      </c>
      <c r="S2693" s="52">
        <f>R2693-T2693</f>
        <v>12.410714285714286</v>
      </c>
      <c r="T2693" s="52">
        <f>R2693*U2693/(U2693+100)</f>
        <v>1.4892857142857143</v>
      </c>
      <c r="U2693" s="50">
        <v>12</v>
      </c>
      <c r="V2693" s="53">
        <v>0</v>
      </c>
      <c r="W2693" s="147">
        <v>2</v>
      </c>
      <c r="X2693" s="148" t="s">
        <v>163</v>
      </c>
      <c r="Y2693" s="54">
        <f>R2693*W2693</f>
        <v>27.8</v>
      </c>
      <c r="Z2693" s="52">
        <f>S2693*W2693</f>
        <v>24.821428571428573</v>
      </c>
      <c r="AA2693" s="52">
        <f>T2693*W2693</f>
        <v>2.9785714285714286</v>
      </c>
      <c r="AB2693" s="52">
        <f>V2693*W2693</f>
        <v>0</v>
      </c>
      <c r="AC2693" s="53">
        <f>(R2693+V2693)*W2693</f>
        <v>27.8</v>
      </c>
      <c r="AD2693" s="138">
        <v>13.9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109</v>
      </c>
      <c r="F2694" s="96" t="s">
        <v>111</v>
      </c>
      <c r="G2694" s="97">
        <v>46132</v>
      </c>
      <c r="H2694" s="98">
        <v>0.6599074074074074</v>
      </c>
      <c r="I2694" s="50">
        <v>169002728</v>
      </c>
      <c r="J2694" s="96" t="s">
        <v>157</v>
      </c>
      <c r="K2694" s="49" t="s">
        <v>1021</v>
      </c>
      <c r="L2694" s="39" t="s">
        <v>1022</v>
      </c>
      <c r="M2694" s="49" t="s">
        <v>190</v>
      </c>
      <c r="N2694" s="39" t="s">
        <v>532</v>
      </c>
      <c r="O2694" s="96" t="s">
        <v>1023</v>
      </c>
      <c r="P2694" s="49" t="s">
        <v>157</v>
      </c>
      <c r="Q2694" s="96" t="s">
        <v>104</v>
      </c>
      <c r="R2694" s="52">
        <v>48.9</v>
      </c>
      <c r="S2694" s="52">
        <f>R2694-T2694</f>
        <v>43.660714285714285</v>
      </c>
      <c r="T2694" s="52">
        <f>R2694*U2694/(U2694+100)</f>
        <v>5.239285714285714</v>
      </c>
      <c r="U2694" s="50">
        <v>12</v>
      </c>
      <c r="V2694" s="53">
        <v>0</v>
      </c>
      <c r="W2694" s="147">
        <v>0.184</v>
      </c>
      <c r="X2694" s="148" t="s">
        <v>193</v>
      </c>
      <c r="Y2694" s="54">
        <f>R2694*W2694</f>
        <v>8.9976</v>
      </c>
      <c r="Z2694" s="52">
        <f>S2694*W2694</f>
        <v>8.033571428571427</v>
      </c>
      <c r="AA2694" s="52">
        <f>T2694*W2694</f>
        <v>0.9640285714285713</v>
      </c>
      <c r="AB2694" s="52">
        <f>V2694*W2694</f>
        <v>0</v>
      </c>
      <c r="AC2694" s="53">
        <f>(R2694+V2694)*W2694</f>
        <v>8.9976</v>
      </c>
      <c r="AD2694" s="138">
        <v>48.9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109</v>
      </c>
      <c r="F2695" s="96" t="s">
        <v>111</v>
      </c>
      <c r="G2695" s="97">
        <v>46132</v>
      </c>
      <c r="H2695" s="98">
        <v>0.6599074074074074</v>
      </c>
      <c r="I2695" s="50">
        <v>169002728</v>
      </c>
      <c r="J2695" s="96" t="s">
        <v>157</v>
      </c>
      <c r="K2695" s="49" t="s">
        <v>974</v>
      </c>
      <c r="L2695" s="39" t="s">
        <v>975</v>
      </c>
      <c r="M2695" s="49" t="s">
        <v>190</v>
      </c>
      <c r="N2695" s="39" t="s">
        <v>462</v>
      </c>
      <c r="O2695" s="96" t="s">
        <v>3627</v>
      </c>
      <c r="P2695" s="49" t="s">
        <v>157</v>
      </c>
      <c r="Q2695" s="96" t="s">
        <v>104</v>
      </c>
      <c r="R2695" s="52">
        <v>24.9</v>
      </c>
      <c r="S2695" s="52">
        <f>R2695-T2695</f>
        <v>22.232142857142858</v>
      </c>
      <c r="T2695" s="52">
        <f>R2695*U2695/(U2695+100)</f>
        <v>2.6678571428571423</v>
      </c>
      <c r="U2695" s="50">
        <v>12</v>
      </c>
      <c r="V2695" s="53">
        <v>0</v>
      </c>
      <c r="W2695" s="147">
        <v>1</v>
      </c>
      <c r="X2695" s="148" t="s">
        <v>163</v>
      </c>
      <c r="Y2695" s="54">
        <f>R2695*W2695</f>
        <v>24.9</v>
      </c>
      <c r="Z2695" s="52">
        <f>S2695*W2695</f>
        <v>22.232142857142858</v>
      </c>
      <c r="AA2695" s="52">
        <f>T2695*W2695</f>
        <v>2.6678571428571423</v>
      </c>
      <c r="AB2695" s="52">
        <f>V2695*W2695</f>
        <v>0</v>
      </c>
      <c r="AC2695" s="53">
        <f>(R2695+V2695)*W2695</f>
        <v>24.9</v>
      </c>
      <c r="AD2695" s="138">
        <v>24.9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109</v>
      </c>
      <c r="F2696" s="96" t="s">
        <v>111</v>
      </c>
      <c r="G2696" s="97">
        <v>46132</v>
      </c>
      <c r="H2696" s="98">
        <v>0.6599074074074074</v>
      </c>
      <c r="I2696" s="50">
        <v>169002728</v>
      </c>
      <c r="J2696" s="96" t="s">
        <v>157</v>
      </c>
      <c r="K2696" s="49" t="s">
        <v>628</v>
      </c>
      <c r="L2696" s="39" t="s">
        <v>629</v>
      </c>
      <c r="M2696" s="49" t="s">
        <v>214</v>
      </c>
      <c r="N2696" s="39" t="s">
        <v>296</v>
      </c>
      <c r="O2696" s="96" t="s">
        <v>630</v>
      </c>
      <c r="P2696" s="49" t="s">
        <v>157</v>
      </c>
      <c r="Q2696" s="96" t="s">
        <v>104</v>
      </c>
      <c r="R2696" s="52">
        <v>9.9</v>
      </c>
      <c r="S2696" s="52">
        <f>R2696-T2696</f>
        <v>8.839285714285715</v>
      </c>
      <c r="T2696" s="52">
        <f>R2696*U2696/(U2696+100)</f>
        <v>1.0607142857142857</v>
      </c>
      <c r="U2696" s="50">
        <v>12</v>
      </c>
      <c r="V2696" s="53">
        <v>0</v>
      </c>
      <c r="W2696" s="147">
        <v>1</v>
      </c>
      <c r="X2696" s="148" t="s">
        <v>163</v>
      </c>
      <c r="Y2696" s="54">
        <f>R2696*W2696</f>
        <v>9.9</v>
      </c>
      <c r="Z2696" s="52">
        <f>S2696*W2696</f>
        <v>8.839285714285715</v>
      </c>
      <c r="AA2696" s="52">
        <f>T2696*W2696</f>
        <v>1.0607142857142857</v>
      </c>
      <c r="AB2696" s="52">
        <f>V2696*W2696</f>
        <v>0</v>
      </c>
      <c r="AC2696" s="53">
        <f>(R2696+V2696)*W2696</f>
        <v>9.9</v>
      </c>
      <c r="AD2696" s="138">
        <v>9.9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109</v>
      </c>
      <c r="F2697" s="96" t="s">
        <v>111</v>
      </c>
      <c r="G2697" s="97">
        <v>46132</v>
      </c>
      <c r="H2697" s="98">
        <v>0.6599074074074074</v>
      </c>
      <c r="I2697" s="50">
        <v>169002728</v>
      </c>
      <c r="J2697" s="96" t="s">
        <v>157</v>
      </c>
      <c r="K2697" s="49" t="s">
        <v>686</v>
      </c>
      <c r="L2697" s="39" t="s">
        <v>687</v>
      </c>
      <c r="M2697" s="49" t="s">
        <v>369</v>
      </c>
      <c r="N2697" s="39" t="s">
        <v>688</v>
      </c>
      <c r="O2697" s="96" t="s">
        <v>1341</v>
      </c>
      <c r="P2697" s="49" t="s">
        <v>157</v>
      </c>
      <c r="Q2697" s="96" t="s">
        <v>104</v>
      </c>
      <c r="R2697" s="52">
        <v>227.9</v>
      </c>
      <c r="S2697" s="52">
        <f>R2697-T2697</f>
        <v>203.48214285714286</v>
      </c>
      <c r="T2697" s="52">
        <f>R2697*U2697/(U2697+100)</f>
        <v>24.417857142857144</v>
      </c>
      <c r="U2697" s="50">
        <v>12</v>
      </c>
      <c r="V2697" s="53">
        <v>0</v>
      </c>
      <c r="W2697" s="147">
        <v>0.144</v>
      </c>
      <c r="X2697" s="148" t="s">
        <v>193</v>
      </c>
      <c r="Y2697" s="54">
        <f>R2697*W2697</f>
        <v>32.8176</v>
      </c>
      <c r="Z2697" s="52">
        <f>S2697*W2697</f>
        <v>29.30142857142857</v>
      </c>
      <c r="AA2697" s="52">
        <f>T2697*W2697</f>
        <v>3.5161714285714285</v>
      </c>
      <c r="AB2697" s="52">
        <f>V2697*W2697</f>
        <v>0</v>
      </c>
      <c r="AC2697" s="53">
        <f>(R2697+V2697)*W2697</f>
        <v>32.8176</v>
      </c>
      <c r="AD2697" s="138">
        <v>227.9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109</v>
      </c>
      <c r="F2698" s="96" t="s">
        <v>111</v>
      </c>
      <c r="G2698" s="97">
        <v>46132</v>
      </c>
      <c r="H2698" s="98">
        <v>0.6601967592592592</v>
      </c>
      <c r="I2698" s="50">
        <v>169002729</v>
      </c>
      <c r="J2698" s="96" t="s">
        <v>157</v>
      </c>
      <c r="K2698" s="49" t="s">
        <v>3628</v>
      </c>
      <c r="L2698" s="39" t="s">
        <v>3629</v>
      </c>
      <c r="M2698" s="49" t="s">
        <v>255</v>
      </c>
      <c r="N2698" s="39" t="s">
        <v>256</v>
      </c>
      <c r="O2698" s="96" t="s">
        <v>3630</v>
      </c>
      <c r="P2698" s="49" t="s">
        <v>157</v>
      </c>
      <c r="Q2698" s="96" t="s">
        <v>104</v>
      </c>
      <c r="R2698" s="52">
        <v>19.9</v>
      </c>
      <c r="S2698" s="52">
        <f>R2698-T2698</f>
        <v>16.446280991735534</v>
      </c>
      <c r="T2698" s="52">
        <f>R2698*U2698/(U2698+100)</f>
        <v>3.4537190082644624</v>
      </c>
      <c r="U2698" s="50">
        <v>21</v>
      </c>
      <c r="V2698" s="53">
        <v>3</v>
      </c>
      <c r="W2698" s="147">
        <v>4</v>
      </c>
      <c r="X2698" s="148" t="s">
        <v>163</v>
      </c>
      <c r="Y2698" s="54">
        <f>R2698*W2698</f>
        <v>79.6</v>
      </c>
      <c r="Z2698" s="52">
        <f>S2698*W2698</f>
        <v>65.78512396694214</v>
      </c>
      <c r="AA2698" s="52">
        <f>T2698*W2698</f>
        <v>13.81487603305785</v>
      </c>
      <c r="AB2698" s="52">
        <f>V2698*W2698</f>
        <v>12</v>
      </c>
      <c r="AC2698" s="53">
        <f>(R2698+V2698)*W2698</f>
        <v>91.6</v>
      </c>
      <c r="AD2698" s="138">
        <v>19.9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109</v>
      </c>
      <c r="F2699" s="96" t="s">
        <v>111</v>
      </c>
      <c r="G2699" s="97">
        <v>46132</v>
      </c>
      <c r="H2699" s="98">
        <v>0.6607523148148148</v>
      </c>
      <c r="I2699" s="50">
        <v>169002730</v>
      </c>
      <c r="J2699" s="96" t="s">
        <v>157</v>
      </c>
      <c r="K2699" s="49" t="s">
        <v>1085</v>
      </c>
      <c r="L2699" s="39" t="s">
        <v>1086</v>
      </c>
      <c r="M2699" s="49" t="s">
        <v>1087</v>
      </c>
      <c r="N2699" s="39" t="s">
        <v>1088</v>
      </c>
      <c r="O2699" s="96" t="s">
        <v>1089</v>
      </c>
      <c r="P2699" s="49" t="s">
        <v>157</v>
      </c>
      <c r="Q2699" s="96" t="s">
        <v>104</v>
      </c>
      <c r="R2699" s="52">
        <v>163.03</v>
      </c>
      <c r="S2699" s="52">
        <f>R2699-T2699</f>
        <v>145.5625</v>
      </c>
      <c r="T2699" s="52">
        <f>R2699*U2699/(U2699+100)</f>
        <v>17.4675</v>
      </c>
      <c r="U2699" s="50">
        <v>12</v>
      </c>
      <c r="V2699" s="53">
        <v>0</v>
      </c>
      <c r="W2699" s="147">
        <v>0.252</v>
      </c>
      <c r="X2699" s="148" t="s">
        <v>193</v>
      </c>
      <c r="Y2699" s="54">
        <f>R2699*W2699</f>
        <v>41.08356</v>
      </c>
      <c r="Z2699" s="52">
        <f>S2699*W2699</f>
        <v>36.68175</v>
      </c>
      <c r="AA2699" s="52">
        <f>T2699*W2699</f>
        <v>4.40181</v>
      </c>
      <c r="AB2699" s="52">
        <f>V2699*W2699</f>
        <v>0</v>
      </c>
      <c r="AC2699" s="53">
        <f>(R2699+V2699)*W2699</f>
        <v>41.08356</v>
      </c>
      <c r="AD2699" s="138">
        <v>232.9</v>
      </c>
      <c r="AE2699" s="137">
        <v>69.87</v>
      </c>
      <c r="AF2699" s="139">
        <v>17.6072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109</v>
      </c>
      <c r="F2700" s="96" t="s">
        <v>111</v>
      </c>
      <c r="G2700" s="97">
        <v>46132</v>
      </c>
      <c r="H2700" s="98">
        <v>0.6607523148148148</v>
      </c>
      <c r="I2700" s="50">
        <v>169002730</v>
      </c>
      <c r="J2700" s="96" t="s">
        <v>157</v>
      </c>
      <c r="K2700" s="49" t="s">
        <v>293</v>
      </c>
      <c r="L2700" s="39" t="s">
        <v>294</v>
      </c>
      <c r="M2700" s="49" t="s">
        <v>295</v>
      </c>
      <c r="N2700" s="39" t="s">
        <v>296</v>
      </c>
      <c r="O2700" s="96" t="s">
        <v>297</v>
      </c>
      <c r="P2700" s="49" t="s">
        <v>157</v>
      </c>
      <c r="Q2700" s="96" t="s">
        <v>104</v>
      </c>
      <c r="R2700" s="52">
        <v>2.9</v>
      </c>
      <c r="S2700" s="52">
        <f>R2700-T2700</f>
        <v>2.5892857142857144</v>
      </c>
      <c r="T2700" s="52">
        <f>R2700*U2700/(U2700+100)</f>
        <v>0.31071428571428567</v>
      </c>
      <c r="U2700" s="50">
        <v>12</v>
      </c>
      <c r="V2700" s="53">
        <v>0</v>
      </c>
      <c r="W2700" s="147">
        <v>6</v>
      </c>
      <c r="X2700" s="148" t="s">
        <v>163</v>
      </c>
      <c r="Y2700" s="54">
        <f>R2700*W2700</f>
        <v>17.4</v>
      </c>
      <c r="Z2700" s="52">
        <f>S2700*W2700</f>
        <v>15.535714285714286</v>
      </c>
      <c r="AA2700" s="52">
        <f>T2700*W2700</f>
        <v>1.8642857142857139</v>
      </c>
      <c r="AB2700" s="52">
        <f>V2700*W2700</f>
        <v>0</v>
      </c>
      <c r="AC2700" s="53">
        <f>(R2700+V2700)*W2700</f>
        <v>17.4</v>
      </c>
      <c r="AD2700" s="138">
        <v>2.9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109</v>
      </c>
      <c r="F2701" s="96" t="s">
        <v>111</v>
      </c>
      <c r="G2701" s="97">
        <v>46132</v>
      </c>
      <c r="H2701" s="98">
        <v>0.6614930555555556</v>
      </c>
      <c r="I2701" s="50">
        <v>169002731</v>
      </c>
      <c r="J2701" s="96" t="s">
        <v>157</v>
      </c>
      <c r="K2701" s="49" t="s">
        <v>2145</v>
      </c>
      <c r="L2701" s="39" t="s">
        <v>2146</v>
      </c>
      <c r="M2701" s="49" t="s">
        <v>709</v>
      </c>
      <c r="N2701" s="39" t="s">
        <v>319</v>
      </c>
      <c r="O2701" s="96" t="s">
        <v>2147</v>
      </c>
      <c r="P2701" s="49" t="s">
        <v>235</v>
      </c>
      <c r="Q2701" s="96" t="s">
        <v>236</v>
      </c>
      <c r="R2701" s="52">
        <v>149</v>
      </c>
      <c r="S2701" s="52">
        <f>R2701-T2701</f>
        <v>133.03571428571428</v>
      </c>
      <c r="T2701" s="52">
        <f>R2701*U2701/(U2701+100)</f>
        <v>15.964285714285714</v>
      </c>
      <c r="U2701" s="50">
        <v>12</v>
      </c>
      <c r="V2701" s="53">
        <v>0</v>
      </c>
      <c r="W2701" s="147">
        <v>0.308</v>
      </c>
      <c r="X2701" s="148" t="s">
        <v>193</v>
      </c>
      <c r="Y2701" s="54">
        <f>R2701*W2701</f>
        <v>45.891999999999996</v>
      </c>
      <c r="Z2701" s="52">
        <f>S2701*W2701</f>
        <v>40.974999999999994</v>
      </c>
      <c r="AA2701" s="52">
        <f>T2701*W2701</f>
        <v>4.917</v>
      </c>
      <c r="AB2701" s="52">
        <f>V2701*W2701</f>
        <v>0</v>
      </c>
      <c r="AC2701" s="53">
        <f>(R2701+V2701)*W2701</f>
        <v>45.891999999999996</v>
      </c>
      <c r="AD2701" s="138">
        <v>149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109</v>
      </c>
      <c r="F2702" s="96" t="s">
        <v>111</v>
      </c>
      <c r="G2702" s="97">
        <v>46132</v>
      </c>
      <c r="H2702" s="98">
        <v>0.6614930555555556</v>
      </c>
      <c r="I2702" s="50">
        <v>169002731</v>
      </c>
      <c r="J2702" s="96" t="s">
        <v>157</v>
      </c>
      <c r="K2702" s="49" t="s">
        <v>655</v>
      </c>
      <c r="L2702" s="39" t="s">
        <v>656</v>
      </c>
      <c r="M2702" s="49" t="s">
        <v>190</v>
      </c>
      <c r="N2702" s="39" t="s">
        <v>532</v>
      </c>
      <c r="O2702" s="96" t="s">
        <v>657</v>
      </c>
      <c r="P2702" s="49" t="s">
        <v>157</v>
      </c>
      <c r="Q2702" s="96" t="s">
        <v>104</v>
      </c>
      <c r="R2702" s="52">
        <v>17.95</v>
      </c>
      <c r="S2702" s="52">
        <f>R2702-T2702</f>
        <v>16.026785714285715</v>
      </c>
      <c r="T2702" s="52">
        <f>R2702*U2702/(U2702+100)</f>
        <v>1.9232142857142855</v>
      </c>
      <c r="U2702" s="50">
        <v>12</v>
      </c>
      <c r="V2702" s="53">
        <v>0</v>
      </c>
      <c r="W2702" s="147">
        <v>0.54</v>
      </c>
      <c r="X2702" s="148" t="s">
        <v>193</v>
      </c>
      <c r="Y2702" s="54">
        <f>R2702*W2702</f>
        <v>9.693</v>
      </c>
      <c r="Z2702" s="52">
        <f>S2702*W2702</f>
        <v>8.654464285714287</v>
      </c>
      <c r="AA2702" s="52">
        <f>T2702*W2702</f>
        <v>1.0385357142857143</v>
      </c>
      <c r="AB2702" s="52">
        <f>V2702*W2702</f>
        <v>0</v>
      </c>
      <c r="AC2702" s="53">
        <f>(R2702+V2702)*W2702</f>
        <v>9.693</v>
      </c>
      <c r="AD2702" s="138">
        <v>17.95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109</v>
      </c>
      <c r="F2703" s="96" t="s">
        <v>111</v>
      </c>
      <c r="G2703" s="97">
        <v>46132</v>
      </c>
      <c r="H2703" s="98">
        <v>0.6614930555555556</v>
      </c>
      <c r="I2703" s="50">
        <v>169002731</v>
      </c>
      <c r="J2703" s="96" t="s">
        <v>157</v>
      </c>
      <c r="K2703" s="49" t="s">
        <v>1440</v>
      </c>
      <c r="L2703" s="39" t="s">
        <v>1441</v>
      </c>
      <c r="M2703" s="49" t="s">
        <v>190</v>
      </c>
      <c r="N2703" s="39" t="s">
        <v>191</v>
      </c>
      <c r="O2703" s="96" t="s">
        <v>1442</v>
      </c>
      <c r="P2703" s="49" t="s">
        <v>157</v>
      </c>
      <c r="Q2703" s="96" t="s">
        <v>104</v>
      </c>
      <c r="R2703" s="52">
        <v>8.9</v>
      </c>
      <c r="S2703" s="52">
        <f>R2703-T2703</f>
        <v>7.946428571428572</v>
      </c>
      <c r="T2703" s="52">
        <f>R2703*U2703/(U2703+100)</f>
        <v>0.9535714285714286</v>
      </c>
      <c r="U2703" s="50">
        <v>12</v>
      </c>
      <c r="V2703" s="53">
        <v>0</v>
      </c>
      <c r="W2703" s="147">
        <v>1.118</v>
      </c>
      <c r="X2703" s="148" t="s">
        <v>193</v>
      </c>
      <c r="Y2703" s="54">
        <f>R2703*W2703</f>
        <v>9.9502</v>
      </c>
      <c r="Z2703" s="52">
        <f>S2703*W2703</f>
        <v>8.884107142857145</v>
      </c>
      <c r="AA2703" s="52">
        <f>T2703*W2703</f>
        <v>1.0660928571428574</v>
      </c>
      <c r="AB2703" s="52">
        <f>V2703*W2703</f>
        <v>0</v>
      </c>
      <c r="AC2703" s="53">
        <f>(R2703+V2703)*W2703</f>
        <v>9.9502</v>
      </c>
      <c r="AD2703" s="138">
        <v>8.9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109</v>
      </c>
      <c r="F2704" s="96" t="s">
        <v>111</v>
      </c>
      <c r="G2704" s="97">
        <v>46132</v>
      </c>
      <c r="H2704" s="98">
        <v>0.6614930555555556</v>
      </c>
      <c r="I2704" s="50">
        <v>169002731</v>
      </c>
      <c r="J2704" s="96" t="s">
        <v>157</v>
      </c>
      <c r="K2704" s="49" t="s">
        <v>1133</v>
      </c>
      <c r="L2704" s="39" t="s">
        <v>1134</v>
      </c>
      <c r="M2704" s="49" t="s">
        <v>649</v>
      </c>
      <c r="N2704" s="39" t="s">
        <v>440</v>
      </c>
      <c r="O2704" s="96" t="s">
        <v>1135</v>
      </c>
      <c r="P2704" s="49" t="s">
        <v>157</v>
      </c>
      <c r="Q2704" s="96" t="s">
        <v>104</v>
      </c>
      <c r="R2704" s="52">
        <v>125.93</v>
      </c>
      <c r="S2704" s="52">
        <f>R2704-T2704</f>
        <v>112.4375</v>
      </c>
      <c r="T2704" s="52">
        <f>R2704*U2704/(U2704+100)</f>
        <v>13.492500000000001</v>
      </c>
      <c r="U2704" s="50">
        <v>12</v>
      </c>
      <c r="V2704" s="53">
        <v>0</v>
      </c>
      <c r="W2704" s="147">
        <v>0.114</v>
      </c>
      <c r="X2704" s="148" t="s">
        <v>193</v>
      </c>
      <c r="Y2704" s="54">
        <f>R2704*W2704</f>
        <v>14.356020000000001</v>
      </c>
      <c r="Z2704" s="52">
        <f>S2704*W2704</f>
        <v>12.817875</v>
      </c>
      <c r="AA2704" s="52">
        <f>T2704*W2704</f>
        <v>1.5381450000000003</v>
      </c>
      <c r="AB2704" s="52">
        <f>V2704*W2704</f>
        <v>0</v>
      </c>
      <c r="AC2704" s="53">
        <f>(R2704+V2704)*W2704</f>
        <v>14.356020000000001</v>
      </c>
      <c r="AD2704" s="138">
        <v>179.9</v>
      </c>
      <c r="AE2704" s="137">
        <v>53.97</v>
      </c>
      <c r="AF2704" s="139">
        <v>6.1526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109</v>
      </c>
      <c r="F2705" s="96" t="s">
        <v>111</v>
      </c>
      <c r="G2705" s="97">
        <v>46132</v>
      </c>
      <c r="H2705" s="98">
        <v>0.6614930555555556</v>
      </c>
      <c r="I2705" s="50">
        <v>169002731</v>
      </c>
      <c r="J2705" s="96" t="s">
        <v>157</v>
      </c>
      <c r="K2705" s="49" t="s">
        <v>2817</v>
      </c>
      <c r="L2705" s="39"/>
      <c r="M2705" s="49" t="s">
        <v>268</v>
      </c>
      <c r="N2705" s="39" t="s">
        <v>433</v>
      </c>
      <c r="O2705" s="96" t="s">
        <v>2818</v>
      </c>
      <c r="P2705" s="49" t="s">
        <v>157</v>
      </c>
      <c r="Q2705" s="96" t="s">
        <v>104</v>
      </c>
      <c r="R2705" s="52">
        <v>22.9</v>
      </c>
      <c r="S2705" s="52">
        <f>R2705-T2705</f>
        <v>20.44642857142857</v>
      </c>
      <c r="T2705" s="52">
        <f>R2705*U2705/(U2705+100)</f>
        <v>2.4535714285714283</v>
      </c>
      <c r="U2705" s="50">
        <v>12</v>
      </c>
      <c r="V2705" s="53">
        <v>0</v>
      </c>
      <c r="W2705" s="147">
        <v>1</v>
      </c>
      <c r="X2705" s="148" t="s">
        <v>945</v>
      </c>
      <c r="Y2705" s="54">
        <f>R2705*W2705</f>
        <v>22.9</v>
      </c>
      <c r="Z2705" s="52">
        <f>S2705*W2705</f>
        <v>20.44642857142857</v>
      </c>
      <c r="AA2705" s="52">
        <f>T2705*W2705</f>
        <v>2.4535714285714283</v>
      </c>
      <c r="AB2705" s="52">
        <f>V2705*W2705</f>
        <v>0</v>
      </c>
      <c r="AC2705" s="53">
        <f>(R2705+V2705)*W2705</f>
        <v>22.9</v>
      </c>
      <c r="AD2705" s="138">
        <v>22.9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109</v>
      </c>
      <c r="F2706" s="96" t="s">
        <v>111</v>
      </c>
      <c r="G2706" s="97">
        <v>46132</v>
      </c>
      <c r="H2706" s="98">
        <v>0.661875</v>
      </c>
      <c r="I2706" s="50">
        <v>169002732</v>
      </c>
      <c r="J2706" s="96" t="s">
        <v>157</v>
      </c>
      <c r="K2706" s="49" t="s">
        <v>3631</v>
      </c>
      <c r="L2706" s="39" t="s">
        <v>3632</v>
      </c>
      <c r="M2706" s="49" t="s">
        <v>475</v>
      </c>
      <c r="N2706" s="39" t="s">
        <v>1475</v>
      </c>
      <c r="O2706" s="96" t="s">
        <v>3633</v>
      </c>
      <c r="P2706" s="49" t="s">
        <v>157</v>
      </c>
      <c r="Q2706" s="96" t="s">
        <v>104</v>
      </c>
      <c r="R2706" s="52">
        <v>45.9</v>
      </c>
      <c r="S2706" s="52">
        <f>R2706-T2706</f>
        <v>40.982142857142854</v>
      </c>
      <c r="T2706" s="52">
        <f>R2706*U2706/(U2706+100)</f>
        <v>4.917857142857143</v>
      </c>
      <c r="U2706" s="50">
        <v>12</v>
      </c>
      <c r="V2706" s="53">
        <v>0</v>
      </c>
      <c r="W2706" s="147">
        <v>1</v>
      </c>
      <c r="X2706" s="148" t="s">
        <v>163</v>
      </c>
      <c r="Y2706" s="54">
        <f>R2706*W2706</f>
        <v>45.9</v>
      </c>
      <c r="Z2706" s="52">
        <f>S2706*W2706</f>
        <v>40.982142857142854</v>
      </c>
      <c r="AA2706" s="52">
        <f>T2706*W2706</f>
        <v>4.917857142857143</v>
      </c>
      <c r="AB2706" s="52">
        <f>V2706*W2706</f>
        <v>0</v>
      </c>
      <c r="AC2706" s="53">
        <f>(R2706+V2706)*W2706</f>
        <v>45.9</v>
      </c>
      <c r="AD2706" s="138">
        <v>45.9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109</v>
      </c>
      <c r="F2707" s="96" t="s">
        <v>111</v>
      </c>
      <c r="G2707" s="97">
        <v>46132</v>
      </c>
      <c r="H2707" s="98">
        <v>0.661875</v>
      </c>
      <c r="I2707" s="50">
        <v>169002732</v>
      </c>
      <c r="J2707" s="96" t="s">
        <v>157</v>
      </c>
      <c r="K2707" s="49" t="s">
        <v>1263</v>
      </c>
      <c r="L2707" s="39" t="s">
        <v>1264</v>
      </c>
      <c r="M2707" s="49" t="s">
        <v>509</v>
      </c>
      <c r="N2707" s="39" t="s">
        <v>256</v>
      </c>
      <c r="O2707" s="96" t="s">
        <v>1265</v>
      </c>
      <c r="P2707" s="49" t="s">
        <v>157</v>
      </c>
      <c r="Q2707" s="96" t="s">
        <v>104</v>
      </c>
      <c r="R2707" s="52">
        <v>16.9</v>
      </c>
      <c r="S2707" s="52">
        <f>R2707-T2707</f>
        <v>13.96694214876033</v>
      </c>
      <c r="T2707" s="52">
        <f>R2707*U2707/(U2707+100)</f>
        <v>2.9330578512396692</v>
      </c>
      <c r="U2707" s="50">
        <v>21</v>
      </c>
      <c r="V2707" s="53">
        <v>0</v>
      </c>
      <c r="W2707" s="147">
        <v>4</v>
      </c>
      <c r="X2707" s="148" t="s">
        <v>163</v>
      </c>
      <c r="Y2707" s="54">
        <f>R2707*W2707</f>
        <v>67.6</v>
      </c>
      <c r="Z2707" s="52">
        <f>S2707*W2707</f>
        <v>55.86776859504132</v>
      </c>
      <c r="AA2707" s="52">
        <f>T2707*W2707</f>
        <v>11.732231404958677</v>
      </c>
      <c r="AB2707" s="52">
        <f>V2707*W2707</f>
        <v>0</v>
      </c>
      <c r="AC2707" s="53">
        <f>(R2707+V2707)*W2707</f>
        <v>67.6</v>
      </c>
      <c r="AD2707" s="138">
        <v>16.9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109</v>
      </c>
      <c r="F2708" s="96" t="s">
        <v>111</v>
      </c>
      <c r="G2708" s="97">
        <v>46132</v>
      </c>
      <c r="H2708" s="98">
        <v>0.661875</v>
      </c>
      <c r="I2708" s="50">
        <v>169002732</v>
      </c>
      <c r="J2708" s="96" t="s">
        <v>157</v>
      </c>
      <c r="K2708" s="49" t="s">
        <v>3634</v>
      </c>
      <c r="L2708" s="39" t="s">
        <v>3635</v>
      </c>
      <c r="M2708" s="49" t="s">
        <v>3387</v>
      </c>
      <c r="N2708" s="39" t="s">
        <v>273</v>
      </c>
      <c r="O2708" s="96" t="s">
        <v>3636</v>
      </c>
      <c r="P2708" s="49" t="s">
        <v>157</v>
      </c>
      <c r="Q2708" s="96" t="s">
        <v>104</v>
      </c>
      <c r="R2708" s="52">
        <v>57.9</v>
      </c>
      <c r="S2708" s="52">
        <f>R2708-T2708</f>
        <v>51.69642857142857</v>
      </c>
      <c r="T2708" s="52">
        <f>R2708*U2708/(U2708+100)</f>
        <v>6.203571428571428</v>
      </c>
      <c r="U2708" s="50">
        <v>12</v>
      </c>
      <c r="V2708" s="53">
        <v>0</v>
      </c>
      <c r="W2708" s="147">
        <v>1</v>
      </c>
      <c r="X2708" s="148" t="s">
        <v>163</v>
      </c>
      <c r="Y2708" s="54">
        <f>R2708*W2708</f>
        <v>57.9</v>
      </c>
      <c r="Z2708" s="52">
        <f>S2708*W2708</f>
        <v>51.69642857142857</v>
      </c>
      <c r="AA2708" s="52">
        <f>T2708*W2708</f>
        <v>6.203571428571428</v>
      </c>
      <c r="AB2708" s="52">
        <f>V2708*W2708</f>
        <v>0</v>
      </c>
      <c r="AC2708" s="53">
        <f>(R2708+V2708)*W2708</f>
        <v>57.9</v>
      </c>
      <c r="AD2708" s="138">
        <v>57.9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109</v>
      </c>
      <c r="F2709" s="96" t="s">
        <v>111</v>
      </c>
      <c r="G2709" s="97">
        <v>46132</v>
      </c>
      <c r="H2709" s="98">
        <v>0.661875</v>
      </c>
      <c r="I2709" s="50">
        <v>169002732</v>
      </c>
      <c r="J2709" s="96" t="s">
        <v>157</v>
      </c>
      <c r="K2709" s="49" t="s">
        <v>553</v>
      </c>
      <c r="L2709" s="39" t="s">
        <v>104</v>
      </c>
      <c r="M2709" s="49" t="s">
        <v>554</v>
      </c>
      <c r="N2709" s="39" t="s">
        <v>296</v>
      </c>
      <c r="O2709" s="96" t="s">
        <v>555</v>
      </c>
      <c r="P2709" s="49" t="s">
        <v>157</v>
      </c>
      <c r="Q2709" s="96" t="s">
        <v>104</v>
      </c>
      <c r="R2709" s="52">
        <v>8.9</v>
      </c>
      <c r="S2709" s="52">
        <f>R2709-T2709</f>
        <v>7.946428571428572</v>
      </c>
      <c r="T2709" s="52">
        <f>R2709*U2709/(U2709+100)</f>
        <v>0.9535714285714286</v>
      </c>
      <c r="U2709" s="50">
        <v>12</v>
      </c>
      <c r="V2709" s="53">
        <v>0</v>
      </c>
      <c r="W2709" s="147">
        <v>2</v>
      </c>
      <c r="X2709" s="148" t="s">
        <v>163</v>
      </c>
      <c r="Y2709" s="54">
        <f>R2709*W2709</f>
        <v>17.8</v>
      </c>
      <c r="Z2709" s="52">
        <f>S2709*W2709</f>
        <v>15.892857142857144</v>
      </c>
      <c r="AA2709" s="52">
        <f>T2709*W2709</f>
        <v>1.9071428571428573</v>
      </c>
      <c r="AB2709" s="52">
        <f>V2709*W2709</f>
        <v>0</v>
      </c>
      <c r="AC2709" s="53">
        <f>(R2709+V2709)*W2709</f>
        <v>17.8</v>
      </c>
      <c r="AD2709" s="138">
        <v>8.9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109</v>
      </c>
      <c r="F2710" s="96" t="s">
        <v>111</v>
      </c>
      <c r="G2710" s="97">
        <v>46132</v>
      </c>
      <c r="H2710" s="98">
        <v>0.6621412037037037</v>
      </c>
      <c r="I2710" s="50">
        <v>169002733</v>
      </c>
      <c r="J2710" s="96" t="s">
        <v>157</v>
      </c>
      <c r="K2710" s="49" t="s">
        <v>553</v>
      </c>
      <c r="L2710" s="39" t="s">
        <v>104</v>
      </c>
      <c r="M2710" s="49" t="s">
        <v>554</v>
      </c>
      <c r="N2710" s="39" t="s">
        <v>296</v>
      </c>
      <c r="O2710" s="96" t="s">
        <v>555</v>
      </c>
      <c r="P2710" s="49" t="s">
        <v>157</v>
      </c>
      <c r="Q2710" s="96" t="s">
        <v>104</v>
      </c>
      <c r="R2710" s="52">
        <v>8.9</v>
      </c>
      <c r="S2710" s="52">
        <f>R2710-T2710</f>
        <v>7.946428571428572</v>
      </c>
      <c r="T2710" s="52">
        <f>R2710*U2710/(U2710+100)</f>
        <v>0.9535714285714286</v>
      </c>
      <c r="U2710" s="50">
        <v>12</v>
      </c>
      <c r="V2710" s="53">
        <v>0</v>
      </c>
      <c r="W2710" s="147">
        <v>1</v>
      </c>
      <c r="X2710" s="148" t="s">
        <v>163</v>
      </c>
      <c r="Y2710" s="54">
        <f>R2710*W2710</f>
        <v>8.9</v>
      </c>
      <c r="Z2710" s="52">
        <f>S2710*W2710</f>
        <v>7.946428571428572</v>
      </c>
      <c r="AA2710" s="52">
        <f>T2710*W2710</f>
        <v>0.9535714285714286</v>
      </c>
      <c r="AB2710" s="52">
        <f>V2710*W2710</f>
        <v>0</v>
      </c>
      <c r="AC2710" s="53">
        <f>(R2710+V2710)*W2710</f>
        <v>8.9</v>
      </c>
      <c r="AD2710" s="138">
        <v>8.9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109</v>
      </c>
      <c r="F2711" s="96" t="s">
        <v>111</v>
      </c>
      <c r="G2711" s="97">
        <v>46132</v>
      </c>
      <c r="H2711" s="98">
        <v>0.6621412037037037</v>
      </c>
      <c r="I2711" s="50">
        <v>169002733</v>
      </c>
      <c r="J2711" s="96" t="s">
        <v>157</v>
      </c>
      <c r="K2711" s="49" t="s">
        <v>942</v>
      </c>
      <c r="L2711" s="39"/>
      <c r="M2711" s="49" t="s">
        <v>295</v>
      </c>
      <c r="N2711" s="39" t="s">
        <v>433</v>
      </c>
      <c r="O2711" s="96" t="s">
        <v>1332</v>
      </c>
      <c r="P2711" s="49" t="s">
        <v>235</v>
      </c>
      <c r="Q2711" s="96" t="s">
        <v>944</v>
      </c>
      <c r="R2711" s="52">
        <v>9.9</v>
      </c>
      <c r="S2711" s="52">
        <f>R2711-T2711</f>
        <v>8.839285714285715</v>
      </c>
      <c r="T2711" s="52">
        <f>R2711*U2711/(U2711+100)</f>
        <v>1.0607142857142857</v>
      </c>
      <c r="U2711" s="50">
        <v>12</v>
      </c>
      <c r="V2711" s="53">
        <v>0</v>
      </c>
      <c r="W2711" s="147">
        <v>1</v>
      </c>
      <c r="X2711" s="148" t="s">
        <v>945</v>
      </c>
      <c r="Y2711" s="54">
        <f>R2711*W2711</f>
        <v>9.9</v>
      </c>
      <c r="Z2711" s="52">
        <f>S2711*W2711</f>
        <v>8.839285714285715</v>
      </c>
      <c r="AA2711" s="52">
        <f>T2711*W2711</f>
        <v>1.0607142857142857</v>
      </c>
      <c r="AB2711" s="52">
        <f>V2711*W2711</f>
        <v>0</v>
      </c>
      <c r="AC2711" s="53">
        <f>(R2711+V2711)*W2711</f>
        <v>9.9</v>
      </c>
      <c r="AD2711" s="138">
        <v>9.9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109</v>
      </c>
      <c r="F2712" s="96" t="s">
        <v>111</v>
      </c>
      <c r="G2712" s="97">
        <v>46132</v>
      </c>
      <c r="H2712" s="98">
        <v>0.6624652777777778</v>
      </c>
      <c r="I2712" s="50">
        <v>169002734</v>
      </c>
      <c r="J2712" s="96" t="s">
        <v>157</v>
      </c>
      <c r="K2712" s="49" t="s">
        <v>3637</v>
      </c>
      <c r="L2712" s="39" t="s">
        <v>3638</v>
      </c>
      <c r="M2712" s="49" t="s">
        <v>547</v>
      </c>
      <c r="N2712" s="39" t="s">
        <v>2093</v>
      </c>
      <c r="O2712" s="96" t="s">
        <v>3639</v>
      </c>
      <c r="P2712" s="49" t="s">
        <v>157</v>
      </c>
      <c r="Q2712" s="96" t="s">
        <v>104</v>
      </c>
      <c r="R2712" s="52">
        <v>39.9</v>
      </c>
      <c r="S2712" s="52">
        <f>R2712-T2712</f>
        <v>35.625</v>
      </c>
      <c r="T2712" s="52">
        <f>R2712*U2712/(U2712+100)</f>
        <v>4.2749999999999995</v>
      </c>
      <c r="U2712" s="50">
        <v>12</v>
      </c>
      <c r="V2712" s="53">
        <v>0</v>
      </c>
      <c r="W2712" s="147">
        <v>1</v>
      </c>
      <c r="X2712" s="148" t="s">
        <v>163</v>
      </c>
      <c r="Y2712" s="54">
        <f>R2712*W2712</f>
        <v>39.9</v>
      </c>
      <c r="Z2712" s="52">
        <f>S2712*W2712</f>
        <v>35.625</v>
      </c>
      <c r="AA2712" s="52">
        <f>T2712*W2712</f>
        <v>4.2749999999999995</v>
      </c>
      <c r="AB2712" s="52">
        <f>V2712*W2712</f>
        <v>0</v>
      </c>
      <c r="AC2712" s="53">
        <f>(R2712+V2712)*W2712</f>
        <v>39.9</v>
      </c>
      <c r="AD2712" s="138">
        <v>39.9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109</v>
      </c>
      <c r="F2713" s="96" t="s">
        <v>111</v>
      </c>
      <c r="G2713" s="97">
        <v>46132</v>
      </c>
      <c r="H2713" s="98">
        <v>0.6629861111111112</v>
      </c>
      <c r="I2713" s="50">
        <v>169002735</v>
      </c>
      <c r="J2713" s="96" t="s">
        <v>157</v>
      </c>
      <c r="K2713" s="49" t="s">
        <v>3640</v>
      </c>
      <c r="L2713" s="39" t="s">
        <v>3641</v>
      </c>
      <c r="M2713" s="49" t="s">
        <v>862</v>
      </c>
      <c r="N2713" s="39" t="s">
        <v>863</v>
      </c>
      <c r="O2713" s="96" t="s">
        <v>3642</v>
      </c>
      <c r="P2713" s="49" t="s">
        <v>157</v>
      </c>
      <c r="Q2713" s="96" t="s">
        <v>104</v>
      </c>
      <c r="R2713" s="52">
        <v>161</v>
      </c>
      <c r="S2713" s="52">
        <f>R2713-T2713</f>
        <v>133.05785123966942</v>
      </c>
      <c r="T2713" s="52">
        <f>R2713*U2713/(U2713+100)</f>
        <v>27.94214876033058</v>
      </c>
      <c r="U2713" s="50">
        <v>21</v>
      </c>
      <c r="V2713" s="53">
        <v>0</v>
      </c>
      <c r="W2713" s="147">
        <v>1</v>
      </c>
      <c r="X2713" s="148" t="s">
        <v>163</v>
      </c>
      <c r="Y2713" s="54">
        <f>R2713*W2713</f>
        <v>161</v>
      </c>
      <c r="Z2713" s="52">
        <f>S2713*W2713</f>
        <v>133.05785123966942</v>
      </c>
      <c r="AA2713" s="52">
        <f>T2713*W2713</f>
        <v>27.94214876033058</v>
      </c>
      <c r="AB2713" s="52">
        <f>V2713*W2713</f>
        <v>0</v>
      </c>
      <c r="AC2713" s="53">
        <f>(R2713+V2713)*W2713</f>
        <v>161</v>
      </c>
      <c r="AD2713" s="138">
        <v>161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109</v>
      </c>
      <c r="F2714" s="96" t="s">
        <v>111</v>
      </c>
      <c r="G2714" s="97">
        <v>46132</v>
      </c>
      <c r="H2714" s="98">
        <v>0.6641203703703704</v>
      </c>
      <c r="I2714" s="50">
        <v>169002736</v>
      </c>
      <c r="J2714" s="96" t="s">
        <v>157</v>
      </c>
      <c r="K2714" s="49" t="s">
        <v>3643</v>
      </c>
      <c r="L2714" s="39" t="s">
        <v>3644</v>
      </c>
      <c r="M2714" s="49" t="s">
        <v>384</v>
      </c>
      <c r="N2714" s="39" t="s">
        <v>1956</v>
      </c>
      <c r="O2714" s="96" t="s">
        <v>3645</v>
      </c>
      <c r="P2714" s="49" t="s">
        <v>157</v>
      </c>
      <c r="Q2714" s="96" t="s">
        <v>104</v>
      </c>
      <c r="R2714" s="52">
        <v>24.9</v>
      </c>
      <c r="S2714" s="52">
        <f>R2714-T2714</f>
        <v>22.232142857142858</v>
      </c>
      <c r="T2714" s="52">
        <f>R2714*U2714/(U2714+100)</f>
        <v>2.6678571428571423</v>
      </c>
      <c r="U2714" s="50">
        <v>12</v>
      </c>
      <c r="V2714" s="53">
        <v>0</v>
      </c>
      <c r="W2714" s="147">
        <v>1</v>
      </c>
      <c r="X2714" s="148" t="s">
        <v>163</v>
      </c>
      <c r="Y2714" s="54">
        <f>R2714*W2714</f>
        <v>24.9</v>
      </c>
      <c r="Z2714" s="52">
        <f>S2714*W2714</f>
        <v>22.232142857142858</v>
      </c>
      <c r="AA2714" s="52">
        <f>T2714*W2714</f>
        <v>2.6678571428571423</v>
      </c>
      <c r="AB2714" s="52">
        <f>V2714*W2714</f>
        <v>0</v>
      </c>
      <c r="AC2714" s="53">
        <f>(R2714+V2714)*W2714</f>
        <v>24.9</v>
      </c>
      <c r="AD2714" s="138">
        <v>24.9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109</v>
      </c>
      <c r="F2715" s="96" t="s">
        <v>111</v>
      </c>
      <c r="G2715" s="97">
        <v>46132</v>
      </c>
      <c r="H2715" s="98">
        <v>0.6641203703703704</v>
      </c>
      <c r="I2715" s="50">
        <v>169002736</v>
      </c>
      <c r="J2715" s="96" t="s">
        <v>157</v>
      </c>
      <c r="K2715" s="49" t="s">
        <v>1494</v>
      </c>
      <c r="L2715" s="39" t="s">
        <v>1495</v>
      </c>
      <c r="M2715" s="49" t="s">
        <v>190</v>
      </c>
      <c r="N2715" s="39" t="s">
        <v>191</v>
      </c>
      <c r="O2715" s="96" t="s">
        <v>1496</v>
      </c>
      <c r="P2715" s="49" t="s">
        <v>157</v>
      </c>
      <c r="Q2715" s="96" t="s">
        <v>104</v>
      </c>
      <c r="R2715" s="52">
        <v>79.9</v>
      </c>
      <c r="S2715" s="52">
        <f>R2715-T2715</f>
        <v>71.33928571428572</v>
      </c>
      <c r="T2715" s="52">
        <f>R2715*U2715/(U2715+100)</f>
        <v>8.560714285714287</v>
      </c>
      <c r="U2715" s="50">
        <v>12</v>
      </c>
      <c r="V2715" s="53">
        <v>0</v>
      </c>
      <c r="W2715" s="147">
        <v>0.124</v>
      </c>
      <c r="X2715" s="148" t="s">
        <v>193</v>
      </c>
      <c r="Y2715" s="54">
        <f>R2715*W2715</f>
        <v>9.9076</v>
      </c>
      <c r="Z2715" s="52">
        <f>S2715*W2715</f>
        <v>8.84607142857143</v>
      </c>
      <c r="AA2715" s="52">
        <f>T2715*W2715</f>
        <v>1.0615285714285716</v>
      </c>
      <c r="AB2715" s="52">
        <f>V2715*W2715</f>
        <v>0</v>
      </c>
      <c r="AC2715" s="53">
        <f>(R2715+V2715)*W2715</f>
        <v>9.9076</v>
      </c>
      <c r="AD2715" s="138">
        <v>79.9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109</v>
      </c>
      <c r="F2716" s="96" t="s">
        <v>111</v>
      </c>
      <c r="G2716" s="97">
        <v>46132</v>
      </c>
      <c r="H2716" s="98">
        <v>0.6641203703703704</v>
      </c>
      <c r="I2716" s="50">
        <v>169002736</v>
      </c>
      <c r="J2716" s="96" t="s">
        <v>157</v>
      </c>
      <c r="K2716" s="49" t="s">
        <v>1865</v>
      </c>
      <c r="L2716" s="39" t="s">
        <v>1866</v>
      </c>
      <c r="M2716" s="49" t="s">
        <v>190</v>
      </c>
      <c r="N2716" s="39" t="s">
        <v>191</v>
      </c>
      <c r="O2716" s="96" t="s">
        <v>1867</v>
      </c>
      <c r="P2716" s="49" t="s">
        <v>157</v>
      </c>
      <c r="Q2716" s="96" t="s">
        <v>104</v>
      </c>
      <c r="R2716" s="52">
        <v>14.9</v>
      </c>
      <c r="S2716" s="52">
        <f>R2716-T2716</f>
        <v>13.303571428571429</v>
      </c>
      <c r="T2716" s="52">
        <f>R2716*U2716/(U2716+100)</f>
        <v>1.5964285714285715</v>
      </c>
      <c r="U2716" s="50">
        <v>12</v>
      </c>
      <c r="V2716" s="53">
        <v>0</v>
      </c>
      <c r="W2716" s="147">
        <v>0.276</v>
      </c>
      <c r="X2716" s="148" t="s">
        <v>193</v>
      </c>
      <c r="Y2716" s="54">
        <f>R2716*W2716</f>
        <v>4.1124</v>
      </c>
      <c r="Z2716" s="52">
        <f>S2716*W2716</f>
        <v>3.671785714285715</v>
      </c>
      <c r="AA2716" s="52">
        <f>T2716*W2716</f>
        <v>0.4406142857142858</v>
      </c>
      <c r="AB2716" s="52">
        <f>V2716*W2716</f>
        <v>0</v>
      </c>
      <c r="AC2716" s="53">
        <f>(R2716+V2716)*W2716</f>
        <v>4.1124</v>
      </c>
      <c r="AD2716" s="138">
        <v>14.9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109</v>
      </c>
      <c r="F2717" s="96" t="s">
        <v>111</v>
      </c>
      <c r="G2717" s="97">
        <v>46132</v>
      </c>
      <c r="H2717" s="98">
        <v>0.6647222222222222</v>
      </c>
      <c r="I2717" s="50">
        <v>169002737</v>
      </c>
      <c r="J2717" s="96" t="s">
        <v>157</v>
      </c>
      <c r="K2717" s="49" t="s">
        <v>3646</v>
      </c>
      <c r="L2717" s="39" t="s">
        <v>3647</v>
      </c>
      <c r="M2717" s="49" t="s">
        <v>185</v>
      </c>
      <c r="N2717" s="39" t="s">
        <v>244</v>
      </c>
      <c r="O2717" s="96" t="s">
        <v>3648</v>
      </c>
      <c r="P2717" s="49" t="s">
        <v>157</v>
      </c>
      <c r="Q2717" s="96" t="s">
        <v>104</v>
      </c>
      <c r="R2717" s="52">
        <v>9.9</v>
      </c>
      <c r="S2717" s="52">
        <f>R2717-T2717</f>
        <v>8.839285714285715</v>
      </c>
      <c r="T2717" s="52">
        <f>R2717*U2717/(U2717+100)</f>
        <v>1.0607142857142857</v>
      </c>
      <c r="U2717" s="50">
        <v>12</v>
      </c>
      <c r="V2717" s="53">
        <v>0</v>
      </c>
      <c r="W2717" s="147">
        <v>1</v>
      </c>
      <c r="X2717" s="148" t="s">
        <v>163</v>
      </c>
      <c r="Y2717" s="54">
        <f>R2717*W2717</f>
        <v>9.9</v>
      </c>
      <c r="Z2717" s="52">
        <f>S2717*W2717</f>
        <v>8.839285714285715</v>
      </c>
      <c r="AA2717" s="52">
        <f>T2717*W2717</f>
        <v>1.0607142857142857</v>
      </c>
      <c r="AB2717" s="52">
        <f>V2717*W2717</f>
        <v>0</v>
      </c>
      <c r="AC2717" s="53">
        <f>(R2717+V2717)*W2717</f>
        <v>9.9</v>
      </c>
      <c r="AD2717" s="138">
        <v>9.9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109</v>
      </c>
      <c r="F2718" s="96" t="s">
        <v>111</v>
      </c>
      <c r="G2718" s="97">
        <v>46132</v>
      </c>
      <c r="H2718" s="98">
        <v>0.6647222222222222</v>
      </c>
      <c r="I2718" s="50">
        <v>169002737</v>
      </c>
      <c r="J2718" s="96" t="s">
        <v>157</v>
      </c>
      <c r="K2718" s="49" t="s">
        <v>3649</v>
      </c>
      <c r="L2718" s="39" t="s">
        <v>3650</v>
      </c>
      <c r="M2718" s="49" t="s">
        <v>277</v>
      </c>
      <c r="N2718" s="39" t="s">
        <v>751</v>
      </c>
      <c r="O2718" s="96" t="s">
        <v>3651</v>
      </c>
      <c r="P2718" s="49" t="s">
        <v>235</v>
      </c>
      <c r="Q2718" s="96" t="s">
        <v>753</v>
      </c>
      <c r="R2718" s="52">
        <v>34.9</v>
      </c>
      <c r="S2718" s="52">
        <f>R2718-T2718</f>
        <v>31.160714285714285</v>
      </c>
      <c r="T2718" s="52">
        <f>R2718*U2718/(U2718+100)</f>
        <v>3.739285714285714</v>
      </c>
      <c r="U2718" s="50">
        <v>12</v>
      </c>
      <c r="V2718" s="53">
        <v>0</v>
      </c>
      <c r="W2718" s="147">
        <v>1</v>
      </c>
      <c r="X2718" s="148" t="s">
        <v>163</v>
      </c>
      <c r="Y2718" s="54">
        <f>R2718*W2718</f>
        <v>34.9</v>
      </c>
      <c r="Z2718" s="52">
        <f>S2718*W2718</f>
        <v>31.160714285714285</v>
      </c>
      <c r="AA2718" s="52">
        <f>T2718*W2718</f>
        <v>3.739285714285714</v>
      </c>
      <c r="AB2718" s="52">
        <f>V2718*W2718</f>
        <v>0</v>
      </c>
      <c r="AC2718" s="53">
        <f>(R2718+V2718)*W2718</f>
        <v>34.9</v>
      </c>
      <c r="AD2718" s="138">
        <v>34.9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109</v>
      </c>
      <c r="F2719" s="96" t="s">
        <v>111</v>
      </c>
      <c r="G2719" s="97">
        <v>46132</v>
      </c>
      <c r="H2719" s="98">
        <v>0.6647222222222222</v>
      </c>
      <c r="I2719" s="50">
        <v>169002737</v>
      </c>
      <c r="J2719" s="96" t="s">
        <v>157</v>
      </c>
      <c r="K2719" s="49" t="s">
        <v>1012</v>
      </c>
      <c r="L2719" s="39" t="s">
        <v>1013</v>
      </c>
      <c r="M2719" s="49" t="s">
        <v>232</v>
      </c>
      <c r="N2719" s="39" t="s">
        <v>233</v>
      </c>
      <c r="O2719" s="96" t="s">
        <v>1014</v>
      </c>
      <c r="P2719" s="49" t="s">
        <v>157</v>
      </c>
      <c r="Q2719" s="96" t="s">
        <v>104</v>
      </c>
      <c r="R2719" s="52">
        <v>22.9</v>
      </c>
      <c r="S2719" s="52">
        <f>R2719-T2719</f>
        <v>18.925619834710744</v>
      </c>
      <c r="T2719" s="52">
        <f>R2719*U2719/(U2719+100)</f>
        <v>3.974380165289256</v>
      </c>
      <c r="U2719" s="50">
        <v>21</v>
      </c>
      <c r="V2719" s="53">
        <v>0</v>
      </c>
      <c r="W2719" s="147">
        <v>1</v>
      </c>
      <c r="X2719" s="148" t="s">
        <v>163</v>
      </c>
      <c r="Y2719" s="54">
        <f>R2719*W2719</f>
        <v>22.9</v>
      </c>
      <c r="Z2719" s="52">
        <f>S2719*W2719</f>
        <v>18.925619834710744</v>
      </c>
      <c r="AA2719" s="52">
        <f>T2719*W2719</f>
        <v>3.974380165289256</v>
      </c>
      <c r="AB2719" s="52">
        <f>V2719*W2719</f>
        <v>0</v>
      </c>
      <c r="AC2719" s="53">
        <f>(R2719+V2719)*W2719</f>
        <v>22.9</v>
      </c>
      <c r="AD2719" s="138">
        <v>22.9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109</v>
      </c>
      <c r="F2720" s="96" t="s">
        <v>111</v>
      </c>
      <c r="G2720" s="97">
        <v>46132</v>
      </c>
      <c r="H2720" s="98">
        <v>0.6647222222222222</v>
      </c>
      <c r="I2720" s="50">
        <v>169002737</v>
      </c>
      <c r="J2720" s="96" t="s">
        <v>157</v>
      </c>
      <c r="K2720" s="49" t="s">
        <v>1329</v>
      </c>
      <c r="L2720" s="39" t="s">
        <v>1330</v>
      </c>
      <c r="M2720" s="49" t="s">
        <v>403</v>
      </c>
      <c r="N2720" s="39" t="s">
        <v>373</v>
      </c>
      <c r="O2720" s="96" t="s">
        <v>1331</v>
      </c>
      <c r="P2720" s="49" t="s">
        <v>157</v>
      </c>
      <c r="Q2720" s="96" t="s">
        <v>104</v>
      </c>
      <c r="R2720" s="52">
        <v>171.9</v>
      </c>
      <c r="S2720" s="52">
        <f>R2720-T2720</f>
        <v>153.48214285714286</v>
      </c>
      <c r="T2720" s="52">
        <f>R2720*U2720/(U2720+100)</f>
        <v>18.417857142857144</v>
      </c>
      <c r="U2720" s="50">
        <v>12</v>
      </c>
      <c r="V2720" s="53">
        <v>0</v>
      </c>
      <c r="W2720" s="147">
        <v>0.316</v>
      </c>
      <c r="X2720" s="148" t="s">
        <v>193</v>
      </c>
      <c r="Y2720" s="54">
        <f>R2720*W2720</f>
        <v>54.3204</v>
      </c>
      <c r="Z2720" s="52">
        <f>S2720*W2720</f>
        <v>48.50035714285715</v>
      </c>
      <c r="AA2720" s="52">
        <f>T2720*W2720</f>
        <v>5.820042857142858</v>
      </c>
      <c r="AB2720" s="52">
        <f>V2720*W2720</f>
        <v>0</v>
      </c>
      <c r="AC2720" s="53">
        <f>(R2720+V2720)*W2720</f>
        <v>54.3204</v>
      </c>
      <c r="AD2720" s="138">
        <v>171.9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109</v>
      </c>
      <c r="F2721" s="96" t="s">
        <v>111</v>
      </c>
      <c r="G2721" s="97">
        <v>46132</v>
      </c>
      <c r="H2721" s="98">
        <v>0.6655555555555556</v>
      </c>
      <c r="I2721" s="50">
        <v>169002738</v>
      </c>
      <c r="J2721" s="96" t="s">
        <v>157</v>
      </c>
      <c r="K2721" s="49" t="s">
        <v>631</v>
      </c>
      <c r="L2721" s="39" t="s">
        <v>632</v>
      </c>
      <c r="M2721" s="49" t="s">
        <v>190</v>
      </c>
      <c r="N2721" s="39" t="s">
        <v>191</v>
      </c>
      <c r="O2721" s="96" t="s">
        <v>633</v>
      </c>
      <c r="P2721" s="49" t="s">
        <v>157</v>
      </c>
      <c r="Q2721" s="96" t="s">
        <v>104</v>
      </c>
      <c r="R2721" s="52">
        <v>56.9</v>
      </c>
      <c r="S2721" s="52">
        <f>R2721-T2721</f>
        <v>50.80357142857143</v>
      </c>
      <c r="T2721" s="52">
        <f>R2721*U2721/(U2721+100)</f>
        <v>6.096428571428571</v>
      </c>
      <c r="U2721" s="50">
        <v>12</v>
      </c>
      <c r="V2721" s="53">
        <v>0</v>
      </c>
      <c r="W2721" s="147">
        <v>0.078</v>
      </c>
      <c r="X2721" s="148" t="s">
        <v>193</v>
      </c>
      <c r="Y2721" s="54">
        <f>R2721*W2721</f>
        <v>4.4382</v>
      </c>
      <c r="Z2721" s="52">
        <f>S2721*W2721</f>
        <v>3.9626785714285715</v>
      </c>
      <c r="AA2721" s="52">
        <f>T2721*W2721</f>
        <v>0.4755214285714285</v>
      </c>
      <c r="AB2721" s="52">
        <f>V2721*W2721</f>
        <v>0</v>
      </c>
      <c r="AC2721" s="53">
        <f>(R2721+V2721)*W2721</f>
        <v>4.4382</v>
      </c>
      <c r="AD2721" s="138">
        <v>56.9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109</v>
      </c>
      <c r="F2722" s="96" t="s">
        <v>111</v>
      </c>
      <c r="G2722" s="97">
        <v>46132</v>
      </c>
      <c r="H2722" s="98">
        <v>0.6668402777777778</v>
      </c>
      <c r="I2722" s="50">
        <v>169002739</v>
      </c>
      <c r="J2722" s="96" t="s">
        <v>157</v>
      </c>
      <c r="K2722" s="49" t="s">
        <v>3652</v>
      </c>
      <c r="L2722" s="39" t="s">
        <v>3653</v>
      </c>
      <c r="M2722" s="49" t="s">
        <v>300</v>
      </c>
      <c r="N2722" s="39" t="s">
        <v>778</v>
      </c>
      <c r="O2722" s="96" t="s">
        <v>3654</v>
      </c>
      <c r="P2722" s="49" t="s">
        <v>157</v>
      </c>
      <c r="Q2722" s="96" t="s">
        <v>104</v>
      </c>
      <c r="R2722" s="52">
        <v>32.9</v>
      </c>
      <c r="S2722" s="52">
        <f>R2722-T2722</f>
        <v>29.375</v>
      </c>
      <c r="T2722" s="52">
        <f>R2722*U2722/(U2722+100)</f>
        <v>3.5249999999999995</v>
      </c>
      <c r="U2722" s="50">
        <v>12</v>
      </c>
      <c r="V2722" s="53">
        <v>0</v>
      </c>
      <c r="W2722" s="147">
        <v>1</v>
      </c>
      <c r="X2722" s="148" t="s">
        <v>163</v>
      </c>
      <c r="Y2722" s="54">
        <f>R2722*W2722</f>
        <v>32.9</v>
      </c>
      <c r="Z2722" s="52">
        <f>S2722*W2722</f>
        <v>29.375</v>
      </c>
      <c r="AA2722" s="52">
        <f>T2722*W2722</f>
        <v>3.5249999999999995</v>
      </c>
      <c r="AB2722" s="52">
        <f>V2722*W2722</f>
        <v>0</v>
      </c>
      <c r="AC2722" s="53">
        <f>(R2722+V2722)*W2722</f>
        <v>32.9</v>
      </c>
      <c r="AD2722" s="138">
        <v>32.9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109</v>
      </c>
      <c r="F2723" s="96" t="s">
        <v>111</v>
      </c>
      <c r="G2723" s="97">
        <v>46132</v>
      </c>
      <c r="H2723" s="98">
        <v>0.6668402777777778</v>
      </c>
      <c r="I2723" s="50">
        <v>169002739</v>
      </c>
      <c r="J2723" s="96" t="s">
        <v>157</v>
      </c>
      <c r="K2723" s="49" t="s">
        <v>655</v>
      </c>
      <c r="L2723" s="39" t="s">
        <v>656</v>
      </c>
      <c r="M2723" s="49" t="s">
        <v>190</v>
      </c>
      <c r="N2723" s="39" t="s">
        <v>532</v>
      </c>
      <c r="O2723" s="96" t="s">
        <v>657</v>
      </c>
      <c r="P2723" s="49" t="s">
        <v>157</v>
      </c>
      <c r="Q2723" s="96" t="s">
        <v>104</v>
      </c>
      <c r="R2723" s="52">
        <v>17.95</v>
      </c>
      <c r="S2723" s="52">
        <f>R2723-T2723</f>
        <v>16.026785714285715</v>
      </c>
      <c r="T2723" s="52">
        <f>R2723*U2723/(U2723+100)</f>
        <v>1.9232142857142855</v>
      </c>
      <c r="U2723" s="50">
        <v>12</v>
      </c>
      <c r="V2723" s="53">
        <v>0</v>
      </c>
      <c r="W2723" s="147">
        <v>1.3</v>
      </c>
      <c r="X2723" s="148" t="s">
        <v>193</v>
      </c>
      <c r="Y2723" s="54">
        <f>R2723*W2723</f>
        <v>23.335</v>
      </c>
      <c r="Z2723" s="52">
        <f>S2723*W2723</f>
        <v>20.83482142857143</v>
      </c>
      <c r="AA2723" s="52">
        <f>T2723*W2723</f>
        <v>2.500178571428571</v>
      </c>
      <c r="AB2723" s="52">
        <f>V2723*W2723</f>
        <v>0</v>
      </c>
      <c r="AC2723" s="53">
        <f>(R2723+V2723)*W2723</f>
        <v>23.335</v>
      </c>
      <c r="AD2723" s="138">
        <v>17.95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109</v>
      </c>
      <c r="F2724" s="96" t="s">
        <v>111</v>
      </c>
      <c r="G2724" s="97">
        <v>46132</v>
      </c>
      <c r="H2724" s="98">
        <v>0.6668402777777778</v>
      </c>
      <c r="I2724" s="50">
        <v>169002739</v>
      </c>
      <c r="J2724" s="96" t="s">
        <v>157</v>
      </c>
      <c r="K2724" s="49" t="s">
        <v>530</v>
      </c>
      <c r="L2724" s="39" t="s">
        <v>531</v>
      </c>
      <c r="M2724" s="49" t="s">
        <v>190</v>
      </c>
      <c r="N2724" s="39" t="s">
        <v>532</v>
      </c>
      <c r="O2724" s="96" t="s">
        <v>533</v>
      </c>
      <c r="P2724" s="49" t="s">
        <v>157</v>
      </c>
      <c r="Q2724" s="96" t="s">
        <v>104</v>
      </c>
      <c r="R2724" s="52">
        <v>25.9</v>
      </c>
      <c r="S2724" s="52">
        <f>R2724-T2724</f>
        <v>23.125</v>
      </c>
      <c r="T2724" s="52">
        <f>R2724*U2724/(U2724+100)</f>
        <v>2.7749999999999995</v>
      </c>
      <c r="U2724" s="50">
        <v>12</v>
      </c>
      <c r="V2724" s="53">
        <v>0</v>
      </c>
      <c r="W2724" s="147">
        <v>1.338</v>
      </c>
      <c r="X2724" s="148" t="s">
        <v>193</v>
      </c>
      <c r="Y2724" s="54">
        <f>R2724*W2724</f>
        <v>34.6542</v>
      </c>
      <c r="Z2724" s="52">
        <f>S2724*W2724</f>
        <v>30.94125</v>
      </c>
      <c r="AA2724" s="52">
        <f>T2724*W2724</f>
        <v>3.7129499999999993</v>
      </c>
      <c r="AB2724" s="52">
        <f>V2724*W2724</f>
        <v>0</v>
      </c>
      <c r="AC2724" s="53">
        <f>(R2724+V2724)*W2724</f>
        <v>34.6542</v>
      </c>
      <c r="AD2724" s="138">
        <v>25.9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109</v>
      </c>
      <c r="F2725" s="96" t="s">
        <v>111</v>
      </c>
      <c r="G2725" s="97">
        <v>46132</v>
      </c>
      <c r="H2725" s="98">
        <v>0.6681481481481482</v>
      </c>
      <c r="I2725" s="50">
        <v>169002740</v>
      </c>
      <c r="J2725" s="96" t="s">
        <v>157</v>
      </c>
      <c r="K2725" s="49" t="s">
        <v>2219</v>
      </c>
      <c r="L2725" s="39" t="s">
        <v>2220</v>
      </c>
      <c r="M2725" s="49" t="s">
        <v>678</v>
      </c>
      <c r="N2725" s="39" t="s">
        <v>319</v>
      </c>
      <c r="O2725" s="96" t="s">
        <v>2221</v>
      </c>
      <c r="P2725" s="49" t="s">
        <v>157</v>
      </c>
      <c r="Q2725" s="96" t="s">
        <v>104</v>
      </c>
      <c r="R2725" s="52">
        <v>23.9</v>
      </c>
      <c r="S2725" s="52">
        <f>R2725-T2725</f>
        <v>21.33928571428571</v>
      </c>
      <c r="T2725" s="52">
        <f>R2725*U2725/(U2725+100)</f>
        <v>2.5607142857142855</v>
      </c>
      <c r="U2725" s="50">
        <v>12</v>
      </c>
      <c r="V2725" s="53">
        <v>0</v>
      </c>
      <c r="W2725" s="147">
        <v>1</v>
      </c>
      <c r="X2725" s="148" t="s">
        <v>163</v>
      </c>
      <c r="Y2725" s="54">
        <f>R2725*W2725</f>
        <v>23.9</v>
      </c>
      <c r="Z2725" s="52">
        <f>S2725*W2725</f>
        <v>21.33928571428571</v>
      </c>
      <c r="AA2725" s="52">
        <f>T2725*W2725</f>
        <v>2.5607142857142855</v>
      </c>
      <c r="AB2725" s="52">
        <f>V2725*W2725</f>
        <v>0</v>
      </c>
      <c r="AC2725" s="53">
        <f>(R2725+V2725)*W2725</f>
        <v>23.9</v>
      </c>
      <c r="AD2725" s="138">
        <v>23.9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109</v>
      </c>
      <c r="F2726" s="96" t="s">
        <v>111</v>
      </c>
      <c r="G2726" s="97">
        <v>46132</v>
      </c>
      <c r="H2726" s="98">
        <v>0.6681481481481482</v>
      </c>
      <c r="I2726" s="50">
        <v>169002740</v>
      </c>
      <c r="J2726" s="96" t="s">
        <v>157</v>
      </c>
      <c r="K2726" s="49" t="s">
        <v>2219</v>
      </c>
      <c r="L2726" s="39" t="s">
        <v>2220</v>
      </c>
      <c r="M2726" s="49" t="s">
        <v>678</v>
      </c>
      <c r="N2726" s="39" t="s">
        <v>319</v>
      </c>
      <c r="O2726" s="96" t="s">
        <v>2221</v>
      </c>
      <c r="P2726" s="49" t="s">
        <v>157</v>
      </c>
      <c r="Q2726" s="96" t="s">
        <v>104</v>
      </c>
      <c r="R2726" s="52">
        <v>23.9</v>
      </c>
      <c r="S2726" s="52">
        <f>R2726-T2726</f>
        <v>21.33928571428571</v>
      </c>
      <c r="T2726" s="52">
        <f>R2726*U2726/(U2726+100)</f>
        <v>2.5607142857142855</v>
      </c>
      <c r="U2726" s="50">
        <v>12</v>
      </c>
      <c r="V2726" s="53">
        <v>0</v>
      </c>
      <c r="W2726" s="147">
        <v>1</v>
      </c>
      <c r="X2726" s="148" t="s">
        <v>163</v>
      </c>
      <c r="Y2726" s="54">
        <f>R2726*W2726</f>
        <v>23.9</v>
      </c>
      <c r="Z2726" s="52">
        <f>S2726*W2726</f>
        <v>21.33928571428571</v>
      </c>
      <c r="AA2726" s="52">
        <f>T2726*W2726</f>
        <v>2.5607142857142855</v>
      </c>
      <c r="AB2726" s="52">
        <f>V2726*W2726</f>
        <v>0</v>
      </c>
      <c r="AC2726" s="53">
        <f>(R2726+V2726)*W2726</f>
        <v>23.9</v>
      </c>
      <c r="AD2726" s="138">
        <v>23.9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109</v>
      </c>
      <c r="F2727" s="96" t="s">
        <v>111</v>
      </c>
      <c r="G2727" s="97">
        <v>46132</v>
      </c>
      <c r="H2727" s="98">
        <v>0.6681481481481482</v>
      </c>
      <c r="I2727" s="50">
        <v>169002740</v>
      </c>
      <c r="J2727" s="96" t="s">
        <v>157</v>
      </c>
      <c r="K2727" s="49" t="s">
        <v>2943</v>
      </c>
      <c r="L2727" s="39" t="s">
        <v>2944</v>
      </c>
      <c r="M2727" s="49" t="s">
        <v>341</v>
      </c>
      <c r="N2727" s="39" t="s">
        <v>167</v>
      </c>
      <c r="O2727" s="96" t="s">
        <v>2945</v>
      </c>
      <c r="P2727" s="49" t="s">
        <v>157</v>
      </c>
      <c r="Q2727" s="96" t="s">
        <v>104</v>
      </c>
      <c r="R2727" s="52">
        <v>19.9</v>
      </c>
      <c r="S2727" s="52">
        <f>R2727-T2727</f>
        <v>16.446280991735534</v>
      </c>
      <c r="T2727" s="52">
        <f>R2727*U2727/(U2727+100)</f>
        <v>3.4537190082644624</v>
      </c>
      <c r="U2727" s="50">
        <v>21</v>
      </c>
      <c r="V2727" s="53">
        <v>0</v>
      </c>
      <c r="W2727" s="147">
        <v>1</v>
      </c>
      <c r="X2727" s="148" t="s">
        <v>163</v>
      </c>
      <c r="Y2727" s="54">
        <f>R2727*W2727</f>
        <v>19.9</v>
      </c>
      <c r="Z2727" s="52">
        <f>S2727*W2727</f>
        <v>16.446280991735534</v>
      </c>
      <c r="AA2727" s="52">
        <f>T2727*W2727</f>
        <v>3.4537190082644624</v>
      </c>
      <c r="AB2727" s="52">
        <f>V2727*W2727</f>
        <v>0</v>
      </c>
      <c r="AC2727" s="53">
        <f>(R2727+V2727)*W2727</f>
        <v>19.9</v>
      </c>
      <c r="AD2727" s="138">
        <v>19.9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109</v>
      </c>
      <c r="F2728" s="96" t="s">
        <v>111</v>
      </c>
      <c r="G2728" s="97">
        <v>46132</v>
      </c>
      <c r="H2728" s="98">
        <v>0.6681481481481482</v>
      </c>
      <c r="I2728" s="50">
        <v>169002740</v>
      </c>
      <c r="J2728" s="96" t="s">
        <v>157</v>
      </c>
      <c r="K2728" s="49" t="s">
        <v>416</v>
      </c>
      <c r="L2728" s="39" t="s">
        <v>417</v>
      </c>
      <c r="M2728" s="49" t="s">
        <v>214</v>
      </c>
      <c r="N2728" s="39" t="s">
        <v>418</v>
      </c>
      <c r="O2728" s="96" t="s">
        <v>1278</v>
      </c>
      <c r="P2728" s="49" t="s">
        <v>157</v>
      </c>
      <c r="Q2728" s="96" t="s">
        <v>104</v>
      </c>
      <c r="R2728" s="52">
        <v>19.9</v>
      </c>
      <c r="S2728" s="52">
        <f>R2728-T2728</f>
        <v>17.767857142857142</v>
      </c>
      <c r="T2728" s="52">
        <f>R2728*U2728/(U2728+100)</f>
        <v>2.132142857142857</v>
      </c>
      <c r="U2728" s="50">
        <v>12</v>
      </c>
      <c r="V2728" s="53">
        <v>0</v>
      </c>
      <c r="W2728" s="147">
        <v>2</v>
      </c>
      <c r="X2728" s="148" t="s">
        <v>163</v>
      </c>
      <c r="Y2728" s="54">
        <f>R2728*W2728</f>
        <v>39.8</v>
      </c>
      <c r="Z2728" s="52">
        <f>S2728*W2728</f>
        <v>35.535714285714285</v>
      </c>
      <c r="AA2728" s="52">
        <f>T2728*W2728</f>
        <v>4.264285714285714</v>
      </c>
      <c r="AB2728" s="52">
        <f>V2728*W2728</f>
        <v>0</v>
      </c>
      <c r="AC2728" s="53">
        <f>(R2728+V2728)*W2728</f>
        <v>39.8</v>
      </c>
      <c r="AD2728" s="138">
        <v>19.9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109</v>
      </c>
      <c r="F2729" s="96" t="s">
        <v>111</v>
      </c>
      <c r="G2729" s="97">
        <v>46132</v>
      </c>
      <c r="H2729" s="98">
        <v>0.6681481481481482</v>
      </c>
      <c r="I2729" s="50">
        <v>169002740</v>
      </c>
      <c r="J2729" s="96" t="s">
        <v>157</v>
      </c>
      <c r="K2729" s="49" t="s">
        <v>303</v>
      </c>
      <c r="L2729" s="39" t="s">
        <v>304</v>
      </c>
      <c r="M2729" s="49" t="s">
        <v>214</v>
      </c>
      <c r="N2729" s="39" t="s">
        <v>296</v>
      </c>
      <c r="O2729" s="96" t="s">
        <v>305</v>
      </c>
      <c r="P2729" s="49" t="s">
        <v>157</v>
      </c>
      <c r="Q2729" s="96" t="s">
        <v>104</v>
      </c>
      <c r="R2729" s="52">
        <v>11.9</v>
      </c>
      <c r="S2729" s="52">
        <f>R2729-T2729</f>
        <v>10.625</v>
      </c>
      <c r="T2729" s="52">
        <f>R2729*U2729/(U2729+100)</f>
        <v>1.2750000000000001</v>
      </c>
      <c r="U2729" s="50">
        <v>12</v>
      </c>
      <c r="V2729" s="53">
        <v>0</v>
      </c>
      <c r="W2729" s="147">
        <v>4</v>
      </c>
      <c r="X2729" s="148" t="s">
        <v>163</v>
      </c>
      <c r="Y2729" s="54">
        <f>R2729*W2729</f>
        <v>47.6</v>
      </c>
      <c r="Z2729" s="52">
        <f>S2729*W2729</f>
        <v>42.5</v>
      </c>
      <c r="AA2729" s="52">
        <f>T2729*W2729</f>
        <v>5.1000000000000005</v>
      </c>
      <c r="AB2729" s="52">
        <f>V2729*W2729</f>
        <v>0</v>
      </c>
      <c r="AC2729" s="53">
        <f>(R2729+V2729)*W2729</f>
        <v>47.6</v>
      </c>
      <c r="AD2729" s="138">
        <v>11.9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109</v>
      </c>
      <c r="F2730" s="96" t="s">
        <v>111</v>
      </c>
      <c r="G2730" s="97">
        <v>46132</v>
      </c>
      <c r="H2730" s="98">
        <v>0.6681481481481482</v>
      </c>
      <c r="I2730" s="50">
        <v>169002740</v>
      </c>
      <c r="J2730" s="96" t="s">
        <v>157</v>
      </c>
      <c r="K2730" s="49" t="s">
        <v>1393</v>
      </c>
      <c r="L2730" s="39" t="s">
        <v>1394</v>
      </c>
      <c r="M2730" s="49" t="s">
        <v>649</v>
      </c>
      <c r="N2730" s="39" t="s">
        <v>440</v>
      </c>
      <c r="O2730" s="96" t="s">
        <v>1395</v>
      </c>
      <c r="P2730" s="49" t="s">
        <v>157</v>
      </c>
      <c r="Q2730" s="96" t="s">
        <v>104</v>
      </c>
      <c r="R2730" s="52">
        <v>42.9</v>
      </c>
      <c r="S2730" s="52">
        <f>R2730-T2730</f>
        <v>38.30357142857143</v>
      </c>
      <c r="T2730" s="52">
        <f>R2730*U2730/(U2730+100)</f>
        <v>4.596428571428571</v>
      </c>
      <c r="U2730" s="50">
        <v>12</v>
      </c>
      <c r="V2730" s="53">
        <v>0</v>
      </c>
      <c r="W2730" s="147">
        <v>1</v>
      </c>
      <c r="X2730" s="148" t="s">
        <v>163</v>
      </c>
      <c r="Y2730" s="54">
        <f>R2730*W2730</f>
        <v>42.9</v>
      </c>
      <c r="Z2730" s="52">
        <f>S2730*W2730</f>
        <v>38.30357142857143</v>
      </c>
      <c r="AA2730" s="52">
        <f>T2730*W2730</f>
        <v>4.596428571428571</v>
      </c>
      <c r="AB2730" s="52">
        <f>V2730*W2730</f>
        <v>0</v>
      </c>
      <c r="AC2730" s="53">
        <f>(R2730+V2730)*W2730</f>
        <v>42.9</v>
      </c>
      <c r="AD2730" s="138">
        <v>42.9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109</v>
      </c>
      <c r="F2731" s="96" t="s">
        <v>111</v>
      </c>
      <c r="G2731" s="97">
        <v>46132</v>
      </c>
      <c r="H2731" s="98">
        <v>0.6681481481481482</v>
      </c>
      <c r="I2731" s="50">
        <v>169002740</v>
      </c>
      <c r="J2731" s="96" t="s">
        <v>157</v>
      </c>
      <c r="K2731" s="49" t="s">
        <v>1531</v>
      </c>
      <c r="L2731" s="39"/>
      <c r="M2731" s="49" t="s">
        <v>295</v>
      </c>
      <c r="N2731" s="39" t="s">
        <v>433</v>
      </c>
      <c r="O2731" s="96" t="s">
        <v>1532</v>
      </c>
      <c r="P2731" s="49" t="s">
        <v>235</v>
      </c>
      <c r="Q2731" s="96" t="s">
        <v>1533</v>
      </c>
      <c r="R2731" s="52">
        <v>19.9</v>
      </c>
      <c r="S2731" s="52">
        <f>R2731-T2731</f>
        <v>17.767857142857142</v>
      </c>
      <c r="T2731" s="52">
        <f>R2731*U2731/(U2731+100)</f>
        <v>2.132142857142857</v>
      </c>
      <c r="U2731" s="50">
        <v>12</v>
      </c>
      <c r="V2731" s="53">
        <v>0</v>
      </c>
      <c r="W2731" s="147">
        <v>1</v>
      </c>
      <c r="X2731" s="148" t="s">
        <v>945</v>
      </c>
      <c r="Y2731" s="54">
        <f>R2731*W2731</f>
        <v>19.9</v>
      </c>
      <c r="Z2731" s="52">
        <f>S2731*W2731</f>
        <v>17.767857142857142</v>
      </c>
      <c r="AA2731" s="52">
        <f>T2731*W2731</f>
        <v>2.132142857142857</v>
      </c>
      <c r="AB2731" s="52">
        <f>V2731*W2731</f>
        <v>0</v>
      </c>
      <c r="AC2731" s="53">
        <f>(R2731+V2731)*W2731</f>
        <v>19.9</v>
      </c>
      <c r="AD2731" s="138">
        <v>19.9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109</v>
      </c>
      <c r="F2732" s="96" t="s">
        <v>111</v>
      </c>
      <c r="G2732" s="97">
        <v>46132</v>
      </c>
      <c r="H2732" s="98">
        <v>0.6684027777777778</v>
      </c>
      <c r="I2732" s="50">
        <v>169002741</v>
      </c>
      <c r="J2732" s="96" t="s">
        <v>157</v>
      </c>
      <c r="K2732" s="49" t="s">
        <v>848</v>
      </c>
      <c r="L2732" s="39" t="s">
        <v>849</v>
      </c>
      <c r="M2732" s="49" t="s">
        <v>522</v>
      </c>
      <c r="N2732" s="39" t="s">
        <v>688</v>
      </c>
      <c r="O2732" s="96" t="s">
        <v>1342</v>
      </c>
      <c r="P2732" s="49" t="s">
        <v>157</v>
      </c>
      <c r="Q2732" s="96" t="s">
        <v>104</v>
      </c>
      <c r="R2732" s="52">
        <v>159.9</v>
      </c>
      <c r="S2732" s="52">
        <f>R2732-T2732</f>
        <v>142.76785714285714</v>
      </c>
      <c r="T2732" s="52">
        <f>R2732*U2732/(U2732+100)</f>
        <v>17.13214285714286</v>
      </c>
      <c r="U2732" s="50">
        <v>12</v>
      </c>
      <c r="V2732" s="53">
        <v>0</v>
      </c>
      <c r="W2732" s="147">
        <v>0.164</v>
      </c>
      <c r="X2732" s="148" t="s">
        <v>193</v>
      </c>
      <c r="Y2732" s="54">
        <f>R2732*W2732</f>
        <v>26.2236</v>
      </c>
      <c r="Z2732" s="52">
        <f>S2732*W2732</f>
        <v>23.41392857142857</v>
      </c>
      <c r="AA2732" s="52">
        <f>T2732*W2732</f>
        <v>2.8096714285714293</v>
      </c>
      <c r="AB2732" s="52">
        <f>V2732*W2732</f>
        <v>0</v>
      </c>
      <c r="AC2732" s="53">
        <f>(R2732+V2732)*W2732</f>
        <v>26.2236</v>
      </c>
      <c r="AD2732" s="138">
        <v>159.9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109</v>
      </c>
      <c r="F2733" s="96" t="s">
        <v>111</v>
      </c>
      <c r="G2733" s="97">
        <v>46132</v>
      </c>
      <c r="H2733" s="98">
        <v>0.6689699074074074</v>
      </c>
      <c r="I2733" s="50">
        <v>169002742</v>
      </c>
      <c r="J2733" s="96" t="s">
        <v>157</v>
      </c>
      <c r="K2733" s="49" t="s">
        <v>3055</v>
      </c>
      <c r="L2733" s="39" t="s">
        <v>3056</v>
      </c>
      <c r="M2733" s="49" t="s">
        <v>185</v>
      </c>
      <c r="N2733" s="39" t="s">
        <v>264</v>
      </c>
      <c r="O2733" s="96" t="s">
        <v>3057</v>
      </c>
      <c r="P2733" s="49" t="s">
        <v>157</v>
      </c>
      <c r="Q2733" s="96" t="s">
        <v>104</v>
      </c>
      <c r="R2733" s="52">
        <v>42.9</v>
      </c>
      <c r="S2733" s="52">
        <f>R2733-T2733</f>
        <v>38.30357142857143</v>
      </c>
      <c r="T2733" s="52">
        <f>R2733*U2733/(U2733+100)</f>
        <v>4.596428571428571</v>
      </c>
      <c r="U2733" s="50">
        <v>12</v>
      </c>
      <c r="V2733" s="53">
        <v>0</v>
      </c>
      <c r="W2733" s="147">
        <v>1</v>
      </c>
      <c r="X2733" s="148" t="s">
        <v>163</v>
      </c>
      <c r="Y2733" s="54">
        <f>R2733*W2733</f>
        <v>42.9</v>
      </c>
      <c r="Z2733" s="52">
        <f>S2733*W2733</f>
        <v>38.30357142857143</v>
      </c>
      <c r="AA2733" s="52">
        <f>T2733*W2733</f>
        <v>4.596428571428571</v>
      </c>
      <c r="AB2733" s="52">
        <f>V2733*W2733</f>
        <v>0</v>
      </c>
      <c r="AC2733" s="53">
        <f>(R2733+V2733)*W2733</f>
        <v>42.9</v>
      </c>
      <c r="AD2733" s="138">
        <v>42.9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109</v>
      </c>
      <c r="F2734" s="96" t="s">
        <v>111</v>
      </c>
      <c r="G2734" s="97">
        <v>46132</v>
      </c>
      <c r="H2734" s="98">
        <v>0.6689699074074074</v>
      </c>
      <c r="I2734" s="50">
        <v>169002742</v>
      </c>
      <c r="J2734" s="96" t="s">
        <v>157</v>
      </c>
      <c r="K2734" s="49" t="s">
        <v>1473</v>
      </c>
      <c r="L2734" s="39" t="s">
        <v>1474</v>
      </c>
      <c r="M2734" s="49" t="s">
        <v>475</v>
      </c>
      <c r="N2734" s="39" t="s">
        <v>1475</v>
      </c>
      <c r="O2734" s="96" t="s">
        <v>1476</v>
      </c>
      <c r="P2734" s="49" t="s">
        <v>157</v>
      </c>
      <c r="Q2734" s="96" t="s">
        <v>104</v>
      </c>
      <c r="R2734" s="52">
        <v>33.9</v>
      </c>
      <c r="S2734" s="52">
        <f>R2734-T2734</f>
        <v>30.267857142857142</v>
      </c>
      <c r="T2734" s="52">
        <f>R2734*U2734/(U2734+100)</f>
        <v>3.6321428571428567</v>
      </c>
      <c r="U2734" s="50">
        <v>12</v>
      </c>
      <c r="V2734" s="53">
        <v>0</v>
      </c>
      <c r="W2734" s="147">
        <v>1</v>
      </c>
      <c r="X2734" s="148" t="s">
        <v>163</v>
      </c>
      <c r="Y2734" s="54">
        <f>R2734*W2734</f>
        <v>33.9</v>
      </c>
      <c r="Z2734" s="52">
        <f>S2734*W2734</f>
        <v>30.267857142857142</v>
      </c>
      <c r="AA2734" s="52">
        <f>T2734*W2734</f>
        <v>3.6321428571428567</v>
      </c>
      <c r="AB2734" s="52">
        <f>V2734*W2734</f>
        <v>0</v>
      </c>
      <c r="AC2734" s="53">
        <f>(R2734+V2734)*W2734</f>
        <v>33.9</v>
      </c>
      <c r="AD2734" s="138">
        <v>33.9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109</v>
      </c>
      <c r="F2735" s="96" t="s">
        <v>111</v>
      </c>
      <c r="G2735" s="97">
        <v>46132</v>
      </c>
      <c r="H2735" s="98">
        <v>0.6689699074074074</v>
      </c>
      <c r="I2735" s="50">
        <v>169002742</v>
      </c>
      <c r="J2735" s="96" t="s">
        <v>157</v>
      </c>
      <c r="K2735" s="49" t="s">
        <v>3655</v>
      </c>
      <c r="L2735" s="39" t="s">
        <v>3656</v>
      </c>
      <c r="M2735" s="49" t="s">
        <v>3657</v>
      </c>
      <c r="N2735" s="39" t="s">
        <v>1475</v>
      </c>
      <c r="O2735" s="96" t="s">
        <v>3658</v>
      </c>
      <c r="P2735" s="49" t="s">
        <v>157</v>
      </c>
      <c r="Q2735" s="96" t="s">
        <v>104</v>
      </c>
      <c r="R2735" s="52">
        <v>35.9</v>
      </c>
      <c r="S2735" s="52">
        <f>R2735-T2735</f>
        <v>32.05357142857143</v>
      </c>
      <c r="T2735" s="52">
        <f>R2735*U2735/(U2735+100)</f>
        <v>3.846428571428571</v>
      </c>
      <c r="U2735" s="50">
        <v>12</v>
      </c>
      <c r="V2735" s="53">
        <v>0</v>
      </c>
      <c r="W2735" s="147">
        <v>1</v>
      </c>
      <c r="X2735" s="148" t="s">
        <v>163</v>
      </c>
      <c r="Y2735" s="54">
        <f>R2735*W2735</f>
        <v>35.9</v>
      </c>
      <c r="Z2735" s="52">
        <f>S2735*W2735</f>
        <v>32.05357142857143</v>
      </c>
      <c r="AA2735" s="52">
        <f>T2735*W2735</f>
        <v>3.846428571428571</v>
      </c>
      <c r="AB2735" s="52">
        <f>V2735*W2735</f>
        <v>0</v>
      </c>
      <c r="AC2735" s="53">
        <f>(R2735+V2735)*W2735</f>
        <v>35.9</v>
      </c>
      <c r="AD2735" s="138">
        <v>35.9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109</v>
      </c>
      <c r="F2736" s="96" t="s">
        <v>111</v>
      </c>
      <c r="G2736" s="97">
        <v>46132</v>
      </c>
      <c r="H2736" s="98">
        <v>0.6689699074074074</v>
      </c>
      <c r="I2736" s="50">
        <v>169002742</v>
      </c>
      <c r="J2736" s="96" t="s">
        <v>157</v>
      </c>
      <c r="K2736" s="49" t="s">
        <v>3655</v>
      </c>
      <c r="L2736" s="39" t="s">
        <v>3656</v>
      </c>
      <c r="M2736" s="49" t="s">
        <v>3657</v>
      </c>
      <c r="N2736" s="39" t="s">
        <v>1475</v>
      </c>
      <c r="O2736" s="96" t="s">
        <v>3658</v>
      </c>
      <c r="P2736" s="49" t="s">
        <v>157</v>
      </c>
      <c r="Q2736" s="96" t="s">
        <v>104</v>
      </c>
      <c r="R2736" s="52">
        <v>35.9</v>
      </c>
      <c r="S2736" s="52">
        <f>R2736-T2736</f>
        <v>32.05357142857143</v>
      </c>
      <c r="T2736" s="52">
        <f>R2736*U2736/(U2736+100)</f>
        <v>3.846428571428571</v>
      </c>
      <c r="U2736" s="50">
        <v>12</v>
      </c>
      <c r="V2736" s="53">
        <v>0</v>
      </c>
      <c r="W2736" s="147">
        <v>1</v>
      </c>
      <c r="X2736" s="148" t="s">
        <v>163</v>
      </c>
      <c r="Y2736" s="54">
        <f>R2736*W2736</f>
        <v>35.9</v>
      </c>
      <c r="Z2736" s="52">
        <f>S2736*W2736</f>
        <v>32.05357142857143</v>
      </c>
      <c r="AA2736" s="52">
        <f>T2736*W2736</f>
        <v>3.846428571428571</v>
      </c>
      <c r="AB2736" s="52">
        <f>V2736*W2736</f>
        <v>0</v>
      </c>
      <c r="AC2736" s="53">
        <f>(R2736+V2736)*W2736</f>
        <v>35.9</v>
      </c>
      <c r="AD2736" s="138">
        <v>35.9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109</v>
      </c>
      <c r="F2737" s="96" t="s">
        <v>111</v>
      </c>
      <c r="G2737" s="97">
        <v>46132</v>
      </c>
      <c r="H2737" s="98">
        <v>0.6689699074074074</v>
      </c>
      <c r="I2737" s="50">
        <v>169002742</v>
      </c>
      <c r="J2737" s="96" t="s">
        <v>157</v>
      </c>
      <c r="K2737" s="49" t="s">
        <v>183</v>
      </c>
      <c r="L2737" s="39" t="s">
        <v>184</v>
      </c>
      <c r="M2737" s="49" t="s">
        <v>185</v>
      </c>
      <c r="N2737" s="39" t="s">
        <v>186</v>
      </c>
      <c r="O2737" s="96" t="s">
        <v>988</v>
      </c>
      <c r="P2737" s="49" t="s">
        <v>157</v>
      </c>
      <c r="Q2737" s="96" t="s">
        <v>104</v>
      </c>
      <c r="R2737" s="52">
        <v>1.9</v>
      </c>
      <c r="S2737" s="52">
        <f>R2737-T2737</f>
        <v>1.5702479338842974</v>
      </c>
      <c r="T2737" s="52">
        <f>R2737*U2737/(U2737+100)</f>
        <v>0.32975206611570246</v>
      </c>
      <c r="U2737" s="50">
        <v>21</v>
      </c>
      <c r="V2737" s="53">
        <v>0</v>
      </c>
      <c r="W2737" s="147">
        <v>1</v>
      </c>
      <c r="X2737" s="148" t="s">
        <v>163</v>
      </c>
      <c r="Y2737" s="54">
        <f>R2737*W2737</f>
        <v>1.9</v>
      </c>
      <c r="Z2737" s="52">
        <f>S2737*W2737</f>
        <v>1.5702479338842974</v>
      </c>
      <c r="AA2737" s="52">
        <f>T2737*W2737</f>
        <v>0.32975206611570246</v>
      </c>
      <c r="AB2737" s="52">
        <f>V2737*W2737</f>
        <v>0</v>
      </c>
      <c r="AC2737" s="53">
        <f>(R2737+V2737)*W2737</f>
        <v>1.9</v>
      </c>
      <c r="AD2737" s="138">
        <v>1.9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109</v>
      </c>
      <c r="F2738" s="96" t="s">
        <v>111</v>
      </c>
      <c r="G2738" s="97">
        <v>46132</v>
      </c>
      <c r="H2738" s="98">
        <v>0.6689699074074074</v>
      </c>
      <c r="I2738" s="50">
        <v>169002742</v>
      </c>
      <c r="J2738" s="96" t="s">
        <v>157</v>
      </c>
      <c r="K2738" s="49" t="s">
        <v>845</v>
      </c>
      <c r="L2738" s="39" t="s">
        <v>846</v>
      </c>
      <c r="M2738" s="49" t="s">
        <v>522</v>
      </c>
      <c r="N2738" s="39" t="s">
        <v>688</v>
      </c>
      <c r="O2738" s="96" t="s">
        <v>1244</v>
      </c>
      <c r="P2738" s="49" t="s">
        <v>157</v>
      </c>
      <c r="Q2738" s="96" t="s">
        <v>104</v>
      </c>
      <c r="R2738" s="52">
        <v>227.9</v>
      </c>
      <c r="S2738" s="52">
        <f>R2738-T2738</f>
        <v>203.48214285714286</v>
      </c>
      <c r="T2738" s="52">
        <f>R2738*U2738/(U2738+100)</f>
        <v>24.417857142857144</v>
      </c>
      <c r="U2738" s="50">
        <v>12</v>
      </c>
      <c r="V2738" s="53">
        <v>0</v>
      </c>
      <c r="W2738" s="147">
        <v>0.202</v>
      </c>
      <c r="X2738" s="148" t="s">
        <v>193</v>
      </c>
      <c r="Y2738" s="54">
        <f>R2738*W2738</f>
        <v>46.0358</v>
      </c>
      <c r="Z2738" s="52">
        <f>S2738*W2738</f>
        <v>41.10339285714286</v>
      </c>
      <c r="AA2738" s="52">
        <f>T2738*W2738</f>
        <v>4.932407142857143</v>
      </c>
      <c r="AB2738" s="52">
        <f>V2738*W2738</f>
        <v>0</v>
      </c>
      <c r="AC2738" s="53">
        <f>(R2738+V2738)*W2738</f>
        <v>46.0358</v>
      </c>
      <c r="AD2738" s="138">
        <v>227.9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109</v>
      </c>
      <c r="F2739" s="96" t="s">
        <v>111</v>
      </c>
      <c r="G2739" s="97">
        <v>46132</v>
      </c>
      <c r="H2739" s="98">
        <v>0.6689699074074074</v>
      </c>
      <c r="I2739" s="50">
        <v>169002742</v>
      </c>
      <c r="J2739" s="96" t="s">
        <v>157</v>
      </c>
      <c r="K2739" s="49" t="s">
        <v>3193</v>
      </c>
      <c r="L2739" s="39" t="s">
        <v>3194</v>
      </c>
      <c r="M2739" s="49" t="s">
        <v>277</v>
      </c>
      <c r="N2739" s="39" t="s">
        <v>408</v>
      </c>
      <c r="O2739" s="96" t="s">
        <v>3195</v>
      </c>
      <c r="P2739" s="49" t="s">
        <v>157</v>
      </c>
      <c r="Q2739" s="96" t="s">
        <v>104</v>
      </c>
      <c r="R2739" s="52">
        <v>208.9</v>
      </c>
      <c r="S2739" s="52">
        <f>R2739-T2739</f>
        <v>186.51785714285714</v>
      </c>
      <c r="T2739" s="52">
        <f>R2739*U2739/(U2739+100)</f>
        <v>22.38214285714286</v>
      </c>
      <c r="U2739" s="50">
        <v>12</v>
      </c>
      <c r="V2739" s="53">
        <v>0</v>
      </c>
      <c r="W2739" s="147">
        <v>0.236</v>
      </c>
      <c r="X2739" s="148" t="s">
        <v>410</v>
      </c>
      <c r="Y2739" s="54">
        <f>R2739*W2739</f>
        <v>49.300399999999996</v>
      </c>
      <c r="Z2739" s="52">
        <f>S2739*W2739</f>
        <v>44.01821428571428</v>
      </c>
      <c r="AA2739" s="52">
        <f>T2739*W2739</f>
        <v>5.282185714285714</v>
      </c>
      <c r="AB2739" s="52">
        <f>V2739*W2739</f>
        <v>0</v>
      </c>
      <c r="AC2739" s="53">
        <f>(R2739+V2739)*W2739</f>
        <v>49.300399999999996</v>
      </c>
      <c r="AD2739" s="138">
        <v>208.9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109</v>
      </c>
      <c r="F2740" s="96" t="s">
        <v>111</v>
      </c>
      <c r="G2740" s="97">
        <v>46132</v>
      </c>
      <c r="H2740" s="98">
        <v>0.6689699074074074</v>
      </c>
      <c r="I2740" s="50">
        <v>169002742</v>
      </c>
      <c r="J2740" s="96" t="s">
        <v>157</v>
      </c>
      <c r="K2740" s="49" t="s">
        <v>1531</v>
      </c>
      <c r="L2740" s="39"/>
      <c r="M2740" s="49" t="s">
        <v>295</v>
      </c>
      <c r="N2740" s="39" t="s">
        <v>433</v>
      </c>
      <c r="O2740" s="96" t="s">
        <v>1532</v>
      </c>
      <c r="P2740" s="49" t="s">
        <v>235</v>
      </c>
      <c r="Q2740" s="96" t="s">
        <v>1533</v>
      </c>
      <c r="R2740" s="52">
        <v>19.9</v>
      </c>
      <c r="S2740" s="52">
        <f>R2740-T2740</f>
        <v>17.767857142857142</v>
      </c>
      <c r="T2740" s="52">
        <f>R2740*U2740/(U2740+100)</f>
        <v>2.132142857142857</v>
      </c>
      <c r="U2740" s="50">
        <v>12</v>
      </c>
      <c r="V2740" s="53">
        <v>0</v>
      </c>
      <c r="W2740" s="147">
        <v>1</v>
      </c>
      <c r="X2740" s="148" t="s">
        <v>945</v>
      </c>
      <c r="Y2740" s="54">
        <f>R2740*W2740</f>
        <v>19.9</v>
      </c>
      <c r="Z2740" s="52">
        <f>S2740*W2740</f>
        <v>17.767857142857142</v>
      </c>
      <c r="AA2740" s="52">
        <f>T2740*W2740</f>
        <v>2.132142857142857</v>
      </c>
      <c r="AB2740" s="52">
        <f>V2740*W2740</f>
        <v>0</v>
      </c>
      <c r="AC2740" s="53">
        <f>(R2740+V2740)*W2740</f>
        <v>19.9</v>
      </c>
      <c r="AD2740" s="138">
        <v>19.9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109</v>
      </c>
      <c r="F2741" s="96" t="s">
        <v>111</v>
      </c>
      <c r="G2741" s="97">
        <v>46132</v>
      </c>
      <c r="H2741" s="98">
        <v>0.6710648148148148</v>
      </c>
      <c r="I2741" s="50">
        <v>169002743</v>
      </c>
      <c r="J2741" s="96" t="s">
        <v>157</v>
      </c>
      <c r="K2741" s="49" t="s">
        <v>3659</v>
      </c>
      <c r="L2741" s="39" t="s">
        <v>3660</v>
      </c>
      <c r="M2741" s="49" t="s">
        <v>255</v>
      </c>
      <c r="N2741" s="39" t="s">
        <v>256</v>
      </c>
      <c r="O2741" s="96" t="s">
        <v>3661</v>
      </c>
      <c r="P2741" s="49" t="s">
        <v>235</v>
      </c>
      <c r="Q2741" s="96" t="s">
        <v>236</v>
      </c>
      <c r="R2741" s="52">
        <v>12.9</v>
      </c>
      <c r="S2741" s="52">
        <f>R2741-T2741</f>
        <v>10.661157024793388</v>
      </c>
      <c r="T2741" s="52">
        <f>R2741*U2741/(U2741+100)</f>
        <v>2.238842975206612</v>
      </c>
      <c r="U2741" s="50">
        <v>21</v>
      </c>
      <c r="V2741" s="53">
        <v>3</v>
      </c>
      <c r="W2741" s="147">
        <v>1</v>
      </c>
      <c r="X2741" s="148" t="s">
        <v>163</v>
      </c>
      <c r="Y2741" s="54">
        <f>R2741*W2741</f>
        <v>12.9</v>
      </c>
      <c r="Z2741" s="52">
        <f>S2741*W2741</f>
        <v>10.661157024793388</v>
      </c>
      <c r="AA2741" s="52">
        <f>T2741*W2741</f>
        <v>2.238842975206612</v>
      </c>
      <c r="AB2741" s="52">
        <f>V2741*W2741</f>
        <v>3</v>
      </c>
      <c r="AC2741" s="53">
        <f>(R2741+V2741)*W2741</f>
        <v>15.9</v>
      </c>
      <c r="AD2741" s="138">
        <v>12.9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109</v>
      </c>
      <c r="F2742" s="96" t="s">
        <v>111</v>
      </c>
      <c r="G2742" s="97">
        <v>46132</v>
      </c>
      <c r="H2742" s="98">
        <v>0.6710648148148148</v>
      </c>
      <c r="I2742" s="50">
        <v>169002743</v>
      </c>
      <c r="J2742" s="96" t="s">
        <v>157</v>
      </c>
      <c r="K2742" s="49" t="s">
        <v>3659</v>
      </c>
      <c r="L2742" s="39" t="s">
        <v>3660</v>
      </c>
      <c r="M2742" s="49" t="s">
        <v>255</v>
      </c>
      <c r="N2742" s="39" t="s">
        <v>256</v>
      </c>
      <c r="O2742" s="96" t="s">
        <v>3661</v>
      </c>
      <c r="P2742" s="49" t="s">
        <v>235</v>
      </c>
      <c r="Q2742" s="96" t="s">
        <v>236</v>
      </c>
      <c r="R2742" s="52">
        <v>12.9</v>
      </c>
      <c r="S2742" s="52">
        <f>R2742-T2742</f>
        <v>10.661157024793388</v>
      </c>
      <c r="T2742" s="52">
        <f>R2742*U2742/(U2742+100)</f>
        <v>2.238842975206612</v>
      </c>
      <c r="U2742" s="50">
        <v>21</v>
      </c>
      <c r="V2742" s="53">
        <v>3</v>
      </c>
      <c r="W2742" s="147">
        <v>1</v>
      </c>
      <c r="X2742" s="148" t="s">
        <v>163</v>
      </c>
      <c r="Y2742" s="54">
        <f>R2742*W2742</f>
        <v>12.9</v>
      </c>
      <c r="Z2742" s="52">
        <f>S2742*W2742</f>
        <v>10.661157024793388</v>
      </c>
      <c r="AA2742" s="52">
        <f>T2742*W2742</f>
        <v>2.238842975206612</v>
      </c>
      <c r="AB2742" s="52">
        <f>V2742*W2742</f>
        <v>3</v>
      </c>
      <c r="AC2742" s="53">
        <f>(R2742+V2742)*W2742</f>
        <v>15.9</v>
      </c>
      <c r="AD2742" s="138">
        <v>12.9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109</v>
      </c>
      <c r="F2743" s="96" t="s">
        <v>111</v>
      </c>
      <c r="G2743" s="97">
        <v>46132</v>
      </c>
      <c r="H2743" s="98">
        <v>0.6710648148148148</v>
      </c>
      <c r="I2743" s="50">
        <v>169002743</v>
      </c>
      <c r="J2743" s="96" t="s">
        <v>157</v>
      </c>
      <c r="K2743" s="49" t="s">
        <v>3659</v>
      </c>
      <c r="L2743" s="39" t="s">
        <v>3660</v>
      </c>
      <c r="M2743" s="49" t="s">
        <v>255</v>
      </c>
      <c r="N2743" s="39" t="s">
        <v>256</v>
      </c>
      <c r="O2743" s="96" t="s">
        <v>3661</v>
      </c>
      <c r="P2743" s="49" t="s">
        <v>235</v>
      </c>
      <c r="Q2743" s="96" t="s">
        <v>236</v>
      </c>
      <c r="R2743" s="52">
        <v>12.9</v>
      </c>
      <c r="S2743" s="52">
        <f>R2743-T2743</f>
        <v>10.661157024793388</v>
      </c>
      <c r="T2743" s="52">
        <f>R2743*U2743/(U2743+100)</f>
        <v>2.238842975206612</v>
      </c>
      <c r="U2743" s="50">
        <v>21</v>
      </c>
      <c r="V2743" s="53">
        <v>3</v>
      </c>
      <c r="W2743" s="147">
        <v>1</v>
      </c>
      <c r="X2743" s="148" t="s">
        <v>163</v>
      </c>
      <c r="Y2743" s="54">
        <f>R2743*W2743</f>
        <v>12.9</v>
      </c>
      <c r="Z2743" s="52">
        <f>S2743*W2743</f>
        <v>10.661157024793388</v>
      </c>
      <c r="AA2743" s="52">
        <f>T2743*W2743</f>
        <v>2.238842975206612</v>
      </c>
      <c r="AB2743" s="52">
        <f>V2743*W2743</f>
        <v>3</v>
      </c>
      <c r="AC2743" s="53">
        <f>(R2743+V2743)*W2743</f>
        <v>15.9</v>
      </c>
      <c r="AD2743" s="138">
        <v>12.9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109</v>
      </c>
      <c r="F2744" s="96" t="s">
        <v>111</v>
      </c>
      <c r="G2744" s="97">
        <v>46132</v>
      </c>
      <c r="H2744" s="98">
        <v>0.6710648148148148</v>
      </c>
      <c r="I2744" s="50">
        <v>169002743</v>
      </c>
      <c r="J2744" s="96" t="s">
        <v>157</v>
      </c>
      <c r="K2744" s="49" t="s">
        <v>3659</v>
      </c>
      <c r="L2744" s="39" t="s">
        <v>3660</v>
      </c>
      <c r="M2744" s="49" t="s">
        <v>255</v>
      </c>
      <c r="N2744" s="39" t="s">
        <v>256</v>
      </c>
      <c r="O2744" s="96" t="s">
        <v>3661</v>
      </c>
      <c r="P2744" s="49" t="s">
        <v>235</v>
      </c>
      <c r="Q2744" s="96" t="s">
        <v>236</v>
      </c>
      <c r="R2744" s="52">
        <v>12.9</v>
      </c>
      <c r="S2744" s="52">
        <f>R2744-T2744</f>
        <v>10.661157024793388</v>
      </c>
      <c r="T2744" s="52">
        <f>R2744*U2744/(U2744+100)</f>
        <v>2.238842975206612</v>
      </c>
      <c r="U2744" s="50">
        <v>21</v>
      </c>
      <c r="V2744" s="53">
        <v>3</v>
      </c>
      <c r="W2744" s="147">
        <v>1</v>
      </c>
      <c r="X2744" s="148" t="s">
        <v>163</v>
      </c>
      <c r="Y2744" s="54">
        <f>R2744*W2744</f>
        <v>12.9</v>
      </c>
      <c r="Z2744" s="52">
        <f>S2744*W2744</f>
        <v>10.661157024793388</v>
      </c>
      <c r="AA2744" s="52">
        <f>T2744*W2744</f>
        <v>2.238842975206612</v>
      </c>
      <c r="AB2744" s="52">
        <f>V2744*W2744</f>
        <v>3</v>
      </c>
      <c r="AC2744" s="53">
        <f>(R2744+V2744)*W2744</f>
        <v>15.9</v>
      </c>
      <c r="AD2744" s="138">
        <v>12.9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109</v>
      </c>
      <c r="F2745" s="96" t="s">
        <v>111</v>
      </c>
      <c r="G2745" s="97">
        <v>46132</v>
      </c>
      <c r="H2745" s="98">
        <v>0.6720601851851852</v>
      </c>
      <c r="I2745" s="50">
        <v>169002744</v>
      </c>
      <c r="J2745" s="96" t="s">
        <v>157</v>
      </c>
      <c r="K2745" s="49" t="s">
        <v>714</v>
      </c>
      <c r="L2745" s="39" t="s">
        <v>715</v>
      </c>
      <c r="M2745" s="49" t="s">
        <v>326</v>
      </c>
      <c r="N2745" s="39" t="s">
        <v>327</v>
      </c>
      <c r="O2745" s="96" t="s">
        <v>1412</v>
      </c>
      <c r="P2745" s="49" t="s">
        <v>157</v>
      </c>
      <c r="Q2745" s="96" t="s">
        <v>104</v>
      </c>
      <c r="R2745" s="52">
        <v>12.9</v>
      </c>
      <c r="S2745" s="52">
        <f>R2745-T2745</f>
        <v>11.517857142857142</v>
      </c>
      <c r="T2745" s="52">
        <f>R2745*U2745/(U2745+100)</f>
        <v>1.3821428571428573</v>
      </c>
      <c r="U2745" s="50">
        <v>12</v>
      </c>
      <c r="V2745" s="53">
        <v>0</v>
      </c>
      <c r="W2745" s="147">
        <v>1</v>
      </c>
      <c r="X2745" s="148" t="s">
        <v>163</v>
      </c>
      <c r="Y2745" s="54">
        <f>R2745*W2745</f>
        <v>12.9</v>
      </c>
      <c r="Z2745" s="52">
        <f>S2745*W2745</f>
        <v>11.517857142857142</v>
      </c>
      <c r="AA2745" s="52">
        <f>T2745*W2745</f>
        <v>1.3821428571428573</v>
      </c>
      <c r="AB2745" s="52">
        <f>V2745*W2745</f>
        <v>0</v>
      </c>
      <c r="AC2745" s="53">
        <f>(R2745+V2745)*W2745</f>
        <v>12.9</v>
      </c>
      <c r="AD2745" s="138">
        <v>12.9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109</v>
      </c>
      <c r="F2746" s="96" t="s">
        <v>111</v>
      </c>
      <c r="G2746" s="97">
        <v>46132</v>
      </c>
      <c r="H2746" s="98">
        <v>0.6720601851851852</v>
      </c>
      <c r="I2746" s="50">
        <v>169002744</v>
      </c>
      <c r="J2746" s="96" t="s">
        <v>157</v>
      </c>
      <c r="K2746" s="49" t="s">
        <v>507</v>
      </c>
      <c r="L2746" s="39" t="s">
        <v>508</v>
      </c>
      <c r="M2746" s="49" t="s">
        <v>509</v>
      </c>
      <c r="N2746" s="39" t="s">
        <v>256</v>
      </c>
      <c r="O2746" s="96" t="s">
        <v>1024</v>
      </c>
      <c r="P2746" s="49" t="s">
        <v>235</v>
      </c>
      <c r="Q2746" s="96" t="s">
        <v>236</v>
      </c>
      <c r="R2746" s="52">
        <v>15.9</v>
      </c>
      <c r="S2746" s="52">
        <f>R2746-T2746</f>
        <v>13.140495867768596</v>
      </c>
      <c r="T2746" s="52">
        <f>R2746*U2746/(U2746+100)</f>
        <v>2.759504132231405</v>
      </c>
      <c r="U2746" s="50">
        <v>21</v>
      </c>
      <c r="V2746" s="53">
        <v>0</v>
      </c>
      <c r="W2746" s="147">
        <v>24</v>
      </c>
      <c r="X2746" s="148" t="s">
        <v>163</v>
      </c>
      <c r="Y2746" s="54">
        <f>R2746*W2746</f>
        <v>381.6</v>
      </c>
      <c r="Z2746" s="52">
        <f>S2746*W2746</f>
        <v>315.37190082644634</v>
      </c>
      <c r="AA2746" s="52">
        <f>T2746*W2746</f>
        <v>66.22809917355372</v>
      </c>
      <c r="AB2746" s="52">
        <f>V2746*W2746</f>
        <v>0</v>
      </c>
      <c r="AC2746" s="53">
        <f>(R2746+V2746)*W2746</f>
        <v>381.6</v>
      </c>
      <c r="AD2746" s="138">
        <v>15.9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109</v>
      </c>
      <c r="F2747" s="96" t="s">
        <v>111</v>
      </c>
      <c r="G2747" s="97">
        <v>46132</v>
      </c>
      <c r="H2747" s="98">
        <v>0.6720601851851852</v>
      </c>
      <c r="I2747" s="50">
        <v>169002744</v>
      </c>
      <c r="J2747" s="96" t="s">
        <v>157</v>
      </c>
      <c r="K2747" s="49" t="s">
        <v>3662</v>
      </c>
      <c r="L2747" s="39" t="s">
        <v>3663</v>
      </c>
      <c r="M2747" s="49" t="s">
        <v>185</v>
      </c>
      <c r="N2747" s="39" t="s">
        <v>653</v>
      </c>
      <c r="O2747" s="96" t="s">
        <v>3664</v>
      </c>
      <c r="P2747" s="49" t="s">
        <v>157</v>
      </c>
      <c r="Q2747" s="96" t="s">
        <v>104</v>
      </c>
      <c r="R2747" s="52">
        <v>27.9</v>
      </c>
      <c r="S2747" s="52">
        <f>R2747-T2747</f>
        <v>23.05785123966942</v>
      </c>
      <c r="T2747" s="52">
        <f>R2747*U2747/(U2747+100)</f>
        <v>4.842148760330578</v>
      </c>
      <c r="U2747" s="50">
        <v>21</v>
      </c>
      <c r="V2747" s="53">
        <v>0</v>
      </c>
      <c r="W2747" s="147">
        <v>1</v>
      </c>
      <c r="X2747" s="148" t="s">
        <v>163</v>
      </c>
      <c r="Y2747" s="54">
        <f>R2747*W2747</f>
        <v>27.9</v>
      </c>
      <c r="Z2747" s="52">
        <f>S2747*W2747</f>
        <v>23.05785123966942</v>
      </c>
      <c r="AA2747" s="52">
        <f>T2747*W2747</f>
        <v>4.842148760330578</v>
      </c>
      <c r="AB2747" s="52">
        <f>V2747*W2747</f>
        <v>0</v>
      </c>
      <c r="AC2747" s="53">
        <f>(R2747+V2747)*W2747</f>
        <v>27.9</v>
      </c>
      <c r="AD2747" s="138">
        <v>27.9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109</v>
      </c>
      <c r="F2748" s="96" t="s">
        <v>111</v>
      </c>
      <c r="G2748" s="97">
        <v>46132</v>
      </c>
      <c r="H2748" s="98">
        <v>0.6720601851851852</v>
      </c>
      <c r="I2748" s="50">
        <v>169002744</v>
      </c>
      <c r="J2748" s="96" t="s">
        <v>157</v>
      </c>
      <c r="K2748" s="49" t="s">
        <v>303</v>
      </c>
      <c r="L2748" s="39" t="s">
        <v>304</v>
      </c>
      <c r="M2748" s="49" t="s">
        <v>214</v>
      </c>
      <c r="N2748" s="39" t="s">
        <v>296</v>
      </c>
      <c r="O2748" s="96" t="s">
        <v>305</v>
      </c>
      <c r="P2748" s="49" t="s">
        <v>157</v>
      </c>
      <c r="Q2748" s="96" t="s">
        <v>104</v>
      </c>
      <c r="R2748" s="52">
        <v>11.9</v>
      </c>
      <c r="S2748" s="52">
        <f>R2748-T2748</f>
        <v>10.625</v>
      </c>
      <c r="T2748" s="52">
        <f>R2748*U2748/(U2748+100)</f>
        <v>1.2750000000000001</v>
      </c>
      <c r="U2748" s="50">
        <v>12</v>
      </c>
      <c r="V2748" s="53">
        <v>0</v>
      </c>
      <c r="W2748" s="147">
        <v>4</v>
      </c>
      <c r="X2748" s="148" t="s">
        <v>163</v>
      </c>
      <c r="Y2748" s="54">
        <f>R2748*W2748</f>
        <v>47.6</v>
      </c>
      <c r="Z2748" s="52">
        <f>S2748*W2748</f>
        <v>42.5</v>
      </c>
      <c r="AA2748" s="52">
        <f>T2748*W2748</f>
        <v>5.1000000000000005</v>
      </c>
      <c r="AB2748" s="52">
        <f>V2748*W2748</f>
        <v>0</v>
      </c>
      <c r="AC2748" s="53">
        <f>(R2748+V2748)*W2748</f>
        <v>47.6</v>
      </c>
      <c r="AD2748" s="138">
        <v>11.9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109</v>
      </c>
      <c r="F2749" s="96" t="s">
        <v>111</v>
      </c>
      <c r="G2749" s="97">
        <v>46132</v>
      </c>
      <c r="H2749" s="98">
        <v>0.6720601851851852</v>
      </c>
      <c r="I2749" s="50">
        <v>169002744</v>
      </c>
      <c r="J2749" s="96" t="s">
        <v>157</v>
      </c>
      <c r="K2749" s="49" t="s">
        <v>293</v>
      </c>
      <c r="L2749" s="39" t="s">
        <v>294</v>
      </c>
      <c r="M2749" s="49" t="s">
        <v>295</v>
      </c>
      <c r="N2749" s="39" t="s">
        <v>296</v>
      </c>
      <c r="O2749" s="96" t="s">
        <v>297</v>
      </c>
      <c r="P2749" s="49" t="s">
        <v>157</v>
      </c>
      <c r="Q2749" s="96" t="s">
        <v>104</v>
      </c>
      <c r="R2749" s="52">
        <v>2.9</v>
      </c>
      <c r="S2749" s="52">
        <f>R2749-T2749</f>
        <v>2.5892857142857144</v>
      </c>
      <c r="T2749" s="52">
        <f>R2749*U2749/(U2749+100)</f>
        <v>0.31071428571428567</v>
      </c>
      <c r="U2749" s="50">
        <v>12</v>
      </c>
      <c r="V2749" s="53">
        <v>0</v>
      </c>
      <c r="W2749" s="147">
        <v>2</v>
      </c>
      <c r="X2749" s="148" t="s">
        <v>163</v>
      </c>
      <c r="Y2749" s="54">
        <f>R2749*W2749</f>
        <v>5.8</v>
      </c>
      <c r="Z2749" s="52">
        <f>S2749*W2749</f>
        <v>5.178571428571429</v>
      </c>
      <c r="AA2749" s="52">
        <f>T2749*W2749</f>
        <v>0.6214285714285713</v>
      </c>
      <c r="AB2749" s="52">
        <f>V2749*W2749</f>
        <v>0</v>
      </c>
      <c r="AC2749" s="53">
        <f>(R2749+V2749)*W2749</f>
        <v>5.8</v>
      </c>
      <c r="AD2749" s="138">
        <v>2.9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109</v>
      </c>
      <c r="F2750" s="96" t="s">
        <v>111</v>
      </c>
      <c r="G2750" s="97">
        <v>46132</v>
      </c>
      <c r="H2750" s="98">
        <v>0.6720601851851852</v>
      </c>
      <c r="I2750" s="50">
        <v>169002744</v>
      </c>
      <c r="J2750" s="96" t="s">
        <v>157</v>
      </c>
      <c r="K2750" s="49" t="s">
        <v>1531</v>
      </c>
      <c r="L2750" s="39"/>
      <c r="M2750" s="49" t="s">
        <v>295</v>
      </c>
      <c r="N2750" s="39" t="s">
        <v>433</v>
      </c>
      <c r="O2750" s="96" t="s">
        <v>1532</v>
      </c>
      <c r="P2750" s="49" t="s">
        <v>235</v>
      </c>
      <c r="Q2750" s="96" t="s">
        <v>1533</v>
      </c>
      <c r="R2750" s="52">
        <v>19.9</v>
      </c>
      <c r="S2750" s="52">
        <f>R2750-T2750</f>
        <v>17.767857142857142</v>
      </c>
      <c r="T2750" s="52">
        <f>R2750*U2750/(U2750+100)</f>
        <v>2.132142857142857</v>
      </c>
      <c r="U2750" s="50">
        <v>12</v>
      </c>
      <c r="V2750" s="53">
        <v>0</v>
      </c>
      <c r="W2750" s="147">
        <v>1</v>
      </c>
      <c r="X2750" s="148" t="s">
        <v>945</v>
      </c>
      <c r="Y2750" s="54">
        <f>R2750*W2750</f>
        <v>19.9</v>
      </c>
      <c r="Z2750" s="52">
        <f>S2750*W2750</f>
        <v>17.767857142857142</v>
      </c>
      <c r="AA2750" s="52">
        <f>T2750*W2750</f>
        <v>2.132142857142857</v>
      </c>
      <c r="AB2750" s="52">
        <f>V2750*W2750</f>
        <v>0</v>
      </c>
      <c r="AC2750" s="53">
        <f>(R2750+V2750)*W2750</f>
        <v>19.9</v>
      </c>
      <c r="AD2750" s="138">
        <v>19.9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109</v>
      </c>
      <c r="F2751" s="96" t="s">
        <v>111</v>
      </c>
      <c r="G2751" s="97">
        <v>46132</v>
      </c>
      <c r="H2751" s="98">
        <v>0.6727314814814814</v>
      </c>
      <c r="I2751" s="50">
        <v>169002745</v>
      </c>
      <c r="J2751" s="96" t="s">
        <v>157</v>
      </c>
      <c r="K2751" s="49" t="s">
        <v>3665</v>
      </c>
      <c r="L2751" s="39" t="s">
        <v>3666</v>
      </c>
      <c r="M2751" s="49" t="s">
        <v>3667</v>
      </c>
      <c r="N2751" s="39" t="s">
        <v>1312</v>
      </c>
      <c r="O2751" s="96" t="s">
        <v>3668</v>
      </c>
      <c r="P2751" s="49" t="s">
        <v>157</v>
      </c>
      <c r="Q2751" s="96" t="s">
        <v>104</v>
      </c>
      <c r="R2751" s="52">
        <v>87.9</v>
      </c>
      <c r="S2751" s="52">
        <f>R2751-T2751</f>
        <v>72.64462809917356</v>
      </c>
      <c r="T2751" s="52">
        <f>R2751*U2751/(U2751+100)</f>
        <v>15.255371900826447</v>
      </c>
      <c r="U2751" s="50">
        <v>21</v>
      </c>
      <c r="V2751" s="53">
        <v>0</v>
      </c>
      <c r="W2751" s="147">
        <v>1</v>
      </c>
      <c r="X2751" s="148" t="s">
        <v>163</v>
      </c>
      <c r="Y2751" s="54">
        <f>R2751*W2751</f>
        <v>87.9</v>
      </c>
      <c r="Z2751" s="52">
        <f>S2751*W2751</f>
        <v>72.64462809917356</v>
      </c>
      <c r="AA2751" s="52">
        <f>T2751*W2751</f>
        <v>15.255371900826447</v>
      </c>
      <c r="AB2751" s="52">
        <f>V2751*W2751</f>
        <v>0</v>
      </c>
      <c r="AC2751" s="53">
        <f>(R2751+V2751)*W2751</f>
        <v>87.9</v>
      </c>
      <c r="AD2751" s="138">
        <v>87.9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109</v>
      </c>
      <c r="F2752" s="96" t="s">
        <v>111</v>
      </c>
      <c r="G2752" s="97">
        <v>46132</v>
      </c>
      <c r="H2752" s="98">
        <v>0.6735300925925926</v>
      </c>
      <c r="I2752" s="50">
        <v>169002746</v>
      </c>
      <c r="J2752" s="96" t="s">
        <v>157</v>
      </c>
      <c r="K2752" s="49" t="s">
        <v>961</v>
      </c>
      <c r="L2752" s="39" t="s">
        <v>962</v>
      </c>
      <c r="M2752" s="49" t="s">
        <v>678</v>
      </c>
      <c r="N2752" s="39" t="s">
        <v>874</v>
      </c>
      <c r="O2752" s="96" t="s">
        <v>963</v>
      </c>
      <c r="P2752" s="49" t="s">
        <v>157</v>
      </c>
      <c r="Q2752" s="96" t="s">
        <v>104</v>
      </c>
      <c r="R2752" s="52">
        <v>49.9</v>
      </c>
      <c r="S2752" s="52">
        <f>R2752-T2752</f>
        <v>44.55357142857143</v>
      </c>
      <c r="T2752" s="52">
        <f>R2752*U2752/(U2752+100)</f>
        <v>5.346428571428571</v>
      </c>
      <c r="U2752" s="50">
        <v>12</v>
      </c>
      <c r="V2752" s="53">
        <v>0</v>
      </c>
      <c r="W2752" s="147">
        <v>1</v>
      </c>
      <c r="X2752" s="148" t="s">
        <v>163</v>
      </c>
      <c r="Y2752" s="54">
        <f>R2752*W2752</f>
        <v>49.9</v>
      </c>
      <c r="Z2752" s="52">
        <f>S2752*W2752</f>
        <v>44.55357142857143</v>
      </c>
      <c r="AA2752" s="52">
        <f>T2752*W2752</f>
        <v>5.346428571428571</v>
      </c>
      <c r="AB2752" s="52">
        <f>V2752*W2752</f>
        <v>0</v>
      </c>
      <c r="AC2752" s="53">
        <f>(R2752+V2752)*W2752</f>
        <v>49.9</v>
      </c>
      <c r="AD2752" s="138">
        <v>49.9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109</v>
      </c>
      <c r="F2753" s="96" t="s">
        <v>111</v>
      </c>
      <c r="G2753" s="97">
        <v>46132</v>
      </c>
      <c r="H2753" s="98">
        <v>0.6735300925925926</v>
      </c>
      <c r="I2753" s="50">
        <v>169002746</v>
      </c>
      <c r="J2753" s="96" t="s">
        <v>157</v>
      </c>
      <c r="K2753" s="49" t="s">
        <v>3669</v>
      </c>
      <c r="L2753" s="39" t="s">
        <v>3670</v>
      </c>
      <c r="M2753" s="49" t="s">
        <v>616</v>
      </c>
      <c r="N2753" s="39" t="s">
        <v>228</v>
      </c>
      <c r="O2753" s="96" t="s">
        <v>3671</v>
      </c>
      <c r="P2753" s="49" t="s">
        <v>157</v>
      </c>
      <c r="Q2753" s="96" t="s">
        <v>104</v>
      </c>
      <c r="R2753" s="52">
        <v>39.9</v>
      </c>
      <c r="S2753" s="52">
        <f>R2753-T2753</f>
        <v>35.625</v>
      </c>
      <c r="T2753" s="52">
        <f>R2753*U2753/(U2753+100)</f>
        <v>4.2749999999999995</v>
      </c>
      <c r="U2753" s="50">
        <v>12</v>
      </c>
      <c r="V2753" s="53">
        <v>0</v>
      </c>
      <c r="W2753" s="147">
        <v>1</v>
      </c>
      <c r="X2753" s="148" t="s">
        <v>163</v>
      </c>
      <c r="Y2753" s="54">
        <f>R2753*W2753</f>
        <v>39.9</v>
      </c>
      <c r="Z2753" s="52">
        <f>S2753*W2753</f>
        <v>35.625</v>
      </c>
      <c r="AA2753" s="52">
        <f>T2753*W2753</f>
        <v>4.2749999999999995</v>
      </c>
      <c r="AB2753" s="52">
        <f>V2753*W2753</f>
        <v>0</v>
      </c>
      <c r="AC2753" s="53">
        <f>(R2753+V2753)*W2753</f>
        <v>39.9</v>
      </c>
      <c r="AD2753" s="138">
        <v>39.9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109</v>
      </c>
      <c r="F2754" s="96" t="s">
        <v>111</v>
      </c>
      <c r="G2754" s="97">
        <v>46132</v>
      </c>
      <c r="H2754" s="98">
        <v>0.6735300925925926</v>
      </c>
      <c r="I2754" s="50">
        <v>169002746</v>
      </c>
      <c r="J2754" s="96" t="s">
        <v>157</v>
      </c>
      <c r="K2754" s="49" t="s">
        <v>329</v>
      </c>
      <c r="L2754" s="39" t="s">
        <v>330</v>
      </c>
      <c r="M2754" s="49" t="s">
        <v>185</v>
      </c>
      <c r="N2754" s="39" t="s">
        <v>331</v>
      </c>
      <c r="O2754" s="96" t="s">
        <v>1640</v>
      </c>
      <c r="P2754" s="49" t="s">
        <v>157</v>
      </c>
      <c r="Q2754" s="96" t="s">
        <v>104</v>
      </c>
      <c r="R2754" s="52">
        <v>49.9</v>
      </c>
      <c r="S2754" s="52">
        <f>R2754-T2754</f>
        <v>44.55357142857143</v>
      </c>
      <c r="T2754" s="52">
        <f>R2754*U2754/(U2754+100)</f>
        <v>5.346428571428571</v>
      </c>
      <c r="U2754" s="50">
        <v>12</v>
      </c>
      <c r="V2754" s="53">
        <v>0</v>
      </c>
      <c r="W2754" s="147">
        <v>1</v>
      </c>
      <c r="X2754" s="148" t="s">
        <v>163</v>
      </c>
      <c r="Y2754" s="54">
        <f>R2754*W2754</f>
        <v>49.9</v>
      </c>
      <c r="Z2754" s="52">
        <f>S2754*W2754</f>
        <v>44.55357142857143</v>
      </c>
      <c r="AA2754" s="52">
        <f>T2754*W2754</f>
        <v>5.346428571428571</v>
      </c>
      <c r="AB2754" s="52">
        <f>V2754*W2754</f>
        <v>0</v>
      </c>
      <c r="AC2754" s="53">
        <f>(R2754+V2754)*W2754</f>
        <v>49.9</v>
      </c>
      <c r="AD2754" s="138">
        <v>49.9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109</v>
      </c>
      <c r="F2755" s="96" t="s">
        <v>111</v>
      </c>
      <c r="G2755" s="97">
        <v>46132</v>
      </c>
      <c r="H2755" s="98">
        <v>0.6735300925925926</v>
      </c>
      <c r="I2755" s="50">
        <v>169002746</v>
      </c>
      <c r="J2755" s="96" t="s">
        <v>157</v>
      </c>
      <c r="K2755" s="49" t="s">
        <v>3672</v>
      </c>
      <c r="L2755" s="39" t="s">
        <v>3673</v>
      </c>
      <c r="M2755" s="49" t="s">
        <v>475</v>
      </c>
      <c r="N2755" s="39" t="s">
        <v>1475</v>
      </c>
      <c r="O2755" s="96" t="s">
        <v>3674</v>
      </c>
      <c r="P2755" s="49" t="s">
        <v>157</v>
      </c>
      <c r="Q2755" s="96" t="s">
        <v>104</v>
      </c>
      <c r="R2755" s="52">
        <v>39.9</v>
      </c>
      <c r="S2755" s="52">
        <f>R2755-T2755</f>
        <v>35.625</v>
      </c>
      <c r="T2755" s="52">
        <f>R2755*U2755/(U2755+100)</f>
        <v>4.2749999999999995</v>
      </c>
      <c r="U2755" s="50">
        <v>12</v>
      </c>
      <c r="V2755" s="53">
        <v>0</v>
      </c>
      <c r="W2755" s="147">
        <v>1</v>
      </c>
      <c r="X2755" s="148" t="s">
        <v>163</v>
      </c>
      <c r="Y2755" s="54">
        <f>R2755*W2755</f>
        <v>39.9</v>
      </c>
      <c r="Z2755" s="52">
        <f>S2755*W2755</f>
        <v>35.625</v>
      </c>
      <c r="AA2755" s="52">
        <f>T2755*W2755</f>
        <v>4.2749999999999995</v>
      </c>
      <c r="AB2755" s="52">
        <f>V2755*W2755</f>
        <v>0</v>
      </c>
      <c r="AC2755" s="53">
        <f>(R2755+V2755)*W2755</f>
        <v>39.9</v>
      </c>
      <c r="AD2755" s="138">
        <v>39.9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109</v>
      </c>
      <c r="F2756" s="96" t="s">
        <v>111</v>
      </c>
      <c r="G2756" s="97">
        <v>46132</v>
      </c>
      <c r="H2756" s="98">
        <v>0.6735300925925926</v>
      </c>
      <c r="I2756" s="50">
        <v>169002746</v>
      </c>
      <c r="J2756" s="96" t="s">
        <v>157</v>
      </c>
      <c r="K2756" s="49" t="s">
        <v>1691</v>
      </c>
      <c r="L2756" s="39" t="s">
        <v>104</v>
      </c>
      <c r="M2756" s="49" t="s">
        <v>554</v>
      </c>
      <c r="N2756" s="39" t="s">
        <v>296</v>
      </c>
      <c r="O2756" s="96" t="s">
        <v>1692</v>
      </c>
      <c r="P2756" s="49" t="s">
        <v>157</v>
      </c>
      <c r="Q2756" s="96" t="s">
        <v>104</v>
      </c>
      <c r="R2756" s="52">
        <v>11.9</v>
      </c>
      <c r="S2756" s="52">
        <f>R2756-T2756</f>
        <v>10.625</v>
      </c>
      <c r="T2756" s="52">
        <f>R2756*U2756/(U2756+100)</f>
        <v>1.2750000000000001</v>
      </c>
      <c r="U2756" s="50">
        <v>12</v>
      </c>
      <c r="V2756" s="53">
        <v>0</v>
      </c>
      <c r="W2756" s="147">
        <v>4</v>
      </c>
      <c r="X2756" s="148" t="s">
        <v>163</v>
      </c>
      <c r="Y2756" s="54">
        <f>R2756*W2756</f>
        <v>47.6</v>
      </c>
      <c r="Z2756" s="52">
        <f>S2756*W2756</f>
        <v>42.5</v>
      </c>
      <c r="AA2756" s="52">
        <f>T2756*W2756</f>
        <v>5.1000000000000005</v>
      </c>
      <c r="AB2756" s="52">
        <f>V2756*W2756</f>
        <v>0</v>
      </c>
      <c r="AC2756" s="53">
        <f>(R2756+V2756)*W2756</f>
        <v>47.6</v>
      </c>
      <c r="AD2756" s="138">
        <v>11.9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109</v>
      </c>
      <c r="F2757" s="96" t="s">
        <v>111</v>
      </c>
      <c r="G2757" s="97">
        <v>46132</v>
      </c>
      <c r="H2757" s="98">
        <v>0.6739467592592593</v>
      </c>
      <c r="I2757" s="50">
        <v>169002747</v>
      </c>
      <c r="J2757" s="96" t="s">
        <v>157</v>
      </c>
      <c r="K2757" s="49" t="s">
        <v>1085</v>
      </c>
      <c r="L2757" s="39" t="s">
        <v>1086</v>
      </c>
      <c r="M2757" s="49" t="s">
        <v>1087</v>
      </c>
      <c r="N2757" s="39" t="s">
        <v>1088</v>
      </c>
      <c r="O2757" s="96" t="s">
        <v>1089</v>
      </c>
      <c r="P2757" s="49" t="s">
        <v>157</v>
      </c>
      <c r="Q2757" s="96" t="s">
        <v>104</v>
      </c>
      <c r="R2757" s="52">
        <v>163.03</v>
      </c>
      <c r="S2757" s="52">
        <f>R2757-T2757</f>
        <v>145.5625</v>
      </c>
      <c r="T2757" s="52">
        <f>R2757*U2757/(U2757+100)</f>
        <v>17.4675</v>
      </c>
      <c r="U2757" s="50">
        <v>12</v>
      </c>
      <c r="V2757" s="53">
        <v>0</v>
      </c>
      <c r="W2757" s="147">
        <v>0.202</v>
      </c>
      <c r="X2757" s="148" t="s">
        <v>193</v>
      </c>
      <c r="Y2757" s="54">
        <f>R2757*W2757</f>
        <v>32.93206</v>
      </c>
      <c r="Z2757" s="52">
        <f>S2757*W2757</f>
        <v>29.403625</v>
      </c>
      <c r="AA2757" s="52">
        <f>T2757*W2757</f>
        <v>3.5284350000000004</v>
      </c>
      <c r="AB2757" s="52">
        <f>V2757*W2757</f>
        <v>0</v>
      </c>
      <c r="AC2757" s="53">
        <f>(R2757+V2757)*W2757</f>
        <v>32.93206</v>
      </c>
      <c r="AD2757" s="138">
        <v>232.9</v>
      </c>
      <c r="AE2757" s="137">
        <v>69.87</v>
      </c>
      <c r="AF2757" s="139">
        <v>14.1137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109</v>
      </c>
      <c r="F2758" s="96" t="s">
        <v>111</v>
      </c>
      <c r="G2758" s="97">
        <v>46132</v>
      </c>
      <c r="H2758" s="98">
        <v>0.6741666666666667</v>
      </c>
      <c r="I2758" s="50">
        <v>169002748</v>
      </c>
      <c r="J2758" s="96" t="s">
        <v>157</v>
      </c>
      <c r="K2758" s="49" t="s">
        <v>2068</v>
      </c>
      <c r="L2758" s="39" t="s">
        <v>2069</v>
      </c>
      <c r="M2758" s="49" t="s">
        <v>429</v>
      </c>
      <c r="N2758" s="39" t="s">
        <v>348</v>
      </c>
      <c r="O2758" s="96" t="s">
        <v>2070</v>
      </c>
      <c r="P2758" s="49" t="s">
        <v>235</v>
      </c>
      <c r="Q2758" s="96" t="s">
        <v>236</v>
      </c>
      <c r="R2758" s="52">
        <v>16.9</v>
      </c>
      <c r="S2758" s="52">
        <f>R2758-T2758</f>
        <v>15.089285714285714</v>
      </c>
      <c r="T2758" s="52">
        <f>R2758*U2758/(U2758+100)</f>
        <v>1.8107142857142855</v>
      </c>
      <c r="U2758" s="50">
        <v>12</v>
      </c>
      <c r="V2758" s="53">
        <v>0</v>
      </c>
      <c r="W2758" s="147">
        <v>1</v>
      </c>
      <c r="X2758" s="148" t="s">
        <v>163</v>
      </c>
      <c r="Y2758" s="54">
        <f>R2758*W2758</f>
        <v>16.9</v>
      </c>
      <c r="Z2758" s="52">
        <f>S2758*W2758</f>
        <v>15.089285714285714</v>
      </c>
      <c r="AA2758" s="52">
        <f>T2758*W2758</f>
        <v>1.8107142857142855</v>
      </c>
      <c r="AB2758" s="52">
        <f>V2758*W2758</f>
        <v>0</v>
      </c>
      <c r="AC2758" s="53">
        <f>(R2758+V2758)*W2758</f>
        <v>16.9</v>
      </c>
      <c r="AD2758" s="138">
        <v>16.9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109</v>
      </c>
      <c r="F2759" s="96" t="s">
        <v>111</v>
      </c>
      <c r="G2759" s="97">
        <v>46132</v>
      </c>
      <c r="H2759" s="98">
        <v>0.6752546296296297</v>
      </c>
      <c r="I2759" s="50">
        <v>169002749</v>
      </c>
      <c r="J2759" s="96" t="s">
        <v>157</v>
      </c>
      <c r="K2759" s="49" t="s">
        <v>2891</v>
      </c>
      <c r="L2759" s="39" t="s">
        <v>2892</v>
      </c>
      <c r="M2759" s="49" t="s">
        <v>1252</v>
      </c>
      <c r="N2759" s="39" t="s">
        <v>264</v>
      </c>
      <c r="O2759" s="96" t="s">
        <v>2893</v>
      </c>
      <c r="P2759" s="49" t="s">
        <v>157</v>
      </c>
      <c r="Q2759" s="96" t="s">
        <v>104</v>
      </c>
      <c r="R2759" s="52">
        <v>14.9</v>
      </c>
      <c r="S2759" s="52">
        <f>R2759-T2759</f>
        <v>13.303571428571429</v>
      </c>
      <c r="T2759" s="52">
        <f>R2759*U2759/(U2759+100)</f>
        <v>1.5964285714285715</v>
      </c>
      <c r="U2759" s="50">
        <v>12</v>
      </c>
      <c r="V2759" s="53">
        <v>0</v>
      </c>
      <c r="W2759" s="147">
        <v>1</v>
      </c>
      <c r="X2759" s="148" t="s">
        <v>163</v>
      </c>
      <c r="Y2759" s="54">
        <f>R2759*W2759</f>
        <v>14.9</v>
      </c>
      <c r="Z2759" s="52">
        <f>S2759*W2759</f>
        <v>13.303571428571429</v>
      </c>
      <c r="AA2759" s="52">
        <f>T2759*W2759</f>
        <v>1.5964285714285715</v>
      </c>
      <c r="AB2759" s="52">
        <f>V2759*W2759</f>
        <v>0</v>
      </c>
      <c r="AC2759" s="53">
        <f>(R2759+V2759)*W2759</f>
        <v>14.9</v>
      </c>
      <c r="AD2759" s="138">
        <v>14.9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109</v>
      </c>
      <c r="F2760" s="96" t="s">
        <v>111</v>
      </c>
      <c r="G2760" s="97">
        <v>46132</v>
      </c>
      <c r="H2760" s="98">
        <v>0.6752546296296297</v>
      </c>
      <c r="I2760" s="50">
        <v>169002749</v>
      </c>
      <c r="J2760" s="96" t="s">
        <v>157</v>
      </c>
      <c r="K2760" s="49" t="s">
        <v>3134</v>
      </c>
      <c r="L2760" s="39" t="s">
        <v>3135</v>
      </c>
      <c r="M2760" s="49" t="s">
        <v>527</v>
      </c>
      <c r="N2760" s="39" t="s">
        <v>906</v>
      </c>
      <c r="O2760" s="96" t="s">
        <v>3136</v>
      </c>
      <c r="P2760" s="49" t="s">
        <v>157</v>
      </c>
      <c r="Q2760" s="96" t="s">
        <v>104</v>
      </c>
      <c r="R2760" s="52">
        <v>13.4</v>
      </c>
      <c r="S2760" s="52">
        <f>R2760-T2760</f>
        <v>11.964285714285715</v>
      </c>
      <c r="T2760" s="52">
        <f>R2760*U2760/(U2760+100)</f>
        <v>1.4357142857142857</v>
      </c>
      <c r="U2760" s="50">
        <v>12</v>
      </c>
      <c r="V2760" s="53">
        <v>0</v>
      </c>
      <c r="W2760" s="147">
        <v>1</v>
      </c>
      <c r="X2760" s="148" t="s">
        <v>163</v>
      </c>
      <c r="Y2760" s="54">
        <f>R2760*W2760</f>
        <v>13.4</v>
      </c>
      <c r="Z2760" s="52">
        <f>S2760*W2760</f>
        <v>11.964285714285715</v>
      </c>
      <c r="AA2760" s="52">
        <f>T2760*W2760</f>
        <v>1.4357142857142857</v>
      </c>
      <c r="AB2760" s="52">
        <f>V2760*W2760</f>
        <v>0</v>
      </c>
      <c r="AC2760" s="53">
        <f>(R2760+V2760)*W2760</f>
        <v>13.4</v>
      </c>
      <c r="AD2760" s="138">
        <v>13.4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109</v>
      </c>
      <c r="F2761" s="96" t="s">
        <v>111</v>
      </c>
      <c r="G2761" s="97">
        <v>46132</v>
      </c>
      <c r="H2761" s="98">
        <v>0.6752546296296297</v>
      </c>
      <c r="I2761" s="50">
        <v>169002749</v>
      </c>
      <c r="J2761" s="96" t="s">
        <v>157</v>
      </c>
      <c r="K2761" s="49" t="s">
        <v>3675</v>
      </c>
      <c r="L2761" s="39" t="s">
        <v>3676</v>
      </c>
      <c r="M2761" s="49" t="s">
        <v>2137</v>
      </c>
      <c r="N2761" s="39" t="s">
        <v>1518</v>
      </c>
      <c r="O2761" s="96" t="s">
        <v>3677</v>
      </c>
      <c r="P2761" s="49" t="s">
        <v>157</v>
      </c>
      <c r="Q2761" s="96" t="s">
        <v>104</v>
      </c>
      <c r="R2761" s="52">
        <v>5.9</v>
      </c>
      <c r="S2761" s="52">
        <f>R2761-T2761</f>
        <v>5.267857142857143</v>
      </c>
      <c r="T2761" s="52">
        <f>R2761*U2761/(U2761+100)</f>
        <v>0.6321428571428572</v>
      </c>
      <c r="U2761" s="50">
        <v>12</v>
      </c>
      <c r="V2761" s="53">
        <v>0</v>
      </c>
      <c r="W2761" s="147">
        <v>1</v>
      </c>
      <c r="X2761" s="148" t="s">
        <v>163</v>
      </c>
      <c r="Y2761" s="54">
        <f>R2761*W2761</f>
        <v>5.9</v>
      </c>
      <c r="Z2761" s="52">
        <f>S2761*W2761</f>
        <v>5.267857142857143</v>
      </c>
      <c r="AA2761" s="52">
        <f>T2761*W2761</f>
        <v>0.6321428571428572</v>
      </c>
      <c r="AB2761" s="52">
        <f>V2761*W2761</f>
        <v>0</v>
      </c>
      <c r="AC2761" s="53">
        <f>(R2761+V2761)*W2761</f>
        <v>5.9</v>
      </c>
      <c r="AD2761" s="138">
        <v>5.9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109</v>
      </c>
      <c r="F2762" s="96" t="s">
        <v>111</v>
      </c>
      <c r="G2762" s="97">
        <v>46132</v>
      </c>
      <c r="H2762" s="98">
        <v>0.6752546296296297</v>
      </c>
      <c r="I2762" s="50">
        <v>169002749</v>
      </c>
      <c r="J2762" s="96" t="s">
        <v>157</v>
      </c>
      <c r="K2762" s="49" t="s">
        <v>3058</v>
      </c>
      <c r="L2762" s="39" t="s">
        <v>3059</v>
      </c>
      <c r="M2762" s="49" t="s">
        <v>282</v>
      </c>
      <c r="N2762" s="39" t="s">
        <v>609</v>
      </c>
      <c r="O2762" s="96" t="s">
        <v>3060</v>
      </c>
      <c r="P2762" s="49" t="s">
        <v>157</v>
      </c>
      <c r="Q2762" s="96" t="s">
        <v>104</v>
      </c>
      <c r="R2762" s="52">
        <v>11.83</v>
      </c>
      <c r="S2762" s="52">
        <f>R2762-T2762</f>
        <v>10.5625</v>
      </c>
      <c r="T2762" s="52">
        <f>R2762*U2762/(U2762+100)</f>
        <v>1.2675</v>
      </c>
      <c r="U2762" s="50">
        <v>12</v>
      </c>
      <c r="V2762" s="53">
        <v>0</v>
      </c>
      <c r="W2762" s="147">
        <v>1</v>
      </c>
      <c r="X2762" s="148" t="s">
        <v>163</v>
      </c>
      <c r="Y2762" s="54">
        <f>R2762*W2762</f>
        <v>11.83</v>
      </c>
      <c r="Z2762" s="52">
        <f>S2762*W2762</f>
        <v>10.5625</v>
      </c>
      <c r="AA2762" s="52">
        <f>T2762*W2762</f>
        <v>1.2675</v>
      </c>
      <c r="AB2762" s="52">
        <f>V2762*W2762</f>
        <v>0</v>
      </c>
      <c r="AC2762" s="53">
        <f>(R2762+V2762)*W2762</f>
        <v>11.83</v>
      </c>
      <c r="AD2762" s="138">
        <v>16.9</v>
      </c>
      <c r="AE2762" s="137">
        <v>5.07</v>
      </c>
      <c r="AF2762" s="139">
        <v>5.07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109</v>
      </c>
      <c r="F2763" s="96" t="s">
        <v>111</v>
      </c>
      <c r="G2763" s="97">
        <v>46132</v>
      </c>
      <c r="H2763" s="98">
        <v>0.6752546296296297</v>
      </c>
      <c r="I2763" s="50">
        <v>169002749</v>
      </c>
      <c r="J2763" s="96" t="s">
        <v>157</v>
      </c>
      <c r="K2763" s="49" t="s">
        <v>2724</v>
      </c>
      <c r="L2763" s="39" t="s">
        <v>2725</v>
      </c>
      <c r="M2763" s="49" t="s">
        <v>893</v>
      </c>
      <c r="N2763" s="39" t="s">
        <v>202</v>
      </c>
      <c r="O2763" s="96" t="s">
        <v>2726</v>
      </c>
      <c r="P2763" s="49" t="s">
        <v>157</v>
      </c>
      <c r="Q2763" s="96" t="s">
        <v>104</v>
      </c>
      <c r="R2763" s="52">
        <v>12.4</v>
      </c>
      <c r="S2763" s="52">
        <f>R2763-T2763</f>
        <v>11.071428571428571</v>
      </c>
      <c r="T2763" s="52">
        <f>R2763*U2763/(U2763+100)</f>
        <v>1.3285714285714287</v>
      </c>
      <c r="U2763" s="50">
        <v>12</v>
      </c>
      <c r="V2763" s="53">
        <v>0</v>
      </c>
      <c r="W2763" s="147">
        <v>1</v>
      </c>
      <c r="X2763" s="148" t="s">
        <v>163</v>
      </c>
      <c r="Y2763" s="54">
        <f>R2763*W2763</f>
        <v>12.4</v>
      </c>
      <c r="Z2763" s="52">
        <f>S2763*W2763</f>
        <v>11.071428571428571</v>
      </c>
      <c r="AA2763" s="52">
        <f>T2763*W2763</f>
        <v>1.3285714285714287</v>
      </c>
      <c r="AB2763" s="52">
        <f>V2763*W2763</f>
        <v>0</v>
      </c>
      <c r="AC2763" s="53">
        <f>(R2763+V2763)*W2763</f>
        <v>12.4</v>
      </c>
      <c r="AD2763" s="138">
        <v>12.4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109</v>
      </c>
      <c r="F2764" s="96" t="s">
        <v>111</v>
      </c>
      <c r="G2764" s="97">
        <v>46132</v>
      </c>
      <c r="H2764" s="98">
        <v>0.6752546296296297</v>
      </c>
      <c r="I2764" s="50">
        <v>169002749</v>
      </c>
      <c r="J2764" s="96" t="s">
        <v>157</v>
      </c>
      <c r="K2764" s="49" t="s">
        <v>3678</v>
      </c>
      <c r="L2764" s="39" t="s">
        <v>3679</v>
      </c>
      <c r="M2764" s="49" t="s">
        <v>466</v>
      </c>
      <c r="N2764" s="39" t="s">
        <v>609</v>
      </c>
      <c r="O2764" s="96" t="s">
        <v>3680</v>
      </c>
      <c r="P2764" s="49" t="s">
        <v>157</v>
      </c>
      <c r="Q2764" s="96" t="s">
        <v>104</v>
      </c>
      <c r="R2764" s="52">
        <v>14.9</v>
      </c>
      <c r="S2764" s="52">
        <f>R2764-T2764</f>
        <v>13.303571428571429</v>
      </c>
      <c r="T2764" s="52">
        <f>R2764*U2764/(U2764+100)</f>
        <v>1.5964285714285715</v>
      </c>
      <c r="U2764" s="50">
        <v>12</v>
      </c>
      <c r="V2764" s="53">
        <v>0</v>
      </c>
      <c r="W2764" s="147">
        <v>1</v>
      </c>
      <c r="X2764" s="148" t="s">
        <v>163</v>
      </c>
      <c r="Y2764" s="54">
        <f>R2764*W2764</f>
        <v>14.9</v>
      </c>
      <c r="Z2764" s="52">
        <f>S2764*W2764</f>
        <v>13.303571428571429</v>
      </c>
      <c r="AA2764" s="52">
        <f>T2764*W2764</f>
        <v>1.5964285714285715</v>
      </c>
      <c r="AB2764" s="52">
        <f>V2764*W2764</f>
        <v>0</v>
      </c>
      <c r="AC2764" s="53">
        <f>(R2764+V2764)*W2764</f>
        <v>14.9</v>
      </c>
      <c r="AD2764" s="138">
        <v>14.9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109</v>
      </c>
      <c r="F2765" s="96" t="s">
        <v>111</v>
      </c>
      <c r="G2765" s="97">
        <v>46132</v>
      </c>
      <c r="H2765" s="98">
        <v>0.6752546296296297</v>
      </c>
      <c r="I2765" s="50">
        <v>169002749</v>
      </c>
      <c r="J2765" s="96" t="s">
        <v>157</v>
      </c>
      <c r="K2765" s="49" t="s">
        <v>3678</v>
      </c>
      <c r="L2765" s="39" t="s">
        <v>3679</v>
      </c>
      <c r="M2765" s="49" t="s">
        <v>466</v>
      </c>
      <c r="N2765" s="39" t="s">
        <v>609</v>
      </c>
      <c r="O2765" s="96" t="s">
        <v>3680</v>
      </c>
      <c r="P2765" s="49" t="s">
        <v>157</v>
      </c>
      <c r="Q2765" s="96" t="s">
        <v>104</v>
      </c>
      <c r="R2765" s="52">
        <v>14.9</v>
      </c>
      <c r="S2765" s="52">
        <f>R2765-T2765</f>
        <v>13.303571428571429</v>
      </c>
      <c r="T2765" s="52">
        <f>R2765*U2765/(U2765+100)</f>
        <v>1.5964285714285715</v>
      </c>
      <c r="U2765" s="50">
        <v>12</v>
      </c>
      <c r="V2765" s="53">
        <v>0</v>
      </c>
      <c r="W2765" s="147">
        <v>1</v>
      </c>
      <c r="X2765" s="148" t="s">
        <v>163</v>
      </c>
      <c r="Y2765" s="54">
        <f>R2765*W2765</f>
        <v>14.9</v>
      </c>
      <c r="Z2765" s="52">
        <f>S2765*W2765</f>
        <v>13.303571428571429</v>
      </c>
      <c r="AA2765" s="52">
        <f>T2765*W2765</f>
        <v>1.5964285714285715</v>
      </c>
      <c r="AB2765" s="52">
        <f>V2765*W2765</f>
        <v>0</v>
      </c>
      <c r="AC2765" s="53">
        <f>(R2765+V2765)*W2765</f>
        <v>14.9</v>
      </c>
      <c r="AD2765" s="138">
        <v>14.9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109</v>
      </c>
      <c r="F2766" s="96" t="s">
        <v>111</v>
      </c>
      <c r="G2766" s="97">
        <v>46132</v>
      </c>
      <c r="H2766" s="98">
        <v>0.6752546296296297</v>
      </c>
      <c r="I2766" s="50">
        <v>169002749</v>
      </c>
      <c r="J2766" s="96" t="s">
        <v>157</v>
      </c>
      <c r="K2766" s="49" t="s">
        <v>3678</v>
      </c>
      <c r="L2766" s="39" t="s">
        <v>3679</v>
      </c>
      <c r="M2766" s="49" t="s">
        <v>466</v>
      </c>
      <c r="N2766" s="39" t="s">
        <v>609</v>
      </c>
      <c r="O2766" s="96" t="s">
        <v>3680</v>
      </c>
      <c r="P2766" s="49" t="s">
        <v>157</v>
      </c>
      <c r="Q2766" s="96" t="s">
        <v>104</v>
      </c>
      <c r="R2766" s="52">
        <v>14.9</v>
      </c>
      <c r="S2766" s="52">
        <f>R2766-T2766</f>
        <v>13.303571428571429</v>
      </c>
      <c r="T2766" s="52">
        <f>R2766*U2766/(U2766+100)</f>
        <v>1.5964285714285715</v>
      </c>
      <c r="U2766" s="50">
        <v>12</v>
      </c>
      <c r="V2766" s="53">
        <v>0</v>
      </c>
      <c r="W2766" s="147">
        <v>1</v>
      </c>
      <c r="X2766" s="148" t="s">
        <v>163</v>
      </c>
      <c r="Y2766" s="54">
        <f>R2766*W2766</f>
        <v>14.9</v>
      </c>
      <c r="Z2766" s="52">
        <f>S2766*W2766</f>
        <v>13.303571428571429</v>
      </c>
      <c r="AA2766" s="52">
        <f>T2766*W2766</f>
        <v>1.5964285714285715</v>
      </c>
      <c r="AB2766" s="52">
        <f>V2766*W2766</f>
        <v>0</v>
      </c>
      <c r="AC2766" s="53">
        <f>(R2766+V2766)*W2766</f>
        <v>14.9</v>
      </c>
      <c r="AD2766" s="138">
        <v>14.9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109</v>
      </c>
      <c r="F2767" s="96" t="s">
        <v>111</v>
      </c>
      <c r="G2767" s="97">
        <v>46132</v>
      </c>
      <c r="H2767" s="98">
        <v>0.6752546296296297</v>
      </c>
      <c r="I2767" s="50">
        <v>169002749</v>
      </c>
      <c r="J2767" s="96" t="s">
        <v>157</v>
      </c>
      <c r="K2767" s="49" t="s">
        <v>293</v>
      </c>
      <c r="L2767" s="39" t="s">
        <v>294</v>
      </c>
      <c r="M2767" s="49" t="s">
        <v>295</v>
      </c>
      <c r="N2767" s="39" t="s">
        <v>296</v>
      </c>
      <c r="O2767" s="96" t="s">
        <v>297</v>
      </c>
      <c r="P2767" s="49" t="s">
        <v>157</v>
      </c>
      <c r="Q2767" s="96" t="s">
        <v>104</v>
      </c>
      <c r="R2767" s="52">
        <v>2.9</v>
      </c>
      <c r="S2767" s="52">
        <f>R2767-T2767</f>
        <v>2.5892857142857144</v>
      </c>
      <c r="T2767" s="52">
        <f>R2767*U2767/(U2767+100)</f>
        <v>0.31071428571428567</v>
      </c>
      <c r="U2767" s="50">
        <v>12</v>
      </c>
      <c r="V2767" s="53">
        <v>0</v>
      </c>
      <c r="W2767" s="147">
        <v>4</v>
      </c>
      <c r="X2767" s="148" t="s">
        <v>163</v>
      </c>
      <c r="Y2767" s="54">
        <f>R2767*W2767</f>
        <v>11.6</v>
      </c>
      <c r="Z2767" s="52">
        <f>S2767*W2767</f>
        <v>10.357142857142858</v>
      </c>
      <c r="AA2767" s="52">
        <f>T2767*W2767</f>
        <v>1.2428571428571427</v>
      </c>
      <c r="AB2767" s="52">
        <f>V2767*W2767</f>
        <v>0</v>
      </c>
      <c r="AC2767" s="53">
        <f>(R2767+V2767)*W2767</f>
        <v>11.6</v>
      </c>
      <c r="AD2767" s="138">
        <v>2.9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109</v>
      </c>
      <c r="F2768" s="96" t="s">
        <v>111</v>
      </c>
      <c r="G2768" s="97">
        <v>46132</v>
      </c>
      <c r="H2768" s="98">
        <v>0.6763310185185185</v>
      </c>
      <c r="I2768" s="50">
        <v>169002750</v>
      </c>
      <c r="J2768" s="96" t="s">
        <v>157</v>
      </c>
      <c r="K2768" s="49" t="s">
        <v>628</v>
      </c>
      <c r="L2768" s="39" t="s">
        <v>629</v>
      </c>
      <c r="M2768" s="49" t="s">
        <v>214</v>
      </c>
      <c r="N2768" s="39" t="s">
        <v>296</v>
      </c>
      <c r="O2768" s="96" t="s">
        <v>630</v>
      </c>
      <c r="P2768" s="49" t="s">
        <v>157</v>
      </c>
      <c r="Q2768" s="96" t="s">
        <v>104</v>
      </c>
      <c r="R2768" s="52">
        <v>9.9</v>
      </c>
      <c r="S2768" s="52">
        <f>R2768-T2768</f>
        <v>8.839285714285715</v>
      </c>
      <c r="T2768" s="52">
        <f>R2768*U2768/(U2768+100)</f>
        <v>1.0607142857142857</v>
      </c>
      <c r="U2768" s="50">
        <v>12</v>
      </c>
      <c r="V2768" s="53">
        <v>0</v>
      </c>
      <c r="W2768" s="147">
        <v>4</v>
      </c>
      <c r="X2768" s="148" t="s">
        <v>163</v>
      </c>
      <c r="Y2768" s="54">
        <f>R2768*W2768</f>
        <v>39.6</v>
      </c>
      <c r="Z2768" s="52">
        <f>S2768*W2768</f>
        <v>35.35714285714286</v>
      </c>
      <c r="AA2768" s="52">
        <f>T2768*W2768</f>
        <v>4.242857142857143</v>
      </c>
      <c r="AB2768" s="52">
        <f>V2768*W2768</f>
        <v>0</v>
      </c>
      <c r="AC2768" s="53">
        <f>(R2768+V2768)*W2768</f>
        <v>39.6</v>
      </c>
      <c r="AD2768" s="138">
        <v>9.9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109</v>
      </c>
      <c r="F2769" s="96" t="s">
        <v>111</v>
      </c>
      <c r="G2769" s="97">
        <v>46132</v>
      </c>
      <c r="H2769" s="98">
        <v>0.6765972222222222</v>
      </c>
      <c r="I2769" s="50">
        <v>169002751</v>
      </c>
      <c r="J2769" s="96" t="s">
        <v>157</v>
      </c>
      <c r="K2769" s="49" t="s">
        <v>3681</v>
      </c>
      <c r="L2769" s="39" t="s">
        <v>3682</v>
      </c>
      <c r="M2769" s="49" t="s">
        <v>185</v>
      </c>
      <c r="N2769" s="39" t="s">
        <v>220</v>
      </c>
      <c r="O2769" s="96" t="s">
        <v>3683</v>
      </c>
      <c r="P2769" s="49" t="s">
        <v>157</v>
      </c>
      <c r="Q2769" s="96" t="s">
        <v>104</v>
      </c>
      <c r="R2769" s="52">
        <v>29.9</v>
      </c>
      <c r="S2769" s="52">
        <f>R2769-T2769</f>
        <v>24.710743801652892</v>
      </c>
      <c r="T2769" s="52">
        <f>R2769*U2769/(U2769+100)</f>
        <v>5.189256198347107</v>
      </c>
      <c r="U2769" s="50">
        <v>21</v>
      </c>
      <c r="V2769" s="53">
        <v>0</v>
      </c>
      <c r="W2769" s="147">
        <v>1</v>
      </c>
      <c r="X2769" s="148" t="s">
        <v>163</v>
      </c>
      <c r="Y2769" s="54">
        <f>R2769*W2769</f>
        <v>29.9</v>
      </c>
      <c r="Z2769" s="52">
        <f>S2769*W2769</f>
        <v>24.710743801652892</v>
      </c>
      <c r="AA2769" s="52">
        <f>T2769*W2769</f>
        <v>5.189256198347107</v>
      </c>
      <c r="AB2769" s="52">
        <f>V2769*W2769</f>
        <v>0</v>
      </c>
      <c r="AC2769" s="53">
        <f>(R2769+V2769)*W2769</f>
        <v>29.9</v>
      </c>
      <c r="AD2769" s="138">
        <v>29.9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109</v>
      </c>
      <c r="F2770" s="96" t="s">
        <v>111</v>
      </c>
      <c r="G2770" s="97">
        <v>46132</v>
      </c>
      <c r="H2770" s="98">
        <v>0.6774537037037037</v>
      </c>
      <c r="I2770" s="50">
        <v>169002752</v>
      </c>
      <c r="J2770" s="96" t="s">
        <v>157</v>
      </c>
      <c r="K2770" s="49" t="s">
        <v>961</v>
      </c>
      <c r="L2770" s="39" t="s">
        <v>962</v>
      </c>
      <c r="M2770" s="49" t="s">
        <v>678</v>
      </c>
      <c r="N2770" s="39" t="s">
        <v>874</v>
      </c>
      <c r="O2770" s="96" t="s">
        <v>963</v>
      </c>
      <c r="P2770" s="49" t="s">
        <v>157</v>
      </c>
      <c r="Q2770" s="96" t="s">
        <v>104</v>
      </c>
      <c r="R2770" s="52">
        <v>49.9</v>
      </c>
      <c r="S2770" s="52">
        <f>R2770-T2770</f>
        <v>44.55357142857143</v>
      </c>
      <c r="T2770" s="52">
        <f>R2770*U2770/(U2770+100)</f>
        <v>5.346428571428571</v>
      </c>
      <c r="U2770" s="50">
        <v>12</v>
      </c>
      <c r="V2770" s="53">
        <v>0</v>
      </c>
      <c r="W2770" s="147">
        <v>1</v>
      </c>
      <c r="X2770" s="148" t="s">
        <v>163</v>
      </c>
      <c r="Y2770" s="54">
        <f>R2770*W2770</f>
        <v>49.9</v>
      </c>
      <c r="Z2770" s="52">
        <f>S2770*W2770</f>
        <v>44.55357142857143</v>
      </c>
      <c r="AA2770" s="52">
        <f>T2770*W2770</f>
        <v>5.346428571428571</v>
      </c>
      <c r="AB2770" s="52">
        <f>V2770*W2770</f>
        <v>0</v>
      </c>
      <c r="AC2770" s="53">
        <f>(R2770+V2770)*W2770</f>
        <v>49.9</v>
      </c>
      <c r="AD2770" s="138">
        <v>49.9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109</v>
      </c>
      <c r="F2771" s="96" t="s">
        <v>111</v>
      </c>
      <c r="G2771" s="97">
        <v>46132</v>
      </c>
      <c r="H2771" s="98">
        <v>0.6774537037037037</v>
      </c>
      <c r="I2771" s="50">
        <v>169002752</v>
      </c>
      <c r="J2771" s="96" t="s">
        <v>157</v>
      </c>
      <c r="K2771" s="49" t="s">
        <v>3684</v>
      </c>
      <c r="L2771" s="39" t="s">
        <v>3685</v>
      </c>
      <c r="M2771" s="49" t="s">
        <v>3686</v>
      </c>
      <c r="N2771" s="39" t="s">
        <v>731</v>
      </c>
      <c r="O2771" s="96" t="s">
        <v>3687</v>
      </c>
      <c r="P2771" s="49" t="s">
        <v>157</v>
      </c>
      <c r="Q2771" s="96" t="s">
        <v>104</v>
      </c>
      <c r="R2771" s="52">
        <v>107.9</v>
      </c>
      <c r="S2771" s="52">
        <f>R2771-T2771</f>
        <v>89.17355371900827</v>
      </c>
      <c r="T2771" s="52">
        <f>R2771*U2771/(U2771+100)</f>
        <v>18.726446280991738</v>
      </c>
      <c r="U2771" s="50">
        <v>21</v>
      </c>
      <c r="V2771" s="53">
        <v>0</v>
      </c>
      <c r="W2771" s="147">
        <v>1</v>
      </c>
      <c r="X2771" s="148" t="s">
        <v>163</v>
      </c>
      <c r="Y2771" s="54">
        <f>R2771*W2771</f>
        <v>107.9</v>
      </c>
      <c r="Z2771" s="52">
        <f>S2771*W2771</f>
        <v>89.17355371900827</v>
      </c>
      <c r="AA2771" s="52">
        <f>T2771*W2771</f>
        <v>18.726446280991738</v>
      </c>
      <c r="AB2771" s="52">
        <f>V2771*W2771</f>
        <v>0</v>
      </c>
      <c r="AC2771" s="53">
        <f>(R2771+V2771)*W2771</f>
        <v>107.9</v>
      </c>
      <c r="AD2771" s="138">
        <v>107.9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109</v>
      </c>
      <c r="F2772" s="96" t="s">
        <v>111</v>
      </c>
      <c r="G2772" s="97">
        <v>46132</v>
      </c>
      <c r="H2772" s="98">
        <v>0.6774537037037037</v>
      </c>
      <c r="I2772" s="50">
        <v>169002752</v>
      </c>
      <c r="J2772" s="96" t="s">
        <v>157</v>
      </c>
      <c r="K2772" s="49" t="s">
        <v>1494</v>
      </c>
      <c r="L2772" s="39" t="s">
        <v>1495</v>
      </c>
      <c r="M2772" s="49" t="s">
        <v>190</v>
      </c>
      <c r="N2772" s="39" t="s">
        <v>191</v>
      </c>
      <c r="O2772" s="96" t="s">
        <v>1496</v>
      </c>
      <c r="P2772" s="49" t="s">
        <v>157</v>
      </c>
      <c r="Q2772" s="96" t="s">
        <v>104</v>
      </c>
      <c r="R2772" s="52">
        <v>79.9</v>
      </c>
      <c r="S2772" s="52">
        <f>R2772-T2772</f>
        <v>71.33928571428572</v>
      </c>
      <c r="T2772" s="52">
        <f>R2772*U2772/(U2772+100)</f>
        <v>8.560714285714287</v>
      </c>
      <c r="U2772" s="50">
        <v>12</v>
      </c>
      <c r="V2772" s="53">
        <v>0</v>
      </c>
      <c r="W2772" s="147">
        <v>0.35</v>
      </c>
      <c r="X2772" s="148" t="s">
        <v>193</v>
      </c>
      <c r="Y2772" s="54">
        <f>R2772*W2772</f>
        <v>27.965</v>
      </c>
      <c r="Z2772" s="52">
        <f>S2772*W2772</f>
        <v>24.96875</v>
      </c>
      <c r="AA2772" s="52">
        <f>T2772*W2772</f>
        <v>2.9962500000000003</v>
      </c>
      <c r="AB2772" s="52">
        <f>V2772*W2772</f>
        <v>0</v>
      </c>
      <c r="AC2772" s="53">
        <f>(R2772+V2772)*W2772</f>
        <v>27.965</v>
      </c>
      <c r="AD2772" s="138">
        <v>79.9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109</v>
      </c>
      <c r="F2773" s="96" t="s">
        <v>111</v>
      </c>
      <c r="G2773" s="97">
        <v>46132</v>
      </c>
      <c r="H2773" s="98">
        <v>0.6774537037037037</v>
      </c>
      <c r="I2773" s="50">
        <v>169002752</v>
      </c>
      <c r="J2773" s="96" t="s">
        <v>157</v>
      </c>
      <c r="K2773" s="49" t="s">
        <v>3688</v>
      </c>
      <c r="L2773" s="39" t="s">
        <v>3689</v>
      </c>
      <c r="M2773" s="49" t="s">
        <v>997</v>
      </c>
      <c r="N2773" s="39" t="s">
        <v>3207</v>
      </c>
      <c r="O2773" s="96" t="s">
        <v>3690</v>
      </c>
      <c r="P2773" s="49" t="s">
        <v>157</v>
      </c>
      <c r="Q2773" s="96" t="s">
        <v>104</v>
      </c>
      <c r="R2773" s="52">
        <v>30</v>
      </c>
      <c r="S2773" s="52">
        <f>R2773-T2773</f>
        <v>26.785714285714285</v>
      </c>
      <c r="T2773" s="52">
        <f>R2773*U2773/(U2773+100)</f>
        <v>3.2142857142857144</v>
      </c>
      <c r="U2773" s="50">
        <v>12</v>
      </c>
      <c r="V2773" s="53">
        <v>0</v>
      </c>
      <c r="W2773" s="147">
        <v>1</v>
      </c>
      <c r="X2773" s="148" t="s">
        <v>945</v>
      </c>
      <c r="Y2773" s="54">
        <f>R2773*W2773</f>
        <v>30</v>
      </c>
      <c r="Z2773" s="52">
        <f>S2773*W2773</f>
        <v>26.785714285714285</v>
      </c>
      <c r="AA2773" s="52">
        <f>T2773*W2773</f>
        <v>3.2142857142857144</v>
      </c>
      <c r="AB2773" s="52">
        <f>V2773*W2773</f>
        <v>0</v>
      </c>
      <c r="AC2773" s="53">
        <f>(R2773+V2773)*W2773</f>
        <v>30</v>
      </c>
      <c r="AD2773" s="138">
        <v>30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109</v>
      </c>
      <c r="F2774" s="96" t="s">
        <v>111</v>
      </c>
      <c r="G2774" s="97">
        <v>46132</v>
      </c>
      <c r="H2774" s="98">
        <v>0.6774537037037037</v>
      </c>
      <c r="I2774" s="50">
        <v>169002752</v>
      </c>
      <c r="J2774" s="96" t="s">
        <v>157</v>
      </c>
      <c r="K2774" s="49" t="s">
        <v>3205</v>
      </c>
      <c r="L2774" s="39" t="s">
        <v>3206</v>
      </c>
      <c r="M2774" s="49" t="s">
        <v>997</v>
      </c>
      <c r="N2774" s="39" t="s">
        <v>3207</v>
      </c>
      <c r="O2774" s="96" t="s">
        <v>3208</v>
      </c>
      <c r="P2774" s="49" t="s">
        <v>157</v>
      </c>
      <c r="Q2774" s="96" t="s">
        <v>104</v>
      </c>
      <c r="R2774" s="52">
        <v>26.9</v>
      </c>
      <c r="S2774" s="52">
        <f>R2774-T2774</f>
        <v>24.017857142857142</v>
      </c>
      <c r="T2774" s="52">
        <f>R2774*U2774/(U2774+100)</f>
        <v>2.8821428571428567</v>
      </c>
      <c r="U2774" s="50">
        <v>12</v>
      </c>
      <c r="V2774" s="53">
        <v>0</v>
      </c>
      <c r="W2774" s="147">
        <v>1</v>
      </c>
      <c r="X2774" s="148" t="s">
        <v>945</v>
      </c>
      <c r="Y2774" s="54">
        <f>R2774*W2774</f>
        <v>26.9</v>
      </c>
      <c r="Z2774" s="52">
        <f>S2774*W2774</f>
        <v>24.017857142857142</v>
      </c>
      <c r="AA2774" s="52">
        <f>T2774*W2774</f>
        <v>2.8821428571428567</v>
      </c>
      <c r="AB2774" s="52">
        <f>V2774*W2774</f>
        <v>0</v>
      </c>
      <c r="AC2774" s="53">
        <f>(R2774+V2774)*W2774</f>
        <v>26.9</v>
      </c>
      <c r="AD2774" s="138">
        <v>26.9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109</v>
      </c>
      <c r="F2775" s="96" t="s">
        <v>111</v>
      </c>
      <c r="G2775" s="97">
        <v>46132</v>
      </c>
      <c r="H2775" s="98">
        <v>0.6782870370370371</v>
      </c>
      <c r="I2775" s="50">
        <v>169002753</v>
      </c>
      <c r="J2775" s="96" t="s">
        <v>157</v>
      </c>
      <c r="K2775" s="49" t="s">
        <v>2946</v>
      </c>
      <c r="L2775" s="39" t="s">
        <v>2947</v>
      </c>
      <c r="M2775" s="49" t="s">
        <v>341</v>
      </c>
      <c r="N2775" s="39" t="s">
        <v>167</v>
      </c>
      <c r="O2775" s="96" t="s">
        <v>2948</v>
      </c>
      <c r="P2775" s="49" t="s">
        <v>157</v>
      </c>
      <c r="Q2775" s="96" t="s">
        <v>104</v>
      </c>
      <c r="R2775" s="52">
        <v>19.9</v>
      </c>
      <c r="S2775" s="52">
        <f>R2775-T2775</f>
        <v>16.446280991735534</v>
      </c>
      <c r="T2775" s="52">
        <f>R2775*U2775/(U2775+100)</f>
        <v>3.4537190082644624</v>
      </c>
      <c r="U2775" s="50">
        <v>21</v>
      </c>
      <c r="V2775" s="53">
        <v>0</v>
      </c>
      <c r="W2775" s="147">
        <v>1</v>
      </c>
      <c r="X2775" s="148" t="s">
        <v>163</v>
      </c>
      <c r="Y2775" s="54">
        <f>R2775*W2775</f>
        <v>19.9</v>
      </c>
      <c r="Z2775" s="52">
        <f>S2775*W2775</f>
        <v>16.446280991735534</v>
      </c>
      <c r="AA2775" s="52">
        <f>T2775*W2775</f>
        <v>3.4537190082644624</v>
      </c>
      <c r="AB2775" s="52">
        <f>V2775*W2775</f>
        <v>0</v>
      </c>
      <c r="AC2775" s="53">
        <f>(R2775+V2775)*W2775</f>
        <v>19.9</v>
      </c>
      <c r="AD2775" s="138">
        <v>19.9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109</v>
      </c>
      <c r="F2776" s="96" t="s">
        <v>111</v>
      </c>
      <c r="G2776" s="97">
        <v>46132</v>
      </c>
      <c r="H2776" s="98">
        <v>0.6782870370370371</v>
      </c>
      <c r="I2776" s="50">
        <v>169002753</v>
      </c>
      <c r="J2776" s="96" t="s">
        <v>157</v>
      </c>
      <c r="K2776" s="49" t="s">
        <v>655</v>
      </c>
      <c r="L2776" s="39" t="s">
        <v>656</v>
      </c>
      <c r="M2776" s="49" t="s">
        <v>190</v>
      </c>
      <c r="N2776" s="39" t="s">
        <v>532</v>
      </c>
      <c r="O2776" s="96" t="s">
        <v>657</v>
      </c>
      <c r="P2776" s="49" t="s">
        <v>157</v>
      </c>
      <c r="Q2776" s="96" t="s">
        <v>104</v>
      </c>
      <c r="R2776" s="52">
        <v>35.9</v>
      </c>
      <c r="S2776" s="52">
        <f>R2776-T2776</f>
        <v>32.05357142857143</v>
      </c>
      <c r="T2776" s="52">
        <f>R2776*U2776/(U2776+100)</f>
        <v>3.846428571428571</v>
      </c>
      <c r="U2776" s="50">
        <v>12</v>
      </c>
      <c r="V2776" s="53">
        <v>0</v>
      </c>
      <c r="W2776" s="147">
        <v>0.318</v>
      </c>
      <c r="X2776" s="148" t="s">
        <v>193</v>
      </c>
      <c r="Y2776" s="54">
        <f>R2776*W2776</f>
        <v>11.4162</v>
      </c>
      <c r="Z2776" s="52">
        <f>S2776*W2776</f>
        <v>10.193035714285715</v>
      </c>
      <c r="AA2776" s="52">
        <f>T2776*W2776</f>
        <v>1.2231642857142857</v>
      </c>
      <c r="AB2776" s="52">
        <f>V2776*W2776</f>
        <v>0</v>
      </c>
      <c r="AC2776" s="53">
        <f>(R2776+V2776)*W2776</f>
        <v>11.4162</v>
      </c>
      <c r="AD2776" s="138">
        <v>35.9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109</v>
      </c>
      <c r="F2777" s="96" t="s">
        <v>111</v>
      </c>
      <c r="G2777" s="97">
        <v>46132</v>
      </c>
      <c r="H2777" s="98">
        <v>0.6786226851851852</v>
      </c>
      <c r="I2777" s="50">
        <v>169002754</v>
      </c>
      <c r="J2777" s="96" t="s">
        <v>157</v>
      </c>
      <c r="K2777" s="49" t="s">
        <v>1232</v>
      </c>
      <c r="L2777" s="39" t="s">
        <v>1233</v>
      </c>
      <c r="M2777" s="49" t="s">
        <v>466</v>
      </c>
      <c r="N2777" s="39" t="s">
        <v>291</v>
      </c>
      <c r="O2777" s="96" t="s">
        <v>1234</v>
      </c>
      <c r="P2777" s="49" t="s">
        <v>235</v>
      </c>
      <c r="Q2777" s="96" t="s">
        <v>236</v>
      </c>
      <c r="R2777" s="52">
        <v>26.9</v>
      </c>
      <c r="S2777" s="52">
        <f>R2777-T2777</f>
        <v>24.017857142857142</v>
      </c>
      <c r="T2777" s="52">
        <f>R2777*U2777/(U2777+100)</f>
        <v>2.8821428571428567</v>
      </c>
      <c r="U2777" s="50">
        <v>12</v>
      </c>
      <c r="V2777" s="53">
        <v>0</v>
      </c>
      <c r="W2777" s="147">
        <v>1</v>
      </c>
      <c r="X2777" s="148" t="s">
        <v>163</v>
      </c>
      <c r="Y2777" s="54">
        <f>R2777*W2777</f>
        <v>26.9</v>
      </c>
      <c r="Z2777" s="52">
        <f>S2777*W2777</f>
        <v>24.017857142857142</v>
      </c>
      <c r="AA2777" s="52">
        <f>T2777*W2777</f>
        <v>2.8821428571428567</v>
      </c>
      <c r="AB2777" s="52">
        <f>V2777*W2777</f>
        <v>0</v>
      </c>
      <c r="AC2777" s="53">
        <f>(R2777+V2777)*W2777</f>
        <v>26.9</v>
      </c>
      <c r="AD2777" s="138">
        <v>26.9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109</v>
      </c>
      <c r="F2778" s="96" t="s">
        <v>111</v>
      </c>
      <c r="G2778" s="97">
        <v>46132</v>
      </c>
      <c r="H2778" s="98">
        <v>0.6786226851851852</v>
      </c>
      <c r="I2778" s="50">
        <v>169002754</v>
      </c>
      <c r="J2778" s="96" t="s">
        <v>157</v>
      </c>
      <c r="K2778" s="49" t="s">
        <v>1232</v>
      </c>
      <c r="L2778" s="39" t="s">
        <v>1233</v>
      </c>
      <c r="M2778" s="49" t="s">
        <v>466</v>
      </c>
      <c r="N2778" s="39" t="s">
        <v>291</v>
      </c>
      <c r="O2778" s="96" t="s">
        <v>1234</v>
      </c>
      <c r="P2778" s="49" t="s">
        <v>235</v>
      </c>
      <c r="Q2778" s="96" t="s">
        <v>236</v>
      </c>
      <c r="R2778" s="52">
        <v>26.9</v>
      </c>
      <c r="S2778" s="52">
        <f>R2778-T2778</f>
        <v>24.017857142857142</v>
      </c>
      <c r="T2778" s="52">
        <f>R2778*U2778/(U2778+100)</f>
        <v>2.8821428571428567</v>
      </c>
      <c r="U2778" s="50">
        <v>12</v>
      </c>
      <c r="V2778" s="53">
        <v>0</v>
      </c>
      <c r="W2778" s="147">
        <v>1</v>
      </c>
      <c r="X2778" s="148" t="s">
        <v>163</v>
      </c>
      <c r="Y2778" s="54">
        <f>R2778*W2778</f>
        <v>26.9</v>
      </c>
      <c r="Z2778" s="52">
        <f>S2778*W2778</f>
        <v>24.017857142857142</v>
      </c>
      <c r="AA2778" s="52">
        <f>T2778*W2778</f>
        <v>2.8821428571428567</v>
      </c>
      <c r="AB2778" s="52">
        <f>V2778*W2778</f>
        <v>0</v>
      </c>
      <c r="AC2778" s="53">
        <f>(R2778+V2778)*W2778</f>
        <v>26.9</v>
      </c>
      <c r="AD2778" s="138">
        <v>26.9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109</v>
      </c>
      <c r="F2779" s="96" t="s">
        <v>111</v>
      </c>
      <c r="G2779" s="97">
        <v>46132</v>
      </c>
      <c r="H2779" s="98">
        <v>0.6786226851851852</v>
      </c>
      <c r="I2779" s="50">
        <v>169002754</v>
      </c>
      <c r="J2779" s="96" t="s">
        <v>157</v>
      </c>
      <c r="K2779" s="49" t="s">
        <v>1924</v>
      </c>
      <c r="L2779" s="39" t="s">
        <v>1925</v>
      </c>
      <c r="M2779" s="49" t="s">
        <v>1647</v>
      </c>
      <c r="N2779" s="39" t="s">
        <v>726</v>
      </c>
      <c r="O2779" s="96" t="s">
        <v>1926</v>
      </c>
      <c r="P2779" s="49" t="s">
        <v>157</v>
      </c>
      <c r="Q2779" s="96" t="s">
        <v>104</v>
      </c>
      <c r="R2779" s="52">
        <v>37.9</v>
      </c>
      <c r="S2779" s="52">
        <f>R2779-T2779</f>
        <v>33.839285714285715</v>
      </c>
      <c r="T2779" s="52">
        <f>R2779*U2779/(U2779+100)</f>
        <v>4.060714285714285</v>
      </c>
      <c r="U2779" s="50">
        <v>12</v>
      </c>
      <c r="V2779" s="53">
        <v>0</v>
      </c>
      <c r="W2779" s="147">
        <v>1</v>
      </c>
      <c r="X2779" s="148" t="s">
        <v>163</v>
      </c>
      <c r="Y2779" s="54">
        <f>R2779*W2779</f>
        <v>37.9</v>
      </c>
      <c r="Z2779" s="52">
        <f>S2779*W2779</f>
        <v>33.839285714285715</v>
      </c>
      <c r="AA2779" s="52">
        <f>T2779*W2779</f>
        <v>4.060714285714285</v>
      </c>
      <c r="AB2779" s="52">
        <f>V2779*W2779</f>
        <v>0</v>
      </c>
      <c r="AC2779" s="53">
        <f>(R2779+V2779)*W2779</f>
        <v>37.9</v>
      </c>
      <c r="AD2779" s="138">
        <v>37.9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109</v>
      </c>
      <c r="F2780" s="96" t="s">
        <v>111</v>
      </c>
      <c r="G2780" s="97">
        <v>46132</v>
      </c>
      <c r="H2780" s="98">
        <v>0.6805902777777778</v>
      </c>
      <c r="I2780" s="50">
        <v>169002755</v>
      </c>
      <c r="J2780" s="96" t="s">
        <v>157</v>
      </c>
      <c r="K2780" s="49" t="s">
        <v>3691</v>
      </c>
      <c r="L2780" s="39" t="s">
        <v>3692</v>
      </c>
      <c r="M2780" s="49" t="s">
        <v>429</v>
      </c>
      <c r="N2780" s="39" t="s">
        <v>239</v>
      </c>
      <c r="O2780" s="96" t="s">
        <v>3693</v>
      </c>
      <c r="P2780" s="49" t="s">
        <v>235</v>
      </c>
      <c r="Q2780" s="96" t="s">
        <v>236</v>
      </c>
      <c r="R2780" s="52">
        <v>14.9</v>
      </c>
      <c r="S2780" s="52">
        <f>R2780-T2780</f>
        <v>13.303571428571429</v>
      </c>
      <c r="T2780" s="52">
        <f>R2780*U2780/(U2780+100)</f>
        <v>1.5964285714285715</v>
      </c>
      <c r="U2780" s="50">
        <v>12</v>
      </c>
      <c r="V2780" s="53">
        <v>0</v>
      </c>
      <c r="W2780" s="147">
        <v>1</v>
      </c>
      <c r="X2780" s="148" t="s">
        <v>163</v>
      </c>
      <c r="Y2780" s="54">
        <f>R2780*W2780</f>
        <v>14.9</v>
      </c>
      <c r="Z2780" s="52">
        <f>S2780*W2780</f>
        <v>13.303571428571429</v>
      </c>
      <c r="AA2780" s="52">
        <f>T2780*W2780</f>
        <v>1.5964285714285715</v>
      </c>
      <c r="AB2780" s="52">
        <f>V2780*W2780</f>
        <v>0</v>
      </c>
      <c r="AC2780" s="53">
        <f>(R2780+V2780)*W2780</f>
        <v>14.9</v>
      </c>
      <c r="AD2780" s="138">
        <v>14.9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109</v>
      </c>
      <c r="F2781" s="96" t="s">
        <v>111</v>
      </c>
      <c r="G2781" s="97">
        <v>46132</v>
      </c>
      <c r="H2781" s="98">
        <v>0.6805902777777778</v>
      </c>
      <c r="I2781" s="50">
        <v>169002755</v>
      </c>
      <c r="J2781" s="96" t="s">
        <v>157</v>
      </c>
      <c r="K2781" s="49" t="s">
        <v>3694</v>
      </c>
      <c r="L2781" s="39" t="s">
        <v>3695</v>
      </c>
      <c r="M2781" s="49" t="s">
        <v>282</v>
      </c>
      <c r="N2781" s="39" t="s">
        <v>609</v>
      </c>
      <c r="O2781" s="96" t="s">
        <v>3696</v>
      </c>
      <c r="P2781" s="49" t="s">
        <v>157</v>
      </c>
      <c r="Q2781" s="96" t="s">
        <v>104</v>
      </c>
      <c r="R2781" s="52">
        <v>21.9</v>
      </c>
      <c r="S2781" s="52">
        <f>R2781-T2781</f>
        <v>19.553571428571427</v>
      </c>
      <c r="T2781" s="52">
        <f>R2781*U2781/(U2781+100)</f>
        <v>2.346428571428571</v>
      </c>
      <c r="U2781" s="50">
        <v>12</v>
      </c>
      <c r="V2781" s="53">
        <v>0</v>
      </c>
      <c r="W2781" s="147">
        <v>1</v>
      </c>
      <c r="X2781" s="148" t="s">
        <v>163</v>
      </c>
      <c r="Y2781" s="54">
        <f>R2781*W2781</f>
        <v>21.9</v>
      </c>
      <c r="Z2781" s="52">
        <f>S2781*W2781</f>
        <v>19.553571428571427</v>
      </c>
      <c r="AA2781" s="52">
        <f>T2781*W2781</f>
        <v>2.346428571428571</v>
      </c>
      <c r="AB2781" s="52">
        <f>V2781*W2781</f>
        <v>0</v>
      </c>
      <c r="AC2781" s="53">
        <f>(R2781+V2781)*W2781</f>
        <v>21.9</v>
      </c>
      <c r="AD2781" s="138">
        <v>21.9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109</v>
      </c>
      <c r="F2782" s="96" t="s">
        <v>111</v>
      </c>
      <c r="G2782" s="97">
        <v>46132</v>
      </c>
      <c r="H2782" s="98">
        <v>0.6805902777777778</v>
      </c>
      <c r="I2782" s="50">
        <v>169002755</v>
      </c>
      <c r="J2782" s="96" t="s">
        <v>157</v>
      </c>
      <c r="K2782" s="49" t="s">
        <v>942</v>
      </c>
      <c r="L2782" s="39"/>
      <c r="M2782" s="49" t="s">
        <v>295</v>
      </c>
      <c r="N2782" s="39" t="s">
        <v>433</v>
      </c>
      <c r="O2782" s="96" t="s">
        <v>1332</v>
      </c>
      <c r="P2782" s="49" t="s">
        <v>235</v>
      </c>
      <c r="Q2782" s="96" t="s">
        <v>944</v>
      </c>
      <c r="R2782" s="52">
        <v>9.9</v>
      </c>
      <c r="S2782" s="52">
        <f>R2782-T2782</f>
        <v>8.839285714285715</v>
      </c>
      <c r="T2782" s="52">
        <f>R2782*U2782/(U2782+100)</f>
        <v>1.0607142857142857</v>
      </c>
      <c r="U2782" s="50">
        <v>12</v>
      </c>
      <c r="V2782" s="53">
        <v>0</v>
      </c>
      <c r="W2782" s="147">
        <v>1</v>
      </c>
      <c r="X2782" s="148" t="s">
        <v>945</v>
      </c>
      <c r="Y2782" s="54">
        <f>R2782*W2782</f>
        <v>9.9</v>
      </c>
      <c r="Z2782" s="52">
        <f>S2782*W2782</f>
        <v>8.839285714285715</v>
      </c>
      <c r="AA2782" s="52">
        <f>T2782*W2782</f>
        <v>1.0607142857142857</v>
      </c>
      <c r="AB2782" s="52">
        <f>V2782*W2782</f>
        <v>0</v>
      </c>
      <c r="AC2782" s="53">
        <f>(R2782+V2782)*W2782</f>
        <v>9.9</v>
      </c>
      <c r="AD2782" s="138">
        <v>9.9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109</v>
      </c>
      <c r="F2783" s="96" t="s">
        <v>111</v>
      </c>
      <c r="G2783" s="97">
        <v>46132</v>
      </c>
      <c r="H2783" s="98">
        <v>0.6810648148148148</v>
      </c>
      <c r="I2783" s="50">
        <v>169002756</v>
      </c>
      <c r="J2783" s="96" t="s">
        <v>157</v>
      </c>
      <c r="K2783" s="49" t="s">
        <v>1612</v>
      </c>
      <c r="L2783" s="39" t="s">
        <v>1613</v>
      </c>
      <c r="M2783" s="49" t="s">
        <v>190</v>
      </c>
      <c r="N2783" s="39" t="s">
        <v>462</v>
      </c>
      <c r="O2783" s="96" t="s">
        <v>1614</v>
      </c>
      <c r="P2783" s="49" t="s">
        <v>157</v>
      </c>
      <c r="Q2783" s="96" t="s">
        <v>104</v>
      </c>
      <c r="R2783" s="52">
        <v>33.9</v>
      </c>
      <c r="S2783" s="52">
        <f>R2783-T2783</f>
        <v>30.267857142857142</v>
      </c>
      <c r="T2783" s="52">
        <f>R2783*U2783/(U2783+100)</f>
        <v>3.6321428571428567</v>
      </c>
      <c r="U2783" s="50">
        <v>12</v>
      </c>
      <c r="V2783" s="53">
        <v>0</v>
      </c>
      <c r="W2783" s="147">
        <v>1</v>
      </c>
      <c r="X2783" s="148" t="s">
        <v>163</v>
      </c>
      <c r="Y2783" s="54">
        <f>R2783*W2783</f>
        <v>33.9</v>
      </c>
      <c r="Z2783" s="52">
        <f>S2783*W2783</f>
        <v>30.267857142857142</v>
      </c>
      <c r="AA2783" s="52">
        <f>T2783*W2783</f>
        <v>3.6321428571428567</v>
      </c>
      <c r="AB2783" s="52">
        <f>V2783*W2783</f>
        <v>0</v>
      </c>
      <c r="AC2783" s="53">
        <f>(R2783+V2783)*W2783</f>
        <v>33.9</v>
      </c>
      <c r="AD2783" s="138">
        <v>33.9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109</v>
      </c>
      <c r="F2784" s="96" t="s">
        <v>111</v>
      </c>
      <c r="G2784" s="97">
        <v>46132</v>
      </c>
      <c r="H2784" s="98">
        <v>0.6821875</v>
      </c>
      <c r="I2784" s="50">
        <v>169002757</v>
      </c>
      <c r="J2784" s="96" t="s">
        <v>157</v>
      </c>
      <c r="K2784" s="49" t="s">
        <v>411</v>
      </c>
      <c r="L2784" s="39" t="s">
        <v>412</v>
      </c>
      <c r="M2784" s="49" t="s">
        <v>413</v>
      </c>
      <c r="N2784" s="39" t="s">
        <v>414</v>
      </c>
      <c r="O2784" s="96" t="s">
        <v>2936</v>
      </c>
      <c r="P2784" s="49" t="s">
        <v>157</v>
      </c>
      <c r="Q2784" s="96" t="s">
        <v>104</v>
      </c>
      <c r="R2784" s="52">
        <v>12.4</v>
      </c>
      <c r="S2784" s="52">
        <f>R2784-T2784</f>
        <v>11.071428571428571</v>
      </c>
      <c r="T2784" s="52">
        <f>R2784*U2784/(U2784+100)</f>
        <v>1.3285714285714287</v>
      </c>
      <c r="U2784" s="50">
        <v>12</v>
      </c>
      <c r="V2784" s="53">
        <v>0</v>
      </c>
      <c r="W2784" s="147">
        <v>1</v>
      </c>
      <c r="X2784" s="148" t="s">
        <v>163</v>
      </c>
      <c r="Y2784" s="54">
        <f>R2784*W2784</f>
        <v>12.4</v>
      </c>
      <c r="Z2784" s="52">
        <f>S2784*W2784</f>
        <v>11.071428571428571</v>
      </c>
      <c r="AA2784" s="52">
        <f>T2784*W2784</f>
        <v>1.3285714285714287</v>
      </c>
      <c r="AB2784" s="52">
        <f>V2784*W2784</f>
        <v>0</v>
      </c>
      <c r="AC2784" s="53">
        <f>(R2784+V2784)*W2784</f>
        <v>12.4</v>
      </c>
      <c r="AD2784" s="138">
        <v>12.4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109</v>
      </c>
      <c r="F2785" s="96" t="s">
        <v>111</v>
      </c>
      <c r="G2785" s="97">
        <v>46132</v>
      </c>
      <c r="H2785" s="98">
        <v>0.6821875</v>
      </c>
      <c r="I2785" s="50">
        <v>169002757</v>
      </c>
      <c r="J2785" s="96" t="s">
        <v>157</v>
      </c>
      <c r="K2785" s="49" t="s">
        <v>1907</v>
      </c>
      <c r="L2785" s="39" t="s">
        <v>1908</v>
      </c>
      <c r="M2785" s="49" t="s">
        <v>413</v>
      </c>
      <c r="N2785" s="39" t="s">
        <v>414</v>
      </c>
      <c r="O2785" s="96" t="s">
        <v>1909</v>
      </c>
      <c r="P2785" s="49" t="s">
        <v>157</v>
      </c>
      <c r="Q2785" s="96" t="s">
        <v>104</v>
      </c>
      <c r="R2785" s="52">
        <v>12.4</v>
      </c>
      <c r="S2785" s="52">
        <f>R2785-T2785</f>
        <v>11.071428571428571</v>
      </c>
      <c r="T2785" s="52">
        <f>R2785*U2785/(U2785+100)</f>
        <v>1.3285714285714287</v>
      </c>
      <c r="U2785" s="50">
        <v>12</v>
      </c>
      <c r="V2785" s="53">
        <v>0</v>
      </c>
      <c r="W2785" s="147">
        <v>1</v>
      </c>
      <c r="X2785" s="148" t="s">
        <v>163</v>
      </c>
      <c r="Y2785" s="54">
        <f>R2785*W2785</f>
        <v>12.4</v>
      </c>
      <c r="Z2785" s="52">
        <f>S2785*W2785</f>
        <v>11.071428571428571</v>
      </c>
      <c r="AA2785" s="52">
        <f>T2785*W2785</f>
        <v>1.3285714285714287</v>
      </c>
      <c r="AB2785" s="52">
        <f>V2785*W2785</f>
        <v>0</v>
      </c>
      <c r="AC2785" s="53">
        <f>(R2785+V2785)*W2785</f>
        <v>12.4</v>
      </c>
      <c r="AD2785" s="138">
        <v>12.4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109</v>
      </c>
      <c r="F2786" s="96" t="s">
        <v>111</v>
      </c>
      <c r="G2786" s="97">
        <v>46132</v>
      </c>
      <c r="H2786" s="98">
        <v>0.6821875</v>
      </c>
      <c r="I2786" s="50">
        <v>169002757</v>
      </c>
      <c r="J2786" s="96" t="s">
        <v>157</v>
      </c>
      <c r="K2786" s="49" t="s">
        <v>3697</v>
      </c>
      <c r="L2786" s="39" t="s">
        <v>3698</v>
      </c>
      <c r="M2786" s="49" t="s">
        <v>837</v>
      </c>
      <c r="N2786" s="39" t="s">
        <v>838</v>
      </c>
      <c r="O2786" s="96" t="s">
        <v>3699</v>
      </c>
      <c r="P2786" s="49" t="s">
        <v>157</v>
      </c>
      <c r="Q2786" s="96" t="s">
        <v>104</v>
      </c>
      <c r="R2786" s="52">
        <v>99.9</v>
      </c>
      <c r="S2786" s="52">
        <f>R2786-T2786</f>
        <v>89.19642857142857</v>
      </c>
      <c r="T2786" s="52">
        <f>R2786*U2786/(U2786+100)</f>
        <v>10.703571428571431</v>
      </c>
      <c r="U2786" s="50">
        <v>12</v>
      </c>
      <c r="V2786" s="53">
        <v>0</v>
      </c>
      <c r="W2786" s="147">
        <v>1</v>
      </c>
      <c r="X2786" s="148" t="s">
        <v>163</v>
      </c>
      <c r="Y2786" s="54">
        <f>R2786*W2786</f>
        <v>99.9</v>
      </c>
      <c r="Z2786" s="52">
        <f>S2786*W2786</f>
        <v>89.19642857142857</v>
      </c>
      <c r="AA2786" s="52">
        <f>T2786*W2786</f>
        <v>10.703571428571431</v>
      </c>
      <c r="AB2786" s="52">
        <f>V2786*W2786</f>
        <v>0</v>
      </c>
      <c r="AC2786" s="53">
        <f>(R2786+V2786)*W2786</f>
        <v>99.9</v>
      </c>
      <c r="AD2786" s="138">
        <v>99.9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109</v>
      </c>
      <c r="F2787" s="96" t="s">
        <v>111</v>
      </c>
      <c r="G2787" s="97">
        <v>46132</v>
      </c>
      <c r="H2787" s="98">
        <v>0.6821875</v>
      </c>
      <c r="I2787" s="50">
        <v>169002757</v>
      </c>
      <c r="J2787" s="96" t="s">
        <v>157</v>
      </c>
      <c r="K2787" s="49" t="s">
        <v>3700</v>
      </c>
      <c r="L2787" s="39" t="s">
        <v>3701</v>
      </c>
      <c r="M2787" s="49" t="s">
        <v>255</v>
      </c>
      <c r="N2787" s="39" t="s">
        <v>256</v>
      </c>
      <c r="O2787" s="96" t="s">
        <v>3702</v>
      </c>
      <c r="P2787" s="49" t="s">
        <v>157</v>
      </c>
      <c r="Q2787" s="96" t="s">
        <v>104</v>
      </c>
      <c r="R2787" s="52">
        <v>143.4</v>
      </c>
      <c r="S2787" s="52">
        <f>R2787-T2787</f>
        <v>118.51239669421489</v>
      </c>
      <c r="T2787" s="52">
        <f>R2787*U2787/(U2787+100)</f>
        <v>24.887603305785124</v>
      </c>
      <c r="U2787" s="50">
        <v>21</v>
      </c>
      <c r="V2787" s="53">
        <v>0</v>
      </c>
      <c r="W2787" s="147">
        <v>1</v>
      </c>
      <c r="X2787" s="148" t="s">
        <v>163</v>
      </c>
      <c r="Y2787" s="54">
        <f>R2787*W2787</f>
        <v>143.4</v>
      </c>
      <c r="Z2787" s="52">
        <f>S2787*W2787</f>
        <v>118.51239669421489</v>
      </c>
      <c r="AA2787" s="52">
        <f>T2787*W2787</f>
        <v>24.887603305785124</v>
      </c>
      <c r="AB2787" s="52">
        <f>V2787*W2787</f>
        <v>0</v>
      </c>
      <c r="AC2787" s="53">
        <f>(R2787+V2787)*W2787</f>
        <v>143.4</v>
      </c>
      <c r="AD2787" s="138">
        <v>143.4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109</v>
      </c>
      <c r="F2788" s="96" t="s">
        <v>111</v>
      </c>
      <c r="G2788" s="97">
        <v>46132</v>
      </c>
      <c r="H2788" s="98">
        <v>0.6821875</v>
      </c>
      <c r="I2788" s="50">
        <v>169002757</v>
      </c>
      <c r="J2788" s="96" t="s">
        <v>157</v>
      </c>
      <c r="K2788" s="49" t="s">
        <v>942</v>
      </c>
      <c r="L2788" s="39"/>
      <c r="M2788" s="49" t="s">
        <v>295</v>
      </c>
      <c r="N2788" s="39" t="s">
        <v>433</v>
      </c>
      <c r="O2788" s="96" t="s">
        <v>1332</v>
      </c>
      <c r="P2788" s="49" t="s">
        <v>235</v>
      </c>
      <c r="Q2788" s="96" t="s">
        <v>944</v>
      </c>
      <c r="R2788" s="52">
        <v>9.9</v>
      </c>
      <c r="S2788" s="52">
        <f>R2788-T2788</f>
        <v>8.839285714285715</v>
      </c>
      <c r="T2788" s="52">
        <f>R2788*U2788/(U2788+100)</f>
        <v>1.0607142857142857</v>
      </c>
      <c r="U2788" s="50">
        <v>12</v>
      </c>
      <c r="V2788" s="53">
        <v>0</v>
      </c>
      <c r="W2788" s="147">
        <v>1</v>
      </c>
      <c r="X2788" s="148" t="s">
        <v>945</v>
      </c>
      <c r="Y2788" s="54">
        <f>R2788*W2788</f>
        <v>9.9</v>
      </c>
      <c r="Z2788" s="52">
        <f>S2788*W2788</f>
        <v>8.839285714285715</v>
      </c>
      <c r="AA2788" s="52">
        <f>T2788*W2788</f>
        <v>1.0607142857142857</v>
      </c>
      <c r="AB2788" s="52">
        <f>V2788*W2788</f>
        <v>0</v>
      </c>
      <c r="AC2788" s="53">
        <f>(R2788+V2788)*W2788</f>
        <v>9.9</v>
      </c>
      <c r="AD2788" s="138">
        <v>9.9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109</v>
      </c>
      <c r="F2789" s="96" t="s">
        <v>111</v>
      </c>
      <c r="G2789" s="97">
        <v>46132</v>
      </c>
      <c r="H2789" s="98">
        <v>0.682337962962963</v>
      </c>
      <c r="I2789" s="50">
        <v>169002758</v>
      </c>
      <c r="J2789" s="96" t="s">
        <v>157</v>
      </c>
      <c r="K2789" s="49" t="s">
        <v>3077</v>
      </c>
      <c r="L2789" s="39" t="s">
        <v>3078</v>
      </c>
      <c r="M2789" s="49" t="s">
        <v>1252</v>
      </c>
      <c r="N2789" s="39" t="s">
        <v>264</v>
      </c>
      <c r="O2789" s="96" t="s">
        <v>3079</v>
      </c>
      <c r="P2789" s="49" t="s">
        <v>157</v>
      </c>
      <c r="Q2789" s="96" t="s">
        <v>104</v>
      </c>
      <c r="R2789" s="52">
        <v>19.9</v>
      </c>
      <c r="S2789" s="52">
        <f>R2789-T2789</f>
        <v>17.767857142857142</v>
      </c>
      <c r="T2789" s="52">
        <f>R2789*U2789/(U2789+100)</f>
        <v>2.132142857142857</v>
      </c>
      <c r="U2789" s="50">
        <v>12</v>
      </c>
      <c r="V2789" s="53">
        <v>0</v>
      </c>
      <c r="W2789" s="147">
        <v>1</v>
      </c>
      <c r="X2789" s="148" t="s">
        <v>163</v>
      </c>
      <c r="Y2789" s="54">
        <f>R2789*W2789</f>
        <v>19.9</v>
      </c>
      <c r="Z2789" s="52">
        <f>S2789*W2789</f>
        <v>17.767857142857142</v>
      </c>
      <c r="AA2789" s="52">
        <f>T2789*W2789</f>
        <v>2.132142857142857</v>
      </c>
      <c r="AB2789" s="52">
        <f>V2789*W2789</f>
        <v>0</v>
      </c>
      <c r="AC2789" s="53">
        <f>(R2789+V2789)*W2789</f>
        <v>19.9</v>
      </c>
      <c r="AD2789" s="138">
        <v>19.9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109</v>
      </c>
      <c r="F2790" s="96" t="s">
        <v>111</v>
      </c>
      <c r="G2790" s="97">
        <v>46132</v>
      </c>
      <c r="H2790" s="98">
        <v>0.682337962962963</v>
      </c>
      <c r="I2790" s="50">
        <v>169002758</v>
      </c>
      <c r="J2790" s="96" t="s">
        <v>157</v>
      </c>
      <c r="K2790" s="49" t="s">
        <v>1025</v>
      </c>
      <c r="L2790" s="39" t="s">
        <v>1026</v>
      </c>
      <c r="M2790" s="49" t="s">
        <v>539</v>
      </c>
      <c r="N2790" s="39" t="s">
        <v>404</v>
      </c>
      <c r="O2790" s="96" t="s">
        <v>1027</v>
      </c>
      <c r="P2790" s="49" t="s">
        <v>157</v>
      </c>
      <c r="Q2790" s="96" t="s">
        <v>104</v>
      </c>
      <c r="R2790" s="52">
        <v>31.9</v>
      </c>
      <c r="S2790" s="52">
        <f>R2790-T2790</f>
        <v>28.482142857142858</v>
      </c>
      <c r="T2790" s="52">
        <f>R2790*U2790/(U2790+100)</f>
        <v>3.4178571428571423</v>
      </c>
      <c r="U2790" s="50">
        <v>12</v>
      </c>
      <c r="V2790" s="53">
        <v>0</v>
      </c>
      <c r="W2790" s="147">
        <v>1</v>
      </c>
      <c r="X2790" s="148" t="s">
        <v>163</v>
      </c>
      <c r="Y2790" s="54">
        <f>R2790*W2790</f>
        <v>31.9</v>
      </c>
      <c r="Z2790" s="52">
        <f>S2790*W2790</f>
        <v>28.482142857142858</v>
      </c>
      <c r="AA2790" s="52">
        <f>T2790*W2790</f>
        <v>3.4178571428571423</v>
      </c>
      <c r="AB2790" s="52">
        <f>V2790*W2790</f>
        <v>0</v>
      </c>
      <c r="AC2790" s="53">
        <f>(R2790+V2790)*W2790</f>
        <v>31.9</v>
      </c>
      <c r="AD2790" s="138">
        <v>31.9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109</v>
      </c>
      <c r="F2791" s="96" t="s">
        <v>111</v>
      </c>
      <c r="G2791" s="97">
        <v>46132</v>
      </c>
      <c r="H2791" s="98">
        <v>0.682337962962963</v>
      </c>
      <c r="I2791" s="50">
        <v>169002758</v>
      </c>
      <c r="J2791" s="96" t="s">
        <v>157</v>
      </c>
      <c r="K2791" s="49" t="s">
        <v>3703</v>
      </c>
      <c r="L2791" s="39" t="s">
        <v>3704</v>
      </c>
      <c r="M2791" s="49" t="s">
        <v>429</v>
      </c>
      <c r="N2791" s="39" t="s">
        <v>239</v>
      </c>
      <c r="O2791" s="96" t="s">
        <v>3705</v>
      </c>
      <c r="P2791" s="49" t="s">
        <v>157</v>
      </c>
      <c r="Q2791" s="96" t="s">
        <v>104</v>
      </c>
      <c r="R2791" s="52">
        <v>18.9</v>
      </c>
      <c r="S2791" s="52">
        <f>R2791-T2791</f>
        <v>16.875</v>
      </c>
      <c r="T2791" s="52">
        <f>R2791*U2791/(U2791+100)</f>
        <v>2.025</v>
      </c>
      <c r="U2791" s="50">
        <v>12</v>
      </c>
      <c r="V2791" s="53">
        <v>0</v>
      </c>
      <c r="W2791" s="147">
        <v>1</v>
      </c>
      <c r="X2791" s="148" t="s">
        <v>163</v>
      </c>
      <c r="Y2791" s="54">
        <f>R2791*W2791</f>
        <v>18.9</v>
      </c>
      <c r="Z2791" s="52">
        <f>S2791*W2791</f>
        <v>16.875</v>
      </c>
      <c r="AA2791" s="52">
        <f>T2791*W2791</f>
        <v>2.025</v>
      </c>
      <c r="AB2791" s="52">
        <f>V2791*W2791</f>
        <v>0</v>
      </c>
      <c r="AC2791" s="53">
        <f>(R2791+V2791)*W2791</f>
        <v>18.9</v>
      </c>
      <c r="AD2791" s="138">
        <v>18.9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109</v>
      </c>
      <c r="F2792" s="96" t="s">
        <v>111</v>
      </c>
      <c r="G2792" s="97">
        <v>46132</v>
      </c>
      <c r="H2792" s="98">
        <v>0.682337962962963</v>
      </c>
      <c r="I2792" s="50">
        <v>169002758</v>
      </c>
      <c r="J2792" s="96" t="s">
        <v>157</v>
      </c>
      <c r="K2792" s="49" t="s">
        <v>2622</v>
      </c>
      <c r="L2792" s="39" t="s">
        <v>2623</v>
      </c>
      <c r="M2792" s="49" t="s">
        <v>429</v>
      </c>
      <c r="N2792" s="39" t="s">
        <v>348</v>
      </c>
      <c r="O2792" s="96" t="s">
        <v>2624</v>
      </c>
      <c r="P2792" s="49" t="s">
        <v>235</v>
      </c>
      <c r="Q2792" s="96" t="s">
        <v>236</v>
      </c>
      <c r="R2792" s="52">
        <v>16.9</v>
      </c>
      <c r="S2792" s="52">
        <f>R2792-T2792</f>
        <v>15.089285714285714</v>
      </c>
      <c r="T2792" s="52">
        <f>R2792*U2792/(U2792+100)</f>
        <v>1.8107142857142855</v>
      </c>
      <c r="U2792" s="50">
        <v>12</v>
      </c>
      <c r="V2792" s="53">
        <v>0</v>
      </c>
      <c r="W2792" s="147">
        <v>1</v>
      </c>
      <c r="X2792" s="148" t="s">
        <v>163</v>
      </c>
      <c r="Y2792" s="54">
        <f>R2792*W2792</f>
        <v>16.9</v>
      </c>
      <c r="Z2792" s="52">
        <f>S2792*W2792</f>
        <v>15.089285714285714</v>
      </c>
      <c r="AA2792" s="52">
        <f>T2792*W2792</f>
        <v>1.8107142857142855</v>
      </c>
      <c r="AB2792" s="52">
        <f>V2792*W2792</f>
        <v>0</v>
      </c>
      <c r="AC2792" s="53">
        <f>(R2792+V2792)*W2792</f>
        <v>16.9</v>
      </c>
      <c r="AD2792" s="138">
        <v>16.9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109</v>
      </c>
      <c r="F2793" s="96" t="s">
        <v>111</v>
      </c>
      <c r="G2793" s="97">
        <v>46132</v>
      </c>
      <c r="H2793" s="98">
        <v>0.6828009259259259</v>
      </c>
      <c r="I2793" s="50">
        <v>169002759</v>
      </c>
      <c r="J2793" s="96" t="s">
        <v>157</v>
      </c>
      <c r="K2793" s="49" t="s">
        <v>724</v>
      </c>
      <c r="L2793" s="39" t="s">
        <v>725</v>
      </c>
      <c r="M2793" s="49" t="s">
        <v>214</v>
      </c>
      <c r="N2793" s="39" t="s">
        <v>726</v>
      </c>
      <c r="O2793" s="96" t="s">
        <v>1800</v>
      </c>
      <c r="P2793" s="49" t="s">
        <v>157</v>
      </c>
      <c r="Q2793" s="96" t="s">
        <v>104</v>
      </c>
      <c r="R2793" s="52">
        <v>45.9</v>
      </c>
      <c r="S2793" s="52">
        <f>R2793-T2793</f>
        <v>40.982142857142854</v>
      </c>
      <c r="T2793" s="52">
        <f>R2793*U2793/(U2793+100)</f>
        <v>4.917857142857143</v>
      </c>
      <c r="U2793" s="50">
        <v>12</v>
      </c>
      <c r="V2793" s="53">
        <v>0</v>
      </c>
      <c r="W2793" s="147">
        <v>1</v>
      </c>
      <c r="X2793" s="148" t="s">
        <v>163</v>
      </c>
      <c r="Y2793" s="54">
        <f>R2793*W2793</f>
        <v>45.9</v>
      </c>
      <c r="Z2793" s="52">
        <f>S2793*W2793</f>
        <v>40.982142857142854</v>
      </c>
      <c r="AA2793" s="52">
        <f>T2793*W2793</f>
        <v>4.917857142857143</v>
      </c>
      <c r="AB2793" s="52">
        <f>V2793*W2793</f>
        <v>0</v>
      </c>
      <c r="AC2793" s="53">
        <f>(R2793+V2793)*W2793</f>
        <v>45.9</v>
      </c>
      <c r="AD2793" s="138">
        <v>45.9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109</v>
      </c>
      <c r="F2794" s="96" t="s">
        <v>111</v>
      </c>
      <c r="G2794" s="97">
        <v>46132</v>
      </c>
      <c r="H2794" s="98">
        <v>0.6828009259259259</v>
      </c>
      <c r="I2794" s="50">
        <v>169002759</v>
      </c>
      <c r="J2794" s="96" t="s">
        <v>157</v>
      </c>
      <c r="K2794" s="49" t="s">
        <v>992</v>
      </c>
      <c r="L2794" s="39" t="s">
        <v>993</v>
      </c>
      <c r="M2794" s="49" t="s">
        <v>214</v>
      </c>
      <c r="N2794" s="39" t="s">
        <v>501</v>
      </c>
      <c r="O2794" s="96" t="s">
        <v>994</v>
      </c>
      <c r="P2794" s="49" t="s">
        <v>157</v>
      </c>
      <c r="Q2794" s="96" t="s">
        <v>104</v>
      </c>
      <c r="R2794" s="52">
        <v>6.9</v>
      </c>
      <c r="S2794" s="52">
        <f>R2794-T2794</f>
        <v>6.160714285714286</v>
      </c>
      <c r="T2794" s="52">
        <f>R2794*U2794/(U2794+100)</f>
        <v>0.7392857142857144</v>
      </c>
      <c r="U2794" s="50">
        <v>12</v>
      </c>
      <c r="V2794" s="53">
        <v>0</v>
      </c>
      <c r="W2794" s="147">
        <v>2</v>
      </c>
      <c r="X2794" s="148" t="s">
        <v>163</v>
      </c>
      <c r="Y2794" s="54">
        <f>R2794*W2794</f>
        <v>13.8</v>
      </c>
      <c r="Z2794" s="52">
        <f>S2794*W2794</f>
        <v>12.321428571428571</v>
      </c>
      <c r="AA2794" s="52">
        <f>T2794*W2794</f>
        <v>1.4785714285714289</v>
      </c>
      <c r="AB2794" s="52">
        <f>V2794*W2794</f>
        <v>0</v>
      </c>
      <c r="AC2794" s="53">
        <f>(R2794+V2794)*W2794</f>
        <v>13.8</v>
      </c>
      <c r="AD2794" s="138">
        <v>6.9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109</v>
      </c>
      <c r="F2795" s="96" t="s">
        <v>111</v>
      </c>
      <c r="G2795" s="97">
        <v>46132</v>
      </c>
      <c r="H2795" s="98">
        <v>0.6830092592592593</v>
      </c>
      <c r="I2795" s="50">
        <v>169002760</v>
      </c>
      <c r="J2795" s="96" t="s">
        <v>157</v>
      </c>
      <c r="K2795" s="49" t="s">
        <v>3706</v>
      </c>
      <c r="L2795" s="39" t="s">
        <v>3707</v>
      </c>
      <c r="M2795" s="49" t="s">
        <v>1850</v>
      </c>
      <c r="N2795" s="39" t="s">
        <v>731</v>
      </c>
      <c r="O2795" s="96" t="s">
        <v>3708</v>
      </c>
      <c r="P2795" s="49" t="s">
        <v>157</v>
      </c>
      <c r="Q2795" s="96" t="s">
        <v>104</v>
      </c>
      <c r="R2795" s="52">
        <v>79.9</v>
      </c>
      <c r="S2795" s="52">
        <f>R2795-T2795</f>
        <v>66.03305785123968</v>
      </c>
      <c r="T2795" s="52">
        <f>R2795*U2795/(U2795+100)</f>
        <v>13.866942148760332</v>
      </c>
      <c r="U2795" s="50">
        <v>21</v>
      </c>
      <c r="V2795" s="53">
        <v>0</v>
      </c>
      <c r="W2795" s="147">
        <v>1</v>
      </c>
      <c r="X2795" s="148" t="s">
        <v>163</v>
      </c>
      <c r="Y2795" s="54">
        <f>R2795*W2795</f>
        <v>79.9</v>
      </c>
      <c r="Z2795" s="52">
        <f>S2795*W2795</f>
        <v>66.03305785123968</v>
      </c>
      <c r="AA2795" s="52">
        <f>T2795*W2795</f>
        <v>13.866942148760332</v>
      </c>
      <c r="AB2795" s="52">
        <f>V2795*W2795</f>
        <v>0</v>
      </c>
      <c r="AC2795" s="53">
        <f>(R2795+V2795)*W2795</f>
        <v>79.9</v>
      </c>
      <c r="AD2795" s="138">
        <v>79.9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109</v>
      </c>
      <c r="F2796" s="96" t="s">
        <v>111</v>
      </c>
      <c r="G2796" s="97">
        <v>46132</v>
      </c>
      <c r="H2796" s="98">
        <v>0.6832870370370371</v>
      </c>
      <c r="I2796" s="50">
        <v>169002761</v>
      </c>
      <c r="J2796" s="96" t="s">
        <v>157</v>
      </c>
      <c r="K2796" s="49" t="s">
        <v>1356</v>
      </c>
      <c r="L2796" s="39" t="s">
        <v>1357</v>
      </c>
      <c r="M2796" s="49" t="s">
        <v>466</v>
      </c>
      <c r="N2796" s="39" t="s">
        <v>609</v>
      </c>
      <c r="O2796" s="96" t="s">
        <v>1358</v>
      </c>
      <c r="P2796" s="49" t="s">
        <v>235</v>
      </c>
      <c r="Q2796" s="96" t="s">
        <v>236</v>
      </c>
      <c r="R2796" s="52">
        <v>7.9</v>
      </c>
      <c r="S2796" s="52">
        <f>R2796-T2796</f>
        <v>7.053571428571429</v>
      </c>
      <c r="T2796" s="52">
        <f>R2796*U2796/(U2796+100)</f>
        <v>0.8464285714285715</v>
      </c>
      <c r="U2796" s="50">
        <v>12</v>
      </c>
      <c r="V2796" s="53">
        <v>0</v>
      </c>
      <c r="W2796" s="147">
        <v>2</v>
      </c>
      <c r="X2796" s="148" t="s">
        <v>163</v>
      </c>
      <c r="Y2796" s="54">
        <f>R2796*W2796</f>
        <v>15.8</v>
      </c>
      <c r="Z2796" s="52">
        <f>S2796*W2796</f>
        <v>14.107142857142858</v>
      </c>
      <c r="AA2796" s="52">
        <f>T2796*W2796</f>
        <v>1.692857142857143</v>
      </c>
      <c r="AB2796" s="52">
        <f>V2796*W2796</f>
        <v>0</v>
      </c>
      <c r="AC2796" s="53">
        <f>(R2796+V2796)*W2796</f>
        <v>15.8</v>
      </c>
      <c r="AD2796" s="138">
        <v>7.9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109</v>
      </c>
      <c r="F2797" s="96" t="s">
        <v>111</v>
      </c>
      <c r="G2797" s="97">
        <v>46132</v>
      </c>
      <c r="H2797" s="98">
        <v>0.6845023148148148</v>
      </c>
      <c r="I2797" s="50">
        <v>169002762</v>
      </c>
      <c r="J2797" s="96" t="s">
        <v>157</v>
      </c>
      <c r="K2797" s="49" t="s">
        <v>631</v>
      </c>
      <c r="L2797" s="39" t="s">
        <v>632</v>
      </c>
      <c r="M2797" s="49" t="s">
        <v>190</v>
      </c>
      <c r="N2797" s="39" t="s">
        <v>191</v>
      </c>
      <c r="O2797" s="96" t="s">
        <v>633</v>
      </c>
      <c r="P2797" s="49" t="s">
        <v>157</v>
      </c>
      <c r="Q2797" s="96" t="s">
        <v>104</v>
      </c>
      <c r="R2797" s="52">
        <v>56.9</v>
      </c>
      <c r="S2797" s="52">
        <f>R2797-T2797</f>
        <v>50.80357142857143</v>
      </c>
      <c r="T2797" s="52">
        <f>R2797*U2797/(U2797+100)</f>
        <v>6.096428571428571</v>
      </c>
      <c r="U2797" s="50">
        <v>12</v>
      </c>
      <c r="V2797" s="53">
        <v>0</v>
      </c>
      <c r="W2797" s="147">
        <v>0.34</v>
      </c>
      <c r="X2797" s="148" t="s">
        <v>193</v>
      </c>
      <c r="Y2797" s="54">
        <f>R2797*W2797</f>
        <v>19.346</v>
      </c>
      <c r="Z2797" s="52">
        <f>S2797*W2797</f>
        <v>17.27321428571429</v>
      </c>
      <c r="AA2797" s="52">
        <f>T2797*W2797</f>
        <v>2.0727857142857142</v>
      </c>
      <c r="AB2797" s="52">
        <f>V2797*W2797</f>
        <v>0</v>
      </c>
      <c r="AC2797" s="53">
        <f>(R2797+V2797)*W2797</f>
        <v>19.346</v>
      </c>
      <c r="AD2797" s="138">
        <v>56.9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109</v>
      </c>
      <c r="F2798" s="96" t="s">
        <v>111</v>
      </c>
      <c r="G2798" s="97">
        <v>46132</v>
      </c>
      <c r="H2798" s="98">
        <v>0.6854629629629629</v>
      </c>
      <c r="I2798" s="50">
        <v>169002763</v>
      </c>
      <c r="J2798" s="96" t="s">
        <v>157</v>
      </c>
      <c r="K2798" s="49" t="s">
        <v>3709</v>
      </c>
      <c r="L2798" s="39" t="s">
        <v>3710</v>
      </c>
      <c r="M2798" s="49" t="s">
        <v>812</v>
      </c>
      <c r="N2798" s="39" t="s">
        <v>513</v>
      </c>
      <c r="O2798" s="96" t="s">
        <v>3711</v>
      </c>
      <c r="P2798" s="49" t="s">
        <v>157</v>
      </c>
      <c r="Q2798" s="96" t="s">
        <v>104</v>
      </c>
      <c r="R2798" s="52">
        <v>24.9</v>
      </c>
      <c r="S2798" s="52">
        <f>R2798-T2798</f>
        <v>22.232142857142858</v>
      </c>
      <c r="T2798" s="52">
        <f>R2798*U2798/(U2798+100)</f>
        <v>2.6678571428571423</v>
      </c>
      <c r="U2798" s="50">
        <v>12</v>
      </c>
      <c r="V2798" s="53">
        <v>0</v>
      </c>
      <c r="W2798" s="147">
        <v>1</v>
      </c>
      <c r="X2798" s="148" t="s">
        <v>163</v>
      </c>
      <c r="Y2798" s="54">
        <f>R2798*W2798</f>
        <v>24.9</v>
      </c>
      <c r="Z2798" s="52">
        <f>S2798*W2798</f>
        <v>22.232142857142858</v>
      </c>
      <c r="AA2798" s="52">
        <f>T2798*W2798</f>
        <v>2.6678571428571423</v>
      </c>
      <c r="AB2798" s="52">
        <f>V2798*W2798</f>
        <v>0</v>
      </c>
      <c r="AC2798" s="53">
        <f>(R2798+V2798)*W2798</f>
        <v>24.9</v>
      </c>
      <c r="AD2798" s="138">
        <v>24.9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109</v>
      </c>
      <c r="F2799" s="96" t="s">
        <v>111</v>
      </c>
      <c r="G2799" s="97">
        <v>46132</v>
      </c>
      <c r="H2799" s="98">
        <v>0.6854629629629629</v>
      </c>
      <c r="I2799" s="50">
        <v>169002763</v>
      </c>
      <c r="J2799" s="96" t="s">
        <v>157</v>
      </c>
      <c r="K2799" s="49" t="s">
        <v>1958</v>
      </c>
      <c r="L2799" s="39" t="s">
        <v>1959</v>
      </c>
      <c r="M2799" s="49" t="s">
        <v>277</v>
      </c>
      <c r="N2799" s="39" t="s">
        <v>1732</v>
      </c>
      <c r="O2799" s="96" t="s">
        <v>1960</v>
      </c>
      <c r="P2799" s="49" t="s">
        <v>157</v>
      </c>
      <c r="Q2799" s="96" t="s">
        <v>104</v>
      </c>
      <c r="R2799" s="52">
        <v>193.9</v>
      </c>
      <c r="S2799" s="52">
        <f>R2799-T2799</f>
        <v>173.125</v>
      </c>
      <c r="T2799" s="52">
        <f>R2799*U2799/(U2799+100)</f>
        <v>20.775000000000002</v>
      </c>
      <c r="U2799" s="50">
        <v>12</v>
      </c>
      <c r="V2799" s="53">
        <v>0</v>
      </c>
      <c r="W2799" s="147">
        <v>0.29</v>
      </c>
      <c r="X2799" s="148" t="s">
        <v>193</v>
      </c>
      <c r="Y2799" s="54">
        <f>R2799*W2799</f>
        <v>56.230999999999995</v>
      </c>
      <c r="Z2799" s="52">
        <f>S2799*W2799</f>
        <v>50.20625</v>
      </c>
      <c r="AA2799" s="52">
        <f>T2799*W2799</f>
        <v>6.02475</v>
      </c>
      <c r="AB2799" s="52">
        <f>V2799*W2799</f>
        <v>0</v>
      </c>
      <c r="AC2799" s="53">
        <f>(R2799+V2799)*W2799</f>
        <v>56.230999999999995</v>
      </c>
      <c r="AD2799" s="138">
        <v>193.9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109</v>
      </c>
      <c r="F2800" s="96" t="s">
        <v>111</v>
      </c>
      <c r="G2800" s="97">
        <v>46132</v>
      </c>
      <c r="H2800" s="98">
        <v>0.6858564814814815</v>
      </c>
      <c r="I2800" s="50">
        <v>169002764</v>
      </c>
      <c r="J2800" s="96" t="s">
        <v>157</v>
      </c>
      <c r="K2800" s="49" t="s">
        <v>961</v>
      </c>
      <c r="L2800" s="39" t="s">
        <v>962</v>
      </c>
      <c r="M2800" s="49" t="s">
        <v>678</v>
      </c>
      <c r="N2800" s="39" t="s">
        <v>874</v>
      </c>
      <c r="O2800" s="96" t="s">
        <v>963</v>
      </c>
      <c r="P2800" s="49" t="s">
        <v>157</v>
      </c>
      <c r="Q2800" s="96" t="s">
        <v>104</v>
      </c>
      <c r="R2800" s="52">
        <v>49.9</v>
      </c>
      <c r="S2800" s="52">
        <f>R2800-T2800</f>
        <v>44.55357142857143</v>
      </c>
      <c r="T2800" s="52">
        <f>R2800*U2800/(U2800+100)</f>
        <v>5.346428571428571</v>
      </c>
      <c r="U2800" s="50">
        <v>12</v>
      </c>
      <c r="V2800" s="53">
        <v>0</v>
      </c>
      <c r="W2800" s="147">
        <v>1</v>
      </c>
      <c r="X2800" s="148" t="s">
        <v>163</v>
      </c>
      <c r="Y2800" s="54">
        <f>R2800*W2800</f>
        <v>49.9</v>
      </c>
      <c r="Z2800" s="52">
        <f>S2800*W2800</f>
        <v>44.55357142857143</v>
      </c>
      <c r="AA2800" s="52">
        <f>T2800*W2800</f>
        <v>5.346428571428571</v>
      </c>
      <c r="AB2800" s="52">
        <f>V2800*W2800</f>
        <v>0</v>
      </c>
      <c r="AC2800" s="53">
        <f>(R2800+V2800)*W2800</f>
        <v>49.9</v>
      </c>
      <c r="AD2800" s="138">
        <v>49.9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109</v>
      </c>
      <c r="F2801" s="96" t="s">
        <v>111</v>
      </c>
      <c r="G2801" s="97">
        <v>46132</v>
      </c>
      <c r="H2801" s="98">
        <v>0.6858564814814815</v>
      </c>
      <c r="I2801" s="50">
        <v>169002764</v>
      </c>
      <c r="J2801" s="96" t="s">
        <v>157</v>
      </c>
      <c r="K2801" s="49" t="s">
        <v>2271</v>
      </c>
      <c r="L2801" s="39" t="s">
        <v>2272</v>
      </c>
      <c r="M2801" s="49" t="s">
        <v>616</v>
      </c>
      <c r="N2801" s="39" t="s">
        <v>228</v>
      </c>
      <c r="O2801" s="96" t="s">
        <v>2273</v>
      </c>
      <c r="P2801" s="49" t="s">
        <v>157</v>
      </c>
      <c r="Q2801" s="96" t="s">
        <v>104</v>
      </c>
      <c r="R2801" s="52">
        <v>25.9</v>
      </c>
      <c r="S2801" s="52">
        <f>R2801-T2801</f>
        <v>23.125</v>
      </c>
      <c r="T2801" s="52">
        <f>R2801*U2801/(U2801+100)</f>
        <v>2.7749999999999995</v>
      </c>
      <c r="U2801" s="50">
        <v>12</v>
      </c>
      <c r="V2801" s="53">
        <v>0</v>
      </c>
      <c r="W2801" s="147">
        <v>1</v>
      </c>
      <c r="X2801" s="148" t="s">
        <v>163</v>
      </c>
      <c r="Y2801" s="54">
        <f>R2801*W2801</f>
        <v>25.9</v>
      </c>
      <c r="Z2801" s="52">
        <f>S2801*W2801</f>
        <v>23.125</v>
      </c>
      <c r="AA2801" s="52">
        <f>T2801*W2801</f>
        <v>2.7749999999999995</v>
      </c>
      <c r="AB2801" s="52">
        <f>V2801*W2801</f>
        <v>0</v>
      </c>
      <c r="AC2801" s="53">
        <f>(R2801+V2801)*W2801</f>
        <v>25.9</v>
      </c>
      <c r="AD2801" s="138">
        <v>25.9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109</v>
      </c>
      <c r="F2802" s="96" t="s">
        <v>111</v>
      </c>
      <c r="G2802" s="97">
        <v>46132</v>
      </c>
      <c r="H2802" s="98">
        <v>0.6861111111111111</v>
      </c>
      <c r="I2802" s="50">
        <v>169002765</v>
      </c>
      <c r="J2802" s="96" t="s">
        <v>157</v>
      </c>
      <c r="K2802" s="49" t="s">
        <v>3712</v>
      </c>
      <c r="L2802" s="39" t="s">
        <v>3713</v>
      </c>
      <c r="M2802" s="49" t="s">
        <v>277</v>
      </c>
      <c r="N2802" s="39" t="s">
        <v>751</v>
      </c>
      <c r="O2802" s="96" t="s">
        <v>3714</v>
      </c>
      <c r="P2802" s="49" t="s">
        <v>157</v>
      </c>
      <c r="Q2802" s="96" t="s">
        <v>104</v>
      </c>
      <c r="R2802" s="52">
        <v>44.9</v>
      </c>
      <c r="S2802" s="52">
        <f>R2802-T2802</f>
        <v>40.089285714285715</v>
      </c>
      <c r="T2802" s="52">
        <f>R2802*U2802/(U2802+100)</f>
        <v>4.810714285714285</v>
      </c>
      <c r="U2802" s="50">
        <v>12</v>
      </c>
      <c r="V2802" s="53">
        <v>0</v>
      </c>
      <c r="W2802" s="147">
        <v>1</v>
      </c>
      <c r="X2802" s="148" t="s">
        <v>163</v>
      </c>
      <c r="Y2802" s="54">
        <f>R2802*W2802</f>
        <v>44.9</v>
      </c>
      <c r="Z2802" s="52">
        <f>S2802*W2802</f>
        <v>40.089285714285715</v>
      </c>
      <c r="AA2802" s="52">
        <f>T2802*W2802</f>
        <v>4.810714285714285</v>
      </c>
      <c r="AB2802" s="52">
        <f>V2802*W2802</f>
        <v>0</v>
      </c>
      <c r="AC2802" s="53">
        <f>(R2802+V2802)*W2802</f>
        <v>44.9</v>
      </c>
      <c r="AD2802" s="138">
        <v>44.9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109</v>
      </c>
      <c r="F2803" s="96" t="s">
        <v>111</v>
      </c>
      <c r="G2803" s="97">
        <v>46132</v>
      </c>
      <c r="H2803" s="98">
        <v>0.6861111111111111</v>
      </c>
      <c r="I2803" s="50">
        <v>169002765</v>
      </c>
      <c r="J2803" s="96" t="s">
        <v>157</v>
      </c>
      <c r="K2803" s="49" t="s">
        <v>303</v>
      </c>
      <c r="L2803" s="39" t="s">
        <v>304</v>
      </c>
      <c r="M2803" s="49" t="s">
        <v>214</v>
      </c>
      <c r="N2803" s="39" t="s">
        <v>296</v>
      </c>
      <c r="O2803" s="96" t="s">
        <v>305</v>
      </c>
      <c r="P2803" s="49" t="s">
        <v>157</v>
      </c>
      <c r="Q2803" s="96" t="s">
        <v>104</v>
      </c>
      <c r="R2803" s="52">
        <v>11.9</v>
      </c>
      <c r="S2803" s="52">
        <f>R2803-T2803</f>
        <v>10.625</v>
      </c>
      <c r="T2803" s="52">
        <f>R2803*U2803/(U2803+100)</f>
        <v>1.2750000000000001</v>
      </c>
      <c r="U2803" s="50">
        <v>12</v>
      </c>
      <c r="V2803" s="53">
        <v>0</v>
      </c>
      <c r="W2803" s="147">
        <v>1</v>
      </c>
      <c r="X2803" s="148" t="s">
        <v>163</v>
      </c>
      <c r="Y2803" s="54">
        <f>R2803*W2803</f>
        <v>11.9</v>
      </c>
      <c r="Z2803" s="52">
        <f>S2803*W2803</f>
        <v>10.625</v>
      </c>
      <c r="AA2803" s="52">
        <f>T2803*W2803</f>
        <v>1.2750000000000001</v>
      </c>
      <c r="AB2803" s="52">
        <f>V2803*W2803</f>
        <v>0</v>
      </c>
      <c r="AC2803" s="53">
        <f>(R2803+V2803)*W2803</f>
        <v>11.9</v>
      </c>
      <c r="AD2803" s="138">
        <v>11.9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109</v>
      </c>
      <c r="F2804" s="96" t="s">
        <v>111</v>
      </c>
      <c r="G2804" s="97">
        <v>46132</v>
      </c>
      <c r="H2804" s="98">
        <v>0.6861111111111111</v>
      </c>
      <c r="I2804" s="50">
        <v>169002765</v>
      </c>
      <c r="J2804" s="96" t="s">
        <v>157</v>
      </c>
      <c r="K2804" s="49" t="s">
        <v>560</v>
      </c>
      <c r="L2804" s="39" t="s">
        <v>104</v>
      </c>
      <c r="M2804" s="49" t="s">
        <v>554</v>
      </c>
      <c r="N2804" s="39" t="s">
        <v>296</v>
      </c>
      <c r="O2804" s="96" t="s">
        <v>561</v>
      </c>
      <c r="P2804" s="49" t="s">
        <v>157</v>
      </c>
      <c r="Q2804" s="96" t="s">
        <v>104</v>
      </c>
      <c r="R2804" s="52">
        <v>8.9</v>
      </c>
      <c r="S2804" s="52">
        <f>R2804-T2804</f>
        <v>7.946428571428572</v>
      </c>
      <c r="T2804" s="52">
        <f>R2804*U2804/(U2804+100)</f>
        <v>0.9535714285714286</v>
      </c>
      <c r="U2804" s="50">
        <v>12</v>
      </c>
      <c r="V2804" s="53">
        <v>0</v>
      </c>
      <c r="W2804" s="147">
        <v>1</v>
      </c>
      <c r="X2804" s="148" t="s">
        <v>163</v>
      </c>
      <c r="Y2804" s="54">
        <f>R2804*W2804</f>
        <v>8.9</v>
      </c>
      <c r="Z2804" s="52">
        <f>S2804*W2804</f>
        <v>7.946428571428572</v>
      </c>
      <c r="AA2804" s="52">
        <f>T2804*W2804</f>
        <v>0.9535714285714286</v>
      </c>
      <c r="AB2804" s="52">
        <f>V2804*W2804</f>
        <v>0</v>
      </c>
      <c r="AC2804" s="53">
        <f>(R2804+V2804)*W2804</f>
        <v>8.9</v>
      </c>
      <c r="AD2804" s="138">
        <v>8.9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109</v>
      </c>
      <c r="F2805" s="96" t="s">
        <v>111</v>
      </c>
      <c r="G2805" s="97">
        <v>46132</v>
      </c>
      <c r="H2805" s="98">
        <v>0.6861111111111111</v>
      </c>
      <c r="I2805" s="50">
        <v>169002765</v>
      </c>
      <c r="J2805" s="96" t="s">
        <v>157</v>
      </c>
      <c r="K2805" s="49" t="s">
        <v>942</v>
      </c>
      <c r="L2805" s="39"/>
      <c r="M2805" s="49" t="s">
        <v>295</v>
      </c>
      <c r="N2805" s="39" t="s">
        <v>433</v>
      </c>
      <c r="O2805" s="96" t="s">
        <v>1332</v>
      </c>
      <c r="P2805" s="49" t="s">
        <v>235</v>
      </c>
      <c r="Q2805" s="96" t="s">
        <v>944</v>
      </c>
      <c r="R2805" s="52">
        <v>9.9</v>
      </c>
      <c r="S2805" s="52">
        <f>R2805-T2805</f>
        <v>8.839285714285715</v>
      </c>
      <c r="T2805" s="52">
        <f>R2805*U2805/(U2805+100)</f>
        <v>1.0607142857142857</v>
      </c>
      <c r="U2805" s="50">
        <v>12</v>
      </c>
      <c r="V2805" s="53">
        <v>0</v>
      </c>
      <c r="W2805" s="147">
        <v>1</v>
      </c>
      <c r="X2805" s="148" t="s">
        <v>945</v>
      </c>
      <c r="Y2805" s="54">
        <f>R2805*W2805</f>
        <v>9.9</v>
      </c>
      <c r="Z2805" s="52">
        <f>S2805*W2805</f>
        <v>8.839285714285715</v>
      </c>
      <c r="AA2805" s="52">
        <f>T2805*W2805</f>
        <v>1.0607142857142857</v>
      </c>
      <c r="AB2805" s="52">
        <f>V2805*W2805</f>
        <v>0</v>
      </c>
      <c r="AC2805" s="53">
        <f>(R2805+V2805)*W2805</f>
        <v>9.9</v>
      </c>
      <c r="AD2805" s="138">
        <v>9.9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109</v>
      </c>
      <c r="F2806" s="96" t="s">
        <v>111</v>
      </c>
      <c r="G2806" s="97">
        <v>46132</v>
      </c>
      <c r="H2806" s="98">
        <v>0.6865972222222222</v>
      </c>
      <c r="I2806" s="50">
        <v>169002766</v>
      </c>
      <c r="J2806" s="96" t="s">
        <v>157</v>
      </c>
      <c r="K2806" s="49" t="s">
        <v>1133</v>
      </c>
      <c r="L2806" s="39" t="s">
        <v>1134</v>
      </c>
      <c r="M2806" s="49" t="s">
        <v>649</v>
      </c>
      <c r="N2806" s="39" t="s">
        <v>440</v>
      </c>
      <c r="O2806" s="96" t="s">
        <v>1135</v>
      </c>
      <c r="P2806" s="49" t="s">
        <v>157</v>
      </c>
      <c r="Q2806" s="96" t="s">
        <v>104</v>
      </c>
      <c r="R2806" s="52">
        <v>125.93</v>
      </c>
      <c r="S2806" s="52">
        <f>R2806-T2806</f>
        <v>112.4375</v>
      </c>
      <c r="T2806" s="52">
        <f>R2806*U2806/(U2806+100)</f>
        <v>13.492500000000001</v>
      </c>
      <c r="U2806" s="50">
        <v>12</v>
      </c>
      <c r="V2806" s="53">
        <v>0</v>
      </c>
      <c r="W2806" s="147">
        <v>0.31</v>
      </c>
      <c r="X2806" s="148" t="s">
        <v>193</v>
      </c>
      <c r="Y2806" s="54">
        <f>R2806*W2806</f>
        <v>39.0383</v>
      </c>
      <c r="Z2806" s="52">
        <f>S2806*W2806</f>
        <v>34.855624999999996</v>
      </c>
      <c r="AA2806" s="52">
        <f>T2806*W2806</f>
        <v>4.182675000000001</v>
      </c>
      <c r="AB2806" s="52">
        <f>V2806*W2806</f>
        <v>0</v>
      </c>
      <c r="AC2806" s="53">
        <f>(R2806+V2806)*W2806</f>
        <v>39.0383</v>
      </c>
      <c r="AD2806" s="138">
        <v>179.9</v>
      </c>
      <c r="AE2806" s="137">
        <v>53.97</v>
      </c>
      <c r="AF2806" s="139">
        <v>16.7307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109</v>
      </c>
      <c r="F2807" s="96" t="s">
        <v>111</v>
      </c>
      <c r="G2807" s="97">
        <v>46132</v>
      </c>
      <c r="H2807" s="98">
        <v>0.6865972222222222</v>
      </c>
      <c r="I2807" s="50">
        <v>169002766</v>
      </c>
      <c r="J2807" s="96" t="s">
        <v>157</v>
      </c>
      <c r="K2807" s="49" t="s">
        <v>371</v>
      </c>
      <c r="L2807" s="39" t="s">
        <v>372</v>
      </c>
      <c r="M2807" s="49" t="s">
        <v>277</v>
      </c>
      <c r="N2807" s="39" t="s">
        <v>373</v>
      </c>
      <c r="O2807" s="96" t="s">
        <v>2042</v>
      </c>
      <c r="P2807" s="49" t="s">
        <v>157</v>
      </c>
      <c r="Q2807" s="96" t="s">
        <v>104</v>
      </c>
      <c r="R2807" s="52">
        <v>208.9</v>
      </c>
      <c r="S2807" s="52">
        <f>R2807-T2807</f>
        <v>186.51785714285714</v>
      </c>
      <c r="T2807" s="52">
        <f>R2807*U2807/(U2807+100)</f>
        <v>22.38214285714286</v>
      </c>
      <c r="U2807" s="50">
        <v>12</v>
      </c>
      <c r="V2807" s="53">
        <v>0</v>
      </c>
      <c r="W2807" s="147">
        <v>0.306</v>
      </c>
      <c r="X2807" s="148" t="s">
        <v>193</v>
      </c>
      <c r="Y2807" s="54">
        <f>R2807*W2807</f>
        <v>63.9234</v>
      </c>
      <c r="Z2807" s="52">
        <f>S2807*W2807</f>
        <v>57.074464285714285</v>
      </c>
      <c r="AA2807" s="52">
        <f>T2807*W2807</f>
        <v>6.848935714285715</v>
      </c>
      <c r="AB2807" s="52">
        <f>V2807*W2807</f>
        <v>0</v>
      </c>
      <c r="AC2807" s="53">
        <f>(R2807+V2807)*W2807</f>
        <v>63.9234</v>
      </c>
      <c r="AD2807" s="138">
        <v>208.9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109</v>
      </c>
      <c r="F2808" s="96" t="s">
        <v>111</v>
      </c>
      <c r="G2808" s="97">
        <v>46132</v>
      </c>
      <c r="H2808" s="98">
        <v>0.6873032407407408</v>
      </c>
      <c r="I2808" s="50">
        <v>169002767</v>
      </c>
      <c r="J2808" s="96" t="s">
        <v>157</v>
      </c>
      <c r="K2808" s="49" t="s">
        <v>2653</v>
      </c>
      <c r="L2808" s="39" t="s">
        <v>2654</v>
      </c>
      <c r="M2808" s="49" t="s">
        <v>255</v>
      </c>
      <c r="N2808" s="39" t="s">
        <v>256</v>
      </c>
      <c r="O2808" s="96" t="s">
        <v>2655</v>
      </c>
      <c r="P2808" s="49" t="s">
        <v>157</v>
      </c>
      <c r="Q2808" s="96" t="s">
        <v>104</v>
      </c>
      <c r="R2808" s="52">
        <v>23.9</v>
      </c>
      <c r="S2808" s="52">
        <f>R2808-T2808</f>
        <v>19.752066115702476</v>
      </c>
      <c r="T2808" s="52">
        <f>R2808*U2808/(U2808+100)</f>
        <v>4.147933884297521</v>
      </c>
      <c r="U2808" s="50">
        <v>21</v>
      </c>
      <c r="V2808" s="53">
        <v>0</v>
      </c>
      <c r="W2808" s="147">
        <v>1</v>
      </c>
      <c r="X2808" s="148" t="s">
        <v>163</v>
      </c>
      <c r="Y2808" s="54">
        <f>R2808*W2808</f>
        <v>23.9</v>
      </c>
      <c r="Z2808" s="52">
        <f>S2808*W2808</f>
        <v>19.752066115702476</v>
      </c>
      <c r="AA2808" s="52">
        <f>T2808*W2808</f>
        <v>4.147933884297521</v>
      </c>
      <c r="AB2808" s="52">
        <f>V2808*W2808</f>
        <v>0</v>
      </c>
      <c r="AC2808" s="53">
        <f>(R2808+V2808)*W2808</f>
        <v>23.9</v>
      </c>
      <c r="AD2808" s="138">
        <v>23.9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109</v>
      </c>
      <c r="F2809" s="96" t="s">
        <v>111</v>
      </c>
      <c r="G2809" s="97">
        <v>46132</v>
      </c>
      <c r="H2809" s="98">
        <v>0.6873032407407408</v>
      </c>
      <c r="I2809" s="50">
        <v>169002767</v>
      </c>
      <c r="J2809" s="96" t="s">
        <v>157</v>
      </c>
      <c r="K2809" s="49" t="s">
        <v>2653</v>
      </c>
      <c r="L2809" s="39" t="s">
        <v>2654</v>
      </c>
      <c r="M2809" s="49" t="s">
        <v>255</v>
      </c>
      <c r="N2809" s="39" t="s">
        <v>256</v>
      </c>
      <c r="O2809" s="96" t="s">
        <v>2655</v>
      </c>
      <c r="P2809" s="49" t="s">
        <v>157</v>
      </c>
      <c r="Q2809" s="96" t="s">
        <v>104</v>
      </c>
      <c r="R2809" s="52">
        <v>23.9</v>
      </c>
      <c r="S2809" s="52">
        <f>R2809-T2809</f>
        <v>19.752066115702476</v>
      </c>
      <c r="T2809" s="52">
        <f>R2809*U2809/(U2809+100)</f>
        <v>4.147933884297521</v>
      </c>
      <c r="U2809" s="50">
        <v>21</v>
      </c>
      <c r="V2809" s="53">
        <v>0</v>
      </c>
      <c r="W2809" s="147">
        <v>1</v>
      </c>
      <c r="X2809" s="148" t="s">
        <v>163</v>
      </c>
      <c r="Y2809" s="54">
        <f>R2809*W2809</f>
        <v>23.9</v>
      </c>
      <c r="Z2809" s="52">
        <f>S2809*W2809</f>
        <v>19.752066115702476</v>
      </c>
      <c r="AA2809" s="52">
        <f>T2809*W2809</f>
        <v>4.147933884297521</v>
      </c>
      <c r="AB2809" s="52">
        <f>V2809*W2809</f>
        <v>0</v>
      </c>
      <c r="AC2809" s="53">
        <f>(R2809+V2809)*W2809</f>
        <v>23.9</v>
      </c>
      <c r="AD2809" s="138">
        <v>23.9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109</v>
      </c>
      <c r="F2810" s="96" t="s">
        <v>111</v>
      </c>
      <c r="G2810" s="97">
        <v>46132</v>
      </c>
      <c r="H2810" s="98">
        <v>0.6873032407407408</v>
      </c>
      <c r="I2810" s="50">
        <v>169002767</v>
      </c>
      <c r="J2810" s="96" t="s">
        <v>157</v>
      </c>
      <c r="K2810" s="49" t="s">
        <v>970</v>
      </c>
      <c r="L2810" s="39" t="s">
        <v>971</v>
      </c>
      <c r="M2810" s="49" t="s">
        <v>972</v>
      </c>
      <c r="N2810" s="39" t="s">
        <v>256</v>
      </c>
      <c r="O2810" s="96" t="s">
        <v>3715</v>
      </c>
      <c r="P2810" s="49" t="s">
        <v>157</v>
      </c>
      <c r="Q2810" s="96" t="s">
        <v>104</v>
      </c>
      <c r="R2810" s="52">
        <v>44.9</v>
      </c>
      <c r="S2810" s="52">
        <f>R2810-T2810</f>
        <v>37.107438016528924</v>
      </c>
      <c r="T2810" s="52">
        <f>R2810*U2810/(U2810+100)</f>
        <v>7.792561983471074</v>
      </c>
      <c r="U2810" s="50">
        <v>21</v>
      </c>
      <c r="V2810" s="53">
        <v>0</v>
      </c>
      <c r="W2810" s="147">
        <v>1</v>
      </c>
      <c r="X2810" s="148" t="s">
        <v>163</v>
      </c>
      <c r="Y2810" s="54">
        <f>R2810*W2810</f>
        <v>44.9</v>
      </c>
      <c r="Z2810" s="52">
        <f>S2810*W2810</f>
        <v>37.107438016528924</v>
      </c>
      <c r="AA2810" s="52">
        <f>T2810*W2810</f>
        <v>7.792561983471074</v>
      </c>
      <c r="AB2810" s="52">
        <f>V2810*W2810</f>
        <v>0</v>
      </c>
      <c r="AC2810" s="53">
        <f>(R2810+V2810)*W2810</f>
        <v>44.9</v>
      </c>
      <c r="AD2810" s="138">
        <v>44.9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109</v>
      </c>
      <c r="F2811" s="96" t="s">
        <v>111</v>
      </c>
      <c r="G2811" s="97">
        <v>46132</v>
      </c>
      <c r="H2811" s="98">
        <v>0.6883564814814814</v>
      </c>
      <c r="I2811" s="50">
        <v>169002768</v>
      </c>
      <c r="J2811" s="96" t="s">
        <v>157</v>
      </c>
      <c r="K2811" s="49" t="s">
        <v>3716</v>
      </c>
      <c r="L2811" s="39" t="s">
        <v>3717</v>
      </c>
      <c r="M2811" s="49" t="s">
        <v>1536</v>
      </c>
      <c r="N2811" s="39" t="s">
        <v>601</v>
      </c>
      <c r="O2811" s="96" t="s">
        <v>3718</v>
      </c>
      <c r="P2811" s="49" t="s">
        <v>157</v>
      </c>
      <c r="Q2811" s="96" t="s">
        <v>104</v>
      </c>
      <c r="R2811" s="52">
        <v>13.4</v>
      </c>
      <c r="S2811" s="52">
        <f>R2811-T2811</f>
        <v>11.964285714285715</v>
      </c>
      <c r="T2811" s="52">
        <f>R2811*U2811/(U2811+100)</f>
        <v>1.4357142857142857</v>
      </c>
      <c r="U2811" s="50">
        <v>12</v>
      </c>
      <c r="V2811" s="53">
        <v>0</v>
      </c>
      <c r="W2811" s="147">
        <v>1</v>
      </c>
      <c r="X2811" s="148" t="s">
        <v>163</v>
      </c>
      <c r="Y2811" s="54">
        <f>R2811*W2811</f>
        <v>13.4</v>
      </c>
      <c r="Z2811" s="52">
        <f>S2811*W2811</f>
        <v>11.964285714285715</v>
      </c>
      <c r="AA2811" s="52">
        <f>T2811*W2811</f>
        <v>1.4357142857142857</v>
      </c>
      <c r="AB2811" s="52">
        <f>V2811*W2811</f>
        <v>0</v>
      </c>
      <c r="AC2811" s="53">
        <f>(R2811+V2811)*W2811</f>
        <v>13.4</v>
      </c>
      <c r="AD2811" s="138">
        <v>13.4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109</v>
      </c>
      <c r="F2812" s="96" t="s">
        <v>111</v>
      </c>
      <c r="G2812" s="97">
        <v>46132</v>
      </c>
      <c r="H2812" s="98">
        <v>0.6883564814814814</v>
      </c>
      <c r="I2812" s="50">
        <v>169002768</v>
      </c>
      <c r="J2812" s="96" t="s">
        <v>157</v>
      </c>
      <c r="K2812" s="49" t="s">
        <v>2563</v>
      </c>
      <c r="L2812" s="39" t="s">
        <v>2564</v>
      </c>
      <c r="M2812" s="49" t="s">
        <v>2565</v>
      </c>
      <c r="N2812" s="39" t="s">
        <v>1785</v>
      </c>
      <c r="O2812" s="96" t="s">
        <v>2566</v>
      </c>
      <c r="P2812" s="49" t="s">
        <v>157</v>
      </c>
      <c r="Q2812" s="96" t="s">
        <v>104</v>
      </c>
      <c r="R2812" s="52">
        <v>10.4</v>
      </c>
      <c r="S2812" s="52">
        <f>R2812-T2812</f>
        <v>9.285714285714286</v>
      </c>
      <c r="T2812" s="52">
        <f>R2812*U2812/(U2812+100)</f>
        <v>1.1142857142857143</v>
      </c>
      <c r="U2812" s="50">
        <v>12</v>
      </c>
      <c r="V2812" s="53">
        <v>0</v>
      </c>
      <c r="W2812" s="147">
        <v>1</v>
      </c>
      <c r="X2812" s="148" t="s">
        <v>163</v>
      </c>
      <c r="Y2812" s="54">
        <f>R2812*W2812</f>
        <v>10.4</v>
      </c>
      <c r="Z2812" s="52">
        <f>S2812*W2812</f>
        <v>9.285714285714286</v>
      </c>
      <c r="AA2812" s="52">
        <f>T2812*W2812</f>
        <v>1.1142857142857143</v>
      </c>
      <c r="AB2812" s="52">
        <f>V2812*W2812</f>
        <v>0</v>
      </c>
      <c r="AC2812" s="53">
        <f>(R2812+V2812)*W2812</f>
        <v>10.4</v>
      </c>
      <c r="AD2812" s="138">
        <v>10.4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109</v>
      </c>
      <c r="F2813" s="96" t="s">
        <v>111</v>
      </c>
      <c r="G2813" s="97">
        <v>46132</v>
      </c>
      <c r="H2813" s="98">
        <v>0.6883564814814814</v>
      </c>
      <c r="I2813" s="50">
        <v>169002768</v>
      </c>
      <c r="J2813" s="96" t="s">
        <v>157</v>
      </c>
      <c r="K2813" s="49" t="s">
        <v>3719</v>
      </c>
      <c r="L2813" s="39" t="s">
        <v>3720</v>
      </c>
      <c r="M2813" s="49" t="s">
        <v>232</v>
      </c>
      <c r="N2813" s="39" t="s">
        <v>233</v>
      </c>
      <c r="O2813" s="96" t="s">
        <v>3721</v>
      </c>
      <c r="P2813" s="49" t="s">
        <v>157</v>
      </c>
      <c r="Q2813" s="96" t="s">
        <v>104</v>
      </c>
      <c r="R2813" s="52">
        <v>22.9</v>
      </c>
      <c r="S2813" s="52">
        <f>R2813-T2813</f>
        <v>18.925619834710744</v>
      </c>
      <c r="T2813" s="52">
        <f>R2813*U2813/(U2813+100)</f>
        <v>3.974380165289256</v>
      </c>
      <c r="U2813" s="50">
        <v>21</v>
      </c>
      <c r="V2813" s="53">
        <v>0</v>
      </c>
      <c r="W2813" s="147">
        <v>1</v>
      </c>
      <c r="X2813" s="148" t="s">
        <v>163</v>
      </c>
      <c r="Y2813" s="54">
        <f>R2813*W2813</f>
        <v>22.9</v>
      </c>
      <c r="Z2813" s="52">
        <f>S2813*W2813</f>
        <v>18.925619834710744</v>
      </c>
      <c r="AA2813" s="52">
        <f>T2813*W2813</f>
        <v>3.974380165289256</v>
      </c>
      <c r="AB2813" s="52">
        <f>V2813*W2813</f>
        <v>0</v>
      </c>
      <c r="AC2813" s="53">
        <f>(R2813+V2813)*W2813</f>
        <v>22.9</v>
      </c>
      <c r="AD2813" s="138">
        <v>22.9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109</v>
      </c>
      <c r="F2814" s="96" t="s">
        <v>111</v>
      </c>
      <c r="G2814" s="97">
        <v>46132</v>
      </c>
      <c r="H2814" s="98">
        <v>0.6883564814814814</v>
      </c>
      <c r="I2814" s="50">
        <v>169002768</v>
      </c>
      <c r="J2814" s="96" t="s">
        <v>157</v>
      </c>
      <c r="K2814" s="49" t="s">
        <v>868</v>
      </c>
      <c r="L2814" s="39" t="s">
        <v>869</v>
      </c>
      <c r="M2814" s="49" t="s">
        <v>360</v>
      </c>
      <c r="N2814" s="39" t="s">
        <v>220</v>
      </c>
      <c r="O2814" s="96" t="s">
        <v>2857</v>
      </c>
      <c r="P2814" s="49" t="s">
        <v>157</v>
      </c>
      <c r="Q2814" s="96" t="s">
        <v>104</v>
      </c>
      <c r="R2814" s="52">
        <v>11.4</v>
      </c>
      <c r="S2814" s="52">
        <f>R2814-T2814</f>
        <v>9.421487603305785</v>
      </c>
      <c r="T2814" s="52">
        <f>R2814*U2814/(U2814+100)</f>
        <v>1.9785123966942149</v>
      </c>
      <c r="U2814" s="50">
        <v>21</v>
      </c>
      <c r="V2814" s="53">
        <v>0</v>
      </c>
      <c r="W2814" s="147">
        <v>1</v>
      </c>
      <c r="X2814" s="148" t="s">
        <v>163</v>
      </c>
      <c r="Y2814" s="54">
        <f>R2814*W2814</f>
        <v>11.4</v>
      </c>
      <c r="Z2814" s="52">
        <f>S2814*W2814</f>
        <v>9.421487603305785</v>
      </c>
      <c r="AA2814" s="52">
        <f>T2814*W2814</f>
        <v>1.9785123966942149</v>
      </c>
      <c r="AB2814" s="52">
        <f>V2814*W2814</f>
        <v>0</v>
      </c>
      <c r="AC2814" s="53">
        <f>(R2814+V2814)*W2814</f>
        <v>11.4</v>
      </c>
      <c r="AD2814" s="138">
        <v>11.4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109</v>
      </c>
      <c r="F2815" s="96" t="s">
        <v>111</v>
      </c>
      <c r="G2815" s="97">
        <v>46132</v>
      </c>
      <c r="H2815" s="98">
        <v>0.6883564814814814</v>
      </c>
      <c r="I2815" s="50">
        <v>169002768</v>
      </c>
      <c r="J2815" s="96" t="s">
        <v>157</v>
      </c>
      <c r="K2815" s="49" t="s">
        <v>926</v>
      </c>
      <c r="L2815" s="39" t="s">
        <v>927</v>
      </c>
      <c r="M2815" s="49" t="s">
        <v>255</v>
      </c>
      <c r="N2815" s="39" t="s">
        <v>256</v>
      </c>
      <c r="O2815" s="96" t="s">
        <v>2368</v>
      </c>
      <c r="P2815" s="49" t="s">
        <v>157</v>
      </c>
      <c r="Q2815" s="96" t="s">
        <v>104</v>
      </c>
      <c r="R2815" s="52">
        <v>23.9</v>
      </c>
      <c r="S2815" s="52">
        <f>R2815-T2815</f>
        <v>19.752066115702476</v>
      </c>
      <c r="T2815" s="52">
        <f>R2815*U2815/(U2815+100)</f>
        <v>4.147933884297521</v>
      </c>
      <c r="U2815" s="50">
        <v>21</v>
      </c>
      <c r="V2815" s="53">
        <v>0</v>
      </c>
      <c r="W2815" s="147">
        <v>4</v>
      </c>
      <c r="X2815" s="148" t="s">
        <v>163</v>
      </c>
      <c r="Y2815" s="54">
        <f>R2815*W2815</f>
        <v>95.6</v>
      </c>
      <c r="Z2815" s="52">
        <f>S2815*W2815</f>
        <v>79.0082644628099</v>
      </c>
      <c r="AA2815" s="52">
        <f>T2815*W2815</f>
        <v>16.591735537190083</v>
      </c>
      <c r="AB2815" s="52">
        <f>V2815*W2815</f>
        <v>0</v>
      </c>
      <c r="AC2815" s="53">
        <f>(R2815+V2815)*W2815</f>
        <v>95.6</v>
      </c>
      <c r="AD2815" s="138">
        <v>23.9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109</v>
      </c>
      <c r="F2816" s="96" t="s">
        <v>111</v>
      </c>
      <c r="G2816" s="97">
        <v>46132</v>
      </c>
      <c r="H2816" s="98">
        <v>0.6883564814814814</v>
      </c>
      <c r="I2816" s="50">
        <v>169002768</v>
      </c>
      <c r="J2816" s="96" t="s">
        <v>157</v>
      </c>
      <c r="K2816" s="49" t="s">
        <v>970</v>
      </c>
      <c r="L2816" s="39" t="s">
        <v>971</v>
      </c>
      <c r="M2816" s="49" t="s">
        <v>972</v>
      </c>
      <c r="N2816" s="39" t="s">
        <v>256</v>
      </c>
      <c r="O2816" s="96" t="s">
        <v>3715</v>
      </c>
      <c r="P2816" s="49" t="s">
        <v>157</v>
      </c>
      <c r="Q2816" s="96" t="s">
        <v>104</v>
      </c>
      <c r="R2816" s="52">
        <v>44.9</v>
      </c>
      <c r="S2816" s="52">
        <f>R2816-T2816</f>
        <v>37.107438016528924</v>
      </c>
      <c r="T2816" s="52">
        <f>R2816*U2816/(U2816+100)</f>
        <v>7.792561983471074</v>
      </c>
      <c r="U2816" s="50">
        <v>21</v>
      </c>
      <c r="V2816" s="53">
        <v>0</v>
      </c>
      <c r="W2816" s="147">
        <v>1</v>
      </c>
      <c r="X2816" s="148" t="s">
        <v>163</v>
      </c>
      <c r="Y2816" s="54">
        <f>R2816*W2816</f>
        <v>44.9</v>
      </c>
      <c r="Z2816" s="52">
        <f>S2816*W2816</f>
        <v>37.107438016528924</v>
      </c>
      <c r="AA2816" s="52">
        <f>T2816*W2816</f>
        <v>7.792561983471074</v>
      </c>
      <c r="AB2816" s="52">
        <f>V2816*W2816</f>
        <v>0</v>
      </c>
      <c r="AC2816" s="53">
        <f>(R2816+V2816)*W2816</f>
        <v>44.9</v>
      </c>
      <c r="AD2816" s="138">
        <v>44.9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109</v>
      </c>
      <c r="F2817" s="96" t="s">
        <v>111</v>
      </c>
      <c r="G2817" s="97">
        <v>46132</v>
      </c>
      <c r="H2817" s="98">
        <v>0.6883564814814814</v>
      </c>
      <c r="I2817" s="50">
        <v>169002768</v>
      </c>
      <c r="J2817" s="96" t="s">
        <v>157</v>
      </c>
      <c r="K2817" s="49" t="s">
        <v>970</v>
      </c>
      <c r="L2817" s="39" t="s">
        <v>971</v>
      </c>
      <c r="M2817" s="49" t="s">
        <v>972</v>
      </c>
      <c r="N2817" s="39" t="s">
        <v>256</v>
      </c>
      <c r="O2817" s="96" t="s">
        <v>3715</v>
      </c>
      <c r="P2817" s="49" t="s">
        <v>157</v>
      </c>
      <c r="Q2817" s="96" t="s">
        <v>104</v>
      </c>
      <c r="R2817" s="52">
        <v>44.9</v>
      </c>
      <c r="S2817" s="52">
        <f>R2817-T2817</f>
        <v>37.107438016528924</v>
      </c>
      <c r="T2817" s="52">
        <f>R2817*U2817/(U2817+100)</f>
        <v>7.792561983471074</v>
      </c>
      <c r="U2817" s="50">
        <v>21</v>
      </c>
      <c r="V2817" s="53">
        <v>0</v>
      </c>
      <c r="W2817" s="147">
        <v>1</v>
      </c>
      <c r="X2817" s="148" t="s">
        <v>163</v>
      </c>
      <c r="Y2817" s="54">
        <f>R2817*W2817</f>
        <v>44.9</v>
      </c>
      <c r="Z2817" s="52">
        <f>S2817*W2817</f>
        <v>37.107438016528924</v>
      </c>
      <c r="AA2817" s="52">
        <f>T2817*W2817</f>
        <v>7.792561983471074</v>
      </c>
      <c r="AB2817" s="52">
        <f>V2817*W2817</f>
        <v>0</v>
      </c>
      <c r="AC2817" s="53">
        <f>(R2817+V2817)*W2817</f>
        <v>44.9</v>
      </c>
      <c r="AD2817" s="138">
        <v>44.9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109</v>
      </c>
      <c r="F2818" s="96" t="s">
        <v>111</v>
      </c>
      <c r="G2818" s="97">
        <v>46132</v>
      </c>
      <c r="H2818" s="98">
        <v>0.6883564814814814</v>
      </c>
      <c r="I2818" s="50">
        <v>169002768</v>
      </c>
      <c r="J2818" s="96" t="s">
        <v>157</v>
      </c>
      <c r="K2818" s="49" t="s">
        <v>2628</v>
      </c>
      <c r="L2818" s="39" t="s">
        <v>2629</v>
      </c>
      <c r="M2818" s="49" t="s">
        <v>862</v>
      </c>
      <c r="N2818" s="39" t="s">
        <v>863</v>
      </c>
      <c r="O2818" s="96" t="s">
        <v>2630</v>
      </c>
      <c r="P2818" s="49" t="s">
        <v>157</v>
      </c>
      <c r="Q2818" s="96" t="s">
        <v>104</v>
      </c>
      <c r="R2818" s="52">
        <v>160</v>
      </c>
      <c r="S2818" s="52">
        <f>R2818-T2818</f>
        <v>132.23140495867767</v>
      </c>
      <c r="T2818" s="52">
        <f>R2818*U2818/(U2818+100)</f>
        <v>27.768595041322314</v>
      </c>
      <c r="U2818" s="50">
        <v>21</v>
      </c>
      <c r="V2818" s="53">
        <v>0</v>
      </c>
      <c r="W2818" s="147">
        <v>1</v>
      </c>
      <c r="X2818" s="148" t="s">
        <v>163</v>
      </c>
      <c r="Y2818" s="54">
        <f>R2818*W2818</f>
        <v>160</v>
      </c>
      <c r="Z2818" s="52">
        <f>S2818*W2818</f>
        <v>132.23140495867767</v>
      </c>
      <c r="AA2818" s="52">
        <f>T2818*W2818</f>
        <v>27.768595041322314</v>
      </c>
      <c r="AB2818" s="52">
        <f>V2818*W2818</f>
        <v>0</v>
      </c>
      <c r="AC2818" s="53">
        <f>(R2818+V2818)*W2818</f>
        <v>160</v>
      </c>
      <c r="AD2818" s="138">
        <v>160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109</v>
      </c>
      <c r="F2819" s="96" t="s">
        <v>111</v>
      </c>
      <c r="G2819" s="97">
        <v>46132</v>
      </c>
      <c r="H2819" s="98">
        <v>0.6883564814814814</v>
      </c>
      <c r="I2819" s="50">
        <v>169002768</v>
      </c>
      <c r="J2819" s="96" t="s">
        <v>157</v>
      </c>
      <c r="K2819" s="49" t="s">
        <v>183</v>
      </c>
      <c r="L2819" s="39" t="s">
        <v>184</v>
      </c>
      <c r="M2819" s="49" t="s">
        <v>185</v>
      </c>
      <c r="N2819" s="39" t="s">
        <v>186</v>
      </c>
      <c r="O2819" s="96" t="s">
        <v>988</v>
      </c>
      <c r="P2819" s="49" t="s">
        <v>157</v>
      </c>
      <c r="Q2819" s="96" t="s">
        <v>104</v>
      </c>
      <c r="R2819" s="52">
        <v>1.9</v>
      </c>
      <c r="S2819" s="52">
        <f>R2819-T2819</f>
        <v>1.5702479338842974</v>
      </c>
      <c r="T2819" s="52">
        <f>R2819*U2819/(U2819+100)</f>
        <v>0.32975206611570246</v>
      </c>
      <c r="U2819" s="50">
        <v>21</v>
      </c>
      <c r="V2819" s="53">
        <v>0</v>
      </c>
      <c r="W2819" s="147">
        <v>1</v>
      </c>
      <c r="X2819" s="148" t="s">
        <v>163</v>
      </c>
      <c r="Y2819" s="54">
        <f>R2819*W2819</f>
        <v>1.9</v>
      </c>
      <c r="Z2819" s="52">
        <f>S2819*W2819</f>
        <v>1.5702479338842974</v>
      </c>
      <c r="AA2819" s="52">
        <f>T2819*W2819</f>
        <v>0.32975206611570246</v>
      </c>
      <c r="AB2819" s="52">
        <f>V2819*W2819</f>
        <v>0</v>
      </c>
      <c r="AC2819" s="53">
        <f>(R2819+V2819)*W2819</f>
        <v>1.9</v>
      </c>
      <c r="AD2819" s="138">
        <v>1.9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109</v>
      </c>
      <c r="F2820" s="96" t="s">
        <v>111</v>
      </c>
      <c r="G2820" s="97">
        <v>46132</v>
      </c>
      <c r="H2820" s="98">
        <v>0.6883564814814814</v>
      </c>
      <c r="I2820" s="50">
        <v>169002768</v>
      </c>
      <c r="J2820" s="96" t="s">
        <v>157</v>
      </c>
      <c r="K2820" s="49" t="s">
        <v>183</v>
      </c>
      <c r="L2820" s="39" t="s">
        <v>184</v>
      </c>
      <c r="M2820" s="49" t="s">
        <v>185</v>
      </c>
      <c r="N2820" s="39" t="s">
        <v>186</v>
      </c>
      <c r="O2820" s="96" t="s">
        <v>988</v>
      </c>
      <c r="P2820" s="49" t="s">
        <v>157</v>
      </c>
      <c r="Q2820" s="96" t="s">
        <v>104</v>
      </c>
      <c r="R2820" s="52">
        <v>1.9</v>
      </c>
      <c r="S2820" s="52">
        <f>R2820-T2820</f>
        <v>1.5702479338842974</v>
      </c>
      <c r="T2820" s="52">
        <f>R2820*U2820/(U2820+100)</f>
        <v>0.32975206611570246</v>
      </c>
      <c r="U2820" s="50">
        <v>21</v>
      </c>
      <c r="V2820" s="53">
        <v>0</v>
      </c>
      <c r="W2820" s="147">
        <v>1</v>
      </c>
      <c r="X2820" s="148" t="s">
        <v>163</v>
      </c>
      <c r="Y2820" s="54">
        <f>R2820*W2820</f>
        <v>1.9</v>
      </c>
      <c r="Z2820" s="52">
        <f>S2820*W2820</f>
        <v>1.5702479338842974</v>
      </c>
      <c r="AA2820" s="52">
        <f>T2820*W2820</f>
        <v>0.32975206611570246</v>
      </c>
      <c r="AB2820" s="52">
        <f>V2820*W2820</f>
        <v>0</v>
      </c>
      <c r="AC2820" s="53">
        <f>(R2820+V2820)*W2820</f>
        <v>1.9</v>
      </c>
      <c r="AD2820" s="138">
        <v>1.9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109</v>
      </c>
      <c r="F2821" s="96" t="s">
        <v>111</v>
      </c>
      <c r="G2821" s="97">
        <v>46132</v>
      </c>
      <c r="H2821" s="98">
        <v>0.6883564814814814</v>
      </c>
      <c r="I2821" s="50">
        <v>169002768</v>
      </c>
      <c r="J2821" s="96" t="s">
        <v>157</v>
      </c>
      <c r="K2821" s="49" t="s">
        <v>2852</v>
      </c>
      <c r="L2821" s="39" t="s">
        <v>104</v>
      </c>
      <c r="M2821" s="49" t="s">
        <v>190</v>
      </c>
      <c r="N2821" s="39" t="s">
        <v>462</v>
      </c>
      <c r="O2821" s="96" t="s">
        <v>2853</v>
      </c>
      <c r="P2821" s="49" t="s">
        <v>157</v>
      </c>
      <c r="Q2821" s="96" t="s">
        <v>104</v>
      </c>
      <c r="R2821" s="52">
        <v>16.9</v>
      </c>
      <c r="S2821" s="52">
        <f>R2821-T2821</f>
        <v>15.089285714285714</v>
      </c>
      <c r="T2821" s="52">
        <f>R2821*U2821/(U2821+100)</f>
        <v>1.8107142857142855</v>
      </c>
      <c r="U2821" s="50">
        <v>12</v>
      </c>
      <c r="V2821" s="53">
        <v>0</v>
      </c>
      <c r="W2821" s="147">
        <v>1</v>
      </c>
      <c r="X2821" s="148" t="s">
        <v>163</v>
      </c>
      <c r="Y2821" s="54">
        <f>R2821*W2821</f>
        <v>16.9</v>
      </c>
      <c r="Z2821" s="52">
        <f>S2821*W2821</f>
        <v>15.089285714285714</v>
      </c>
      <c r="AA2821" s="52">
        <f>T2821*W2821</f>
        <v>1.8107142857142855</v>
      </c>
      <c r="AB2821" s="52">
        <f>V2821*W2821</f>
        <v>0</v>
      </c>
      <c r="AC2821" s="53">
        <f>(R2821+V2821)*W2821</f>
        <v>16.9</v>
      </c>
      <c r="AD2821" s="138">
        <v>16.9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109</v>
      </c>
      <c r="F2822" s="96" t="s">
        <v>111</v>
      </c>
      <c r="G2822" s="97">
        <v>46132</v>
      </c>
      <c r="H2822" s="98">
        <v>0.6883564814814814</v>
      </c>
      <c r="I2822" s="50">
        <v>169002768</v>
      </c>
      <c r="J2822" s="96" t="s">
        <v>157</v>
      </c>
      <c r="K2822" s="49" t="s">
        <v>1034</v>
      </c>
      <c r="L2822" s="39" t="s">
        <v>1035</v>
      </c>
      <c r="M2822" s="49" t="s">
        <v>190</v>
      </c>
      <c r="N2822" s="39" t="s">
        <v>191</v>
      </c>
      <c r="O2822" s="96" t="s">
        <v>1036</v>
      </c>
      <c r="P2822" s="49" t="s">
        <v>157</v>
      </c>
      <c r="Q2822" s="96" t="s">
        <v>104</v>
      </c>
      <c r="R2822" s="52">
        <v>109.9</v>
      </c>
      <c r="S2822" s="52">
        <f>R2822-T2822</f>
        <v>98.125</v>
      </c>
      <c r="T2822" s="52">
        <f>R2822*U2822/(U2822+100)</f>
        <v>11.775000000000002</v>
      </c>
      <c r="U2822" s="50">
        <v>12</v>
      </c>
      <c r="V2822" s="53">
        <v>0</v>
      </c>
      <c r="W2822" s="147">
        <v>0.258</v>
      </c>
      <c r="X2822" s="148" t="s">
        <v>193</v>
      </c>
      <c r="Y2822" s="54">
        <f>R2822*W2822</f>
        <v>28.354200000000002</v>
      </c>
      <c r="Z2822" s="52">
        <f>S2822*W2822</f>
        <v>25.31625</v>
      </c>
      <c r="AA2822" s="52">
        <f>T2822*W2822</f>
        <v>3.037950000000001</v>
      </c>
      <c r="AB2822" s="52">
        <f>V2822*W2822</f>
        <v>0</v>
      </c>
      <c r="AC2822" s="53">
        <f>(R2822+V2822)*W2822</f>
        <v>28.354200000000002</v>
      </c>
      <c r="AD2822" s="138">
        <v>109.9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109</v>
      </c>
      <c r="F2823" s="96" t="s">
        <v>111</v>
      </c>
      <c r="G2823" s="97">
        <v>46132</v>
      </c>
      <c r="H2823" s="98">
        <v>0.6883564814814814</v>
      </c>
      <c r="I2823" s="50">
        <v>169002768</v>
      </c>
      <c r="J2823" s="96" t="s">
        <v>157</v>
      </c>
      <c r="K2823" s="49" t="s">
        <v>390</v>
      </c>
      <c r="L2823" s="39" t="s">
        <v>391</v>
      </c>
      <c r="M2823" s="49" t="s">
        <v>214</v>
      </c>
      <c r="N2823" s="39" t="s">
        <v>273</v>
      </c>
      <c r="O2823" s="96" t="s">
        <v>1110</v>
      </c>
      <c r="P2823" s="49" t="s">
        <v>157</v>
      </c>
      <c r="Q2823" s="96" t="s">
        <v>104</v>
      </c>
      <c r="R2823" s="52">
        <v>15.9</v>
      </c>
      <c r="S2823" s="52">
        <f>R2823-T2823</f>
        <v>14.196428571428571</v>
      </c>
      <c r="T2823" s="52">
        <f>R2823*U2823/(U2823+100)</f>
        <v>1.7035714285714287</v>
      </c>
      <c r="U2823" s="50">
        <v>12</v>
      </c>
      <c r="V2823" s="53">
        <v>0</v>
      </c>
      <c r="W2823" s="147">
        <v>1</v>
      </c>
      <c r="X2823" s="148" t="s">
        <v>163</v>
      </c>
      <c r="Y2823" s="54">
        <f>R2823*W2823</f>
        <v>15.9</v>
      </c>
      <c r="Z2823" s="52">
        <f>S2823*W2823</f>
        <v>14.196428571428571</v>
      </c>
      <c r="AA2823" s="52">
        <f>T2823*W2823</f>
        <v>1.7035714285714287</v>
      </c>
      <c r="AB2823" s="52">
        <f>V2823*W2823</f>
        <v>0</v>
      </c>
      <c r="AC2823" s="53">
        <f>(R2823+V2823)*W2823</f>
        <v>15.9</v>
      </c>
      <c r="AD2823" s="138">
        <v>15.9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109</v>
      </c>
      <c r="F2824" s="96" t="s">
        <v>111</v>
      </c>
      <c r="G2824" s="97">
        <v>46132</v>
      </c>
      <c r="H2824" s="98">
        <v>0.6883564814814814</v>
      </c>
      <c r="I2824" s="50">
        <v>169002768</v>
      </c>
      <c r="J2824" s="96" t="s">
        <v>157</v>
      </c>
      <c r="K2824" s="49" t="s">
        <v>1730</v>
      </c>
      <c r="L2824" s="39" t="s">
        <v>1731</v>
      </c>
      <c r="M2824" s="49" t="s">
        <v>277</v>
      </c>
      <c r="N2824" s="39" t="s">
        <v>1732</v>
      </c>
      <c r="O2824" s="96" t="s">
        <v>1733</v>
      </c>
      <c r="P2824" s="49" t="s">
        <v>157</v>
      </c>
      <c r="Q2824" s="96" t="s">
        <v>104</v>
      </c>
      <c r="R2824" s="52">
        <v>147.9</v>
      </c>
      <c r="S2824" s="52">
        <f>R2824-T2824</f>
        <v>132.05357142857144</v>
      </c>
      <c r="T2824" s="52">
        <f>R2824*U2824/(U2824+100)</f>
        <v>15.846428571428573</v>
      </c>
      <c r="U2824" s="50">
        <v>12</v>
      </c>
      <c r="V2824" s="53">
        <v>0</v>
      </c>
      <c r="W2824" s="147">
        <v>0.166</v>
      </c>
      <c r="X2824" s="148" t="s">
        <v>193</v>
      </c>
      <c r="Y2824" s="54">
        <f>R2824*W2824</f>
        <v>24.5514</v>
      </c>
      <c r="Z2824" s="52">
        <f>S2824*W2824</f>
        <v>21.92089285714286</v>
      </c>
      <c r="AA2824" s="52">
        <f>T2824*W2824</f>
        <v>2.630507142857143</v>
      </c>
      <c r="AB2824" s="52">
        <f>V2824*W2824</f>
        <v>0</v>
      </c>
      <c r="AC2824" s="53">
        <f>(R2824+V2824)*W2824</f>
        <v>24.5514</v>
      </c>
      <c r="AD2824" s="138">
        <v>147.9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109</v>
      </c>
      <c r="F2825" s="96" t="s">
        <v>111</v>
      </c>
      <c r="G2825" s="97">
        <v>46132</v>
      </c>
      <c r="H2825" s="98">
        <v>0.6883564814814814</v>
      </c>
      <c r="I2825" s="50">
        <v>169002768</v>
      </c>
      <c r="J2825" s="96" t="s">
        <v>157</v>
      </c>
      <c r="K2825" s="49" t="s">
        <v>293</v>
      </c>
      <c r="L2825" s="39" t="s">
        <v>294</v>
      </c>
      <c r="M2825" s="49" t="s">
        <v>295</v>
      </c>
      <c r="N2825" s="39" t="s">
        <v>296</v>
      </c>
      <c r="O2825" s="96" t="s">
        <v>297</v>
      </c>
      <c r="P2825" s="49" t="s">
        <v>157</v>
      </c>
      <c r="Q2825" s="96" t="s">
        <v>104</v>
      </c>
      <c r="R2825" s="52">
        <v>2.9</v>
      </c>
      <c r="S2825" s="52">
        <f>R2825-T2825</f>
        <v>2.5892857142857144</v>
      </c>
      <c r="T2825" s="52">
        <f>R2825*U2825/(U2825+100)</f>
        <v>0.31071428571428567</v>
      </c>
      <c r="U2825" s="50">
        <v>12</v>
      </c>
      <c r="V2825" s="53">
        <v>0</v>
      </c>
      <c r="W2825" s="147">
        <v>5</v>
      </c>
      <c r="X2825" s="148" t="s">
        <v>163</v>
      </c>
      <c r="Y2825" s="54">
        <f>R2825*W2825</f>
        <v>14.5</v>
      </c>
      <c r="Z2825" s="52">
        <f>S2825*W2825</f>
        <v>12.946428571428573</v>
      </c>
      <c r="AA2825" s="52">
        <f>T2825*W2825</f>
        <v>1.5535714285714284</v>
      </c>
      <c r="AB2825" s="52">
        <f>V2825*W2825</f>
        <v>0</v>
      </c>
      <c r="AC2825" s="53">
        <f>(R2825+V2825)*W2825</f>
        <v>14.5</v>
      </c>
      <c r="AD2825" s="138">
        <v>2.9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109</v>
      </c>
      <c r="F2826" s="96" t="s">
        <v>111</v>
      </c>
      <c r="G2826" s="97">
        <v>46132</v>
      </c>
      <c r="H2826" s="98">
        <v>0.6885532407407408</v>
      </c>
      <c r="I2826" s="50">
        <v>169002769</v>
      </c>
      <c r="J2826" s="96" t="s">
        <v>157</v>
      </c>
      <c r="K2826" s="49" t="s">
        <v>3722</v>
      </c>
      <c r="L2826" s="39" t="s">
        <v>3723</v>
      </c>
      <c r="M2826" s="49" t="s">
        <v>3724</v>
      </c>
      <c r="N2826" s="39" t="s">
        <v>319</v>
      </c>
      <c r="O2826" s="96" t="s">
        <v>3725</v>
      </c>
      <c r="P2826" s="49" t="s">
        <v>157</v>
      </c>
      <c r="Q2826" s="96" t="s">
        <v>104</v>
      </c>
      <c r="R2826" s="52">
        <v>47.9</v>
      </c>
      <c r="S2826" s="52">
        <f>R2826-T2826</f>
        <v>42.76785714285714</v>
      </c>
      <c r="T2826" s="52">
        <f>R2826*U2826/(U2826+100)</f>
        <v>5.132142857142857</v>
      </c>
      <c r="U2826" s="50">
        <v>12</v>
      </c>
      <c r="V2826" s="53">
        <v>0</v>
      </c>
      <c r="W2826" s="147">
        <v>1</v>
      </c>
      <c r="X2826" s="148" t="s">
        <v>163</v>
      </c>
      <c r="Y2826" s="54">
        <f>R2826*W2826</f>
        <v>47.9</v>
      </c>
      <c r="Z2826" s="52">
        <f>S2826*W2826</f>
        <v>42.76785714285714</v>
      </c>
      <c r="AA2826" s="52">
        <f>T2826*W2826</f>
        <v>5.132142857142857</v>
      </c>
      <c r="AB2826" s="52">
        <f>V2826*W2826</f>
        <v>0</v>
      </c>
      <c r="AC2826" s="53">
        <f>(R2826+V2826)*W2826</f>
        <v>47.9</v>
      </c>
      <c r="AD2826" s="138">
        <v>47.9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109</v>
      </c>
      <c r="F2827" s="96" t="s">
        <v>111</v>
      </c>
      <c r="G2827" s="97">
        <v>46132</v>
      </c>
      <c r="H2827" s="98">
        <v>0.6890162037037038</v>
      </c>
      <c r="I2827" s="50">
        <v>169002770</v>
      </c>
      <c r="J2827" s="96" t="s">
        <v>157</v>
      </c>
      <c r="K2827" s="49" t="s">
        <v>3726</v>
      </c>
      <c r="L2827" s="39" t="s">
        <v>3727</v>
      </c>
      <c r="M2827" s="49" t="s">
        <v>3373</v>
      </c>
      <c r="N2827" s="39" t="s">
        <v>264</v>
      </c>
      <c r="O2827" s="96" t="s">
        <v>3728</v>
      </c>
      <c r="P2827" s="49" t="s">
        <v>157</v>
      </c>
      <c r="Q2827" s="96" t="s">
        <v>104</v>
      </c>
      <c r="R2827" s="52">
        <v>15.9</v>
      </c>
      <c r="S2827" s="52">
        <f>R2827-T2827</f>
        <v>14.196428571428571</v>
      </c>
      <c r="T2827" s="52">
        <f>R2827*U2827/(U2827+100)</f>
        <v>1.7035714285714287</v>
      </c>
      <c r="U2827" s="50">
        <v>12</v>
      </c>
      <c r="V2827" s="53">
        <v>0</v>
      </c>
      <c r="W2827" s="147">
        <v>1</v>
      </c>
      <c r="X2827" s="148" t="s">
        <v>163</v>
      </c>
      <c r="Y2827" s="54">
        <f>R2827*W2827</f>
        <v>15.9</v>
      </c>
      <c r="Z2827" s="52">
        <f>S2827*W2827</f>
        <v>14.196428571428571</v>
      </c>
      <c r="AA2827" s="52">
        <f>T2827*W2827</f>
        <v>1.7035714285714287</v>
      </c>
      <c r="AB2827" s="52">
        <f>V2827*W2827</f>
        <v>0</v>
      </c>
      <c r="AC2827" s="53">
        <f>(R2827+V2827)*W2827</f>
        <v>15.9</v>
      </c>
      <c r="AD2827" s="138">
        <v>15.9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109</v>
      </c>
      <c r="F2828" s="96" t="s">
        <v>111</v>
      </c>
      <c r="G2828" s="97">
        <v>46132</v>
      </c>
      <c r="H2828" s="98">
        <v>0.6890162037037038</v>
      </c>
      <c r="I2828" s="50">
        <v>169002770</v>
      </c>
      <c r="J2828" s="96" t="s">
        <v>157</v>
      </c>
      <c r="K2828" s="49" t="s">
        <v>158</v>
      </c>
      <c r="L2828" s="39" t="s">
        <v>159</v>
      </c>
      <c r="M2828" s="49" t="s">
        <v>160</v>
      </c>
      <c r="N2828" s="39" t="s">
        <v>161</v>
      </c>
      <c r="O2828" s="96" t="s">
        <v>3729</v>
      </c>
      <c r="P2828" s="49" t="s">
        <v>157</v>
      </c>
      <c r="Q2828" s="96" t="s">
        <v>104</v>
      </c>
      <c r="R2828" s="52">
        <v>32.9</v>
      </c>
      <c r="S2828" s="52">
        <f>R2828-T2828</f>
        <v>29.375</v>
      </c>
      <c r="T2828" s="52">
        <f>R2828*U2828/(U2828+100)</f>
        <v>3.5249999999999995</v>
      </c>
      <c r="U2828" s="50">
        <v>12</v>
      </c>
      <c r="V2828" s="53">
        <v>0</v>
      </c>
      <c r="W2828" s="147">
        <v>1</v>
      </c>
      <c r="X2828" s="148" t="s">
        <v>163</v>
      </c>
      <c r="Y2828" s="54">
        <f>R2828*W2828</f>
        <v>32.9</v>
      </c>
      <c r="Z2828" s="52">
        <f>S2828*W2828</f>
        <v>29.375</v>
      </c>
      <c r="AA2828" s="52">
        <f>T2828*W2828</f>
        <v>3.5249999999999995</v>
      </c>
      <c r="AB2828" s="52">
        <f>V2828*W2828</f>
        <v>0</v>
      </c>
      <c r="AC2828" s="53">
        <f>(R2828+V2828)*W2828</f>
        <v>32.9</v>
      </c>
      <c r="AD2828" s="138">
        <v>32.9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109</v>
      </c>
      <c r="F2829" s="96" t="s">
        <v>111</v>
      </c>
      <c r="G2829" s="97">
        <v>46132</v>
      </c>
      <c r="H2829" s="98">
        <v>0.6895023148148148</v>
      </c>
      <c r="I2829" s="50">
        <v>169002771</v>
      </c>
      <c r="J2829" s="96" t="s">
        <v>157</v>
      </c>
      <c r="K2829" s="49" t="s">
        <v>3730</v>
      </c>
      <c r="L2829" s="39" t="s">
        <v>3731</v>
      </c>
      <c r="M2829" s="49" t="s">
        <v>1095</v>
      </c>
      <c r="N2829" s="39" t="s">
        <v>793</v>
      </c>
      <c r="O2829" s="96" t="s">
        <v>3732</v>
      </c>
      <c r="P2829" s="49" t="s">
        <v>157</v>
      </c>
      <c r="Q2829" s="96" t="s">
        <v>104</v>
      </c>
      <c r="R2829" s="52">
        <v>12.9</v>
      </c>
      <c r="S2829" s="52">
        <f>R2829-T2829</f>
        <v>11.517857142857142</v>
      </c>
      <c r="T2829" s="52">
        <f>R2829*U2829/(U2829+100)</f>
        <v>1.3821428571428573</v>
      </c>
      <c r="U2829" s="50">
        <v>12</v>
      </c>
      <c r="V2829" s="53">
        <v>0</v>
      </c>
      <c r="W2829" s="147">
        <v>1</v>
      </c>
      <c r="X2829" s="148" t="s">
        <v>163</v>
      </c>
      <c r="Y2829" s="54">
        <f>R2829*W2829</f>
        <v>12.9</v>
      </c>
      <c r="Z2829" s="52">
        <f>S2829*W2829</f>
        <v>11.517857142857142</v>
      </c>
      <c r="AA2829" s="52">
        <f>T2829*W2829</f>
        <v>1.3821428571428573</v>
      </c>
      <c r="AB2829" s="52">
        <f>V2829*W2829</f>
        <v>0</v>
      </c>
      <c r="AC2829" s="53">
        <f>(R2829+V2829)*W2829</f>
        <v>12.9</v>
      </c>
      <c r="AD2829" s="138">
        <v>12.9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109</v>
      </c>
      <c r="F2830" s="96" t="s">
        <v>111</v>
      </c>
      <c r="G2830" s="97">
        <v>46132</v>
      </c>
      <c r="H2830" s="98">
        <v>0.6895023148148148</v>
      </c>
      <c r="I2830" s="50">
        <v>169002771</v>
      </c>
      <c r="J2830" s="96" t="s">
        <v>157</v>
      </c>
      <c r="K2830" s="49" t="s">
        <v>3733</v>
      </c>
      <c r="L2830" s="39" t="s">
        <v>3734</v>
      </c>
      <c r="M2830" s="49" t="s">
        <v>232</v>
      </c>
      <c r="N2830" s="39" t="s">
        <v>233</v>
      </c>
      <c r="O2830" s="96" t="s">
        <v>3735</v>
      </c>
      <c r="P2830" s="49" t="s">
        <v>157</v>
      </c>
      <c r="Q2830" s="96" t="s">
        <v>104</v>
      </c>
      <c r="R2830" s="52">
        <v>19.9</v>
      </c>
      <c r="S2830" s="52">
        <f>R2830-T2830</f>
        <v>16.446280991735534</v>
      </c>
      <c r="T2830" s="52">
        <f>R2830*U2830/(U2830+100)</f>
        <v>3.4537190082644624</v>
      </c>
      <c r="U2830" s="50">
        <v>21</v>
      </c>
      <c r="V2830" s="53">
        <v>0</v>
      </c>
      <c r="W2830" s="147">
        <v>1</v>
      </c>
      <c r="X2830" s="148" t="s">
        <v>163</v>
      </c>
      <c r="Y2830" s="54">
        <f>R2830*W2830</f>
        <v>19.9</v>
      </c>
      <c r="Z2830" s="52">
        <f>S2830*W2830</f>
        <v>16.446280991735534</v>
      </c>
      <c r="AA2830" s="52">
        <f>T2830*W2830</f>
        <v>3.4537190082644624</v>
      </c>
      <c r="AB2830" s="52">
        <f>V2830*W2830</f>
        <v>0</v>
      </c>
      <c r="AC2830" s="53">
        <f>(R2830+V2830)*W2830</f>
        <v>19.9</v>
      </c>
      <c r="AD2830" s="138">
        <v>19.9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109</v>
      </c>
      <c r="F2831" s="96" t="s">
        <v>111</v>
      </c>
      <c r="G2831" s="97">
        <v>46132</v>
      </c>
      <c r="H2831" s="98">
        <v>0.6896412037037037</v>
      </c>
      <c r="I2831" s="50">
        <v>169002772</v>
      </c>
      <c r="J2831" s="96" t="s">
        <v>157</v>
      </c>
      <c r="K2831" s="49" t="s">
        <v>3736</v>
      </c>
      <c r="L2831" s="39" t="s">
        <v>3737</v>
      </c>
      <c r="M2831" s="49" t="s">
        <v>219</v>
      </c>
      <c r="N2831" s="39" t="s">
        <v>388</v>
      </c>
      <c r="O2831" s="96" t="s">
        <v>3738</v>
      </c>
      <c r="P2831" s="49" t="s">
        <v>157</v>
      </c>
      <c r="Q2831" s="96" t="s">
        <v>104</v>
      </c>
      <c r="R2831" s="52">
        <v>29.9</v>
      </c>
      <c r="S2831" s="52">
        <f>R2831-T2831</f>
        <v>24.710743801652892</v>
      </c>
      <c r="T2831" s="52">
        <f>R2831*U2831/(U2831+100)</f>
        <v>5.189256198347107</v>
      </c>
      <c r="U2831" s="50">
        <v>21</v>
      </c>
      <c r="V2831" s="53">
        <v>0</v>
      </c>
      <c r="W2831" s="147">
        <v>1</v>
      </c>
      <c r="X2831" s="148" t="s">
        <v>163</v>
      </c>
      <c r="Y2831" s="54">
        <f>R2831*W2831</f>
        <v>29.9</v>
      </c>
      <c r="Z2831" s="52">
        <f>S2831*W2831</f>
        <v>24.710743801652892</v>
      </c>
      <c r="AA2831" s="52">
        <f>T2831*W2831</f>
        <v>5.189256198347107</v>
      </c>
      <c r="AB2831" s="52">
        <f>V2831*W2831</f>
        <v>0</v>
      </c>
      <c r="AC2831" s="53">
        <f>(R2831+V2831)*W2831</f>
        <v>29.9</v>
      </c>
      <c r="AD2831" s="138">
        <v>29.9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109</v>
      </c>
      <c r="F2832" s="96" t="s">
        <v>111</v>
      </c>
      <c r="G2832" s="97">
        <v>46132</v>
      </c>
      <c r="H2832" s="98">
        <v>0.6899652777777778</v>
      </c>
      <c r="I2832" s="50">
        <v>169002773</v>
      </c>
      <c r="J2832" s="96" t="s">
        <v>157</v>
      </c>
      <c r="K2832" s="49" t="s">
        <v>1570</v>
      </c>
      <c r="L2832" s="39" t="s">
        <v>1571</v>
      </c>
      <c r="M2832" s="49" t="s">
        <v>1572</v>
      </c>
      <c r="N2832" s="39" t="s">
        <v>1573</v>
      </c>
      <c r="O2832" s="96" t="s">
        <v>1574</v>
      </c>
      <c r="P2832" s="49" t="s">
        <v>157</v>
      </c>
      <c r="Q2832" s="96" t="s">
        <v>104</v>
      </c>
      <c r="R2832" s="52">
        <v>49.9</v>
      </c>
      <c r="S2832" s="52">
        <f>R2832-T2832</f>
        <v>44.55357142857143</v>
      </c>
      <c r="T2832" s="52">
        <f>R2832*U2832/(U2832+100)</f>
        <v>5.346428571428571</v>
      </c>
      <c r="U2832" s="50">
        <v>12</v>
      </c>
      <c r="V2832" s="53">
        <v>0</v>
      </c>
      <c r="W2832" s="147">
        <v>1</v>
      </c>
      <c r="X2832" s="148" t="s">
        <v>163</v>
      </c>
      <c r="Y2832" s="54">
        <f>R2832*W2832</f>
        <v>49.9</v>
      </c>
      <c r="Z2832" s="52">
        <f>S2832*W2832</f>
        <v>44.55357142857143</v>
      </c>
      <c r="AA2832" s="52">
        <f>T2832*W2832</f>
        <v>5.346428571428571</v>
      </c>
      <c r="AB2832" s="52">
        <f>V2832*W2832</f>
        <v>0</v>
      </c>
      <c r="AC2832" s="53">
        <f>(R2832+V2832)*W2832</f>
        <v>49.9</v>
      </c>
      <c r="AD2832" s="138">
        <v>49.9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109</v>
      </c>
      <c r="F2833" s="96" t="s">
        <v>111</v>
      </c>
      <c r="G2833" s="97">
        <v>46132</v>
      </c>
      <c r="H2833" s="98">
        <v>0.6899652777777778</v>
      </c>
      <c r="I2833" s="50">
        <v>169002773</v>
      </c>
      <c r="J2833" s="96" t="s">
        <v>157</v>
      </c>
      <c r="K2833" s="49" t="s">
        <v>507</v>
      </c>
      <c r="L2833" s="39" t="s">
        <v>508</v>
      </c>
      <c r="M2833" s="49" t="s">
        <v>509</v>
      </c>
      <c r="N2833" s="39" t="s">
        <v>256</v>
      </c>
      <c r="O2833" s="96" t="s">
        <v>1024</v>
      </c>
      <c r="P2833" s="49" t="s">
        <v>235</v>
      </c>
      <c r="Q2833" s="96" t="s">
        <v>236</v>
      </c>
      <c r="R2833" s="52">
        <v>15.9</v>
      </c>
      <c r="S2833" s="52">
        <f>R2833-T2833</f>
        <v>13.140495867768596</v>
      </c>
      <c r="T2833" s="52">
        <f>R2833*U2833/(U2833+100)</f>
        <v>2.759504132231405</v>
      </c>
      <c r="U2833" s="50">
        <v>21</v>
      </c>
      <c r="V2833" s="53">
        <v>0</v>
      </c>
      <c r="W2833" s="147">
        <v>6</v>
      </c>
      <c r="X2833" s="148" t="s">
        <v>163</v>
      </c>
      <c r="Y2833" s="54">
        <f>R2833*W2833</f>
        <v>95.4</v>
      </c>
      <c r="Z2833" s="52">
        <f>S2833*W2833</f>
        <v>78.84297520661158</v>
      </c>
      <c r="AA2833" s="52">
        <f>T2833*W2833</f>
        <v>16.55702479338843</v>
      </c>
      <c r="AB2833" s="52">
        <f>V2833*W2833</f>
        <v>0</v>
      </c>
      <c r="AC2833" s="53">
        <f>(R2833+V2833)*W2833</f>
        <v>95.4</v>
      </c>
      <c r="AD2833" s="138">
        <v>15.9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109</v>
      </c>
      <c r="F2834" s="96" t="s">
        <v>111</v>
      </c>
      <c r="G2834" s="97">
        <v>46132</v>
      </c>
      <c r="H2834" s="98">
        <v>0.6902314814814815</v>
      </c>
      <c r="I2834" s="50">
        <v>169002774</v>
      </c>
      <c r="J2834" s="96" t="s">
        <v>157</v>
      </c>
      <c r="K2834" s="49" t="s">
        <v>3730</v>
      </c>
      <c r="L2834" s="39" t="s">
        <v>3731</v>
      </c>
      <c r="M2834" s="49" t="s">
        <v>1095</v>
      </c>
      <c r="N2834" s="39" t="s">
        <v>793</v>
      </c>
      <c r="O2834" s="96" t="s">
        <v>3732</v>
      </c>
      <c r="P2834" s="49" t="s">
        <v>157</v>
      </c>
      <c r="Q2834" s="96" t="s">
        <v>104</v>
      </c>
      <c r="R2834" s="52">
        <v>12.9</v>
      </c>
      <c r="S2834" s="52">
        <f>R2834-T2834</f>
        <v>11.517857142857142</v>
      </c>
      <c r="T2834" s="52">
        <f>R2834*U2834/(U2834+100)</f>
        <v>1.3821428571428573</v>
      </c>
      <c r="U2834" s="50">
        <v>12</v>
      </c>
      <c r="V2834" s="53">
        <v>0</v>
      </c>
      <c r="W2834" s="147">
        <v>1</v>
      </c>
      <c r="X2834" s="148" t="s">
        <v>163</v>
      </c>
      <c r="Y2834" s="54">
        <f>R2834*W2834</f>
        <v>12.9</v>
      </c>
      <c r="Z2834" s="52">
        <f>S2834*W2834</f>
        <v>11.517857142857142</v>
      </c>
      <c r="AA2834" s="52">
        <f>T2834*W2834</f>
        <v>1.3821428571428573</v>
      </c>
      <c r="AB2834" s="52">
        <f>V2834*W2834</f>
        <v>0</v>
      </c>
      <c r="AC2834" s="53">
        <f>(R2834+V2834)*W2834</f>
        <v>12.9</v>
      </c>
      <c r="AD2834" s="138">
        <v>12.9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109</v>
      </c>
      <c r="F2835" s="96" t="s">
        <v>111</v>
      </c>
      <c r="G2835" s="97">
        <v>46132</v>
      </c>
      <c r="H2835" s="98">
        <v>0.6902314814814815</v>
      </c>
      <c r="I2835" s="50">
        <v>169002774</v>
      </c>
      <c r="J2835" s="96" t="s">
        <v>157</v>
      </c>
      <c r="K2835" s="49" t="s">
        <v>2525</v>
      </c>
      <c r="L2835" s="39" t="s">
        <v>2526</v>
      </c>
      <c r="M2835" s="49" t="s">
        <v>1095</v>
      </c>
      <c r="N2835" s="39" t="s">
        <v>793</v>
      </c>
      <c r="O2835" s="96" t="s">
        <v>2527</v>
      </c>
      <c r="P2835" s="49" t="s">
        <v>157</v>
      </c>
      <c r="Q2835" s="96" t="s">
        <v>104</v>
      </c>
      <c r="R2835" s="52">
        <v>2.5</v>
      </c>
      <c r="S2835" s="52">
        <f>R2835-T2835</f>
        <v>2.232142857142857</v>
      </c>
      <c r="T2835" s="52">
        <f>R2835*U2835/(U2835+100)</f>
        <v>0.26785714285714285</v>
      </c>
      <c r="U2835" s="50">
        <v>12</v>
      </c>
      <c r="V2835" s="53">
        <v>0</v>
      </c>
      <c r="W2835" s="147">
        <v>1</v>
      </c>
      <c r="X2835" s="148" t="s">
        <v>163</v>
      </c>
      <c r="Y2835" s="54">
        <f>R2835*W2835</f>
        <v>2.5</v>
      </c>
      <c r="Z2835" s="52">
        <f>S2835*W2835</f>
        <v>2.232142857142857</v>
      </c>
      <c r="AA2835" s="52">
        <f>T2835*W2835</f>
        <v>0.26785714285714285</v>
      </c>
      <c r="AB2835" s="52">
        <f>V2835*W2835</f>
        <v>0</v>
      </c>
      <c r="AC2835" s="53">
        <f>(R2835+V2835)*W2835</f>
        <v>2.5</v>
      </c>
      <c r="AD2835" s="138">
        <v>2.5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109</v>
      </c>
      <c r="F2836" s="96" t="s">
        <v>111</v>
      </c>
      <c r="G2836" s="97">
        <v>46132</v>
      </c>
      <c r="H2836" s="98">
        <v>0.6902314814814815</v>
      </c>
      <c r="I2836" s="50">
        <v>169002774</v>
      </c>
      <c r="J2836" s="96" t="s">
        <v>157</v>
      </c>
      <c r="K2836" s="49" t="s">
        <v>2525</v>
      </c>
      <c r="L2836" s="39" t="s">
        <v>2526</v>
      </c>
      <c r="M2836" s="49" t="s">
        <v>1095</v>
      </c>
      <c r="N2836" s="39" t="s">
        <v>793</v>
      </c>
      <c r="O2836" s="96" t="s">
        <v>2527</v>
      </c>
      <c r="P2836" s="49" t="s">
        <v>157</v>
      </c>
      <c r="Q2836" s="96" t="s">
        <v>104</v>
      </c>
      <c r="R2836" s="52">
        <v>2.5</v>
      </c>
      <c r="S2836" s="52">
        <f>R2836-T2836</f>
        <v>2.232142857142857</v>
      </c>
      <c r="T2836" s="52">
        <f>R2836*U2836/(U2836+100)</f>
        <v>0.26785714285714285</v>
      </c>
      <c r="U2836" s="50">
        <v>12</v>
      </c>
      <c r="V2836" s="53">
        <v>0</v>
      </c>
      <c r="W2836" s="147">
        <v>1</v>
      </c>
      <c r="X2836" s="148" t="s">
        <v>163</v>
      </c>
      <c r="Y2836" s="54">
        <f>R2836*W2836</f>
        <v>2.5</v>
      </c>
      <c r="Z2836" s="52">
        <f>S2836*W2836</f>
        <v>2.232142857142857</v>
      </c>
      <c r="AA2836" s="52">
        <f>T2836*W2836</f>
        <v>0.26785714285714285</v>
      </c>
      <c r="AB2836" s="52">
        <f>V2836*W2836</f>
        <v>0</v>
      </c>
      <c r="AC2836" s="53">
        <f>(R2836+V2836)*W2836</f>
        <v>2.5</v>
      </c>
      <c r="AD2836" s="138">
        <v>2.5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109</v>
      </c>
      <c r="F2837" s="96" t="s">
        <v>111</v>
      </c>
      <c r="G2837" s="97">
        <v>46132</v>
      </c>
      <c r="H2837" s="98">
        <v>0.6902314814814815</v>
      </c>
      <c r="I2837" s="50">
        <v>169002774</v>
      </c>
      <c r="J2837" s="96" t="s">
        <v>157</v>
      </c>
      <c r="K2837" s="49" t="s">
        <v>3739</v>
      </c>
      <c r="L2837" s="39" t="s">
        <v>3740</v>
      </c>
      <c r="M2837" s="49" t="s">
        <v>341</v>
      </c>
      <c r="N2837" s="39" t="s">
        <v>233</v>
      </c>
      <c r="O2837" s="96" t="s">
        <v>3741</v>
      </c>
      <c r="P2837" s="49" t="s">
        <v>157</v>
      </c>
      <c r="Q2837" s="96" t="s">
        <v>104</v>
      </c>
      <c r="R2837" s="52">
        <v>18.9</v>
      </c>
      <c r="S2837" s="52">
        <f>R2837-T2837</f>
        <v>15.6198347107438</v>
      </c>
      <c r="T2837" s="52">
        <f>R2837*U2837/(U2837+100)</f>
        <v>3.2801652892561983</v>
      </c>
      <c r="U2837" s="50">
        <v>21</v>
      </c>
      <c r="V2837" s="53">
        <v>0</v>
      </c>
      <c r="W2837" s="147">
        <v>1</v>
      </c>
      <c r="X2837" s="148" t="s">
        <v>163</v>
      </c>
      <c r="Y2837" s="54">
        <f>R2837*W2837</f>
        <v>18.9</v>
      </c>
      <c r="Z2837" s="52">
        <f>S2837*W2837</f>
        <v>15.6198347107438</v>
      </c>
      <c r="AA2837" s="52">
        <f>T2837*W2837</f>
        <v>3.2801652892561983</v>
      </c>
      <c r="AB2837" s="52">
        <f>V2837*W2837</f>
        <v>0</v>
      </c>
      <c r="AC2837" s="53">
        <f>(R2837+V2837)*W2837</f>
        <v>18.9</v>
      </c>
      <c r="AD2837" s="138">
        <v>18.9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109</v>
      </c>
      <c r="F2838" s="96" t="s">
        <v>111</v>
      </c>
      <c r="G2838" s="97">
        <v>46132</v>
      </c>
      <c r="H2838" s="98">
        <v>0.6911921296296296</v>
      </c>
      <c r="I2838" s="50">
        <v>169002775</v>
      </c>
      <c r="J2838" s="96" t="s">
        <v>157</v>
      </c>
      <c r="K2838" s="49" t="s">
        <v>3742</v>
      </c>
      <c r="L2838" s="39" t="s">
        <v>3743</v>
      </c>
      <c r="M2838" s="49" t="s">
        <v>196</v>
      </c>
      <c r="N2838" s="39" t="s">
        <v>747</v>
      </c>
      <c r="O2838" s="96" t="s">
        <v>3744</v>
      </c>
      <c r="P2838" s="49" t="s">
        <v>157</v>
      </c>
      <c r="Q2838" s="96" t="s">
        <v>104</v>
      </c>
      <c r="R2838" s="52">
        <v>33.9</v>
      </c>
      <c r="S2838" s="52">
        <f>R2838-T2838</f>
        <v>30.267857142857142</v>
      </c>
      <c r="T2838" s="52">
        <f>R2838*U2838/(U2838+100)</f>
        <v>3.6321428571428567</v>
      </c>
      <c r="U2838" s="50">
        <v>12</v>
      </c>
      <c r="V2838" s="53">
        <v>0</v>
      </c>
      <c r="W2838" s="147">
        <v>1</v>
      </c>
      <c r="X2838" s="148" t="s">
        <v>163</v>
      </c>
      <c r="Y2838" s="54">
        <f>R2838*W2838</f>
        <v>33.9</v>
      </c>
      <c r="Z2838" s="52">
        <f>S2838*W2838</f>
        <v>30.267857142857142</v>
      </c>
      <c r="AA2838" s="52">
        <f>T2838*W2838</f>
        <v>3.6321428571428567</v>
      </c>
      <c r="AB2838" s="52">
        <f>V2838*W2838</f>
        <v>0</v>
      </c>
      <c r="AC2838" s="53">
        <f>(R2838+V2838)*W2838</f>
        <v>33.9</v>
      </c>
      <c r="AD2838" s="138">
        <v>33.9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109</v>
      </c>
      <c r="F2839" s="96" t="s">
        <v>111</v>
      </c>
      <c r="G2839" s="97">
        <v>46132</v>
      </c>
      <c r="H2839" s="98">
        <v>0.6911921296296296</v>
      </c>
      <c r="I2839" s="50">
        <v>169002775</v>
      </c>
      <c r="J2839" s="96" t="s">
        <v>157</v>
      </c>
      <c r="K2839" s="49" t="s">
        <v>3745</v>
      </c>
      <c r="L2839" s="39" t="s">
        <v>3746</v>
      </c>
      <c r="M2839" s="49" t="s">
        <v>3747</v>
      </c>
      <c r="N2839" s="39" t="s">
        <v>747</v>
      </c>
      <c r="O2839" s="96" t="s">
        <v>3748</v>
      </c>
      <c r="P2839" s="49" t="s">
        <v>157</v>
      </c>
      <c r="Q2839" s="96" t="s">
        <v>104</v>
      </c>
      <c r="R2839" s="52">
        <v>57.9</v>
      </c>
      <c r="S2839" s="52">
        <f>R2839-T2839</f>
        <v>51.69642857142857</v>
      </c>
      <c r="T2839" s="52">
        <f>R2839*U2839/(U2839+100)</f>
        <v>6.203571428571428</v>
      </c>
      <c r="U2839" s="50">
        <v>12</v>
      </c>
      <c r="V2839" s="53">
        <v>0</v>
      </c>
      <c r="W2839" s="147">
        <v>1</v>
      </c>
      <c r="X2839" s="148" t="s">
        <v>163</v>
      </c>
      <c r="Y2839" s="54">
        <f>R2839*W2839</f>
        <v>57.9</v>
      </c>
      <c r="Z2839" s="52">
        <f>S2839*W2839</f>
        <v>51.69642857142857</v>
      </c>
      <c r="AA2839" s="52">
        <f>T2839*W2839</f>
        <v>6.203571428571428</v>
      </c>
      <c r="AB2839" s="52">
        <f>V2839*W2839</f>
        <v>0</v>
      </c>
      <c r="AC2839" s="53">
        <f>(R2839+V2839)*W2839</f>
        <v>57.9</v>
      </c>
      <c r="AD2839" s="138">
        <v>57.9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109</v>
      </c>
      <c r="F2840" s="96" t="s">
        <v>111</v>
      </c>
      <c r="G2840" s="97">
        <v>46132</v>
      </c>
      <c r="H2840" s="98">
        <v>0.6911921296296296</v>
      </c>
      <c r="I2840" s="50">
        <v>169002775</v>
      </c>
      <c r="J2840" s="96" t="s">
        <v>157</v>
      </c>
      <c r="K2840" s="49" t="s">
        <v>2522</v>
      </c>
      <c r="L2840" s="39" t="s">
        <v>2523</v>
      </c>
      <c r="M2840" s="49" t="s">
        <v>219</v>
      </c>
      <c r="N2840" s="39" t="s">
        <v>641</v>
      </c>
      <c r="O2840" s="96" t="s">
        <v>2524</v>
      </c>
      <c r="P2840" s="49" t="s">
        <v>157</v>
      </c>
      <c r="Q2840" s="96" t="s">
        <v>104</v>
      </c>
      <c r="R2840" s="52">
        <v>35.9</v>
      </c>
      <c r="S2840" s="52">
        <f>R2840-T2840</f>
        <v>32.05357142857143</v>
      </c>
      <c r="T2840" s="52">
        <f>R2840*U2840/(U2840+100)</f>
        <v>3.846428571428571</v>
      </c>
      <c r="U2840" s="50">
        <v>12</v>
      </c>
      <c r="V2840" s="53">
        <v>0</v>
      </c>
      <c r="W2840" s="147">
        <v>1</v>
      </c>
      <c r="X2840" s="148" t="s">
        <v>163</v>
      </c>
      <c r="Y2840" s="54">
        <f>R2840*W2840</f>
        <v>35.9</v>
      </c>
      <c r="Z2840" s="52">
        <f>S2840*W2840</f>
        <v>32.05357142857143</v>
      </c>
      <c r="AA2840" s="52">
        <f>T2840*W2840</f>
        <v>3.846428571428571</v>
      </c>
      <c r="AB2840" s="52">
        <f>V2840*W2840</f>
        <v>0</v>
      </c>
      <c r="AC2840" s="53">
        <f>(R2840+V2840)*W2840</f>
        <v>35.9</v>
      </c>
      <c r="AD2840" s="138">
        <v>35.9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109</v>
      </c>
      <c r="F2841" s="96" t="s">
        <v>111</v>
      </c>
      <c r="G2841" s="97">
        <v>46132</v>
      </c>
      <c r="H2841" s="98">
        <v>0.6911921296296296</v>
      </c>
      <c r="I2841" s="50">
        <v>169002775</v>
      </c>
      <c r="J2841" s="96" t="s">
        <v>157</v>
      </c>
      <c r="K2841" s="49" t="s">
        <v>3691</v>
      </c>
      <c r="L2841" s="39" t="s">
        <v>3692</v>
      </c>
      <c r="M2841" s="49" t="s">
        <v>429</v>
      </c>
      <c r="N2841" s="39" t="s">
        <v>239</v>
      </c>
      <c r="O2841" s="96" t="s">
        <v>3693</v>
      </c>
      <c r="P2841" s="49" t="s">
        <v>235</v>
      </c>
      <c r="Q2841" s="96" t="s">
        <v>236</v>
      </c>
      <c r="R2841" s="52">
        <v>14.9</v>
      </c>
      <c r="S2841" s="52">
        <f>R2841-T2841</f>
        <v>13.303571428571429</v>
      </c>
      <c r="T2841" s="52">
        <f>R2841*U2841/(U2841+100)</f>
        <v>1.5964285714285715</v>
      </c>
      <c r="U2841" s="50">
        <v>12</v>
      </c>
      <c r="V2841" s="53">
        <v>0</v>
      </c>
      <c r="W2841" s="147">
        <v>1</v>
      </c>
      <c r="X2841" s="148" t="s">
        <v>163</v>
      </c>
      <c r="Y2841" s="54">
        <f>R2841*W2841</f>
        <v>14.9</v>
      </c>
      <c r="Z2841" s="52">
        <f>S2841*W2841</f>
        <v>13.303571428571429</v>
      </c>
      <c r="AA2841" s="52">
        <f>T2841*W2841</f>
        <v>1.5964285714285715</v>
      </c>
      <c r="AB2841" s="52">
        <f>V2841*W2841</f>
        <v>0</v>
      </c>
      <c r="AC2841" s="53">
        <f>(R2841+V2841)*W2841</f>
        <v>14.9</v>
      </c>
      <c r="AD2841" s="138">
        <v>14.9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109</v>
      </c>
      <c r="F2842" s="96" t="s">
        <v>111</v>
      </c>
      <c r="G2842" s="97">
        <v>46132</v>
      </c>
      <c r="H2842" s="98">
        <v>0.6911921296296296</v>
      </c>
      <c r="I2842" s="50">
        <v>169002775</v>
      </c>
      <c r="J2842" s="96" t="s">
        <v>157</v>
      </c>
      <c r="K2842" s="49" t="s">
        <v>3749</v>
      </c>
      <c r="L2842" s="39" t="s">
        <v>3750</v>
      </c>
      <c r="M2842" s="49" t="s">
        <v>429</v>
      </c>
      <c r="N2842" s="39" t="s">
        <v>239</v>
      </c>
      <c r="O2842" s="96" t="s">
        <v>3751</v>
      </c>
      <c r="P2842" s="49" t="s">
        <v>157</v>
      </c>
      <c r="Q2842" s="96" t="s">
        <v>104</v>
      </c>
      <c r="R2842" s="52">
        <v>19.9</v>
      </c>
      <c r="S2842" s="52">
        <f>R2842-T2842</f>
        <v>17.767857142857142</v>
      </c>
      <c r="T2842" s="52">
        <f>R2842*U2842/(U2842+100)</f>
        <v>2.132142857142857</v>
      </c>
      <c r="U2842" s="50">
        <v>12</v>
      </c>
      <c r="V2842" s="53">
        <v>0</v>
      </c>
      <c r="W2842" s="147">
        <v>1</v>
      </c>
      <c r="X2842" s="148" t="s">
        <v>163</v>
      </c>
      <c r="Y2842" s="54">
        <f>R2842*W2842</f>
        <v>19.9</v>
      </c>
      <c r="Z2842" s="52">
        <f>S2842*W2842</f>
        <v>17.767857142857142</v>
      </c>
      <c r="AA2842" s="52">
        <f>T2842*W2842</f>
        <v>2.132142857142857</v>
      </c>
      <c r="AB2842" s="52">
        <f>V2842*W2842</f>
        <v>0</v>
      </c>
      <c r="AC2842" s="53">
        <f>(R2842+V2842)*W2842</f>
        <v>19.9</v>
      </c>
      <c r="AD2842" s="138">
        <v>19.9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109</v>
      </c>
      <c r="F2843" s="96" t="s">
        <v>111</v>
      </c>
      <c r="G2843" s="97">
        <v>46132</v>
      </c>
      <c r="H2843" s="98">
        <v>0.6911921296296296</v>
      </c>
      <c r="I2843" s="50">
        <v>169002775</v>
      </c>
      <c r="J2843" s="96" t="s">
        <v>157</v>
      </c>
      <c r="K2843" s="49" t="s">
        <v>3752</v>
      </c>
      <c r="L2843" s="39" t="s">
        <v>3753</v>
      </c>
      <c r="M2843" s="49" t="s">
        <v>429</v>
      </c>
      <c r="N2843" s="39" t="s">
        <v>239</v>
      </c>
      <c r="O2843" s="96" t="s">
        <v>3754</v>
      </c>
      <c r="P2843" s="49" t="s">
        <v>157</v>
      </c>
      <c r="Q2843" s="96" t="s">
        <v>104</v>
      </c>
      <c r="R2843" s="52">
        <v>19.9</v>
      </c>
      <c r="S2843" s="52">
        <f>R2843-T2843</f>
        <v>17.767857142857142</v>
      </c>
      <c r="T2843" s="52">
        <f>R2843*U2843/(U2843+100)</f>
        <v>2.132142857142857</v>
      </c>
      <c r="U2843" s="50">
        <v>12</v>
      </c>
      <c r="V2843" s="53">
        <v>0</v>
      </c>
      <c r="W2843" s="147">
        <v>1</v>
      </c>
      <c r="X2843" s="148" t="s">
        <v>163</v>
      </c>
      <c r="Y2843" s="54">
        <f>R2843*W2843</f>
        <v>19.9</v>
      </c>
      <c r="Z2843" s="52">
        <f>S2843*W2843</f>
        <v>17.767857142857142</v>
      </c>
      <c r="AA2843" s="52">
        <f>T2843*W2843</f>
        <v>2.132142857142857</v>
      </c>
      <c r="AB2843" s="52">
        <f>V2843*W2843</f>
        <v>0</v>
      </c>
      <c r="AC2843" s="53">
        <f>(R2843+V2843)*W2843</f>
        <v>19.9</v>
      </c>
      <c r="AD2843" s="138">
        <v>19.9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109</v>
      </c>
      <c r="F2844" s="96" t="s">
        <v>111</v>
      </c>
      <c r="G2844" s="97">
        <v>46132</v>
      </c>
      <c r="H2844" s="98">
        <v>0.6911921296296296</v>
      </c>
      <c r="I2844" s="50">
        <v>169002775</v>
      </c>
      <c r="J2844" s="96" t="s">
        <v>157</v>
      </c>
      <c r="K2844" s="49" t="s">
        <v>1070</v>
      </c>
      <c r="L2844" s="39" t="s">
        <v>1071</v>
      </c>
      <c r="M2844" s="49" t="s">
        <v>429</v>
      </c>
      <c r="N2844" s="39" t="s">
        <v>239</v>
      </c>
      <c r="O2844" s="96" t="s">
        <v>1072</v>
      </c>
      <c r="P2844" s="49" t="s">
        <v>157</v>
      </c>
      <c r="Q2844" s="96" t="s">
        <v>104</v>
      </c>
      <c r="R2844" s="52">
        <v>14.4</v>
      </c>
      <c r="S2844" s="52">
        <f>R2844-T2844</f>
        <v>12.857142857142858</v>
      </c>
      <c r="T2844" s="52">
        <f>R2844*U2844/(U2844+100)</f>
        <v>1.542857142857143</v>
      </c>
      <c r="U2844" s="50">
        <v>12</v>
      </c>
      <c r="V2844" s="53">
        <v>0</v>
      </c>
      <c r="W2844" s="147">
        <v>1</v>
      </c>
      <c r="X2844" s="148" t="s">
        <v>163</v>
      </c>
      <c r="Y2844" s="54">
        <f>R2844*W2844</f>
        <v>14.4</v>
      </c>
      <c r="Z2844" s="52">
        <f>S2844*W2844</f>
        <v>12.857142857142858</v>
      </c>
      <c r="AA2844" s="52">
        <f>T2844*W2844</f>
        <v>1.542857142857143</v>
      </c>
      <c r="AB2844" s="52">
        <f>V2844*W2844</f>
        <v>0</v>
      </c>
      <c r="AC2844" s="53">
        <f>(R2844+V2844)*W2844</f>
        <v>14.4</v>
      </c>
      <c r="AD2844" s="138">
        <v>14.4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109</v>
      </c>
      <c r="F2845" s="96" t="s">
        <v>111</v>
      </c>
      <c r="G2845" s="97">
        <v>46132</v>
      </c>
      <c r="H2845" s="98">
        <v>0.6911921296296296</v>
      </c>
      <c r="I2845" s="50">
        <v>169002775</v>
      </c>
      <c r="J2845" s="96" t="s">
        <v>157</v>
      </c>
      <c r="K2845" s="49" t="s">
        <v>592</v>
      </c>
      <c r="L2845" s="39" t="s">
        <v>593</v>
      </c>
      <c r="M2845" s="49" t="s">
        <v>539</v>
      </c>
      <c r="N2845" s="39" t="s">
        <v>239</v>
      </c>
      <c r="O2845" s="96" t="s">
        <v>3755</v>
      </c>
      <c r="P2845" s="49" t="s">
        <v>157</v>
      </c>
      <c r="Q2845" s="96" t="s">
        <v>104</v>
      </c>
      <c r="R2845" s="52">
        <v>13.4</v>
      </c>
      <c r="S2845" s="52">
        <f>R2845-T2845</f>
        <v>11.964285714285715</v>
      </c>
      <c r="T2845" s="52">
        <f>R2845*U2845/(U2845+100)</f>
        <v>1.4357142857142857</v>
      </c>
      <c r="U2845" s="50">
        <v>12</v>
      </c>
      <c r="V2845" s="53">
        <v>0</v>
      </c>
      <c r="W2845" s="147">
        <v>1</v>
      </c>
      <c r="X2845" s="148" t="s">
        <v>163</v>
      </c>
      <c r="Y2845" s="54">
        <f>R2845*W2845</f>
        <v>13.4</v>
      </c>
      <c r="Z2845" s="52">
        <f>S2845*W2845</f>
        <v>11.964285714285715</v>
      </c>
      <c r="AA2845" s="52">
        <f>T2845*W2845</f>
        <v>1.4357142857142857</v>
      </c>
      <c r="AB2845" s="52">
        <f>V2845*W2845</f>
        <v>0</v>
      </c>
      <c r="AC2845" s="53">
        <f>(R2845+V2845)*W2845</f>
        <v>13.4</v>
      </c>
      <c r="AD2845" s="138">
        <v>13.4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109</v>
      </c>
      <c r="F2846" s="96" t="s">
        <v>111</v>
      </c>
      <c r="G2846" s="97">
        <v>46132</v>
      </c>
      <c r="H2846" s="98">
        <v>0.6911921296296296</v>
      </c>
      <c r="I2846" s="50">
        <v>169002775</v>
      </c>
      <c r="J2846" s="96" t="s">
        <v>157</v>
      </c>
      <c r="K2846" s="49" t="s">
        <v>592</v>
      </c>
      <c r="L2846" s="39" t="s">
        <v>593</v>
      </c>
      <c r="M2846" s="49" t="s">
        <v>539</v>
      </c>
      <c r="N2846" s="39" t="s">
        <v>239</v>
      </c>
      <c r="O2846" s="96" t="s">
        <v>3755</v>
      </c>
      <c r="P2846" s="49" t="s">
        <v>157</v>
      </c>
      <c r="Q2846" s="96" t="s">
        <v>104</v>
      </c>
      <c r="R2846" s="52">
        <v>13.4</v>
      </c>
      <c r="S2846" s="52">
        <f>R2846-T2846</f>
        <v>11.964285714285715</v>
      </c>
      <c r="T2846" s="52">
        <f>R2846*U2846/(U2846+100)</f>
        <v>1.4357142857142857</v>
      </c>
      <c r="U2846" s="50">
        <v>12</v>
      </c>
      <c r="V2846" s="53">
        <v>0</v>
      </c>
      <c r="W2846" s="147">
        <v>1</v>
      </c>
      <c r="X2846" s="148" t="s">
        <v>163</v>
      </c>
      <c r="Y2846" s="54">
        <f>R2846*W2846</f>
        <v>13.4</v>
      </c>
      <c r="Z2846" s="52">
        <f>S2846*W2846</f>
        <v>11.964285714285715</v>
      </c>
      <c r="AA2846" s="52">
        <f>T2846*W2846</f>
        <v>1.4357142857142857</v>
      </c>
      <c r="AB2846" s="52">
        <f>V2846*W2846</f>
        <v>0</v>
      </c>
      <c r="AC2846" s="53">
        <f>(R2846+V2846)*W2846</f>
        <v>13.4</v>
      </c>
      <c r="AD2846" s="138">
        <v>13.4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109</v>
      </c>
      <c r="F2847" s="96" t="s">
        <v>111</v>
      </c>
      <c r="G2847" s="97">
        <v>46132</v>
      </c>
      <c r="H2847" s="98">
        <v>0.6911921296296296</v>
      </c>
      <c r="I2847" s="50">
        <v>169002775</v>
      </c>
      <c r="J2847" s="96" t="s">
        <v>157</v>
      </c>
      <c r="K2847" s="49" t="s">
        <v>3756</v>
      </c>
      <c r="L2847" s="39" t="s">
        <v>3757</v>
      </c>
      <c r="M2847" s="49" t="s">
        <v>160</v>
      </c>
      <c r="N2847" s="39" t="s">
        <v>239</v>
      </c>
      <c r="O2847" s="96" t="s">
        <v>3758</v>
      </c>
      <c r="P2847" s="49" t="s">
        <v>157</v>
      </c>
      <c r="Q2847" s="96" t="s">
        <v>104</v>
      </c>
      <c r="R2847" s="52">
        <v>42.9</v>
      </c>
      <c r="S2847" s="52">
        <f>R2847-T2847</f>
        <v>38.30357142857143</v>
      </c>
      <c r="T2847" s="52">
        <f>R2847*U2847/(U2847+100)</f>
        <v>4.596428571428571</v>
      </c>
      <c r="U2847" s="50">
        <v>12</v>
      </c>
      <c r="V2847" s="53">
        <v>0</v>
      </c>
      <c r="W2847" s="147">
        <v>1</v>
      </c>
      <c r="X2847" s="148" t="s">
        <v>163</v>
      </c>
      <c r="Y2847" s="54">
        <f>R2847*W2847</f>
        <v>42.9</v>
      </c>
      <c r="Z2847" s="52">
        <f>S2847*W2847</f>
        <v>38.30357142857143</v>
      </c>
      <c r="AA2847" s="52">
        <f>T2847*W2847</f>
        <v>4.596428571428571</v>
      </c>
      <c r="AB2847" s="52">
        <f>V2847*W2847</f>
        <v>0</v>
      </c>
      <c r="AC2847" s="53">
        <f>(R2847+V2847)*W2847</f>
        <v>42.9</v>
      </c>
      <c r="AD2847" s="138">
        <v>42.9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109</v>
      </c>
      <c r="F2848" s="96" t="s">
        <v>111</v>
      </c>
      <c r="G2848" s="97">
        <v>46132</v>
      </c>
      <c r="H2848" s="98">
        <v>0.6911921296296296</v>
      </c>
      <c r="I2848" s="50">
        <v>169002775</v>
      </c>
      <c r="J2848" s="96" t="s">
        <v>157</v>
      </c>
      <c r="K2848" s="49" t="s">
        <v>595</v>
      </c>
      <c r="L2848" s="39" t="s">
        <v>596</v>
      </c>
      <c r="M2848" s="49" t="s">
        <v>429</v>
      </c>
      <c r="N2848" s="39" t="s">
        <v>239</v>
      </c>
      <c r="O2848" s="96" t="s">
        <v>597</v>
      </c>
      <c r="P2848" s="49" t="s">
        <v>157</v>
      </c>
      <c r="Q2848" s="96" t="s">
        <v>104</v>
      </c>
      <c r="R2848" s="52">
        <v>19.9</v>
      </c>
      <c r="S2848" s="52">
        <f>R2848-T2848</f>
        <v>17.767857142857142</v>
      </c>
      <c r="T2848" s="52">
        <f>R2848*U2848/(U2848+100)</f>
        <v>2.132142857142857</v>
      </c>
      <c r="U2848" s="50">
        <v>12</v>
      </c>
      <c r="V2848" s="53">
        <v>0</v>
      </c>
      <c r="W2848" s="147">
        <v>1</v>
      </c>
      <c r="X2848" s="148" t="s">
        <v>163</v>
      </c>
      <c r="Y2848" s="54">
        <f>R2848*W2848</f>
        <v>19.9</v>
      </c>
      <c r="Z2848" s="52">
        <f>S2848*W2848</f>
        <v>17.767857142857142</v>
      </c>
      <c r="AA2848" s="52">
        <f>T2848*W2848</f>
        <v>2.132142857142857</v>
      </c>
      <c r="AB2848" s="52">
        <f>V2848*W2848</f>
        <v>0</v>
      </c>
      <c r="AC2848" s="53">
        <f>(R2848+V2848)*W2848</f>
        <v>19.9</v>
      </c>
      <c r="AD2848" s="138">
        <v>19.9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109</v>
      </c>
      <c r="F2849" s="96" t="s">
        <v>111</v>
      </c>
      <c r="G2849" s="97">
        <v>46132</v>
      </c>
      <c r="H2849" s="98">
        <v>0.6911921296296296</v>
      </c>
      <c r="I2849" s="50">
        <v>169002775</v>
      </c>
      <c r="J2849" s="96" t="s">
        <v>157</v>
      </c>
      <c r="K2849" s="49" t="s">
        <v>3759</v>
      </c>
      <c r="L2849" s="39" t="s">
        <v>3760</v>
      </c>
      <c r="M2849" s="49" t="s">
        <v>196</v>
      </c>
      <c r="N2849" s="39" t="s">
        <v>348</v>
      </c>
      <c r="O2849" s="96" t="s">
        <v>3761</v>
      </c>
      <c r="P2849" s="49" t="s">
        <v>157</v>
      </c>
      <c r="Q2849" s="96" t="s">
        <v>104</v>
      </c>
      <c r="R2849" s="52">
        <v>29.9</v>
      </c>
      <c r="S2849" s="52">
        <f>R2849-T2849</f>
        <v>26.69642857142857</v>
      </c>
      <c r="T2849" s="52">
        <f>R2849*U2849/(U2849+100)</f>
        <v>3.2035714285714283</v>
      </c>
      <c r="U2849" s="50">
        <v>12</v>
      </c>
      <c r="V2849" s="53">
        <v>0</v>
      </c>
      <c r="W2849" s="147">
        <v>1</v>
      </c>
      <c r="X2849" s="148" t="s">
        <v>163</v>
      </c>
      <c r="Y2849" s="54">
        <f>R2849*W2849</f>
        <v>29.9</v>
      </c>
      <c r="Z2849" s="52">
        <f>S2849*W2849</f>
        <v>26.69642857142857</v>
      </c>
      <c r="AA2849" s="52">
        <f>T2849*W2849</f>
        <v>3.2035714285714283</v>
      </c>
      <c r="AB2849" s="52">
        <f>V2849*W2849</f>
        <v>0</v>
      </c>
      <c r="AC2849" s="53">
        <f>(R2849+V2849)*W2849</f>
        <v>29.9</v>
      </c>
      <c r="AD2849" s="138">
        <v>29.9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109</v>
      </c>
      <c r="F2850" s="96" t="s">
        <v>111</v>
      </c>
      <c r="G2850" s="97">
        <v>46132</v>
      </c>
      <c r="H2850" s="98">
        <v>0.6911921296296296</v>
      </c>
      <c r="I2850" s="50">
        <v>169002775</v>
      </c>
      <c r="J2850" s="96" t="s">
        <v>157</v>
      </c>
      <c r="K2850" s="49" t="s">
        <v>724</v>
      </c>
      <c r="L2850" s="39" t="s">
        <v>725</v>
      </c>
      <c r="M2850" s="49" t="s">
        <v>214</v>
      </c>
      <c r="N2850" s="39" t="s">
        <v>726</v>
      </c>
      <c r="O2850" s="96" t="s">
        <v>1800</v>
      </c>
      <c r="P2850" s="49" t="s">
        <v>157</v>
      </c>
      <c r="Q2850" s="96" t="s">
        <v>104</v>
      </c>
      <c r="R2850" s="52">
        <v>45.9</v>
      </c>
      <c r="S2850" s="52">
        <f>R2850-T2850</f>
        <v>40.982142857142854</v>
      </c>
      <c r="T2850" s="52">
        <f>R2850*U2850/(U2850+100)</f>
        <v>4.917857142857143</v>
      </c>
      <c r="U2850" s="50">
        <v>12</v>
      </c>
      <c r="V2850" s="53">
        <v>0</v>
      </c>
      <c r="W2850" s="147">
        <v>1</v>
      </c>
      <c r="X2850" s="148" t="s">
        <v>163</v>
      </c>
      <c r="Y2850" s="54">
        <f>R2850*W2850</f>
        <v>45.9</v>
      </c>
      <c r="Z2850" s="52">
        <f>S2850*W2850</f>
        <v>40.982142857142854</v>
      </c>
      <c r="AA2850" s="52">
        <f>T2850*W2850</f>
        <v>4.917857142857143</v>
      </c>
      <c r="AB2850" s="52">
        <f>V2850*W2850</f>
        <v>0</v>
      </c>
      <c r="AC2850" s="53">
        <f>(R2850+V2850)*W2850</f>
        <v>45.9</v>
      </c>
      <c r="AD2850" s="138">
        <v>45.9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109</v>
      </c>
      <c r="F2851" s="96" t="s">
        <v>111</v>
      </c>
      <c r="G2851" s="97">
        <v>46132</v>
      </c>
      <c r="H2851" s="98">
        <v>0.6916435185185185</v>
      </c>
      <c r="I2851" s="50">
        <v>169002776</v>
      </c>
      <c r="J2851" s="96" t="s">
        <v>157</v>
      </c>
      <c r="K2851" s="49" t="s">
        <v>795</v>
      </c>
      <c r="L2851" s="39" t="s">
        <v>796</v>
      </c>
      <c r="M2851" s="49" t="s">
        <v>425</v>
      </c>
      <c r="N2851" s="39" t="s">
        <v>197</v>
      </c>
      <c r="O2851" s="96" t="s">
        <v>1558</v>
      </c>
      <c r="P2851" s="49" t="s">
        <v>235</v>
      </c>
      <c r="Q2851" s="96" t="s">
        <v>236</v>
      </c>
      <c r="R2851" s="52">
        <v>5.9</v>
      </c>
      <c r="S2851" s="52">
        <f>R2851-T2851</f>
        <v>5.267857142857143</v>
      </c>
      <c r="T2851" s="52">
        <f>R2851*U2851/(U2851+100)</f>
        <v>0.6321428571428572</v>
      </c>
      <c r="U2851" s="50">
        <v>12</v>
      </c>
      <c r="V2851" s="53">
        <v>0</v>
      </c>
      <c r="W2851" s="147">
        <v>1</v>
      </c>
      <c r="X2851" s="148" t="s">
        <v>163</v>
      </c>
      <c r="Y2851" s="54">
        <f>R2851*W2851</f>
        <v>5.9</v>
      </c>
      <c r="Z2851" s="52">
        <f>S2851*W2851</f>
        <v>5.267857142857143</v>
      </c>
      <c r="AA2851" s="52">
        <f>T2851*W2851</f>
        <v>0.6321428571428572</v>
      </c>
      <c r="AB2851" s="52">
        <f>V2851*W2851</f>
        <v>0</v>
      </c>
      <c r="AC2851" s="53">
        <f>(R2851+V2851)*W2851</f>
        <v>5.9</v>
      </c>
      <c r="AD2851" s="138">
        <v>5.9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109</v>
      </c>
      <c r="F2852" s="96" t="s">
        <v>111</v>
      </c>
      <c r="G2852" s="97">
        <v>46132</v>
      </c>
      <c r="H2852" s="98">
        <v>0.6916435185185185</v>
      </c>
      <c r="I2852" s="50">
        <v>169002776</v>
      </c>
      <c r="J2852" s="96" t="s">
        <v>157</v>
      </c>
      <c r="K2852" s="49" t="s">
        <v>1968</v>
      </c>
      <c r="L2852" s="39" t="s">
        <v>1969</v>
      </c>
      <c r="M2852" s="49" t="s">
        <v>425</v>
      </c>
      <c r="N2852" s="39" t="s">
        <v>197</v>
      </c>
      <c r="O2852" s="96" t="s">
        <v>1970</v>
      </c>
      <c r="P2852" s="49" t="s">
        <v>235</v>
      </c>
      <c r="Q2852" s="96" t="s">
        <v>236</v>
      </c>
      <c r="R2852" s="52">
        <v>5.9</v>
      </c>
      <c r="S2852" s="52">
        <f>R2852-T2852</f>
        <v>5.267857142857143</v>
      </c>
      <c r="T2852" s="52">
        <f>R2852*U2852/(U2852+100)</f>
        <v>0.6321428571428572</v>
      </c>
      <c r="U2852" s="50">
        <v>12</v>
      </c>
      <c r="V2852" s="53">
        <v>0</v>
      </c>
      <c r="W2852" s="147">
        <v>1</v>
      </c>
      <c r="X2852" s="148" t="s">
        <v>163</v>
      </c>
      <c r="Y2852" s="54">
        <f>R2852*W2852</f>
        <v>5.9</v>
      </c>
      <c r="Z2852" s="52">
        <f>S2852*W2852</f>
        <v>5.267857142857143</v>
      </c>
      <c r="AA2852" s="52">
        <f>T2852*W2852</f>
        <v>0.6321428571428572</v>
      </c>
      <c r="AB2852" s="52">
        <f>V2852*W2852</f>
        <v>0</v>
      </c>
      <c r="AC2852" s="53">
        <f>(R2852+V2852)*W2852</f>
        <v>5.9</v>
      </c>
      <c r="AD2852" s="138">
        <v>5.9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109</v>
      </c>
      <c r="F2853" s="96" t="s">
        <v>111</v>
      </c>
      <c r="G2853" s="97">
        <v>46132</v>
      </c>
      <c r="H2853" s="98">
        <v>0.6916435185185185</v>
      </c>
      <c r="I2853" s="50">
        <v>169002776</v>
      </c>
      <c r="J2853" s="96" t="s">
        <v>157</v>
      </c>
      <c r="K2853" s="49" t="s">
        <v>1968</v>
      </c>
      <c r="L2853" s="39" t="s">
        <v>1969</v>
      </c>
      <c r="M2853" s="49" t="s">
        <v>425</v>
      </c>
      <c r="N2853" s="39" t="s">
        <v>197</v>
      </c>
      <c r="O2853" s="96" t="s">
        <v>1970</v>
      </c>
      <c r="P2853" s="49" t="s">
        <v>235</v>
      </c>
      <c r="Q2853" s="96" t="s">
        <v>236</v>
      </c>
      <c r="R2853" s="52">
        <v>5.9</v>
      </c>
      <c r="S2853" s="52">
        <f>R2853-T2853</f>
        <v>5.267857142857143</v>
      </c>
      <c r="T2853" s="52">
        <f>R2853*U2853/(U2853+100)</f>
        <v>0.6321428571428572</v>
      </c>
      <c r="U2853" s="50">
        <v>12</v>
      </c>
      <c r="V2853" s="53">
        <v>0</v>
      </c>
      <c r="W2853" s="147">
        <v>1</v>
      </c>
      <c r="X2853" s="148" t="s">
        <v>163</v>
      </c>
      <c r="Y2853" s="54">
        <f>R2853*W2853</f>
        <v>5.9</v>
      </c>
      <c r="Z2853" s="52">
        <f>S2853*W2853</f>
        <v>5.267857142857143</v>
      </c>
      <c r="AA2853" s="52">
        <f>T2853*W2853</f>
        <v>0.6321428571428572</v>
      </c>
      <c r="AB2853" s="52">
        <f>V2853*W2853</f>
        <v>0</v>
      </c>
      <c r="AC2853" s="53">
        <f>(R2853+V2853)*W2853</f>
        <v>5.9</v>
      </c>
      <c r="AD2853" s="138">
        <v>5.9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109</v>
      </c>
      <c r="F2854" s="96" t="s">
        <v>111</v>
      </c>
      <c r="G2854" s="97">
        <v>46132</v>
      </c>
      <c r="H2854" s="98">
        <v>0.6916435185185185</v>
      </c>
      <c r="I2854" s="50">
        <v>169002776</v>
      </c>
      <c r="J2854" s="96" t="s">
        <v>157</v>
      </c>
      <c r="K2854" s="49" t="s">
        <v>431</v>
      </c>
      <c r="L2854" s="39" t="s">
        <v>432</v>
      </c>
      <c r="M2854" s="49" t="s">
        <v>268</v>
      </c>
      <c r="N2854" s="39" t="s">
        <v>433</v>
      </c>
      <c r="O2854" s="96" t="s">
        <v>1967</v>
      </c>
      <c r="P2854" s="49" t="s">
        <v>157</v>
      </c>
      <c r="Q2854" s="96" t="s">
        <v>104</v>
      </c>
      <c r="R2854" s="52">
        <v>37.9</v>
      </c>
      <c r="S2854" s="52">
        <f>R2854-T2854</f>
        <v>33.839285714285715</v>
      </c>
      <c r="T2854" s="52">
        <f>R2854*U2854/(U2854+100)</f>
        <v>4.060714285714285</v>
      </c>
      <c r="U2854" s="50">
        <v>12</v>
      </c>
      <c r="V2854" s="53">
        <v>0</v>
      </c>
      <c r="W2854" s="147">
        <v>1</v>
      </c>
      <c r="X2854" s="148" t="s">
        <v>163</v>
      </c>
      <c r="Y2854" s="54">
        <f>R2854*W2854</f>
        <v>37.9</v>
      </c>
      <c r="Z2854" s="52">
        <f>S2854*W2854</f>
        <v>33.839285714285715</v>
      </c>
      <c r="AA2854" s="52">
        <f>T2854*W2854</f>
        <v>4.060714285714285</v>
      </c>
      <c r="AB2854" s="52">
        <f>V2854*W2854</f>
        <v>0</v>
      </c>
      <c r="AC2854" s="53">
        <f>(R2854+V2854)*W2854</f>
        <v>37.9</v>
      </c>
      <c r="AD2854" s="138">
        <v>37.9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109</v>
      </c>
      <c r="F2855" s="96" t="s">
        <v>111</v>
      </c>
      <c r="G2855" s="97">
        <v>46132</v>
      </c>
      <c r="H2855" s="98">
        <v>0.6930439814814815</v>
      </c>
      <c r="I2855" s="50">
        <v>169002777</v>
      </c>
      <c r="J2855" s="96" t="s">
        <v>157</v>
      </c>
      <c r="K2855" s="49" t="s">
        <v>3083</v>
      </c>
      <c r="L2855" s="39" t="s">
        <v>3084</v>
      </c>
      <c r="M2855" s="49" t="s">
        <v>830</v>
      </c>
      <c r="N2855" s="39" t="s">
        <v>264</v>
      </c>
      <c r="O2855" s="96" t="s">
        <v>3085</v>
      </c>
      <c r="P2855" s="49" t="s">
        <v>157</v>
      </c>
      <c r="Q2855" s="96" t="s">
        <v>104</v>
      </c>
      <c r="R2855" s="52">
        <v>49.9</v>
      </c>
      <c r="S2855" s="52">
        <f>R2855-T2855</f>
        <v>44.55357142857143</v>
      </c>
      <c r="T2855" s="52">
        <f>R2855*U2855/(U2855+100)</f>
        <v>5.346428571428571</v>
      </c>
      <c r="U2855" s="50">
        <v>12</v>
      </c>
      <c r="V2855" s="53">
        <v>0</v>
      </c>
      <c r="W2855" s="147">
        <v>1</v>
      </c>
      <c r="X2855" s="148" t="s">
        <v>163</v>
      </c>
      <c r="Y2855" s="54">
        <f>R2855*W2855</f>
        <v>49.9</v>
      </c>
      <c r="Z2855" s="52">
        <f>S2855*W2855</f>
        <v>44.55357142857143</v>
      </c>
      <c r="AA2855" s="52">
        <f>T2855*W2855</f>
        <v>5.346428571428571</v>
      </c>
      <c r="AB2855" s="52">
        <f>V2855*W2855</f>
        <v>0</v>
      </c>
      <c r="AC2855" s="53">
        <f>(R2855+V2855)*W2855</f>
        <v>49.9</v>
      </c>
      <c r="AD2855" s="138">
        <v>49.9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109</v>
      </c>
      <c r="F2856" s="96" t="s">
        <v>111</v>
      </c>
      <c r="G2856" s="97">
        <v>46132</v>
      </c>
      <c r="H2856" s="98">
        <v>0.6930439814814815</v>
      </c>
      <c r="I2856" s="50">
        <v>169002777</v>
      </c>
      <c r="J2856" s="96" t="s">
        <v>157</v>
      </c>
      <c r="K2856" s="49" t="s">
        <v>3762</v>
      </c>
      <c r="L2856" s="39" t="s">
        <v>3763</v>
      </c>
      <c r="M2856" s="49" t="s">
        <v>823</v>
      </c>
      <c r="N2856" s="39" t="s">
        <v>609</v>
      </c>
      <c r="O2856" s="96" t="s">
        <v>3764</v>
      </c>
      <c r="P2856" s="49" t="s">
        <v>157</v>
      </c>
      <c r="Q2856" s="96" t="s">
        <v>104</v>
      </c>
      <c r="R2856" s="52">
        <v>17.9</v>
      </c>
      <c r="S2856" s="52">
        <f>R2856-T2856</f>
        <v>15.982142857142856</v>
      </c>
      <c r="T2856" s="52">
        <f>R2856*U2856/(U2856+100)</f>
        <v>1.9178571428571427</v>
      </c>
      <c r="U2856" s="50">
        <v>12</v>
      </c>
      <c r="V2856" s="53">
        <v>0</v>
      </c>
      <c r="W2856" s="147">
        <v>2</v>
      </c>
      <c r="X2856" s="148" t="s">
        <v>163</v>
      </c>
      <c r="Y2856" s="54">
        <f>R2856*W2856</f>
        <v>35.8</v>
      </c>
      <c r="Z2856" s="52">
        <f>S2856*W2856</f>
        <v>31.96428571428571</v>
      </c>
      <c r="AA2856" s="52">
        <f>T2856*W2856</f>
        <v>3.8357142857142854</v>
      </c>
      <c r="AB2856" s="52">
        <f>V2856*W2856</f>
        <v>0</v>
      </c>
      <c r="AC2856" s="53">
        <f>(R2856+V2856)*W2856</f>
        <v>35.8</v>
      </c>
      <c r="AD2856" s="138">
        <v>17.9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109</v>
      </c>
      <c r="F2857" s="96" t="s">
        <v>111</v>
      </c>
      <c r="G2857" s="97">
        <v>46132</v>
      </c>
      <c r="H2857" s="98">
        <v>0.6930439814814815</v>
      </c>
      <c r="I2857" s="50">
        <v>169002777</v>
      </c>
      <c r="J2857" s="96" t="s">
        <v>157</v>
      </c>
      <c r="K2857" s="49" t="s">
        <v>3765</v>
      </c>
      <c r="L2857" s="39" t="s">
        <v>3766</v>
      </c>
      <c r="M2857" s="49" t="s">
        <v>823</v>
      </c>
      <c r="N2857" s="39" t="s">
        <v>609</v>
      </c>
      <c r="O2857" s="96" t="s">
        <v>3767</v>
      </c>
      <c r="P2857" s="49" t="s">
        <v>157</v>
      </c>
      <c r="Q2857" s="96" t="s">
        <v>104</v>
      </c>
      <c r="R2857" s="52">
        <v>17.9</v>
      </c>
      <c r="S2857" s="52">
        <f>R2857-T2857</f>
        <v>15.982142857142856</v>
      </c>
      <c r="T2857" s="52">
        <f>R2857*U2857/(U2857+100)</f>
        <v>1.9178571428571427</v>
      </c>
      <c r="U2857" s="50">
        <v>12</v>
      </c>
      <c r="V2857" s="53">
        <v>0</v>
      </c>
      <c r="W2857" s="147">
        <v>1</v>
      </c>
      <c r="X2857" s="148" t="s">
        <v>163</v>
      </c>
      <c r="Y2857" s="54">
        <f>R2857*W2857</f>
        <v>17.9</v>
      </c>
      <c r="Z2857" s="52">
        <f>S2857*W2857</f>
        <v>15.982142857142856</v>
      </c>
      <c r="AA2857" s="52">
        <f>T2857*W2857</f>
        <v>1.9178571428571427</v>
      </c>
      <c r="AB2857" s="52">
        <f>V2857*W2857</f>
        <v>0</v>
      </c>
      <c r="AC2857" s="53">
        <f>(R2857+V2857)*W2857</f>
        <v>17.9</v>
      </c>
      <c r="AD2857" s="138">
        <v>17.9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109</v>
      </c>
      <c r="F2858" s="96" t="s">
        <v>111</v>
      </c>
      <c r="G2858" s="97">
        <v>46132</v>
      </c>
      <c r="H2858" s="98">
        <v>0.6930439814814815</v>
      </c>
      <c r="I2858" s="50">
        <v>169002777</v>
      </c>
      <c r="J2858" s="96" t="s">
        <v>157</v>
      </c>
      <c r="K2858" s="49" t="s">
        <v>3765</v>
      </c>
      <c r="L2858" s="39" t="s">
        <v>3766</v>
      </c>
      <c r="M2858" s="49" t="s">
        <v>823</v>
      </c>
      <c r="N2858" s="39" t="s">
        <v>609</v>
      </c>
      <c r="O2858" s="96" t="s">
        <v>3767</v>
      </c>
      <c r="P2858" s="49" t="s">
        <v>157</v>
      </c>
      <c r="Q2858" s="96" t="s">
        <v>104</v>
      </c>
      <c r="R2858" s="52">
        <v>17.9</v>
      </c>
      <c r="S2858" s="52">
        <f>R2858-T2858</f>
        <v>15.982142857142856</v>
      </c>
      <c r="T2858" s="52">
        <f>R2858*U2858/(U2858+100)</f>
        <v>1.9178571428571427</v>
      </c>
      <c r="U2858" s="50">
        <v>12</v>
      </c>
      <c r="V2858" s="53">
        <v>0</v>
      </c>
      <c r="W2858" s="147">
        <v>1</v>
      </c>
      <c r="X2858" s="148" t="s">
        <v>163</v>
      </c>
      <c r="Y2858" s="54">
        <f>R2858*W2858</f>
        <v>17.9</v>
      </c>
      <c r="Z2858" s="52">
        <f>S2858*W2858</f>
        <v>15.982142857142856</v>
      </c>
      <c r="AA2858" s="52">
        <f>T2858*W2858</f>
        <v>1.9178571428571427</v>
      </c>
      <c r="AB2858" s="52">
        <f>V2858*W2858</f>
        <v>0</v>
      </c>
      <c r="AC2858" s="53">
        <f>(R2858+V2858)*W2858</f>
        <v>17.9</v>
      </c>
      <c r="AD2858" s="138">
        <v>17.9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109</v>
      </c>
      <c r="F2859" s="96" t="s">
        <v>111</v>
      </c>
      <c r="G2859" s="97">
        <v>46132</v>
      </c>
      <c r="H2859" s="98">
        <v>0.6930439814814815</v>
      </c>
      <c r="I2859" s="50">
        <v>169002777</v>
      </c>
      <c r="J2859" s="96" t="s">
        <v>157</v>
      </c>
      <c r="K2859" s="49" t="s">
        <v>992</v>
      </c>
      <c r="L2859" s="39" t="s">
        <v>993</v>
      </c>
      <c r="M2859" s="49" t="s">
        <v>214</v>
      </c>
      <c r="N2859" s="39" t="s">
        <v>501</v>
      </c>
      <c r="O2859" s="96" t="s">
        <v>994</v>
      </c>
      <c r="P2859" s="49" t="s">
        <v>157</v>
      </c>
      <c r="Q2859" s="96" t="s">
        <v>104</v>
      </c>
      <c r="R2859" s="52">
        <v>6.9</v>
      </c>
      <c r="S2859" s="52">
        <f>R2859-T2859</f>
        <v>6.160714285714286</v>
      </c>
      <c r="T2859" s="52">
        <f>R2859*U2859/(U2859+100)</f>
        <v>0.7392857142857144</v>
      </c>
      <c r="U2859" s="50">
        <v>12</v>
      </c>
      <c r="V2859" s="53">
        <v>0</v>
      </c>
      <c r="W2859" s="147">
        <v>6</v>
      </c>
      <c r="X2859" s="148" t="s">
        <v>163</v>
      </c>
      <c r="Y2859" s="54">
        <f>R2859*W2859</f>
        <v>41.400000000000006</v>
      </c>
      <c r="Z2859" s="52">
        <f>S2859*W2859</f>
        <v>36.964285714285715</v>
      </c>
      <c r="AA2859" s="52">
        <f>T2859*W2859</f>
        <v>4.435714285714287</v>
      </c>
      <c r="AB2859" s="52">
        <f>V2859*W2859</f>
        <v>0</v>
      </c>
      <c r="AC2859" s="53">
        <f>(R2859+V2859)*W2859</f>
        <v>41.400000000000006</v>
      </c>
      <c r="AD2859" s="138">
        <v>6.9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109</v>
      </c>
      <c r="F2860" s="96" t="s">
        <v>111</v>
      </c>
      <c r="G2860" s="97">
        <v>46132</v>
      </c>
      <c r="H2860" s="98">
        <v>0.6934953703703703</v>
      </c>
      <c r="I2860" s="50">
        <v>169002778</v>
      </c>
      <c r="J2860" s="96" t="s">
        <v>157</v>
      </c>
      <c r="K2860" s="49" t="s">
        <v>3055</v>
      </c>
      <c r="L2860" s="39" t="s">
        <v>3056</v>
      </c>
      <c r="M2860" s="49" t="s">
        <v>185</v>
      </c>
      <c r="N2860" s="39" t="s">
        <v>264</v>
      </c>
      <c r="O2860" s="96" t="s">
        <v>3057</v>
      </c>
      <c r="P2860" s="49" t="s">
        <v>157</v>
      </c>
      <c r="Q2860" s="96" t="s">
        <v>104</v>
      </c>
      <c r="R2860" s="52">
        <v>42.9</v>
      </c>
      <c r="S2860" s="52">
        <f>R2860-T2860</f>
        <v>38.30357142857143</v>
      </c>
      <c r="T2860" s="52">
        <f>R2860*U2860/(U2860+100)</f>
        <v>4.596428571428571</v>
      </c>
      <c r="U2860" s="50">
        <v>12</v>
      </c>
      <c r="V2860" s="53">
        <v>0</v>
      </c>
      <c r="W2860" s="147">
        <v>1</v>
      </c>
      <c r="X2860" s="148" t="s">
        <v>163</v>
      </c>
      <c r="Y2860" s="54">
        <f>R2860*W2860</f>
        <v>42.9</v>
      </c>
      <c r="Z2860" s="52">
        <f>S2860*W2860</f>
        <v>38.30357142857143</v>
      </c>
      <c r="AA2860" s="52">
        <f>T2860*W2860</f>
        <v>4.596428571428571</v>
      </c>
      <c r="AB2860" s="52">
        <f>V2860*W2860</f>
        <v>0</v>
      </c>
      <c r="AC2860" s="53">
        <f>(R2860+V2860)*W2860</f>
        <v>42.9</v>
      </c>
      <c r="AD2860" s="138">
        <v>42.9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109</v>
      </c>
      <c r="F2861" s="96" t="s">
        <v>111</v>
      </c>
      <c r="G2861" s="97">
        <v>46132</v>
      </c>
      <c r="H2861" s="98">
        <v>0.6934953703703703</v>
      </c>
      <c r="I2861" s="50">
        <v>169002778</v>
      </c>
      <c r="J2861" s="96" t="s">
        <v>157</v>
      </c>
      <c r="K2861" s="49" t="s">
        <v>1747</v>
      </c>
      <c r="L2861" s="39" t="s">
        <v>1748</v>
      </c>
      <c r="M2861" s="49" t="s">
        <v>300</v>
      </c>
      <c r="N2861" s="39" t="s">
        <v>1485</v>
      </c>
      <c r="O2861" s="96" t="s">
        <v>1749</v>
      </c>
      <c r="P2861" s="49" t="s">
        <v>157</v>
      </c>
      <c r="Q2861" s="96" t="s">
        <v>104</v>
      </c>
      <c r="R2861" s="52">
        <v>34.9</v>
      </c>
      <c r="S2861" s="52">
        <f>R2861-T2861</f>
        <v>31.160714285714285</v>
      </c>
      <c r="T2861" s="52">
        <f>R2861*U2861/(U2861+100)</f>
        <v>3.739285714285714</v>
      </c>
      <c r="U2861" s="50">
        <v>12</v>
      </c>
      <c r="V2861" s="53">
        <v>0</v>
      </c>
      <c r="W2861" s="147">
        <v>1</v>
      </c>
      <c r="X2861" s="148" t="s">
        <v>163</v>
      </c>
      <c r="Y2861" s="54">
        <f>R2861*W2861</f>
        <v>34.9</v>
      </c>
      <c r="Z2861" s="52">
        <f>S2861*W2861</f>
        <v>31.160714285714285</v>
      </c>
      <c r="AA2861" s="52">
        <f>T2861*W2861</f>
        <v>3.739285714285714</v>
      </c>
      <c r="AB2861" s="52">
        <f>V2861*W2861</f>
        <v>0</v>
      </c>
      <c r="AC2861" s="53">
        <f>(R2861+V2861)*W2861</f>
        <v>34.9</v>
      </c>
      <c r="AD2861" s="138">
        <v>34.9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109</v>
      </c>
      <c r="F2862" s="96" t="s">
        <v>111</v>
      </c>
      <c r="G2862" s="97">
        <v>46132</v>
      </c>
      <c r="H2862" s="98">
        <v>0.6934953703703703</v>
      </c>
      <c r="I2862" s="50">
        <v>169002778</v>
      </c>
      <c r="J2862" s="96" t="s">
        <v>157</v>
      </c>
      <c r="K2862" s="49" t="s">
        <v>530</v>
      </c>
      <c r="L2862" s="39" t="s">
        <v>531</v>
      </c>
      <c r="M2862" s="49" t="s">
        <v>190</v>
      </c>
      <c r="N2862" s="39" t="s">
        <v>532</v>
      </c>
      <c r="O2862" s="96" t="s">
        <v>533</v>
      </c>
      <c r="P2862" s="49" t="s">
        <v>157</v>
      </c>
      <c r="Q2862" s="96" t="s">
        <v>104</v>
      </c>
      <c r="R2862" s="52">
        <v>25.9</v>
      </c>
      <c r="S2862" s="52">
        <f>R2862-T2862</f>
        <v>23.125</v>
      </c>
      <c r="T2862" s="52">
        <f>R2862*U2862/(U2862+100)</f>
        <v>2.7749999999999995</v>
      </c>
      <c r="U2862" s="50">
        <v>12</v>
      </c>
      <c r="V2862" s="53">
        <v>0</v>
      </c>
      <c r="W2862" s="147">
        <v>0.332</v>
      </c>
      <c r="X2862" s="148" t="s">
        <v>193</v>
      </c>
      <c r="Y2862" s="54">
        <f>R2862*W2862</f>
        <v>8.5988</v>
      </c>
      <c r="Z2862" s="52">
        <f>S2862*W2862</f>
        <v>7.6775</v>
      </c>
      <c r="AA2862" s="52">
        <f>T2862*W2862</f>
        <v>0.9212999999999999</v>
      </c>
      <c r="AB2862" s="52">
        <f>V2862*W2862</f>
        <v>0</v>
      </c>
      <c r="AC2862" s="53">
        <f>(R2862+V2862)*W2862</f>
        <v>8.5988</v>
      </c>
      <c r="AD2862" s="138">
        <v>25.9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109</v>
      </c>
      <c r="F2863" s="96" t="s">
        <v>111</v>
      </c>
      <c r="G2863" s="97">
        <v>46132</v>
      </c>
      <c r="H2863" s="98">
        <v>0.6941319444444445</v>
      </c>
      <c r="I2863" s="50">
        <v>169002779</v>
      </c>
      <c r="J2863" s="96" t="s">
        <v>157</v>
      </c>
      <c r="K2863" s="49" t="s">
        <v>2982</v>
      </c>
      <c r="L2863" s="39" t="s">
        <v>2983</v>
      </c>
      <c r="M2863" s="49" t="s">
        <v>2847</v>
      </c>
      <c r="N2863" s="39" t="s">
        <v>228</v>
      </c>
      <c r="O2863" s="96" t="s">
        <v>2984</v>
      </c>
      <c r="P2863" s="49" t="s">
        <v>157</v>
      </c>
      <c r="Q2863" s="96" t="s">
        <v>104</v>
      </c>
      <c r="R2863" s="52">
        <v>37.9</v>
      </c>
      <c r="S2863" s="52">
        <f>R2863-T2863</f>
        <v>33.839285714285715</v>
      </c>
      <c r="T2863" s="52">
        <f>R2863*U2863/(U2863+100)</f>
        <v>4.060714285714285</v>
      </c>
      <c r="U2863" s="50">
        <v>12</v>
      </c>
      <c r="V2863" s="53">
        <v>0</v>
      </c>
      <c r="W2863" s="147">
        <v>1</v>
      </c>
      <c r="X2863" s="148" t="s">
        <v>163</v>
      </c>
      <c r="Y2863" s="54">
        <f>R2863*W2863</f>
        <v>37.9</v>
      </c>
      <c r="Z2863" s="52">
        <f>S2863*W2863</f>
        <v>33.839285714285715</v>
      </c>
      <c r="AA2863" s="52">
        <f>T2863*W2863</f>
        <v>4.060714285714285</v>
      </c>
      <c r="AB2863" s="52">
        <f>V2863*W2863</f>
        <v>0</v>
      </c>
      <c r="AC2863" s="53">
        <f>(R2863+V2863)*W2863</f>
        <v>37.9</v>
      </c>
      <c r="AD2863" s="138">
        <v>37.9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109</v>
      </c>
      <c r="F2864" s="96" t="s">
        <v>111</v>
      </c>
      <c r="G2864" s="97">
        <v>46132</v>
      </c>
      <c r="H2864" s="98">
        <v>0.6941319444444445</v>
      </c>
      <c r="I2864" s="50">
        <v>169002779</v>
      </c>
      <c r="J2864" s="96" t="s">
        <v>157</v>
      </c>
      <c r="K2864" s="49" t="s">
        <v>3180</v>
      </c>
      <c r="L2864" s="39" t="s">
        <v>3181</v>
      </c>
      <c r="M2864" s="49" t="s">
        <v>209</v>
      </c>
      <c r="N2864" s="39" t="s">
        <v>319</v>
      </c>
      <c r="O2864" s="96" t="s">
        <v>3182</v>
      </c>
      <c r="P2864" s="49" t="s">
        <v>157</v>
      </c>
      <c r="Q2864" s="96" t="s">
        <v>104</v>
      </c>
      <c r="R2864" s="52">
        <v>32.9</v>
      </c>
      <c r="S2864" s="52">
        <f>R2864-T2864</f>
        <v>29.375</v>
      </c>
      <c r="T2864" s="52">
        <f>R2864*U2864/(U2864+100)</f>
        <v>3.5249999999999995</v>
      </c>
      <c r="U2864" s="50">
        <v>12</v>
      </c>
      <c r="V2864" s="53">
        <v>0</v>
      </c>
      <c r="W2864" s="147">
        <v>1</v>
      </c>
      <c r="X2864" s="148" t="s">
        <v>163</v>
      </c>
      <c r="Y2864" s="54">
        <f>R2864*W2864</f>
        <v>32.9</v>
      </c>
      <c r="Z2864" s="52">
        <f>S2864*W2864</f>
        <v>29.375</v>
      </c>
      <c r="AA2864" s="52">
        <f>T2864*W2864</f>
        <v>3.5249999999999995</v>
      </c>
      <c r="AB2864" s="52">
        <f>V2864*W2864</f>
        <v>0</v>
      </c>
      <c r="AC2864" s="53">
        <f>(R2864+V2864)*W2864</f>
        <v>32.9</v>
      </c>
      <c r="AD2864" s="138">
        <v>32.9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109</v>
      </c>
      <c r="F2865" s="96" t="s">
        <v>111</v>
      </c>
      <c r="G2865" s="97">
        <v>46132</v>
      </c>
      <c r="H2865" s="98">
        <v>0.6941319444444445</v>
      </c>
      <c r="I2865" s="50">
        <v>169002779</v>
      </c>
      <c r="J2865" s="96" t="s">
        <v>157</v>
      </c>
      <c r="K2865" s="49" t="s">
        <v>2781</v>
      </c>
      <c r="L2865" s="39" t="s">
        <v>2782</v>
      </c>
      <c r="M2865" s="49" t="s">
        <v>2783</v>
      </c>
      <c r="N2865" s="39" t="s">
        <v>167</v>
      </c>
      <c r="O2865" s="96" t="s">
        <v>2784</v>
      </c>
      <c r="P2865" s="49" t="s">
        <v>157</v>
      </c>
      <c r="Q2865" s="96" t="s">
        <v>104</v>
      </c>
      <c r="R2865" s="52">
        <v>37.9</v>
      </c>
      <c r="S2865" s="52">
        <f>R2865-T2865</f>
        <v>31.322314049586776</v>
      </c>
      <c r="T2865" s="52">
        <f>R2865*U2865/(U2865+100)</f>
        <v>6.577685950413223</v>
      </c>
      <c r="U2865" s="50">
        <v>21</v>
      </c>
      <c r="V2865" s="53">
        <v>0</v>
      </c>
      <c r="W2865" s="147">
        <v>1</v>
      </c>
      <c r="X2865" s="148" t="s">
        <v>163</v>
      </c>
      <c r="Y2865" s="54">
        <f>R2865*W2865</f>
        <v>37.9</v>
      </c>
      <c r="Z2865" s="52">
        <f>S2865*W2865</f>
        <v>31.322314049586776</v>
      </c>
      <c r="AA2865" s="52">
        <f>T2865*W2865</f>
        <v>6.577685950413223</v>
      </c>
      <c r="AB2865" s="52">
        <f>V2865*W2865</f>
        <v>0</v>
      </c>
      <c r="AC2865" s="53">
        <f>(R2865+V2865)*W2865</f>
        <v>37.9</v>
      </c>
      <c r="AD2865" s="138">
        <v>37.9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109</v>
      </c>
      <c r="F2866" s="96" t="s">
        <v>111</v>
      </c>
      <c r="G2866" s="97">
        <v>46132</v>
      </c>
      <c r="H2866" s="98">
        <v>0.6941319444444445</v>
      </c>
      <c r="I2866" s="50">
        <v>169002779</v>
      </c>
      <c r="J2866" s="96" t="s">
        <v>157</v>
      </c>
      <c r="K2866" s="49" t="s">
        <v>3768</v>
      </c>
      <c r="L2866" s="39" t="s">
        <v>3769</v>
      </c>
      <c r="M2866" s="49" t="s">
        <v>190</v>
      </c>
      <c r="N2866" s="39" t="s">
        <v>191</v>
      </c>
      <c r="O2866" s="96" t="s">
        <v>3770</v>
      </c>
      <c r="P2866" s="49" t="s">
        <v>157</v>
      </c>
      <c r="Q2866" s="96" t="s">
        <v>104</v>
      </c>
      <c r="R2866" s="52">
        <v>13.9</v>
      </c>
      <c r="S2866" s="52">
        <f>R2866-T2866</f>
        <v>12.410714285714286</v>
      </c>
      <c r="T2866" s="52">
        <f>R2866*U2866/(U2866+100)</f>
        <v>1.4892857142857143</v>
      </c>
      <c r="U2866" s="50">
        <v>12</v>
      </c>
      <c r="V2866" s="53">
        <v>0</v>
      </c>
      <c r="W2866" s="147">
        <v>2.802</v>
      </c>
      <c r="X2866" s="148" t="s">
        <v>193</v>
      </c>
      <c r="Y2866" s="54">
        <f>R2866*W2866</f>
        <v>38.9478</v>
      </c>
      <c r="Z2866" s="52">
        <f>S2866*W2866</f>
        <v>34.77482142857143</v>
      </c>
      <c r="AA2866" s="52">
        <f>T2866*W2866</f>
        <v>4.172978571428572</v>
      </c>
      <c r="AB2866" s="52">
        <f>V2866*W2866</f>
        <v>0</v>
      </c>
      <c r="AC2866" s="53">
        <f>(R2866+V2866)*W2866</f>
        <v>38.9478</v>
      </c>
      <c r="AD2866" s="138">
        <v>13.9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109</v>
      </c>
      <c r="F2867" s="96" t="s">
        <v>111</v>
      </c>
      <c r="G2867" s="97">
        <v>46132</v>
      </c>
      <c r="H2867" s="98">
        <v>0.6949768518518519</v>
      </c>
      <c r="I2867" s="50">
        <v>169002780</v>
      </c>
      <c r="J2867" s="96" t="s">
        <v>157</v>
      </c>
      <c r="K2867" s="49" t="s">
        <v>2262</v>
      </c>
      <c r="L2867" s="39" t="s">
        <v>2263</v>
      </c>
      <c r="M2867" s="49" t="s">
        <v>277</v>
      </c>
      <c r="N2867" s="39" t="s">
        <v>838</v>
      </c>
      <c r="O2867" s="96" t="s">
        <v>2264</v>
      </c>
      <c r="P2867" s="49" t="s">
        <v>157</v>
      </c>
      <c r="Q2867" s="96" t="s">
        <v>104</v>
      </c>
      <c r="R2867" s="52">
        <v>99.9</v>
      </c>
      <c r="S2867" s="52">
        <f>R2867-T2867</f>
        <v>89.19642857142857</v>
      </c>
      <c r="T2867" s="52">
        <f>R2867*U2867/(U2867+100)</f>
        <v>10.703571428571431</v>
      </c>
      <c r="U2867" s="50">
        <v>12</v>
      </c>
      <c r="V2867" s="53">
        <v>0</v>
      </c>
      <c r="W2867" s="147">
        <v>1</v>
      </c>
      <c r="X2867" s="148" t="s">
        <v>163</v>
      </c>
      <c r="Y2867" s="54">
        <f>R2867*W2867</f>
        <v>99.9</v>
      </c>
      <c r="Z2867" s="52">
        <f>S2867*W2867</f>
        <v>89.19642857142857</v>
      </c>
      <c r="AA2867" s="52">
        <f>T2867*W2867</f>
        <v>10.703571428571431</v>
      </c>
      <c r="AB2867" s="52">
        <f>V2867*W2867</f>
        <v>0</v>
      </c>
      <c r="AC2867" s="53">
        <f>(R2867+V2867)*W2867</f>
        <v>99.9</v>
      </c>
      <c r="AD2867" s="138">
        <v>99.9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109</v>
      </c>
      <c r="F2868" s="96" t="s">
        <v>111</v>
      </c>
      <c r="G2868" s="97">
        <v>46132</v>
      </c>
      <c r="H2868" s="98">
        <v>0.6970717592592592</v>
      </c>
      <c r="I2868" s="50">
        <v>169002781</v>
      </c>
      <c r="J2868" s="96" t="s">
        <v>157</v>
      </c>
      <c r="K2868" s="49" t="s">
        <v>3771</v>
      </c>
      <c r="L2868" s="39" t="s">
        <v>3772</v>
      </c>
      <c r="M2868" s="49" t="s">
        <v>509</v>
      </c>
      <c r="N2868" s="39" t="s">
        <v>256</v>
      </c>
      <c r="O2868" s="96" t="s">
        <v>3773</v>
      </c>
      <c r="P2868" s="49" t="s">
        <v>157</v>
      </c>
      <c r="Q2868" s="96" t="s">
        <v>104</v>
      </c>
      <c r="R2868" s="52">
        <v>12.4</v>
      </c>
      <c r="S2868" s="52">
        <f>R2868-T2868</f>
        <v>10.24793388429752</v>
      </c>
      <c r="T2868" s="52">
        <f>R2868*U2868/(U2868+100)</f>
        <v>2.1520661157024796</v>
      </c>
      <c r="U2868" s="50">
        <v>21</v>
      </c>
      <c r="V2868" s="53">
        <v>3</v>
      </c>
      <c r="W2868" s="147">
        <v>1</v>
      </c>
      <c r="X2868" s="148" t="s">
        <v>163</v>
      </c>
      <c r="Y2868" s="54">
        <f>R2868*W2868</f>
        <v>12.4</v>
      </c>
      <c r="Z2868" s="52">
        <f>S2868*W2868</f>
        <v>10.24793388429752</v>
      </c>
      <c r="AA2868" s="52">
        <f>T2868*W2868</f>
        <v>2.1520661157024796</v>
      </c>
      <c r="AB2868" s="52">
        <f>V2868*W2868</f>
        <v>3</v>
      </c>
      <c r="AC2868" s="53">
        <f>(R2868+V2868)*W2868</f>
        <v>15.4</v>
      </c>
      <c r="AD2868" s="138">
        <v>12.4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109</v>
      </c>
      <c r="F2869" s="96" t="s">
        <v>111</v>
      </c>
      <c r="G2869" s="97">
        <v>46132</v>
      </c>
      <c r="H2869" s="98">
        <v>0.6970717592592592</v>
      </c>
      <c r="I2869" s="50">
        <v>169002781</v>
      </c>
      <c r="J2869" s="96" t="s">
        <v>157</v>
      </c>
      <c r="K2869" s="49" t="s">
        <v>3771</v>
      </c>
      <c r="L2869" s="39" t="s">
        <v>3772</v>
      </c>
      <c r="M2869" s="49" t="s">
        <v>509</v>
      </c>
      <c r="N2869" s="39" t="s">
        <v>256</v>
      </c>
      <c r="O2869" s="96" t="s">
        <v>3773</v>
      </c>
      <c r="P2869" s="49" t="s">
        <v>157</v>
      </c>
      <c r="Q2869" s="96" t="s">
        <v>104</v>
      </c>
      <c r="R2869" s="52">
        <v>12.4</v>
      </c>
      <c r="S2869" s="52">
        <f>R2869-T2869</f>
        <v>10.24793388429752</v>
      </c>
      <c r="T2869" s="52">
        <f>R2869*U2869/(U2869+100)</f>
        <v>2.1520661157024796</v>
      </c>
      <c r="U2869" s="50">
        <v>21</v>
      </c>
      <c r="V2869" s="53">
        <v>3</v>
      </c>
      <c r="W2869" s="147">
        <v>1</v>
      </c>
      <c r="X2869" s="148" t="s">
        <v>163</v>
      </c>
      <c r="Y2869" s="54">
        <f>R2869*W2869</f>
        <v>12.4</v>
      </c>
      <c r="Z2869" s="52">
        <f>S2869*W2869</f>
        <v>10.24793388429752</v>
      </c>
      <c r="AA2869" s="52">
        <f>T2869*W2869</f>
        <v>2.1520661157024796</v>
      </c>
      <c r="AB2869" s="52">
        <f>V2869*W2869</f>
        <v>3</v>
      </c>
      <c r="AC2869" s="53">
        <f>(R2869+V2869)*W2869</f>
        <v>15.4</v>
      </c>
      <c r="AD2869" s="138">
        <v>12.4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109</v>
      </c>
      <c r="F2870" s="96" t="s">
        <v>111</v>
      </c>
      <c r="G2870" s="97">
        <v>46132</v>
      </c>
      <c r="H2870" s="98">
        <v>0.6976736111111111</v>
      </c>
      <c r="I2870" s="50">
        <v>169002782</v>
      </c>
      <c r="J2870" s="96" t="s">
        <v>157</v>
      </c>
      <c r="K2870" s="49" t="s">
        <v>3402</v>
      </c>
      <c r="L2870" s="39" t="s">
        <v>3403</v>
      </c>
      <c r="M2870" s="49" t="s">
        <v>862</v>
      </c>
      <c r="N2870" s="39" t="s">
        <v>863</v>
      </c>
      <c r="O2870" s="96" t="s">
        <v>3404</v>
      </c>
      <c r="P2870" s="49" t="s">
        <v>157</v>
      </c>
      <c r="Q2870" s="96" t="s">
        <v>104</v>
      </c>
      <c r="R2870" s="52">
        <v>179</v>
      </c>
      <c r="S2870" s="52">
        <f>R2870-T2870</f>
        <v>147.93388429752065</v>
      </c>
      <c r="T2870" s="52">
        <f>R2870*U2870/(U2870+100)</f>
        <v>31.06611570247934</v>
      </c>
      <c r="U2870" s="50">
        <v>21</v>
      </c>
      <c r="V2870" s="53">
        <v>0</v>
      </c>
      <c r="W2870" s="147">
        <v>1</v>
      </c>
      <c r="X2870" s="148" t="s">
        <v>163</v>
      </c>
      <c r="Y2870" s="54">
        <f>R2870*W2870</f>
        <v>179</v>
      </c>
      <c r="Z2870" s="52">
        <f>S2870*W2870</f>
        <v>147.93388429752065</v>
      </c>
      <c r="AA2870" s="52">
        <f>T2870*W2870</f>
        <v>31.06611570247934</v>
      </c>
      <c r="AB2870" s="52">
        <f>V2870*W2870</f>
        <v>0</v>
      </c>
      <c r="AC2870" s="53">
        <f>(R2870+V2870)*W2870</f>
        <v>179</v>
      </c>
      <c r="AD2870" s="138">
        <v>179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109</v>
      </c>
      <c r="F2871" s="96" t="s">
        <v>111</v>
      </c>
      <c r="G2871" s="97">
        <v>46132</v>
      </c>
      <c r="H2871" s="98">
        <v>0.6988541666666667</v>
      </c>
      <c r="I2871" s="50">
        <v>169002783</v>
      </c>
      <c r="J2871" s="96" t="s">
        <v>157</v>
      </c>
      <c r="K2871" s="49" t="s">
        <v>3774</v>
      </c>
      <c r="L2871" s="39" t="s">
        <v>3775</v>
      </c>
      <c r="M2871" s="49" t="s">
        <v>620</v>
      </c>
      <c r="N2871" s="39" t="s">
        <v>1042</v>
      </c>
      <c r="O2871" s="96" t="s">
        <v>3776</v>
      </c>
      <c r="P2871" s="49" t="s">
        <v>157</v>
      </c>
      <c r="Q2871" s="96" t="s">
        <v>104</v>
      </c>
      <c r="R2871" s="52">
        <v>14.9</v>
      </c>
      <c r="S2871" s="52">
        <f>R2871-T2871</f>
        <v>13.303571428571429</v>
      </c>
      <c r="T2871" s="52">
        <f>R2871*U2871/(U2871+100)</f>
        <v>1.5964285714285715</v>
      </c>
      <c r="U2871" s="50">
        <v>12</v>
      </c>
      <c r="V2871" s="53">
        <v>0</v>
      </c>
      <c r="W2871" s="147">
        <v>1</v>
      </c>
      <c r="X2871" s="148" t="s">
        <v>163</v>
      </c>
      <c r="Y2871" s="54">
        <f>R2871*W2871</f>
        <v>14.9</v>
      </c>
      <c r="Z2871" s="52">
        <f>S2871*W2871</f>
        <v>13.303571428571429</v>
      </c>
      <c r="AA2871" s="52">
        <f>T2871*W2871</f>
        <v>1.5964285714285715</v>
      </c>
      <c r="AB2871" s="52">
        <f>V2871*W2871</f>
        <v>0</v>
      </c>
      <c r="AC2871" s="53">
        <f>(R2871+V2871)*W2871</f>
        <v>14.9</v>
      </c>
      <c r="AD2871" s="138">
        <v>14.9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109</v>
      </c>
      <c r="F2872" s="96" t="s">
        <v>111</v>
      </c>
      <c r="G2872" s="97">
        <v>46132</v>
      </c>
      <c r="H2872" s="98">
        <v>0.6988541666666667</v>
      </c>
      <c r="I2872" s="50">
        <v>169002783</v>
      </c>
      <c r="J2872" s="96" t="s">
        <v>157</v>
      </c>
      <c r="K2872" s="49" t="s">
        <v>967</v>
      </c>
      <c r="L2872" s="39" t="s">
        <v>968</v>
      </c>
      <c r="M2872" s="49" t="s">
        <v>444</v>
      </c>
      <c r="N2872" s="39" t="s">
        <v>445</v>
      </c>
      <c r="O2872" s="96" t="s">
        <v>981</v>
      </c>
      <c r="P2872" s="49" t="s">
        <v>157</v>
      </c>
      <c r="Q2872" s="96" t="s">
        <v>104</v>
      </c>
      <c r="R2872" s="52">
        <v>16.9</v>
      </c>
      <c r="S2872" s="52">
        <f>R2872-T2872</f>
        <v>15.089285714285714</v>
      </c>
      <c r="T2872" s="52">
        <f>R2872*U2872/(U2872+100)</f>
        <v>1.8107142857142855</v>
      </c>
      <c r="U2872" s="50">
        <v>12</v>
      </c>
      <c r="V2872" s="53">
        <v>0</v>
      </c>
      <c r="W2872" s="147">
        <v>1</v>
      </c>
      <c r="X2872" s="148" t="s">
        <v>163</v>
      </c>
      <c r="Y2872" s="54">
        <f>R2872*W2872</f>
        <v>16.9</v>
      </c>
      <c r="Z2872" s="52">
        <f>S2872*W2872</f>
        <v>15.089285714285714</v>
      </c>
      <c r="AA2872" s="52">
        <f>T2872*W2872</f>
        <v>1.8107142857142855</v>
      </c>
      <c r="AB2872" s="52">
        <f>V2872*W2872</f>
        <v>0</v>
      </c>
      <c r="AC2872" s="53">
        <f>(R2872+V2872)*W2872</f>
        <v>16.9</v>
      </c>
      <c r="AD2872" s="138">
        <v>16.9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109</v>
      </c>
      <c r="F2873" s="96" t="s">
        <v>111</v>
      </c>
      <c r="G2873" s="97">
        <v>46132</v>
      </c>
      <c r="H2873" s="98">
        <v>0.6992361111111111</v>
      </c>
      <c r="I2873" s="50">
        <v>169002784</v>
      </c>
      <c r="J2873" s="96" t="s">
        <v>157</v>
      </c>
      <c r="K2873" s="49" t="s">
        <v>1070</v>
      </c>
      <c r="L2873" s="39" t="s">
        <v>1071</v>
      </c>
      <c r="M2873" s="49" t="s">
        <v>429</v>
      </c>
      <c r="N2873" s="39" t="s">
        <v>239</v>
      </c>
      <c r="O2873" s="96" t="s">
        <v>1072</v>
      </c>
      <c r="P2873" s="49" t="s">
        <v>157</v>
      </c>
      <c r="Q2873" s="96" t="s">
        <v>104</v>
      </c>
      <c r="R2873" s="52">
        <v>14.4</v>
      </c>
      <c r="S2873" s="52">
        <f>R2873-T2873</f>
        <v>12.857142857142858</v>
      </c>
      <c r="T2873" s="52">
        <f>R2873*U2873/(U2873+100)</f>
        <v>1.542857142857143</v>
      </c>
      <c r="U2873" s="50">
        <v>12</v>
      </c>
      <c r="V2873" s="53">
        <v>0</v>
      </c>
      <c r="W2873" s="147">
        <v>1</v>
      </c>
      <c r="X2873" s="148" t="s">
        <v>163</v>
      </c>
      <c r="Y2873" s="54">
        <f>R2873*W2873</f>
        <v>14.4</v>
      </c>
      <c r="Z2873" s="52">
        <f>S2873*W2873</f>
        <v>12.857142857142858</v>
      </c>
      <c r="AA2873" s="52">
        <f>T2873*W2873</f>
        <v>1.542857142857143</v>
      </c>
      <c r="AB2873" s="52">
        <f>V2873*W2873</f>
        <v>0</v>
      </c>
      <c r="AC2873" s="53">
        <f>(R2873+V2873)*W2873</f>
        <v>14.4</v>
      </c>
      <c r="AD2873" s="138">
        <v>14.4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109</v>
      </c>
      <c r="F2874" s="96" t="s">
        <v>111</v>
      </c>
      <c r="G2874" s="97">
        <v>46132</v>
      </c>
      <c r="H2874" s="98">
        <v>0.7002430555555555</v>
      </c>
      <c r="I2874" s="50">
        <v>169002785</v>
      </c>
      <c r="J2874" s="96" t="s">
        <v>157</v>
      </c>
      <c r="K2874" s="49" t="s">
        <v>1933</v>
      </c>
      <c r="L2874" s="39" t="s">
        <v>1934</v>
      </c>
      <c r="M2874" s="49" t="s">
        <v>429</v>
      </c>
      <c r="N2874" s="39" t="s">
        <v>348</v>
      </c>
      <c r="O2874" s="96" t="s">
        <v>1935</v>
      </c>
      <c r="P2874" s="49" t="s">
        <v>235</v>
      </c>
      <c r="Q2874" s="96" t="s">
        <v>236</v>
      </c>
      <c r="R2874" s="52">
        <v>16.9</v>
      </c>
      <c r="S2874" s="52">
        <f>R2874-T2874</f>
        <v>15.089285714285714</v>
      </c>
      <c r="T2874" s="52">
        <f>R2874*U2874/(U2874+100)</f>
        <v>1.8107142857142855</v>
      </c>
      <c r="U2874" s="50">
        <v>12</v>
      </c>
      <c r="V2874" s="53">
        <v>0</v>
      </c>
      <c r="W2874" s="147">
        <v>1</v>
      </c>
      <c r="X2874" s="148" t="s">
        <v>163</v>
      </c>
      <c r="Y2874" s="54">
        <f>R2874*W2874</f>
        <v>16.9</v>
      </c>
      <c r="Z2874" s="52">
        <f>S2874*W2874</f>
        <v>15.089285714285714</v>
      </c>
      <c r="AA2874" s="52">
        <f>T2874*W2874</f>
        <v>1.8107142857142855</v>
      </c>
      <c r="AB2874" s="52">
        <f>V2874*W2874</f>
        <v>0</v>
      </c>
      <c r="AC2874" s="53">
        <f>(R2874+V2874)*W2874</f>
        <v>16.9</v>
      </c>
      <c r="AD2874" s="138">
        <v>16.9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109</v>
      </c>
      <c r="F2875" s="96" t="s">
        <v>111</v>
      </c>
      <c r="G2875" s="97">
        <v>46132</v>
      </c>
      <c r="H2875" s="98">
        <v>0.7002430555555555</v>
      </c>
      <c r="I2875" s="50">
        <v>169002785</v>
      </c>
      <c r="J2875" s="96" t="s">
        <v>157</v>
      </c>
      <c r="K2875" s="49" t="s">
        <v>1980</v>
      </c>
      <c r="L2875" s="39" t="s">
        <v>1981</v>
      </c>
      <c r="M2875" s="49" t="s">
        <v>277</v>
      </c>
      <c r="N2875" s="39" t="s">
        <v>751</v>
      </c>
      <c r="O2875" s="96" t="s">
        <v>1982</v>
      </c>
      <c r="P2875" s="49" t="s">
        <v>235</v>
      </c>
      <c r="Q2875" s="96" t="s">
        <v>753</v>
      </c>
      <c r="R2875" s="52">
        <v>34.9</v>
      </c>
      <c r="S2875" s="52">
        <f>R2875-T2875</f>
        <v>31.160714285714285</v>
      </c>
      <c r="T2875" s="52">
        <f>R2875*U2875/(U2875+100)</f>
        <v>3.739285714285714</v>
      </c>
      <c r="U2875" s="50">
        <v>12</v>
      </c>
      <c r="V2875" s="53">
        <v>0</v>
      </c>
      <c r="W2875" s="147">
        <v>1</v>
      </c>
      <c r="X2875" s="148" t="s">
        <v>163</v>
      </c>
      <c r="Y2875" s="54">
        <f>R2875*W2875</f>
        <v>34.9</v>
      </c>
      <c r="Z2875" s="52">
        <f>S2875*W2875</f>
        <v>31.160714285714285</v>
      </c>
      <c r="AA2875" s="52">
        <f>T2875*W2875</f>
        <v>3.739285714285714</v>
      </c>
      <c r="AB2875" s="52">
        <f>V2875*W2875</f>
        <v>0</v>
      </c>
      <c r="AC2875" s="53">
        <f>(R2875+V2875)*W2875</f>
        <v>34.9</v>
      </c>
      <c r="AD2875" s="138">
        <v>34.9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109</v>
      </c>
      <c r="F2876" s="96" t="s">
        <v>111</v>
      </c>
      <c r="G2876" s="97">
        <v>46132</v>
      </c>
      <c r="H2876" s="98">
        <v>0.7002430555555555</v>
      </c>
      <c r="I2876" s="50">
        <v>169002785</v>
      </c>
      <c r="J2876" s="96" t="s">
        <v>157</v>
      </c>
      <c r="K2876" s="49" t="s">
        <v>992</v>
      </c>
      <c r="L2876" s="39" t="s">
        <v>993</v>
      </c>
      <c r="M2876" s="49" t="s">
        <v>214</v>
      </c>
      <c r="N2876" s="39" t="s">
        <v>501</v>
      </c>
      <c r="O2876" s="96" t="s">
        <v>994</v>
      </c>
      <c r="P2876" s="49" t="s">
        <v>157</v>
      </c>
      <c r="Q2876" s="96" t="s">
        <v>104</v>
      </c>
      <c r="R2876" s="52">
        <v>6.9</v>
      </c>
      <c r="S2876" s="52">
        <f>R2876-T2876</f>
        <v>6.160714285714286</v>
      </c>
      <c r="T2876" s="52">
        <f>R2876*U2876/(U2876+100)</f>
        <v>0.7392857142857144</v>
      </c>
      <c r="U2876" s="50">
        <v>12</v>
      </c>
      <c r="V2876" s="53">
        <v>0</v>
      </c>
      <c r="W2876" s="147">
        <v>1</v>
      </c>
      <c r="X2876" s="148" t="s">
        <v>163</v>
      </c>
      <c r="Y2876" s="54">
        <f>R2876*W2876</f>
        <v>6.9</v>
      </c>
      <c r="Z2876" s="52">
        <f>S2876*W2876</f>
        <v>6.160714285714286</v>
      </c>
      <c r="AA2876" s="52">
        <f>T2876*W2876</f>
        <v>0.7392857142857144</v>
      </c>
      <c r="AB2876" s="52">
        <f>V2876*W2876</f>
        <v>0</v>
      </c>
      <c r="AC2876" s="53">
        <f>(R2876+V2876)*W2876</f>
        <v>6.9</v>
      </c>
      <c r="AD2876" s="138">
        <v>6.9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109</v>
      </c>
      <c r="F2877" s="96" t="s">
        <v>111</v>
      </c>
      <c r="G2877" s="97">
        <v>46132</v>
      </c>
      <c r="H2877" s="98">
        <v>0.7002430555555555</v>
      </c>
      <c r="I2877" s="50">
        <v>169002785</v>
      </c>
      <c r="J2877" s="96" t="s">
        <v>157</v>
      </c>
      <c r="K2877" s="49" t="s">
        <v>1440</v>
      </c>
      <c r="L2877" s="39" t="s">
        <v>1441</v>
      </c>
      <c r="M2877" s="49" t="s">
        <v>190</v>
      </c>
      <c r="N2877" s="39" t="s">
        <v>191</v>
      </c>
      <c r="O2877" s="96" t="s">
        <v>1442</v>
      </c>
      <c r="P2877" s="49" t="s">
        <v>157</v>
      </c>
      <c r="Q2877" s="96" t="s">
        <v>104</v>
      </c>
      <c r="R2877" s="52">
        <v>8.9</v>
      </c>
      <c r="S2877" s="52">
        <f>R2877-T2877</f>
        <v>7.946428571428572</v>
      </c>
      <c r="T2877" s="52">
        <f>R2877*U2877/(U2877+100)</f>
        <v>0.9535714285714286</v>
      </c>
      <c r="U2877" s="50">
        <v>12</v>
      </c>
      <c r="V2877" s="53">
        <v>0</v>
      </c>
      <c r="W2877" s="147">
        <v>0.786</v>
      </c>
      <c r="X2877" s="148" t="s">
        <v>193</v>
      </c>
      <c r="Y2877" s="54">
        <f>R2877*W2877</f>
        <v>6.995400000000001</v>
      </c>
      <c r="Z2877" s="52">
        <f>S2877*W2877</f>
        <v>6.245892857142858</v>
      </c>
      <c r="AA2877" s="52">
        <f>T2877*W2877</f>
        <v>0.7495071428571429</v>
      </c>
      <c r="AB2877" s="52">
        <f>V2877*W2877</f>
        <v>0</v>
      </c>
      <c r="AC2877" s="53">
        <f>(R2877+V2877)*W2877</f>
        <v>6.995400000000001</v>
      </c>
      <c r="AD2877" s="138">
        <v>8.9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109</v>
      </c>
      <c r="F2878" s="96" t="s">
        <v>111</v>
      </c>
      <c r="G2878" s="97">
        <v>46132</v>
      </c>
      <c r="H2878" s="98">
        <v>0.7002430555555555</v>
      </c>
      <c r="I2878" s="50">
        <v>169002785</v>
      </c>
      <c r="J2878" s="96" t="s">
        <v>157</v>
      </c>
      <c r="K2878" s="49" t="s">
        <v>1085</v>
      </c>
      <c r="L2878" s="39" t="s">
        <v>1086</v>
      </c>
      <c r="M2878" s="49" t="s">
        <v>1087</v>
      </c>
      <c r="N2878" s="39" t="s">
        <v>1088</v>
      </c>
      <c r="O2878" s="96" t="s">
        <v>1089</v>
      </c>
      <c r="P2878" s="49" t="s">
        <v>157</v>
      </c>
      <c r="Q2878" s="96" t="s">
        <v>104</v>
      </c>
      <c r="R2878" s="52">
        <v>163.03</v>
      </c>
      <c r="S2878" s="52">
        <f>R2878-T2878</f>
        <v>145.5625</v>
      </c>
      <c r="T2878" s="52">
        <f>R2878*U2878/(U2878+100)</f>
        <v>17.4675</v>
      </c>
      <c r="U2878" s="50">
        <v>12</v>
      </c>
      <c r="V2878" s="53">
        <v>0</v>
      </c>
      <c r="W2878" s="147">
        <v>0.108</v>
      </c>
      <c r="X2878" s="148" t="s">
        <v>193</v>
      </c>
      <c r="Y2878" s="54">
        <f>R2878*W2878</f>
        <v>17.60724</v>
      </c>
      <c r="Z2878" s="52">
        <f>S2878*W2878</f>
        <v>15.72075</v>
      </c>
      <c r="AA2878" s="52">
        <f>T2878*W2878</f>
        <v>1.88649</v>
      </c>
      <c r="AB2878" s="52">
        <f>V2878*W2878</f>
        <v>0</v>
      </c>
      <c r="AC2878" s="53">
        <f>(R2878+V2878)*W2878</f>
        <v>17.60724</v>
      </c>
      <c r="AD2878" s="138">
        <v>232.9</v>
      </c>
      <c r="AE2878" s="137">
        <v>69.87</v>
      </c>
      <c r="AF2878" s="139">
        <v>7.546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109</v>
      </c>
      <c r="F2879" s="96" t="s">
        <v>111</v>
      </c>
      <c r="G2879" s="97">
        <v>46132</v>
      </c>
      <c r="H2879" s="98">
        <v>0.7002430555555555</v>
      </c>
      <c r="I2879" s="50">
        <v>169002785</v>
      </c>
      <c r="J2879" s="96" t="s">
        <v>157</v>
      </c>
      <c r="K2879" s="49" t="s">
        <v>1133</v>
      </c>
      <c r="L2879" s="39" t="s">
        <v>1134</v>
      </c>
      <c r="M2879" s="49" t="s">
        <v>649</v>
      </c>
      <c r="N2879" s="39" t="s">
        <v>440</v>
      </c>
      <c r="O2879" s="96" t="s">
        <v>1135</v>
      </c>
      <c r="P2879" s="49" t="s">
        <v>157</v>
      </c>
      <c r="Q2879" s="96" t="s">
        <v>104</v>
      </c>
      <c r="R2879" s="52">
        <v>125.93</v>
      </c>
      <c r="S2879" s="52">
        <f>R2879-T2879</f>
        <v>112.4375</v>
      </c>
      <c r="T2879" s="52">
        <f>R2879*U2879/(U2879+100)</f>
        <v>13.492500000000001</v>
      </c>
      <c r="U2879" s="50">
        <v>12</v>
      </c>
      <c r="V2879" s="53">
        <v>0</v>
      </c>
      <c r="W2879" s="147">
        <v>0.12</v>
      </c>
      <c r="X2879" s="148" t="s">
        <v>193</v>
      </c>
      <c r="Y2879" s="54">
        <f>R2879*W2879</f>
        <v>15.111600000000001</v>
      </c>
      <c r="Z2879" s="52">
        <f>S2879*W2879</f>
        <v>13.4925</v>
      </c>
      <c r="AA2879" s="52">
        <f>T2879*W2879</f>
        <v>1.6191000000000002</v>
      </c>
      <c r="AB2879" s="52">
        <f>V2879*W2879</f>
        <v>0</v>
      </c>
      <c r="AC2879" s="53">
        <f>(R2879+V2879)*W2879</f>
        <v>15.111600000000001</v>
      </c>
      <c r="AD2879" s="138">
        <v>179.9</v>
      </c>
      <c r="AE2879" s="137">
        <v>53.97</v>
      </c>
      <c r="AF2879" s="139">
        <v>6.4764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109</v>
      </c>
      <c r="F2880" s="96" t="s">
        <v>111</v>
      </c>
      <c r="G2880" s="97">
        <v>46132</v>
      </c>
      <c r="H2880" s="98">
        <v>0.7002430555555555</v>
      </c>
      <c r="I2880" s="50">
        <v>169002785</v>
      </c>
      <c r="J2880" s="96" t="s">
        <v>157</v>
      </c>
      <c r="K2880" s="49" t="s">
        <v>390</v>
      </c>
      <c r="L2880" s="39" t="s">
        <v>391</v>
      </c>
      <c r="M2880" s="49" t="s">
        <v>214</v>
      </c>
      <c r="N2880" s="39" t="s">
        <v>273</v>
      </c>
      <c r="O2880" s="96" t="s">
        <v>1110</v>
      </c>
      <c r="P2880" s="49" t="s">
        <v>157</v>
      </c>
      <c r="Q2880" s="96" t="s">
        <v>104</v>
      </c>
      <c r="R2880" s="52">
        <v>15.9</v>
      </c>
      <c r="S2880" s="52">
        <f>R2880-T2880</f>
        <v>14.196428571428571</v>
      </c>
      <c r="T2880" s="52">
        <f>R2880*U2880/(U2880+100)</f>
        <v>1.7035714285714287</v>
      </c>
      <c r="U2880" s="50">
        <v>12</v>
      </c>
      <c r="V2880" s="53">
        <v>0</v>
      </c>
      <c r="W2880" s="147">
        <v>2</v>
      </c>
      <c r="X2880" s="148" t="s">
        <v>163</v>
      </c>
      <c r="Y2880" s="54">
        <f>R2880*W2880</f>
        <v>31.8</v>
      </c>
      <c r="Z2880" s="52">
        <f>S2880*W2880</f>
        <v>28.392857142857142</v>
      </c>
      <c r="AA2880" s="52">
        <f>T2880*W2880</f>
        <v>3.4071428571428575</v>
      </c>
      <c r="AB2880" s="52">
        <f>V2880*W2880</f>
        <v>0</v>
      </c>
      <c r="AC2880" s="53">
        <f>(R2880+V2880)*W2880</f>
        <v>31.8</v>
      </c>
      <c r="AD2880" s="138">
        <v>15.9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109</v>
      </c>
      <c r="F2881" s="96" t="s">
        <v>111</v>
      </c>
      <c r="G2881" s="97">
        <v>46132</v>
      </c>
      <c r="H2881" s="98">
        <v>0.7002430555555555</v>
      </c>
      <c r="I2881" s="50">
        <v>169002785</v>
      </c>
      <c r="J2881" s="96" t="s">
        <v>157</v>
      </c>
      <c r="K2881" s="49" t="s">
        <v>1691</v>
      </c>
      <c r="L2881" s="39" t="s">
        <v>104</v>
      </c>
      <c r="M2881" s="49" t="s">
        <v>554</v>
      </c>
      <c r="N2881" s="39" t="s">
        <v>296</v>
      </c>
      <c r="O2881" s="96" t="s">
        <v>1692</v>
      </c>
      <c r="P2881" s="49" t="s">
        <v>157</v>
      </c>
      <c r="Q2881" s="96" t="s">
        <v>104</v>
      </c>
      <c r="R2881" s="52">
        <v>11.9</v>
      </c>
      <c r="S2881" s="52">
        <f>R2881-T2881</f>
        <v>10.625</v>
      </c>
      <c r="T2881" s="52">
        <f>R2881*U2881/(U2881+100)</f>
        <v>1.2750000000000001</v>
      </c>
      <c r="U2881" s="50">
        <v>12</v>
      </c>
      <c r="V2881" s="53">
        <v>0</v>
      </c>
      <c r="W2881" s="147">
        <v>1</v>
      </c>
      <c r="X2881" s="148" t="s">
        <v>163</v>
      </c>
      <c r="Y2881" s="54">
        <f>R2881*W2881</f>
        <v>11.9</v>
      </c>
      <c r="Z2881" s="52">
        <f>S2881*W2881</f>
        <v>10.625</v>
      </c>
      <c r="AA2881" s="52">
        <f>T2881*W2881</f>
        <v>1.2750000000000001</v>
      </c>
      <c r="AB2881" s="52">
        <f>V2881*W2881</f>
        <v>0</v>
      </c>
      <c r="AC2881" s="53">
        <f>(R2881+V2881)*W2881</f>
        <v>11.9</v>
      </c>
      <c r="AD2881" s="138">
        <v>11.9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109</v>
      </c>
      <c r="F2882" s="96" t="s">
        <v>111</v>
      </c>
      <c r="G2882" s="97">
        <v>46132</v>
      </c>
      <c r="H2882" s="98">
        <v>0.7002430555555555</v>
      </c>
      <c r="I2882" s="50">
        <v>169002785</v>
      </c>
      <c r="J2882" s="96" t="s">
        <v>157</v>
      </c>
      <c r="K2882" s="49" t="s">
        <v>1191</v>
      </c>
      <c r="L2882" s="39" t="s">
        <v>1192</v>
      </c>
      <c r="M2882" s="49" t="s">
        <v>1193</v>
      </c>
      <c r="N2882" s="39" t="s">
        <v>1194</v>
      </c>
      <c r="O2882" s="96" t="s">
        <v>1195</v>
      </c>
      <c r="P2882" s="49" t="s">
        <v>235</v>
      </c>
      <c r="Q2882" s="96" t="s">
        <v>236</v>
      </c>
      <c r="R2882" s="52">
        <v>79.9</v>
      </c>
      <c r="S2882" s="52">
        <f>R2882-T2882</f>
        <v>71.33928571428572</v>
      </c>
      <c r="T2882" s="52">
        <f>R2882*U2882/(U2882+100)</f>
        <v>8.560714285714287</v>
      </c>
      <c r="U2882" s="50">
        <v>12</v>
      </c>
      <c r="V2882" s="53">
        <v>0</v>
      </c>
      <c r="W2882" s="147">
        <v>1</v>
      </c>
      <c r="X2882" s="148" t="s">
        <v>163</v>
      </c>
      <c r="Y2882" s="54">
        <f>R2882*W2882</f>
        <v>79.9</v>
      </c>
      <c r="Z2882" s="52">
        <f>S2882*W2882</f>
        <v>71.33928571428572</v>
      </c>
      <c r="AA2882" s="52">
        <f>T2882*W2882</f>
        <v>8.560714285714287</v>
      </c>
      <c r="AB2882" s="52">
        <f>V2882*W2882</f>
        <v>0</v>
      </c>
      <c r="AC2882" s="53">
        <f>(R2882+V2882)*W2882</f>
        <v>79.9</v>
      </c>
      <c r="AD2882" s="138">
        <v>79.9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109</v>
      </c>
      <c r="F2883" s="96" t="s">
        <v>111</v>
      </c>
      <c r="G2883" s="97">
        <v>46132</v>
      </c>
      <c r="H2883" s="98">
        <v>0.7009722222222222</v>
      </c>
      <c r="I2883" s="50">
        <v>169002786</v>
      </c>
      <c r="J2883" s="96" t="s">
        <v>157</v>
      </c>
      <c r="K2883" s="49" t="s">
        <v>1711</v>
      </c>
      <c r="L2883" s="39" t="s">
        <v>1712</v>
      </c>
      <c r="M2883" s="49" t="s">
        <v>1713</v>
      </c>
      <c r="N2883" s="39" t="s">
        <v>1475</v>
      </c>
      <c r="O2883" s="96" t="s">
        <v>1714</v>
      </c>
      <c r="P2883" s="49" t="s">
        <v>157</v>
      </c>
      <c r="Q2883" s="96" t="s">
        <v>104</v>
      </c>
      <c r="R2883" s="52">
        <v>24.9</v>
      </c>
      <c r="S2883" s="52">
        <f>R2883-T2883</f>
        <v>22.232142857142858</v>
      </c>
      <c r="T2883" s="52">
        <f>R2883*U2883/(U2883+100)</f>
        <v>2.6678571428571423</v>
      </c>
      <c r="U2883" s="50">
        <v>12</v>
      </c>
      <c r="V2883" s="53">
        <v>0</v>
      </c>
      <c r="W2883" s="147">
        <v>1</v>
      </c>
      <c r="X2883" s="148" t="s">
        <v>163</v>
      </c>
      <c r="Y2883" s="54">
        <f>R2883*W2883</f>
        <v>24.9</v>
      </c>
      <c r="Z2883" s="52">
        <f>S2883*W2883</f>
        <v>22.232142857142858</v>
      </c>
      <c r="AA2883" s="52">
        <f>T2883*W2883</f>
        <v>2.6678571428571423</v>
      </c>
      <c r="AB2883" s="52">
        <f>V2883*W2883</f>
        <v>0</v>
      </c>
      <c r="AC2883" s="53">
        <f>(R2883+V2883)*W2883</f>
        <v>24.9</v>
      </c>
      <c r="AD2883" s="138">
        <v>24.9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109</v>
      </c>
      <c r="F2884" s="96" t="s">
        <v>111</v>
      </c>
      <c r="G2884" s="97">
        <v>46132</v>
      </c>
      <c r="H2884" s="98">
        <v>0.7009722222222222</v>
      </c>
      <c r="I2884" s="50">
        <v>169002786</v>
      </c>
      <c r="J2884" s="96" t="s">
        <v>157</v>
      </c>
      <c r="K2884" s="49" t="s">
        <v>303</v>
      </c>
      <c r="L2884" s="39" t="s">
        <v>304</v>
      </c>
      <c r="M2884" s="49" t="s">
        <v>214</v>
      </c>
      <c r="N2884" s="39" t="s">
        <v>296</v>
      </c>
      <c r="O2884" s="96" t="s">
        <v>305</v>
      </c>
      <c r="P2884" s="49" t="s">
        <v>157</v>
      </c>
      <c r="Q2884" s="96" t="s">
        <v>104</v>
      </c>
      <c r="R2884" s="52">
        <v>11.9</v>
      </c>
      <c r="S2884" s="52">
        <f>R2884-T2884</f>
        <v>10.625</v>
      </c>
      <c r="T2884" s="52">
        <f>R2884*U2884/(U2884+100)</f>
        <v>1.2750000000000001</v>
      </c>
      <c r="U2884" s="50">
        <v>12</v>
      </c>
      <c r="V2884" s="53">
        <v>0</v>
      </c>
      <c r="W2884" s="147">
        <v>2</v>
      </c>
      <c r="X2884" s="148" t="s">
        <v>163</v>
      </c>
      <c r="Y2884" s="54">
        <f>R2884*W2884</f>
        <v>23.8</v>
      </c>
      <c r="Z2884" s="52">
        <f>S2884*W2884</f>
        <v>21.25</v>
      </c>
      <c r="AA2884" s="52">
        <f>T2884*W2884</f>
        <v>2.5500000000000003</v>
      </c>
      <c r="AB2884" s="52">
        <f>V2884*W2884</f>
        <v>0</v>
      </c>
      <c r="AC2884" s="53">
        <f>(R2884+V2884)*W2884</f>
        <v>23.8</v>
      </c>
      <c r="AD2884" s="138">
        <v>11.9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109</v>
      </c>
      <c r="F2885" s="96" t="s">
        <v>111</v>
      </c>
      <c r="G2885" s="97">
        <v>46132</v>
      </c>
      <c r="H2885" s="98">
        <v>0.7009722222222222</v>
      </c>
      <c r="I2885" s="50">
        <v>169002786</v>
      </c>
      <c r="J2885" s="96" t="s">
        <v>157</v>
      </c>
      <c r="K2885" s="49" t="s">
        <v>2817</v>
      </c>
      <c r="L2885" s="39"/>
      <c r="M2885" s="49" t="s">
        <v>268</v>
      </c>
      <c r="N2885" s="39" t="s">
        <v>433</v>
      </c>
      <c r="O2885" s="96" t="s">
        <v>2818</v>
      </c>
      <c r="P2885" s="49" t="s">
        <v>157</v>
      </c>
      <c r="Q2885" s="96" t="s">
        <v>104</v>
      </c>
      <c r="R2885" s="52">
        <v>22.9</v>
      </c>
      <c r="S2885" s="52">
        <f>R2885-T2885</f>
        <v>20.44642857142857</v>
      </c>
      <c r="T2885" s="52">
        <f>R2885*U2885/(U2885+100)</f>
        <v>2.4535714285714283</v>
      </c>
      <c r="U2885" s="50">
        <v>12</v>
      </c>
      <c r="V2885" s="53">
        <v>0</v>
      </c>
      <c r="W2885" s="147">
        <v>1</v>
      </c>
      <c r="X2885" s="148" t="s">
        <v>945</v>
      </c>
      <c r="Y2885" s="54">
        <f>R2885*W2885</f>
        <v>22.9</v>
      </c>
      <c r="Z2885" s="52">
        <f>S2885*W2885</f>
        <v>20.44642857142857</v>
      </c>
      <c r="AA2885" s="52">
        <f>T2885*W2885</f>
        <v>2.4535714285714283</v>
      </c>
      <c r="AB2885" s="52">
        <f>V2885*W2885</f>
        <v>0</v>
      </c>
      <c r="AC2885" s="53">
        <f>(R2885+V2885)*W2885</f>
        <v>22.9</v>
      </c>
      <c r="AD2885" s="138">
        <v>22.9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109</v>
      </c>
      <c r="F2886" s="96" t="s">
        <v>111</v>
      </c>
      <c r="G2886" s="97">
        <v>46132</v>
      </c>
      <c r="H2886" s="98">
        <v>0.7013194444444445</v>
      </c>
      <c r="I2886" s="50">
        <v>169002787</v>
      </c>
      <c r="J2886" s="96" t="s">
        <v>157</v>
      </c>
      <c r="K2886" s="49" t="s">
        <v>2628</v>
      </c>
      <c r="L2886" s="39" t="s">
        <v>2629</v>
      </c>
      <c r="M2886" s="49" t="s">
        <v>862</v>
      </c>
      <c r="N2886" s="39" t="s">
        <v>863</v>
      </c>
      <c r="O2886" s="96" t="s">
        <v>2630</v>
      </c>
      <c r="P2886" s="49" t="s">
        <v>157</v>
      </c>
      <c r="Q2886" s="96" t="s">
        <v>104</v>
      </c>
      <c r="R2886" s="52">
        <v>160</v>
      </c>
      <c r="S2886" s="52">
        <f>R2886-T2886</f>
        <v>132.23140495867767</v>
      </c>
      <c r="T2886" s="52">
        <f>R2886*U2886/(U2886+100)</f>
        <v>27.768595041322314</v>
      </c>
      <c r="U2886" s="50">
        <v>21</v>
      </c>
      <c r="V2886" s="53">
        <v>0</v>
      </c>
      <c r="W2886" s="147">
        <v>1</v>
      </c>
      <c r="X2886" s="148" t="s">
        <v>163</v>
      </c>
      <c r="Y2886" s="54">
        <f>R2886*W2886</f>
        <v>160</v>
      </c>
      <c r="Z2886" s="52">
        <f>S2886*W2886</f>
        <v>132.23140495867767</v>
      </c>
      <c r="AA2886" s="52">
        <f>T2886*W2886</f>
        <v>27.768595041322314</v>
      </c>
      <c r="AB2886" s="52">
        <f>V2886*W2886</f>
        <v>0</v>
      </c>
      <c r="AC2886" s="53">
        <f>(R2886+V2886)*W2886</f>
        <v>160</v>
      </c>
      <c r="AD2886" s="138">
        <v>160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109</v>
      </c>
      <c r="F2887" s="96" t="s">
        <v>111</v>
      </c>
      <c r="G2887" s="97">
        <v>46132</v>
      </c>
      <c r="H2887" s="98">
        <v>0.7013194444444445</v>
      </c>
      <c r="I2887" s="50">
        <v>169002787</v>
      </c>
      <c r="J2887" s="96" t="s">
        <v>157</v>
      </c>
      <c r="K2887" s="49" t="s">
        <v>1531</v>
      </c>
      <c r="L2887" s="39"/>
      <c r="M2887" s="49" t="s">
        <v>295</v>
      </c>
      <c r="N2887" s="39" t="s">
        <v>433</v>
      </c>
      <c r="O2887" s="96" t="s">
        <v>1532</v>
      </c>
      <c r="P2887" s="49" t="s">
        <v>235</v>
      </c>
      <c r="Q2887" s="96" t="s">
        <v>1533</v>
      </c>
      <c r="R2887" s="52">
        <v>19.9</v>
      </c>
      <c r="S2887" s="52">
        <f>R2887-T2887</f>
        <v>17.767857142857142</v>
      </c>
      <c r="T2887" s="52">
        <f>R2887*U2887/(U2887+100)</f>
        <v>2.132142857142857</v>
      </c>
      <c r="U2887" s="50">
        <v>12</v>
      </c>
      <c r="V2887" s="53">
        <v>0</v>
      </c>
      <c r="W2887" s="147">
        <v>1</v>
      </c>
      <c r="X2887" s="148" t="s">
        <v>945</v>
      </c>
      <c r="Y2887" s="54">
        <f>R2887*W2887</f>
        <v>19.9</v>
      </c>
      <c r="Z2887" s="52">
        <f>S2887*W2887</f>
        <v>17.767857142857142</v>
      </c>
      <c r="AA2887" s="52">
        <f>T2887*W2887</f>
        <v>2.132142857142857</v>
      </c>
      <c r="AB2887" s="52">
        <f>V2887*W2887</f>
        <v>0</v>
      </c>
      <c r="AC2887" s="53">
        <f>(R2887+V2887)*W2887</f>
        <v>19.9</v>
      </c>
      <c r="AD2887" s="138">
        <v>19.9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109</v>
      </c>
      <c r="F2888" s="96" t="s">
        <v>111</v>
      </c>
      <c r="G2888" s="97">
        <v>46132</v>
      </c>
      <c r="H2888" s="98">
        <v>0.7027083333333334</v>
      </c>
      <c r="I2888" s="50">
        <v>169002788</v>
      </c>
      <c r="J2888" s="96" t="s">
        <v>157</v>
      </c>
      <c r="K2888" s="49" t="s">
        <v>2504</v>
      </c>
      <c r="L2888" s="39" t="s">
        <v>2505</v>
      </c>
      <c r="M2888" s="49" t="s">
        <v>300</v>
      </c>
      <c r="N2888" s="39" t="s">
        <v>1377</v>
      </c>
      <c r="O2888" s="96" t="s">
        <v>2506</v>
      </c>
      <c r="P2888" s="49" t="s">
        <v>157</v>
      </c>
      <c r="Q2888" s="96" t="s">
        <v>104</v>
      </c>
      <c r="R2888" s="52">
        <v>6.9</v>
      </c>
      <c r="S2888" s="52">
        <f>R2888-T2888</f>
        <v>6.160714285714286</v>
      </c>
      <c r="T2888" s="52">
        <f>R2888*U2888/(U2888+100)</f>
        <v>0.7392857142857144</v>
      </c>
      <c r="U2888" s="50">
        <v>12</v>
      </c>
      <c r="V2888" s="53">
        <v>0</v>
      </c>
      <c r="W2888" s="147">
        <v>1</v>
      </c>
      <c r="X2888" s="148" t="s">
        <v>163</v>
      </c>
      <c r="Y2888" s="54">
        <f>R2888*W2888</f>
        <v>6.9</v>
      </c>
      <c r="Z2888" s="52">
        <f>S2888*W2888</f>
        <v>6.160714285714286</v>
      </c>
      <c r="AA2888" s="52">
        <f>T2888*W2888</f>
        <v>0.7392857142857144</v>
      </c>
      <c r="AB2888" s="52">
        <f>V2888*W2888</f>
        <v>0</v>
      </c>
      <c r="AC2888" s="53">
        <f>(R2888+V2888)*W2888</f>
        <v>6.9</v>
      </c>
      <c r="AD2888" s="138">
        <v>6.9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109</v>
      </c>
      <c r="F2889" s="96" t="s">
        <v>111</v>
      </c>
      <c r="G2889" s="97">
        <v>46132</v>
      </c>
      <c r="H2889" s="98">
        <v>0.7027083333333334</v>
      </c>
      <c r="I2889" s="50">
        <v>169002788</v>
      </c>
      <c r="J2889" s="96" t="s">
        <v>157</v>
      </c>
      <c r="K2889" s="49" t="s">
        <v>2504</v>
      </c>
      <c r="L2889" s="39" t="s">
        <v>2505</v>
      </c>
      <c r="M2889" s="49" t="s">
        <v>300</v>
      </c>
      <c r="N2889" s="39" t="s">
        <v>1377</v>
      </c>
      <c r="O2889" s="96" t="s">
        <v>2506</v>
      </c>
      <c r="P2889" s="49" t="s">
        <v>157</v>
      </c>
      <c r="Q2889" s="96" t="s">
        <v>104</v>
      </c>
      <c r="R2889" s="52">
        <v>6.9</v>
      </c>
      <c r="S2889" s="52">
        <f>R2889-T2889</f>
        <v>6.160714285714286</v>
      </c>
      <c r="T2889" s="52">
        <f>R2889*U2889/(U2889+100)</f>
        <v>0.7392857142857144</v>
      </c>
      <c r="U2889" s="50">
        <v>12</v>
      </c>
      <c r="V2889" s="53">
        <v>0</v>
      </c>
      <c r="W2889" s="147">
        <v>1</v>
      </c>
      <c r="X2889" s="148" t="s">
        <v>163</v>
      </c>
      <c r="Y2889" s="54">
        <f>R2889*W2889</f>
        <v>6.9</v>
      </c>
      <c r="Z2889" s="52">
        <f>S2889*W2889</f>
        <v>6.160714285714286</v>
      </c>
      <c r="AA2889" s="52">
        <f>T2889*W2889</f>
        <v>0.7392857142857144</v>
      </c>
      <c r="AB2889" s="52">
        <f>V2889*W2889</f>
        <v>0</v>
      </c>
      <c r="AC2889" s="53">
        <f>(R2889+V2889)*W2889</f>
        <v>6.9</v>
      </c>
      <c r="AD2889" s="138">
        <v>6.9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109</v>
      </c>
      <c r="F2890" s="96" t="s">
        <v>111</v>
      </c>
      <c r="G2890" s="97">
        <v>46132</v>
      </c>
      <c r="H2890" s="98">
        <v>0.7027083333333334</v>
      </c>
      <c r="I2890" s="50">
        <v>169002788</v>
      </c>
      <c r="J2890" s="96" t="s">
        <v>157</v>
      </c>
      <c r="K2890" s="49" t="s">
        <v>655</v>
      </c>
      <c r="L2890" s="39" t="s">
        <v>656</v>
      </c>
      <c r="M2890" s="49" t="s">
        <v>190</v>
      </c>
      <c r="N2890" s="39" t="s">
        <v>532</v>
      </c>
      <c r="O2890" s="96" t="s">
        <v>657</v>
      </c>
      <c r="P2890" s="49" t="s">
        <v>157</v>
      </c>
      <c r="Q2890" s="96" t="s">
        <v>104</v>
      </c>
      <c r="R2890" s="52">
        <v>17.95</v>
      </c>
      <c r="S2890" s="52">
        <f>R2890-T2890</f>
        <v>16.026785714285715</v>
      </c>
      <c r="T2890" s="52">
        <f>R2890*U2890/(U2890+100)</f>
        <v>1.9232142857142855</v>
      </c>
      <c r="U2890" s="50">
        <v>12</v>
      </c>
      <c r="V2890" s="53">
        <v>0</v>
      </c>
      <c r="W2890" s="147">
        <v>0.406</v>
      </c>
      <c r="X2890" s="148" t="s">
        <v>193</v>
      </c>
      <c r="Y2890" s="54">
        <f>R2890*W2890</f>
        <v>7.2877</v>
      </c>
      <c r="Z2890" s="52">
        <f>S2890*W2890</f>
        <v>6.506875000000001</v>
      </c>
      <c r="AA2890" s="52">
        <f>T2890*W2890</f>
        <v>0.780825</v>
      </c>
      <c r="AB2890" s="52">
        <f>V2890*W2890</f>
        <v>0</v>
      </c>
      <c r="AC2890" s="53">
        <f>(R2890+V2890)*W2890</f>
        <v>7.2877</v>
      </c>
      <c r="AD2890" s="138">
        <v>17.95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109</v>
      </c>
      <c r="F2891" s="96" t="s">
        <v>111</v>
      </c>
      <c r="G2891" s="97">
        <v>46132</v>
      </c>
      <c r="H2891" s="98">
        <v>0.7032291666666667</v>
      </c>
      <c r="I2891" s="50">
        <v>169002789</v>
      </c>
      <c r="J2891" s="96" t="s">
        <v>157</v>
      </c>
      <c r="K2891" s="49" t="s">
        <v>2007</v>
      </c>
      <c r="L2891" s="39" t="s">
        <v>2008</v>
      </c>
      <c r="M2891" s="49" t="s">
        <v>862</v>
      </c>
      <c r="N2891" s="39" t="s">
        <v>863</v>
      </c>
      <c r="O2891" s="96" t="s">
        <v>2009</v>
      </c>
      <c r="P2891" s="49" t="s">
        <v>157</v>
      </c>
      <c r="Q2891" s="96" t="s">
        <v>104</v>
      </c>
      <c r="R2891" s="52">
        <v>161</v>
      </c>
      <c r="S2891" s="52">
        <f>R2891-T2891</f>
        <v>133.05785123966942</v>
      </c>
      <c r="T2891" s="52">
        <f>R2891*U2891/(U2891+100)</f>
        <v>27.94214876033058</v>
      </c>
      <c r="U2891" s="50">
        <v>21</v>
      </c>
      <c r="V2891" s="53">
        <v>0</v>
      </c>
      <c r="W2891" s="147">
        <v>1</v>
      </c>
      <c r="X2891" s="148" t="s">
        <v>163</v>
      </c>
      <c r="Y2891" s="54">
        <f>R2891*W2891</f>
        <v>161</v>
      </c>
      <c r="Z2891" s="52">
        <f>S2891*W2891</f>
        <v>133.05785123966942</v>
      </c>
      <c r="AA2891" s="52">
        <f>T2891*W2891</f>
        <v>27.94214876033058</v>
      </c>
      <c r="AB2891" s="52">
        <f>V2891*W2891</f>
        <v>0</v>
      </c>
      <c r="AC2891" s="53">
        <f>(R2891+V2891)*W2891</f>
        <v>161</v>
      </c>
      <c r="AD2891" s="138">
        <v>161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109</v>
      </c>
      <c r="F2892" s="96" t="s">
        <v>111</v>
      </c>
      <c r="G2892" s="97">
        <v>46132</v>
      </c>
      <c r="H2892" s="98">
        <v>0.7036921296296297</v>
      </c>
      <c r="I2892" s="50">
        <v>169002790</v>
      </c>
      <c r="J2892" s="96" t="s">
        <v>157</v>
      </c>
      <c r="K2892" s="49" t="s">
        <v>2311</v>
      </c>
      <c r="L2892" s="39" t="s">
        <v>2312</v>
      </c>
      <c r="M2892" s="49" t="s">
        <v>837</v>
      </c>
      <c r="N2892" s="39" t="s">
        <v>838</v>
      </c>
      <c r="O2892" s="96" t="s">
        <v>2313</v>
      </c>
      <c r="P2892" s="49" t="s">
        <v>157</v>
      </c>
      <c r="Q2892" s="96" t="s">
        <v>104</v>
      </c>
      <c r="R2892" s="52">
        <v>99.9</v>
      </c>
      <c r="S2892" s="52">
        <f>R2892-T2892</f>
        <v>89.19642857142857</v>
      </c>
      <c r="T2892" s="52">
        <f>R2892*U2892/(U2892+100)</f>
        <v>10.703571428571431</v>
      </c>
      <c r="U2892" s="50">
        <v>12</v>
      </c>
      <c r="V2892" s="53">
        <v>0</v>
      </c>
      <c r="W2892" s="147">
        <v>1</v>
      </c>
      <c r="X2892" s="148" t="s">
        <v>163</v>
      </c>
      <c r="Y2892" s="54">
        <f>R2892*W2892</f>
        <v>99.9</v>
      </c>
      <c r="Z2892" s="52">
        <f>S2892*W2892</f>
        <v>89.19642857142857</v>
      </c>
      <c r="AA2892" s="52">
        <f>T2892*W2892</f>
        <v>10.703571428571431</v>
      </c>
      <c r="AB2892" s="52">
        <f>V2892*W2892</f>
        <v>0</v>
      </c>
      <c r="AC2892" s="53">
        <f>(R2892+V2892)*W2892</f>
        <v>99.9</v>
      </c>
      <c r="AD2892" s="138">
        <v>99.9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109</v>
      </c>
      <c r="F2893" s="96" t="s">
        <v>111</v>
      </c>
      <c r="G2893" s="97">
        <v>46132</v>
      </c>
      <c r="H2893" s="98">
        <v>0.7036921296296297</v>
      </c>
      <c r="I2893" s="50">
        <v>169002790</v>
      </c>
      <c r="J2893" s="96" t="s">
        <v>157</v>
      </c>
      <c r="K2893" s="49" t="s">
        <v>303</v>
      </c>
      <c r="L2893" s="39" t="s">
        <v>304</v>
      </c>
      <c r="M2893" s="49" t="s">
        <v>214</v>
      </c>
      <c r="N2893" s="39" t="s">
        <v>296</v>
      </c>
      <c r="O2893" s="96" t="s">
        <v>305</v>
      </c>
      <c r="P2893" s="49" t="s">
        <v>157</v>
      </c>
      <c r="Q2893" s="96" t="s">
        <v>104</v>
      </c>
      <c r="R2893" s="52">
        <v>11.9</v>
      </c>
      <c r="S2893" s="52">
        <f>R2893-T2893</f>
        <v>10.625</v>
      </c>
      <c r="T2893" s="52">
        <f>R2893*U2893/(U2893+100)</f>
        <v>1.2750000000000001</v>
      </c>
      <c r="U2893" s="50">
        <v>12</v>
      </c>
      <c r="V2893" s="53">
        <v>0</v>
      </c>
      <c r="W2893" s="147">
        <v>1</v>
      </c>
      <c r="X2893" s="148" t="s">
        <v>163</v>
      </c>
      <c r="Y2893" s="54">
        <f>R2893*W2893</f>
        <v>11.9</v>
      </c>
      <c r="Z2893" s="52">
        <f>S2893*W2893</f>
        <v>10.625</v>
      </c>
      <c r="AA2893" s="52">
        <f>T2893*W2893</f>
        <v>1.2750000000000001</v>
      </c>
      <c r="AB2893" s="52">
        <f>V2893*W2893</f>
        <v>0</v>
      </c>
      <c r="AC2893" s="53">
        <f>(R2893+V2893)*W2893</f>
        <v>11.9</v>
      </c>
      <c r="AD2893" s="138">
        <v>11.9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109</v>
      </c>
      <c r="F2894" s="96" t="s">
        <v>111</v>
      </c>
      <c r="G2894" s="97">
        <v>46132</v>
      </c>
      <c r="H2894" s="98">
        <v>0.7036921296296297</v>
      </c>
      <c r="I2894" s="50">
        <v>169002790</v>
      </c>
      <c r="J2894" s="96" t="s">
        <v>157</v>
      </c>
      <c r="K2894" s="49" t="s">
        <v>303</v>
      </c>
      <c r="L2894" s="39" t="s">
        <v>304</v>
      </c>
      <c r="M2894" s="49" t="s">
        <v>214</v>
      </c>
      <c r="N2894" s="39" t="s">
        <v>296</v>
      </c>
      <c r="O2894" s="96" t="s">
        <v>305</v>
      </c>
      <c r="P2894" s="49" t="s">
        <v>157</v>
      </c>
      <c r="Q2894" s="96" t="s">
        <v>104</v>
      </c>
      <c r="R2894" s="52">
        <v>11.9</v>
      </c>
      <c r="S2894" s="52">
        <f>R2894-T2894</f>
        <v>10.625</v>
      </c>
      <c r="T2894" s="52">
        <f>R2894*U2894/(U2894+100)</f>
        <v>1.2750000000000001</v>
      </c>
      <c r="U2894" s="50">
        <v>12</v>
      </c>
      <c r="V2894" s="53">
        <v>0</v>
      </c>
      <c r="W2894" s="147">
        <v>1</v>
      </c>
      <c r="X2894" s="148" t="s">
        <v>163</v>
      </c>
      <c r="Y2894" s="54">
        <f>R2894*W2894</f>
        <v>11.9</v>
      </c>
      <c r="Z2894" s="52">
        <f>S2894*W2894</f>
        <v>10.625</v>
      </c>
      <c r="AA2894" s="52">
        <f>T2894*W2894</f>
        <v>1.2750000000000001</v>
      </c>
      <c r="AB2894" s="52">
        <f>V2894*W2894</f>
        <v>0</v>
      </c>
      <c r="AC2894" s="53">
        <f>(R2894+V2894)*W2894</f>
        <v>11.9</v>
      </c>
      <c r="AD2894" s="138">
        <v>11.9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109</v>
      </c>
      <c r="F2895" s="96" t="s">
        <v>111</v>
      </c>
      <c r="G2895" s="97">
        <v>46132</v>
      </c>
      <c r="H2895" s="98">
        <v>0.7039930555555556</v>
      </c>
      <c r="I2895" s="50">
        <v>169002791</v>
      </c>
      <c r="J2895" s="96" t="s">
        <v>157</v>
      </c>
      <c r="K2895" s="49" t="s">
        <v>303</v>
      </c>
      <c r="L2895" s="39" t="s">
        <v>304</v>
      </c>
      <c r="M2895" s="49" t="s">
        <v>214</v>
      </c>
      <c r="N2895" s="39" t="s">
        <v>296</v>
      </c>
      <c r="O2895" s="96" t="s">
        <v>305</v>
      </c>
      <c r="P2895" s="49" t="s">
        <v>157</v>
      </c>
      <c r="Q2895" s="96" t="s">
        <v>104</v>
      </c>
      <c r="R2895" s="52">
        <v>11.9</v>
      </c>
      <c r="S2895" s="52">
        <f>R2895-T2895</f>
        <v>10.625</v>
      </c>
      <c r="T2895" s="52">
        <f>R2895*U2895/(U2895+100)</f>
        <v>1.2750000000000001</v>
      </c>
      <c r="U2895" s="50">
        <v>12</v>
      </c>
      <c r="V2895" s="53">
        <v>0</v>
      </c>
      <c r="W2895" s="147">
        <v>2</v>
      </c>
      <c r="X2895" s="148" t="s">
        <v>163</v>
      </c>
      <c r="Y2895" s="54">
        <f>R2895*W2895</f>
        <v>23.8</v>
      </c>
      <c r="Z2895" s="52">
        <f>S2895*W2895</f>
        <v>21.25</v>
      </c>
      <c r="AA2895" s="52">
        <f>T2895*W2895</f>
        <v>2.5500000000000003</v>
      </c>
      <c r="AB2895" s="52">
        <f>V2895*W2895</f>
        <v>0</v>
      </c>
      <c r="AC2895" s="53">
        <f>(R2895+V2895)*W2895</f>
        <v>23.8</v>
      </c>
      <c r="AD2895" s="138">
        <v>11.9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109</v>
      </c>
      <c r="F2896" s="96" t="s">
        <v>111</v>
      </c>
      <c r="G2896" s="97">
        <v>46132</v>
      </c>
      <c r="H2896" s="98">
        <v>0.7056597222222222</v>
      </c>
      <c r="I2896" s="50">
        <v>169002792</v>
      </c>
      <c r="J2896" s="96" t="s">
        <v>157</v>
      </c>
      <c r="K2896" s="49" t="s">
        <v>1531</v>
      </c>
      <c r="L2896" s="39"/>
      <c r="M2896" s="49" t="s">
        <v>295</v>
      </c>
      <c r="N2896" s="39" t="s">
        <v>433</v>
      </c>
      <c r="O2896" s="96" t="s">
        <v>1532</v>
      </c>
      <c r="P2896" s="49" t="s">
        <v>235</v>
      </c>
      <c r="Q2896" s="96" t="s">
        <v>1533</v>
      </c>
      <c r="R2896" s="52">
        <v>19.9</v>
      </c>
      <c r="S2896" s="52">
        <f>R2896-T2896</f>
        <v>17.767857142857142</v>
      </c>
      <c r="T2896" s="52">
        <f>R2896*U2896/(U2896+100)</f>
        <v>2.132142857142857</v>
      </c>
      <c r="U2896" s="50">
        <v>12</v>
      </c>
      <c r="V2896" s="53">
        <v>0</v>
      </c>
      <c r="W2896" s="147">
        <v>1</v>
      </c>
      <c r="X2896" s="148" t="s">
        <v>945</v>
      </c>
      <c r="Y2896" s="54">
        <f>R2896*W2896</f>
        <v>19.9</v>
      </c>
      <c r="Z2896" s="52">
        <f>S2896*W2896</f>
        <v>17.767857142857142</v>
      </c>
      <c r="AA2896" s="52">
        <f>T2896*W2896</f>
        <v>2.132142857142857</v>
      </c>
      <c r="AB2896" s="52">
        <f>V2896*W2896</f>
        <v>0</v>
      </c>
      <c r="AC2896" s="53">
        <f>(R2896+V2896)*W2896</f>
        <v>19.9</v>
      </c>
      <c r="AD2896" s="138">
        <v>19.9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109</v>
      </c>
      <c r="F2897" s="96" t="s">
        <v>111</v>
      </c>
      <c r="G2897" s="97">
        <v>46132</v>
      </c>
      <c r="H2897" s="98">
        <v>0.7061689814814814</v>
      </c>
      <c r="I2897" s="50">
        <v>169002793</v>
      </c>
      <c r="J2897" s="96" t="s">
        <v>157</v>
      </c>
      <c r="K2897" s="49" t="s">
        <v>3118</v>
      </c>
      <c r="L2897" s="39" t="s">
        <v>3119</v>
      </c>
      <c r="M2897" s="49" t="s">
        <v>466</v>
      </c>
      <c r="N2897" s="39" t="s">
        <v>228</v>
      </c>
      <c r="O2897" s="96" t="s">
        <v>3120</v>
      </c>
      <c r="P2897" s="49" t="s">
        <v>157</v>
      </c>
      <c r="Q2897" s="96" t="s">
        <v>104</v>
      </c>
      <c r="R2897" s="52">
        <v>39.9</v>
      </c>
      <c r="S2897" s="52">
        <f>R2897-T2897</f>
        <v>35.625</v>
      </c>
      <c r="T2897" s="52">
        <f>R2897*U2897/(U2897+100)</f>
        <v>4.2749999999999995</v>
      </c>
      <c r="U2897" s="50">
        <v>12</v>
      </c>
      <c r="V2897" s="53">
        <v>0</v>
      </c>
      <c r="W2897" s="147">
        <v>1</v>
      </c>
      <c r="X2897" s="148" t="s">
        <v>163</v>
      </c>
      <c r="Y2897" s="54">
        <f>R2897*W2897</f>
        <v>39.9</v>
      </c>
      <c r="Z2897" s="52">
        <f>S2897*W2897</f>
        <v>35.625</v>
      </c>
      <c r="AA2897" s="52">
        <f>T2897*W2897</f>
        <v>4.2749999999999995</v>
      </c>
      <c r="AB2897" s="52">
        <f>V2897*W2897</f>
        <v>0</v>
      </c>
      <c r="AC2897" s="53">
        <f>(R2897+V2897)*W2897</f>
        <v>39.9</v>
      </c>
      <c r="AD2897" s="138">
        <v>39.9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109</v>
      </c>
      <c r="F2898" s="96" t="s">
        <v>111</v>
      </c>
      <c r="G2898" s="97">
        <v>46132</v>
      </c>
      <c r="H2898" s="98">
        <v>0.7061689814814814</v>
      </c>
      <c r="I2898" s="50">
        <v>169002793</v>
      </c>
      <c r="J2898" s="96" t="s">
        <v>157</v>
      </c>
      <c r="K2898" s="49" t="s">
        <v>3777</v>
      </c>
      <c r="L2898" s="39" t="s">
        <v>3778</v>
      </c>
      <c r="M2898" s="49" t="s">
        <v>185</v>
      </c>
      <c r="N2898" s="39" t="s">
        <v>476</v>
      </c>
      <c r="O2898" s="96" t="s">
        <v>3779</v>
      </c>
      <c r="P2898" s="49" t="s">
        <v>157</v>
      </c>
      <c r="Q2898" s="96" t="s">
        <v>104</v>
      </c>
      <c r="R2898" s="52">
        <v>29.9</v>
      </c>
      <c r="S2898" s="52">
        <f>R2898-T2898</f>
        <v>26.69642857142857</v>
      </c>
      <c r="T2898" s="52">
        <f>R2898*U2898/(U2898+100)</f>
        <v>3.2035714285714283</v>
      </c>
      <c r="U2898" s="50">
        <v>12</v>
      </c>
      <c r="V2898" s="53">
        <v>0</v>
      </c>
      <c r="W2898" s="147">
        <v>1</v>
      </c>
      <c r="X2898" s="148" t="s">
        <v>163</v>
      </c>
      <c r="Y2898" s="54">
        <f>R2898*W2898</f>
        <v>29.9</v>
      </c>
      <c r="Z2898" s="52">
        <f>S2898*W2898</f>
        <v>26.69642857142857</v>
      </c>
      <c r="AA2898" s="52">
        <f>T2898*W2898</f>
        <v>3.2035714285714283</v>
      </c>
      <c r="AB2898" s="52">
        <f>V2898*W2898</f>
        <v>0</v>
      </c>
      <c r="AC2898" s="53">
        <f>(R2898+V2898)*W2898</f>
        <v>29.9</v>
      </c>
      <c r="AD2898" s="138">
        <v>29.9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109</v>
      </c>
      <c r="F2899" s="96" t="s">
        <v>111</v>
      </c>
      <c r="G2899" s="97">
        <v>46132</v>
      </c>
      <c r="H2899" s="98">
        <v>0.7061689814814814</v>
      </c>
      <c r="I2899" s="50">
        <v>169002793</v>
      </c>
      <c r="J2899" s="96" t="s">
        <v>157</v>
      </c>
      <c r="K2899" s="49" t="s">
        <v>2817</v>
      </c>
      <c r="L2899" s="39"/>
      <c r="M2899" s="49" t="s">
        <v>268</v>
      </c>
      <c r="N2899" s="39" t="s">
        <v>433</v>
      </c>
      <c r="O2899" s="96" t="s">
        <v>2818</v>
      </c>
      <c r="P2899" s="49" t="s">
        <v>157</v>
      </c>
      <c r="Q2899" s="96" t="s">
        <v>104</v>
      </c>
      <c r="R2899" s="52">
        <v>22.9</v>
      </c>
      <c r="S2899" s="52">
        <f>R2899-T2899</f>
        <v>20.44642857142857</v>
      </c>
      <c r="T2899" s="52">
        <f>R2899*U2899/(U2899+100)</f>
        <v>2.4535714285714283</v>
      </c>
      <c r="U2899" s="50">
        <v>12</v>
      </c>
      <c r="V2899" s="53">
        <v>0</v>
      </c>
      <c r="W2899" s="147">
        <v>1</v>
      </c>
      <c r="X2899" s="148" t="s">
        <v>945</v>
      </c>
      <c r="Y2899" s="54">
        <f>R2899*W2899</f>
        <v>22.9</v>
      </c>
      <c r="Z2899" s="52">
        <f>S2899*W2899</f>
        <v>20.44642857142857</v>
      </c>
      <c r="AA2899" s="52">
        <f>T2899*W2899</f>
        <v>2.4535714285714283</v>
      </c>
      <c r="AB2899" s="52">
        <f>V2899*W2899</f>
        <v>0</v>
      </c>
      <c r="AC2899" s="53">
        <f>(R2899+V2899)*W2899</f>
        <v>22.9</v>
      </c>
      <c r="AD2899" s="138">
        <v>22.9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109</v>
      </c>
      <c r="F2900" s="96" t="s">
        <v>111</v>
      </c>
      <c r="G2900" s="97">
        <v>46132</v>
      </c>
      <c r="H2900" s="98">
        <v>0.7066203703703704</v>
      </c>
      <c r="I2900" s="50">
        <v>169002794</v>
      </c>
      <c r="J2900" s="96" t="s">
        <v>157</v>
      </c>
      <c r="K2900" s="49" t="s">
        <v>2586</v>
      </c>
      <c r="L2900" s="39" t="s">
        <v>2587</v>
      </c>
      <c r="M2900" s="49" t="s">
        <v>1428</v>
      </c>
      <c r="N2900" s="39" t="s">
        <v>609</v>
      </c>
      <c r="O2900" s="96" t="s">
        <v>2588</v>
      </c>
      <c r="P2900" s="49" t="s">
        <v>157</v>
      </c>
      <c r="Q2900" s="96" t="s">
        <v>104</v>
      </c>
      <c r="R2900" s="52">
        <v>13.9</v>
      </c>
      <c r="S2900" s="52">
        <f>R2900-T2900</f>
        <v>12.410714285714286</v>
      </c>
      <c r="T2900" s="52">
        <f>R2900*U2900/(U2900+100)</f>
        <v>1.4892857142857143</v>
      </c>
      <c r="U2900" s="50">
        <v>12</v>
      </c>
      <c r="V2900" s="53">
        <v>0</v>
      </c>
      <c r="W2900" s="147">
        <v>1</v>
      </c>
      <c r="X2900" s="148" t="s">
        <v>163</v>
      </c>
      <c r="Y2900" s="54">
        <f>R2900*W2900</f>
        <v>13.9</v>
      </c>
      <c r="Z2900" s="52">
        <f>S2900*W2900</f>
        <v>12.410714285714286</v>
      </c>
      <c r="AA2900" s="52">
        <f>T2900*W2900</f>
        <v>1.4892857142857143</v>
      </c>
      <c r="AB2900" s="52">
        <f>V2900*W2900</f>
        <v>0</v>
      </c>
      <c r="AC2900" s="53">
        <f>(R2900+V2900)*W2900</f>
        <v>13.9</v>
      </c>
      <c r="AD2900" s="138">
        <v>13.9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109</v>
      </c>
      <c r="F2901" s="96" t="s">
        <v>111</v>
      </c>
      <c r="G2901" s="97">
        <v>46132</v>
      </c>
      <c r="H2901" s="98">
        <v>0.7066203703703704</v>
      </c>
      <c r="I2901" s="50">
        <v>169002794</v>
      </c>
      <c r="J2901" s="96" t="s">
        <v>157</v>
      </c>
      <c r="K2901" s="49" t="s">
        <v>2586</v>
      </c>
      <c r="L2901" s="39" t="s">
        <v>2587</v>
      </c>
      <c r="M2901" s="49" t="s">
        <v>1428</v>
      </c>
      <c r="N2901" s="39" t="s">
        <v>609</v>
      </c>
      <c r="O2901" s="96" t="s">
        <v>2588</v>
      </c>
      <c r="P2901" s="49" t="s">
        <v>157</v>
      </c>
      <c r="Q2901" s="96" t="s">
        <v>104</v>
      </c>
      <c r="R2901" s="52">
        <v>13.9</v>
      </c>
      <c r="S2901" s="52">
        <f>R2901-T2901</f>
        <v>12.410714285714286</v>
      </c>
      <c r="T2901" s="52">
        <f>R2901*U2901/(U2901+100)</f>
        <v>1.4892857142857143</v>
      </c>
      <c r="U2901" s="50">
        <v>12</v>
      </c>
      <c r="V2901" s="53">
        <v>0</v>
      </c>
      <c r="W2901" s="147">
        <v>1</v>
      </c>
      <c r="X2901" s="148" t="s">
        <v>163</v>
      </c>
      <c r="Y2901" s="54">
        <f>R2901*W2901</f>
        <v>13.9</v>
      </c>
      <c r="Z2901" s="52">
        <f>S2901*W2901</f>
        <v>12.410714285714286</v>
      </c>
      <c r="AA2901" s="52">
        <f>T2901*W2901</f>
        <v>1.4892857142857143</v>
      </c>
      <c r="AB2901" s="52">
        <f>V2901*W2901</f>
        <v>0</v>
      </c>
      <c r="AC2901" s="53">
        <f>(R2901+V2901)*W2901</f>
        <v>13.9</v>
      </c>
      <c r="AD2901" s="138">
        <v>13.9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109</v>
      </c>
      <c r="F2902" s="96" t="s">
        <v>111</v>
      </c>
      <c r="G2902" s="97">
        <v>46132</v>
      </c>
      <c r="H2902" s="98">
        <v>0.7066203703703704</v>
      </c>
      <c r="I2902" s="50">
        <v>169002794</v>
      </c>
      <c r="J2902" s="96" t="s">
        <v>157</v>
      </c>
      <c r="K2902" s="49" t="s">
        <v>3780</v>
      </c>
      <c r="L2902" s="39" t="s">
        <v>3781</v>
      </c>
      <c r="M2902" s="49" t="s">
        <v>2371</v>
      </c>
      <c r="N2902" s="39" t="s">
        <v>653</v>
      </c>
      <c r="O2902" s="96" t="s">
        <v>3782</v>
      </c>
      <c r="P2902" s="49" t="s">
        <v>157</v>
      </c>
      <c r="Q2902" s="96" t="s">
        <v>104</v>
      </c>
      <c r="R2902" s="52">
        <v>43.9</v>
      </c>
      <c r="S2902" s="52">
        <f>R2902-T2902</f>
        <v>36.280991735537185</v>
      </c>
      <c r="T2902" s="52">
        <f>R2902*U2902/(U2902+100)</f>
        <v>7.61900826446281</v>
      </c>
      <c r="U2902" s="50">
        <v>21</v>
      </c>
      <c r="V2902" s="53">
        <v>0</v>
      </c>
      <c r="W2902" s="147">
        <v>1</v>
      </c>
      <c r="X2902" s="148" t="s">
        <v>163</v>
      </c>
      <c r="Y2902" s="54">
        <f>R2902*W2902</f>
        <v>43.9</v>
      </c>
      <c r="Z2902" s="52">
        <f>S2902*W2902</f>
        <v>36.280991735537185</v>
      </c>
      <c r="AA2902" s="52">
        <f>T2902*W2902</f>
        <v>7.61900826446281</v>
      </c>
      <c r="AB2902" s="52">
        <f>V2902*W2902</f>
        <v>0</v>
      </c>
      <c r="AC2902" s="53">
        <f>(R2902+V2902)*W2902</f>
        <v>43.9</v>
      </c>
      <c r="AD2902" s="138">
        <v>43.9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109</v>
      </c>
      <c r="F2903" s="96" t="s">
        <v>111</v>
      </c>
      <c r="G2903" s="97">
        <v>46132</v>
      </c>
      <c r="H2903" s="98">
        <v>0.7066203703703704</v>
      </c>
      <c r="I2903" s="50">
        <v>169002794</v>
      </c>
      <c r="J2903" s="96" t="s">
        <v>157</v>
      </c>
      <c r="K2903" s="49" t="s">
        <v>183</v>
      </c>
      <c r="L2903" s="39" t="s">
        <v>184</v>
      </c>
      <c r="M2903" s="49" t="s">
        <v>185</v>
      </c>
      <c r="N2903" s="39" t="s">
        <v>186</v>
      </c>
      <c r="O2903" s="96" t="s">
        <v>988</v>
      </c>
      <c r="P2903" s="49" t="s">
        <v>157</v>
      </c>
      <c r="Q2903" s="96" t="s">
        <v>104</v>
      </c>
      <c r="R2903" s="52">
        <v>1.9</v>
      </c>
      <c r="S2903" s="52">
        <f>R2903-T2903</f>
        <v>1.5702479338842974</v>
      </c>
      <c r="T2903" s="52">
        <f>R2903*U2903/(U2903+100)</f>
        <v>0.32975206611570246</v>
      </c>
      <c r="U2903" s="50">
        <v>21</v>
      </c>
      <c r="V2903" s="53">
        <v>0</v>
      </c>
      <c r="W2903" s="147">
        <v>1</v>
      </c>
      <c r="X2903" s="148" t="s">
        <v>163</v>
      </c>
      <c r="Y2903" s="54">
        <f>R2903*W2903</f>
        <v>1.9</v>
      </c>
      <c r="Z2903" s="52">
        <f>S2903*W2903</f>
        <v>1.5702479338842974</v>
      </c>
      <c r="AA2903" s="52">
        <f>T2903*W2903</f>
        <v>0.32975206611570246</v>
      </c>
      <c r="AB2903" s="52">
        <f>V2903*W2903</f>
        <v>0</v>
      </c>
      <c r="AC2903" s="53">
        <f>(R2903+V2903)*W2903</f>
        <v>1.9</v>
      </c>
      <c r="AD2903" s="138">
        <v>1.9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109</v>
      </c>
      <c r="F2904" s="96" t="s">
        <v>111</v>
      </c>
      <c r="G2904" s="97">
        <v>46132</v>
      </c>
      <c r="H2904" s="98">
        <v>0.7066203703703704</v>
      </c>
      <c r="I2904" s="50">
        <v>169002794</v>
      </c>
      <c r="J2904" s="96" t="s">
        <v>157</v>
      </c>
      <c r="K2904" s="49" t="s">
        <v>2662</v>
      </c>
      <c r="L2904" s="39" t="s">
        <v>104</v>
      </c>
      <c r="M2904" s="49" t="s">
        <v>190</v>
      </c>
      <c r="N2904" s="39" t="s">
        <v>462</v>
      </c>
      <c r="O2904" s="96" t="s">
        <v>2663</v>
      </c>
      <c r="P2904" s="49" t="s">
        <v>157</v>
      </c>
      <c r="Q2904" s="96" t="s">
        <v>104</v>
      </c>
      <c r="R2904" s="52">
        <v>23.9</v>
      </c>
      <c r="S2904" s="52">
        <f>R2904-T2904</f>
        <v>21.33928571428571</v>
      </c>
      <c r="T2904" s="52">
        <f>R2904*U2904/(U2904+100)</f>
        <v>2.5607142857142855</v>
      </c>
      <c r="U2904" s="50">
        <v>12</v>
      </c>
      <c r="V2904" s="53">
        <v>0</v>
      </c>
      <c r="W2904" s="147">
        <v>1</v>
      </c>
      <c r="X2904" s="148" t="s">
        <v>163</v>
      </c>
      <c r="Y2904" s="54">
        <f>R2904*W2904</f>
        <v>23.9</v>
      </c>
      <c r="Z2904" s="52">
        <f>S2904*W2904</f>
        <v>21.33928571428571</v>
      </c>
      <c r="AA2904" s="52">
        <f>T2904*W2904</f>
        <v>2.5607142857142855</v>
      </c>
      <c r="AB2904" s="52">
        <f>V2904*W2904</f>
        <v>0</v>
      </c>
      <c r="AC2904" s="53">
        <f>(R2904+V2904)*W2904</f>
        <v>23.9</v>
      </c>
      <c r="AD2904" s="138">
        <v>23.9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109</v>
      </c>
      <c r="F2905" s="96" t="s">
        <v>111</v>
      </c>
      <c r="G2905" s="97">
        <v>46132</v>
      </c>
      <c r="H2905" s="98">
        <v>0.7066203703703704</v>
      </c>
      <c r="I2905" s="50">
        <v>169002794</v>
      </c>
      <c r="J2905" s="96" t="s">
        <v>157</v>
      </c>
      <c r="K2905" s="49" t="s">
        <v>303</v>
      </c>
      <c r="L2905" s="39" t="s">
        <v>304</v>
      </c>
      <c r="M2905" s="49" t="s">
        <v>214</v>
      </c>
      <c r="N2905" s="39" t="s">
        <v>296</v>
      </c>
      <c r="O2905" s="96" t="s">
        <v>305</v>
      </c>
      <c r="P2905" s="49" t="s">
        <v>157</v>
      </c>
      <c r="Q2905" s="96" t="s">
        <v>104</v>
      </c>
      <c r="R2905" s="52">
        <v>11.9</v>
      </c>
      <c r="S2905" s="52">
        <f>R2905-T2905</f>
        <v>10.625</v>
      </c>
      <c r="T2905" s="52">
        <f>R2905*U2905/(U2905+100)</f>
        <v>1.2750000000000001</v>
      </c>
      <c r="U2905" s="50">
        <v>12</v>
      </c>
      <c r="V2905" s="53">
        <v>0</v>
      </c>
      <c r="W2905" s="147">
        <v>4</v>
      </c>
      <c r="X2905" s="148" t="s">
        <v>163</v>
      </c>
      <c r="Y2905" s="54">
        <f>R2905*W2905</f>
        <v>47.6</v>
      </c>
      <c r="Z2905" s="52">
        <f>S2905*W2905</f>
        <v>42.5</v>
      </c>
      <c r="AA2905" s="52">
        <f>T2905*W2905</f>
        <v>5.1000000000000005</v>
      </c>
      <c r="AB2905" s="52">
        <f>V2905*W2905</f>
        <v>0</v>
      </c>
      <c r="AC2905" s="53">
        <f>(R2905+V2905)*W2905</f>
        <v>47.6</v>
      </c>
      <c r="AD2905" s="138">
        <v>11.9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109</v>
      </c>
      <c r="F2906" s="96" t="s">
        <v>111</v>
      </c>
      <c r="G2906" s="97">
        <v>46132</v>
      </c>
      <c r="H2906" s="98">
        <v>0.7070833333333333</v>
      </c>
      <c r="I2906" s="50">
        <v>169002795</v>
      </c>
      <c r="J2906" s="96" t="s">
        <v>157</v>
      </c>
      <c r="K2906" s="49" t="s">
        <v>3783</v>
      </c>
      <c r="L2906" s="39" t="s">
        <v>3784</v>
      </c>
      <c r="M2906" s="49" t="s">
        <v>384</v>
      </c>
      <c r="N2906" s="39" t="s">
        <v>513</v>
      </c>
      <c r="O2906" s="96" t="s">
        <v>3785</v>
      </c>
      <c r="P2906" s="49" t="s">
        <v>157</v>
      </c>
      <c r="Q2906" s="96" t="s">
        <v>104</v>
      </c>
      <c r="R2906" s="52">
        <v>49.9</v>
      </c>
      <c r="S2906" s="52">
        <f>R2906-T2906</f>
        <v>44.55357142857143</v>
      </c>
      <c r="T2906" s="52">
        <f>R2906*U2906/(U2906+100)</f>
        <v>5.346428571428571</v>
      </c>
      <c r="U2906" s="50">
        <v>12</v>
      </c>
      <c r="V2906" s="53">
        <v>0</v>
      </c>
      <c r="W2906" s="147">
        <v>1</v>
      </c>
      <c r="X2906" s="148" t="s">
        <v>163</v>
      </c>
      <c r="Y2906" s="54">
        <f>R2906*W2906</f>
        <v>49.9</v>
      </c>
      <c r="Z2906" s="52">
        <f>S2906*W2906</f>
        <v>44.55357142857143</v>
      </c>
      <c r="AA2906" s="52">
        <f>T2906*W2906</f>
        <v>5.346428571428571</v>
      </c>
      <c r="AB2906" s="52">
        <f>V2906*W2906</f>
        <v>0</v>
      </c>
      <c r="AC2906" s="53">
        <f>(R2906+V2906)*W2906</f>
        <v>49.9</v>
      </c>
      <c r="AD2906" s="138">
        <v>49.9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109</v>
      </c>
      <c r="F2907" s="96" t="s">
        <v>111</v>
      </c>
      <c r="G2907" s="97">
        <v>46132</v>
      </c>
      <c r="H2907" s="98">
        <v>0.7070833333333333</v>
      </c>
      <c r="I2907" s="50">
        <v>169002795</v>
      </c>
      <c r="J2907" s="96" t="s">
        <v>157</v>
      </c>
      <c r="K2907" s="49" t="s">
        <v>3378</v>
      </c>
      <c r="L2907" s="39" t="s">
        <v>3379</v>
      </c>
      <c r="M2907" s="49" t="s">
        <v>444</v>
      </c>
      <c r="N2907" s="39" t="s">
        <v>445</v>
      </c>
      <c r="O2907" s="96" t="s">
        <v>3380</v>
      </c>
      <c r="P2907" s="49" t="s">
        <v>157</v>
      </c>
      <c r="Q2907" s="96" t="s">
        <v>104</v>
      </c>
      <c r="R2907" s="52">
        <v>27.9</v>
      </c>
      <c r="S2907" s="52">
        <f>R2907-T2907</f>
        <v>24.910714285714285</v>
      </c>
      <c r="T2907" s="52">
        <f>R2907*U2907/(U2907+100)</f>
        <v>2.989285714285714</v>
      </c>
      <c r="U2907" s="50">
        <v>12</v>
      </c>
      <c r="V2907" s="53">
        <v>0</v>
      </c>
      <c r="W2907" s="147">
        <v>1</v>
      </c>
      <c r="X2907" s="148" t="s">
        <v>163</v>
      </c>
      <c r="Y2907" s="54">
        <f>R2907*W2907</f>
        <v>27.9</v>
      </c>
      <c r="Z2907" s="52">
        <f>S2907*W2907</f>
        <v>24.910714285714285</v>
      </c>
      <c r="AA2907" s="52">
        <f>T2907*W2907</f>
        <v>2.989285714285714</v>
      </c>
      <c r="AB2907" s="52">
        <f>V2907*W2907</f>
        <v>0</v>
      </c>
      <c r="AC2907" s="53">
        <f>(R2907+V2907)*W2907</f>
        <v>27.9</v>
      </c>
      <c r="AD2907" s="138">
        <v>27.9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109</v>
      </c>
      <c r="F2908" s="96" t="s">
        <v>111</v>
      </c>
      <c r="G2908" s="97">
        <v>46132</v>
      </c>
      <c r="H2908" s="98">
        <v>0.7070833333333333</v>
      </c>
      <c r="I2908" s="50">
        <v>169002795</v>
      </c>
      <c r="J2908" s="96" t="s">
        <v>157</v>
      </c>
      <c r="K2908" s="49" t="s">
        <v>375</v>
      </c>
      <c r="L2908" s="39" t="s">
        <v>376</v>
      </c>
      <c r="M2908" s="49" t="s">
        <v>232</v>
      </c>
      <c r="N2908" s="39" t="s">
        <v>233</v>
      </c>
      <c r="O2908" s="96" t="s">
        <v>3786</v>
      </c>
      <c r="P2908" s="49" t="s">
        <v>157</v>
      </c>
      <c r="Q2908" s="96" t="s">
        <v>104</v>
      </c>
      <c r="R2908" s="52">
        <v>29.9</v>
      </c>
      <c r="S2908" s="52">
        <f>R2908-T2908</f>
        <v>24.710743801652892</v>
      </c>
      <c r="T2908" s="52">
        <f>R2908*U2908/(U2908+100)</f>
        <v>5.189256198347107</v>
      </c>
      <c r="U2908" s="50">
        <v>21</v>
      </c>
      <c r="V2908" s="53">
        <v>0</v>
      </c>
      <c r="W2908" s="147">
        <v>1</v>
      </c>
      <c r="X2908" s="148" t="s">
        <v>163</v>
      </c>
      <c r="Y2908" s="54">
        <f>R2908*W2908</f>
        <v>29.9</v>
      </c>
      <c r="Z2908" s="52">
        <f>S2908*W2908</f>
        <v>24.710743801652892</v>
      </c>
      <c r="AA2908" s="52">
        <f>T2908*W2908</f>
        <v>5.189256198347107</v>
      </c>
      <c r="AB2908" s="52">
        <f>V2908*W2908</f>
        <v>0</v>
      </c>
      <c r="AC2908" s="53">
        <f>(R2908+V2908)*W2908</f>
        <v>29.9</v>
      </c>
      <c r="AD2908" s="138">
        <v>29.9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109</v>
      </c>
      <c r="F2909" s="96" t="s">
        <v>111</v>
      </c>
      <c r="G2909" s="97">
        <v>46132</v>
      </c>
      <c r="H2909" s="98">
        <v>0.7070833333333333</v>
      </c>
      <c r="I2909" s="50">
        <v>169002795</v>
      </c>
      <c r="J2909" s="96" t="s">
        <v>157</v>
      </c>
      <c r="K2909" s="49" t="s">
        <v>3681</v>
      </c>
      <c r="L2909" s="39" t="s">
        <v>3682</v>
      </c>
      <c r="M2909" s="49" t="s">
        <v>185</v>
      </c>
      <c r="N2909" s="39" t="s">
        <v>220</v>
      </c>
      <c r="O2909" s="96" t="s">
        <v>3683</v>
      </c>
      <c r="P2909" s="49" t="s">
        <v>157</v>
      </c>
      <c r="Q2909" s="96" t="s">
        <v>104</v>
      </c>
      <c r="R2909" s="52">
        <v>29.9</v>
      </c>
      <c r="S2909" s="52">
        <f>R2909-T2909</f>
        <v>24.710743801652892</v>
      </c>
      <c r="T2909" s="52">
        <f>R2909*U2909/(U2909+100)</f>
        <v>5.189256198347107</v>
      </c>
      <c r="U2909" s="50">
        <v>21</v>
      </c>
      <c r="V2909" s="53">
        <v>0</v>
      </c>
      <c r="W2909" s="147">
        <v>1</v>
      </c>
      <c r="X2909" s="148" t="s">
        <v>163</v>
      </c>
      <c r="Y2909" s="54">
        <f>R2909*W2909</f>
        <v>29.9</v>
      </c>
      <c r="Z2909" s="52">
        <f>S2909*W2909</f>
        <v>24.710743801652892</v>
      </c>
      <c r="AA2909" s="52">
        <f>T2909*W2909</f>
        <v>5.189256198347107</v>
      </c>
      <c r="AB2909" s="52">
        <f>V2909*W2909</f>
        <v>0</v>
      </c>
      <c r="AC2909" s="53">
        <f>(R2909+V2909)*W2909</f>
        <v>29.9</v>
      </c>
      <c r="AD2909" s="138">
        <v>29.9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109</v>
      </c>
      <c r="F2910" s="96" t="s">
        <v>111</v>
      </c>
      <c r="G2910" s="97">
        <v>46132</v>
      </c>
      <c r="H2910" s="98">
        <v>0.7070833333333333</v>
      </c>
      <c r="I2910" s="50">
        <v>169002795</v>
      </c>
      <c r="J2910" s="96" t="s">
        <v>157</v>
      </c>
      <c r="K2910" s="49" t="s">
        <v>350</v>
      </c>
      <c r="L2910" s="39" t="s">
        <v>351</v>
      </c>
      <c r="M2910" s="49" t="s">
        <v>352</v>
      </c>
      <c r="N2910" s="39" t="s">
        <v>353</v>
      </c>
      <c r="O2910" s="96" t="s">
        <v>1077</v>
      </c>
      <c r="P2910" s="49" t="s">
        <v>157</v>
      </c>
      <c r="Q2910" s="96" t="s">
        <v>104</v>
      </c>
      <c r="R2910" s="52">
        <v>27.9</v>
      </c>
      <c r="S2910" s="52">
        <f>R2910-T2910</f>
        <v>23.05785123966942</v>
      </c>
      <c r="T2910" s="52">
        <f>R2910*U2910/(U2910+100)</f>
        <v>4.842148760330578</v>
      </c>
      <c r="U2910" s="50">
        <v>21</v>
      </c>
      <c r="V2910" s="53">
        <v>0</v>
      </c>
      <c r="W2910" s="147">
        <v>1</v>
      </c>
      <c r="X2910" s="148" t="s">
        <v>163</v>
      </c>
      <c r="Y2910" s="54">
        <f>R2910*W2910</f>
        <v>27.9</v>
      </c>
      <c r="Z2910" s="52">
        <f>S2910*W2910</f>
        <v>23.05785123966942</v>
      </c>
      <c r="AA2910" s="52">
        <f>T2910*W2910</f>
        <v>4.842148760330578</v>
      </c>
      <c r="AB2910" s="52">
        <f>V2910*W2910</f>
        <v>0</v>
      </c>
      <c r="AC2910" s="53">
        <f>(R2910+V2910)*W2910</f>
        <v>27.9</v>
      </c>
      <c r="AD2910" s="138">
        <v>27.9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109</v>
      </c>
      <c r="F2911" s="96" t="s">
        <v>111</v>
      </c>
      <c r="G2911" s="97">
        <v>46132</v>
      </c>
      <c r="H2911" s="98">
        <v>0.7070833333333333</v>
      </c>
      <c r="I2911" s="50">
        <v>169002795</v>
      </c>
      <c r="J2911" s="96" t="s">
        <v>157</v>
      </c>
      <c r="K2911" s="49" t="s">
        <v>393</v>
      </c>
      <c r="L2911" s="39" t="s">
        <v>394</v>
      </c>
      <c r="M2911" s="49" t="s">
        <v>395</v>
      </c>
      <c r="N2911" s="39" t="s">
        <v>167</v>
      </c>
      <c r="O2911" s="96" t="s">
        <v>1239</v>
      </c>
      <c r="P2911" s="49" t="s">
        <v>157</v>
      </c>
      <c r="Q2911" s="96" t="s">
        <v>104</v>
      </c>
      <c r="R2911" s="52">
        <v>41.9</v>
      </c>
      <c r="S2911" s="52">
        <f>R2911-T2911</f>
        <v>34.62809917355372</v>
      </c>
      <c r="T2911" s="52">
        <f>R2911*U2911/(U2911+100)</f>
        <v>7.271900826446281</v>
      </c>
      <c r="U2911" s="50">
        <v>21</v>
      </c>
      <c r="V2911" s="53">
        <v>0</v>
      </c>
      <c r="W2911" s="147">
        <v>1</v>
      </c>
      <c r="X2911" s="148" t="s">
        <v>163</v>
      </c>
      <c r="Y2911" s="54">
        <f>R2911*W2911</f>
        <v>41.9</v>
      </c>
      <c r="Z2911" s="52">
        <f>S2911*W2911</f>
        <v>34.62809917355372</v>
      </c>
      <c r="AA2911" s="52">
        <f>T2911*W2911</f>
        <v>7.271900826446281</v>
      </c>
      <c r="AB2911" s="52">
        <f>V2911*W2911</f>
        <v>0</v>
      </c>
      <c r="AC2911" s="53">
        <f>(R2911+V2911)*W2911</f>
        <v>41.9</v>
      </c>
      <c r="AD2911" s="138">
        <v>41.9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109</v>
      </c>
      <c r="F2912" s="96" t="s">
        <v>111</v>
      </c>
      <c r="G2912" s="97">
        <v>46132</v>
      </c>
      <c r="H2912" s="98">
        <v>0.7070833333333333</v>
      </c>
      <c r="I2912" s="50">
        <v>169002795</v>
      </c>
      <c r="J2912" s="96" t="s">
        <v>157</v>
      </c>
      <c r="K2912" s="49" t="s">
        <v>2401</v>
      </c>
      <c r="L2912" s="39" t="s">
        <v>2402</v>
      </c>
      <c r="M2912" s="49" t="s">
        <v>185</v>
      </c>
      <c r="N2912" s="39" t="s">
        <v>186</v>
      </c>
      <c r="O2912" s="96" t="s">
        <v>2403</v>
      </c>
      <c r="P2912" s="49" t="s">
        <v>157</v>
      </c>
      <c r="Q2912" s="96" t="s">
        <v>104</v>
      </c>
      <c r="R2912" s="52">
        <v>6.4</v>
      </c>
      <c r="S2912" s="52">
        <f>R2912-T2912</f>
        <v>5.289256198347108</v>
      </c>
      <c r="T2912" s="52">
        <f>R2912*U2912/(U2912+100)</f>
        <v>1.1107438016528925</v>
      </c>
      <c r="U2912" s="50">
        <v>21</v>
      </c>
      <c r="V2912" s="53">
        <v>0</v>
      </c>
      <c r="W2912" s="147">
        <v>1</v>
      </c>
      <c r="X2912" s="148" t="s">
        <v>163</v>
      </c>
      <c r="Y2912" s="54">
        <f>R2912*W2912</f>
        <v>6.4</v>
      </c>
      <c r="Z2912" s="52">
        <f>S2912*W2912</f>
        <v>5.289256198347108</v>
      </c>
      <c r="AA2912" s="52">
        <f>T2912*W2912</f>
        <v>1.1107438016528925</v>
      </c>
      <c r="AB2912" s="52">
        <f>V2912*W2912</f>
        <v>0</v>
      </c>
      <c r="AC2912" s="53">
        <f>(R2912+V2912)*W2912</f>
        <v>6.4</v>
      </c>
      <c r="AD2912" s="138">
        <v>6.4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109</v>
      </c>
      <c r="F2913" s="96" t="s">
        <v>111</v>
      </c>
      <c r="G2913" s="97">
        <v>46132</v>
      </c>
      <c r="H2913" s="98">
        <v>0.7074074074074074</v>
      </c>
      <c r="I2913" s="50">
        <v>169002796</v>
      </c>
      <c r="J2913" s="96" t="s">
        <v>157</v>
      </c>
      <c r="K2913" s="49" t="s">
        <v>1826</v>
      </c>
      <c r="L2913" s="39" t="s">
        <v>1827</v>
      </c>
      <c r="M2913" s="49" t="s">
        <v>429</v>
      </c>
      <c r="N2913" s="39" t="s">
        <v>239</v>
      </c>
      <c r="O2913" s="96" t="s">
        <v>1828</v>
      </c>
      <c r="P2913" s="49" t="s">
        <v>157</v>
      </c>
      <c r="Q2913" s="96" t="s">
        <v>104</v>
      </c>
      <c r="R2913" s="52">
        <v>11.4</v>
      </c>
      <c r="S2913" s="52">
        <f>R2913-T2913</f>
        <v>10.178571428571429</v>
      </c>
      <c r="T2913" s="52">
        <f>R2913*U2913/(U2913+100)</f>
        <v>1.2214285714285715</v>
      </c>
      <c r="U2913" s="50">
        <v>12</v>
      </c>
      <c r="V2913" s="53">
        <v>0</v>
      </c>
      <c r="W2913" s="147">
        <v>1</v>
      </c>
      <c r="X2913" s="148" t="s">
        <v>163</v>
      </c>
      <c r="Y2913" s="54">
        <f>R2913*W2913</f>
        <v>11.4</v>
      </c>
      <c r="Z2913" s="52">
        <f>S2913*W2913</f>
        <v>10.178571428571429</v>
      </c>
      <c r="AA2913" s="52">
        <f>T2913*W2913</f>
        <v>1.2214285714285715</v>
      </c>
      <c r="AB2913" s="52">
        <f>V2913*W2913</f>
        <v>0</v>
      </c>
      <c r="AC2913" s="53">
        <f>(R2913+V2913)*W2913</f>
        <v>11.4</v>
      </c>
      <c r="AD2913" s="138">
        <v>11.4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109</v>
      </c>
      <c r="F2914" s="96" t="s">
        <v>111</v>
      </c>
      <c r="G2914" s="97">
        <v>46132</v>
      </c>
      <c r="H2914" s="98">
        <v>0.7074074074074074</v>
      </c>
      <c r="I2914" s="50">
        <v>169002796</v>
      </c>
      <c r="J2914" s="96" t="s">
        <v>157</v>
      </c>
      <c r="K2914" s="49" t="s">
        <v>2129</v>
      </c>
      <c r="L2914" s="39" t="s">
        <v>2130</v>
      </c>
      <c r="M2914" s="49" t="s">
        <v>722</v>
      </c>
      <c r="N2914" s="39" t="s">
        <v>476</v>
      </c>
      <c r="O2914" s="96" t="s">
        <v>2131</v>
      </c>
      <c r="P2914" s="49" t="s">
        <v>157</v>
      </c>
      <c r="Q2914" s="96" t="s">
        <v>104</v>
      </c>
      <c r="R2914" s="52">
        <v>24.9</v>
      </c>
      <c r="S2914" s="52">
        <f>R2914-T2914</f>
        <v>22.232142857142858</v>
      </c>
      <c r="T2914" s="52">
        <f>R2914*U2914/(U2914+100)</f>
        <v>2.6678571428571423</v>
      </c>
      <c r="U2914" s="50">
        <v>12</v>
      </c>
      <c r="V2914" s="53">
        <v>0</v>
      </c>
      <c r="W2914" s="147">
        <v>1</v>
      </c>
      <c r="X2914" s="148" t="s">
        <v>163</v>
      </c>
      <c r="Y2914" s="54">
        <f>R2914*W2914</f>
        <v>24.9</v>
      </c>
      <c r="Z2914" s="52">
        <f>S2914*W2914</f>
        <v>22.232142857142858</v>
      </c>
      <c r="AA2914" s="52">
        <f>T2914*W2914</f>
        <v>2.6678571428571423</v>
      </c>
      <c r="AB2914" s="52">
        <f>V2914*W2914</f>
        <v>0</v>
      </c>
      <c r="AC2914" s="53">
        <f>(R2914+V2914)*W2914</f>
        <v>24.9</v>
      </c>
      <c r="AD2914" s="138">
        <v>24.9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109</v>
      </c>
      <c r="F2915" s="96" t="s">
        <v>111</v>
      </c>
      <c r="G2915" s="97">
        <v>46132</v>
      </c>
      <c r="H2915" s="98">
        <v>0.7074074074074074</v>
      </c>
      <c r="I2915" s="50">
        <v>169002796</v>
      </c>
      <c r="J2915" s="96" t="s">
        <v>157</v>
      </c>
      <c r="K2915" s="49" t="s">
        <v>303</v>
      </c>
      <c r="L2915" s="39" t="s">
        <v>304</v>
      </c>
      <c r="M2915" s="49" t="s">
        <v>214</v>
      </c>
      <c r="N2915" s="39" t="s">
        <v>296</v>
      </c>
      <c r="O2915" s="96" t="s">
        <v>305</v>
      </c>
      <c r="P2915" s="49" t="s">
        <v>157</v>
      </c>
      <c r="Q2915" s="96" t="s">
        <v>104</v>
      </c>
      <c r="R2915" s="52">
        <v>11.9</v>
      </c>
      <c r="S2915" s="52">
        <f>R2915-T2915</f>
        <v>10.625</v>
      </c>
      <c r="T2915" s="52">
        <f>R2915*U2915/(U2915+100)</f>
        <v>1.2750000000000001</v>
      </c>
      <c r="U2915" s="50">
        <v>12</v>
      </c>
      <c r="V2915" s="53">
        <v>0</v>
      </c>
      <c r="W2915" s="147">
        <v>2</v>
      </c>
      <c r="X2915" s="148" t="s">
        <v>163</v>
      </c>
      <c r="Y2915" s="54">
        <f>R2915*W2915</f>
        <v>23.8</v>
      </c>
      <c r="Z2915" s="52">
        <f>S2915*W2915</f>
        <v>21.25</v>
      </c>
      <c r="AA2915" s="52">
        <f>T2915*W2915</f>
        <v>2.5500000000000003</v>
      </c>
      <c r="AB2915" s="52">
        <f>V2915*W2915</f>
        <v>0</v>
      </c>
      <c r="AC2915" s="53">
        <f>(R2915+V2915)*W2915</f>
        <v>23.8</v>
      </c>
      <c r="AD2915" s="138">
        <v>11.9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109</v>
      </c>
      <c r="F2916" s="96" t="s">
        <v>111</v>
      </c>
      <c r="G2916" s="97">
        <v>46132</v>
      </c>
      <c r="H2916" s="98">
        <v>0.7074074074074074</v>
      </c>
      <c r="I2916" s="50">
        <v>169002796</v>
      </c>
      <c r="J2916" s="96" t="s">
        <v>157</v>
      </c>
      <c r="K2916" s="49" t="s">
        <v>3787</v>
      </c>
      <c r="L2916" s="39" t="s">
        <v>3788</v>
      </c>
      <c r="M2916" s="49" t="s">
        <v>185</v>
      </c>
      <c r="N2916" s="39" t="s">
        <v>688</v>
      </c>
      <c r="O2916" s="96" t="s">
        <v>3789</v>
      </c>
      <c r="P2916" s="49" t="s">
        <v>157</v>
      </c>
      <c r="Q2916" s="96" t="s">
        <v>104</v>
      </c>
      <c r="R2916" s="52">
        <v>22.9</v>
      </c>
      <c r="S2916" s="52">
        <f>R2916-T2916</f>
        <v>20.44642857142857</v>
      </c>
      <c r="T2916" s="52">
        <f>R2916*U2916/(U2916+100)</f>
        <v>2.4535714285714283</v>
      </c>
      <c r="U2916" s="50">
        <v>12</v>
      </c>
      <c r="V2916" s="53">
        <v>0</v>
      </c>
      <c r="W2916" s="147">
        <v>1</v>
      </c>
      <c r="X2916" s="148" t="s">
        <v>163</v>
      </c>
      <c r="Y2916" s="54">
        <f>R2916*W2916</f>
        <v>22.9</v>
      </c>
      <c r="Z2916" s="52">
        <f>S2916*W2916</f>
        <v>20.44642857142857</v>
      </c>
      <c r="AA2916" s="52">
        <f>T2916*W2916</f>
        <v>2.4535714285714283</v>
      </c>
      <c r="AB2916" s="52">
        <f>V2916*W2916</f>
        <v>0</v>
      </c>
      <c r="AC2916" s="53">
        <f>(R2916+V2916)*W2916</f>
        <v>22.9</v>
      </c>
      <c r="AD2916" s="138">
        <v>22.9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109</v>
      </c>
      <c r="F2917" s="96" t="s">
        <v>111</v>
      </c>
      <c r="G2917" s="97">
        <v>46132</v>
      </c>
      <c r="H2917" s="98">
        <v>0.7074074074074074</v>
      </c>
      <c r="I2917" s="50">
        <v>169002796</v>
      </c>
      <c r="J2917" s="96" t="s">
        <v>157</v>
      </c>
      <c r="K2917" s="49" t="s">
        <v>3787</v>
      </c>
      <c r="L2917" s="39" t="s">
        <v>3788</v>
      </c>
      <c r="M2917" s="49" t="s">
        <v>185</v>
      </c>
      <c r="N2917" s="39" t="s">
        <v>688</v>
      </c>
      <c r="O2917" s="96" t="s">
        <v>3789</v>
      </c>
      <c r="P2917" s="49" t="s">
        <v>157</v>
      </c>
      <c r="Q2917" s="96" t="s">
        <v>104</v>
      </c>
      <c r="R2917" s="52">
        <v>22.9</v>
      </c>
      <c r="S2917" s="52">
        <f>R2917-T2917</f>
        <v>20.44642857142857</v>
      </c>
      <c r="T2917" s="52">
        <f>R2917*U2917/(U2917+100)</f>
        <v>2.4535714285714283</v>
      </c>
      <c r="U2917" s="50">
        <v>12</v>
      </c>
      <c r="V2917" s="53">
        <v>0</v>
      </c>
      <c r="W2917" s="147">
        <v>1</v>
      </c>
      <c r="X2917" s="148" t="s">
        <v>163</v>
      </c>
      <c r="Y2917" s="54">
        <f>R2917*W2917</f>
        <v>22.9</v>
      </c>
      <c r="Z2917" s="52">
        <f>S2917*W2917</f>
        <v>20.44642857142857</v>
      </c>
      <c r="AA2917" s="52">
        <f>T2917*W2917</f>
        <v>2.4535714285714283</v>
      </c>
      <c r="AB2917" s="52">
        <f>V2917*W2917</f>
        <v>0</v>
      </c>
      <c r="AC2917" s="53">
        <f>(R2917+V2917)*W2917</f>
        <v>22.9</v>
      </c>
      <c r="AD2917" s="138">
        <v>22.9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109</v>
      </c>
      <c r="F2918" s="96" t="s">
        <v>111</v>
      </c>
      <c r="G2918" s="97">
        <v>46132</v>
      </c>
      <c r="H2918" s="98">
        <v>0.7077662037037037</v>
      </c>
      <c r="I2918" s="50">
        <v>169002797</v>
      </c>
      <c r="J2918" s="96" t="s">
        <v>157</v>
      </c>
      <c r="K2918" s="49" t="s">
        <v>3790</v>
      </c>
      <c r="L2918" s="39" t="s">
        <v>3791</v>
      </c>
      <c r="M2918" s="49" t="s">
        <v>429</v>
      </c>
      <c r="N2918" s="39" t="s">
        <v>747</v>
      </c>
      <c r="O2918" s="96" t="s">
        <v>3792</v>
      </c>
      <c r="P2918" s="49" t="s">
        <v>157</v>
      </c>
      <c r="Q2918" s="96" t="s">
        <v>104</v>
      </c>
      <c r="R2918" s="52">
        <v>11.9</v>
      </c>
      <c r="S2918" s="52">
        <f>R2918-T2918</f>
        <v>10.625</v>
      </c>
      <c r="T2918" s="52">
        <f>R2918*U2918/(U2918+100)</f>
        <v>1.2750000000000001</v>
      </c>
      <c r="U2918" s="50">
        <v>12</v>
      </c>
      <c r="V2918" s="53">
        <v>0</v>
      </c>
      <c r="W2918" s="147">
        <v>1</v>
      </c>
      <c r="X2918" s="148" t="s">
        <v>163</v>
      </c>
      <c r="Y2918" s="54">
        <f>R2918*W2918</f>
        <v>11.9</v>
      </c>
      <c r="Z2918" s="52">
        <f>S2918*W2918</f>
        <v>10.625</v>
      </c>
      <c r="AA2918" s="52">
        <f>T2918*W2918</f>
        <v>1.2750000000000001</v>
      </c>
      <c r="AB2918" s="52">
        <f>V2918*W2918</f>
        <v>0</v>
      </c>
      <c r="AC2918" s="53">
        <f>(R2918+V2918)*W2918</f>
        <v>11.9</v>
      </c>
      <c r="AD2918" s="138">
        <v>11.9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109</v>
      </c>
      <c r="F2919" s="96" t="s">
        <v>111</v>
      </c>
      <c r="G2919" s="97">
        <v>46132</v>
      </c>
      <c r="H2919" s="98">
        <v>0.7077662037037037</v>
      </c>
      <c r="I2919" s="50">
        <v>169002797</v>
      </c>
      <c r="J2919" s="96" t="s">
        <v>157</v>
      </c>
      <c r="K2919" s="49" t="s">
        <v>3793</v>
      </c>
      <c r="L2919" s="39" t="s">
        <v>3794</v>
      </c>
      <c r="M2919" s="49" t="s">
        <v>527</v>
      </c>
      <c r="N2919" s="39" t="s">
        <v>906</v>
      </c>
      <c r="O2919" s="96" t="s">
        <v>3795</v>
      </c>
      <c r="P2919" s="49" t="s">
        <v>157</v>
      </c>
      <c r="Q2919" s="96" t="s">
        <v>104</v>
      </c>
      <c r="R2919" s="52">
        <v>17.9</v>
      </c>
      <c r="S2919" s="52">
        <f>R2919-T2919</f>
        <v>15.982142857142856</v>
      </c>
      <c r="T2919" s="52">
        <f>R2919*U2919/(U2919+100)</f>
        <v>1.9178571428571427</v>
      </c>
      <c r="U2919" s="50">
        <v>12</v>
      </c>
      <c r="V2919" s="53">
        <v>0</v>
      </c>
      <c r="W2919" s="147">
        <v>1</v>
      </c>
      <c r="X2919" s="148" t="s">
        <v>163</v>
      </c>
      <c r="Y2919" s="54">
        <f>R2919*W2919</f>
        <v>17.9</v>
      </c>
      <c r="Z2919" s="52">
        <f>S2919*W2919</f>
        <v>15.982142857142856</v>
      </c>
      <c r="AA2919" s="52">
        <f>T2919*W2919</f>
        <v>1.9178571428571427</v>
      </c>
      <c r="AB2919" s="52">
        <f>V2919*W2919</f>
        <v>0</v>
      </c>
      <c r="AC2919" s="53">
        <f>(R2919+V2919)*W2919</f>
        <v>17.9</v>
      </c>
      <c r="AD2919" s="138">
        <v>17.9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109</v>
      </c>
      <c r="F2920" s="96" t="s">
        <v>111</v>
      </c>
      <c r="G2920" s="97">
        <v>46132</v>
      </c>
      <c r="H2920" s="98">
        <v>0.7077662037037037</v>
      </c>
      <c r="I2920" s="50">
        <v>169002797</v>
      </c>
      <c r="J2920" s="96" t="s">
        <v>157</v>
      </c>
      <c r="K2920" s="49" t="s">
        <v>2129</v>
      </c>
      <c r="L2920" s="39" t="s">
        <v>2130</v>
      </c>
      <c r="M2920" s="49" t="s">
        <v>722</v>
      </c>
      <c r="N2920" s="39" t="s">
        <v>476</v>
      </c>
      <c r="O2920" s="96" t="s">
        <v>2131</v>
      </c>
      <c r="P2920" s="49" t="s">
        <v>157</v>
      </c>
      <c r="Q2920" s="96" t="s">
        <v>104</v>
      </c>
      <c r="R2920" s="52">
        <v>24.9</v>
      </c>
      <c r="S2920" s="52">
        <f>R2920-T2920</f>
        <v>22.232142857142858</v>
      </c>
      <c r="T2920" s="52">
        <f>R2920*U2920/(U2920+100)</f>
        <v>2.6678571428571423</v>
      </c>
      <c r="U2920" s="50">
        <v>12</v>
      </c>
      <c r="V2920" s="53">
        <v>0</v>
      </c>
      <c r="W2920" s="147">
        <v>1</v>
      </c>
      <c r="X2920" s="148" t="s">
        <v>163</v>
      </c>
      <c r="Y2920" s="54">
        <f>R2920*W2920</f>
        <v>24.9</v>
      </c>
      <c r="Z2920" s="52">
        <f>S2920*W2920</f>
        <v>22.232142857142858</v>
      </c>
      <c r="AA2920" s="52">
        <f>T2920*W2920</f>
        <v>2.6678571428571423</v>
      </c>
      <c r="AB2920" s="52">
        <f>V2920*W2920</f>
        <v>0</v>
      </c>
      <c r="AC2920" s="53">
        <f>(R2920+V2920)*W2920</f>
        <v>24.9</v>
      </c>
      <c r="AD2920" s="138">
        <v>24.9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109</v>
      </c>
      <c r="F2921" s="96" t="s">
        <v>111</v>
      </c>
      <c r="G2921" s="97">
        <v>46132</v>
      </c>
      <c r="H2921" s="98">
        <v>0.7077662037037037</v>
      </c>
      <c r="I2921" s="50">
        <v>169002797</v>
      </c>
      <c r="J2921" s="96" t="s">
        <v>157</v>
      </c>
      <c r="K2921" s="49" t="s">
        <v>3796</v>
      </c>
      <c r="L2921" s="39" t="s">
        <v>3797</v>
      </c>
      <c r="M2921" s="49" t="s">
        <v>3724</v>
      </c>
      <c r="N2921" s="39" t="s">
        <v>523</v>
      </c>
      <c r="O2921" s="96" t="s">
        <v>3798</v>
      </c>
      <c r="P2921" s="49" t="s">
        <v>157</v>
      </c>
      <c r="Q2921" s="96" t="s">
        <v>104</v>
      </c>
      <c r="R2921" s="52">
        <v>39.9</v>
      </c>
      <c r="S2921" s="52">
        <f>R2921-T2921</f>
        <v>35.625</v>
      </c>
      <c r="T2921" s="52">
        <f>R2921*U2921/(U2921+100)</f>
        <v>4.2749999999999995</v>
      </c>
      <c r="U2921" s="50">
        <v>12</v>
      </c>
      <c r="V2921" s="53">
        <v>0</v>
      </c>
      <c r="W2921" s="147">
        <v>1</v>
      </c>
      <c r="X2921" s="148" t="s">
        <v>163</v>
      </c>
      <c r="Y2921" s="54">
        <f>R2921*W2921</f>
        <v>39.9</v>
      </c>
      <c r="Z2921" s="52">
        <f>S2921*W2921</f>
        <v>35.625</v>
      </c>
      <c r="AA2921" s="52">
        <f>T2921*W2921</f>
        <v>4.2749999999999995</v>
      </c>
      <c r="AB2921" s="52">
        <f>V2921*W2921</f>
        <v>0</v>
      </c>
      <c r="AC2921" s="53">
        <f>(R2921+V2921)*W2921</f>
        <v>39.9</v>
      </c>
      <c r="AD2921" s="138">
        <v>39.9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109</v>
      </c>
      <c r="F2922" s="96" t="s">
        <v>111</v>
      </c>
      <c r="G2922" s="97">
        <v>46132</v>
      </c>
      <c r="H2922" s="98">
        <v>0.7081828703703704</v>
      </c>
      <c r="I2922" s="50">
        <v>169002798</v>
      </c>
      <c r="J2922" s="96" t="s">
        <v>157</v>
      </c>
      <c r="K2922" s="49" t="s">
        <v>3799</v>
      </c>
      <c r="L2922" s="39" t="s">
        <v>3800</v>
      </c>
      <c r="M2922" s="49" t="s">
        <v>196</v>
      </c>
      <c r="N2922" s="39" t="s">
        <v>197</v>
      </c>
      <c r="O2922" s="96" t="s">
        <v>3801</v>
      </c>
      <c r="P2922" s="49" t="s">
        <v>157</v>
      </c>
      <c r="Q2922" s="96" t="s">
        <v>104</v>
      </c>
      <c r="R2922" s="52">
        <v>17.9</v>
      </c>
      <c r="S2922" s="52">
        <f>R2922-T2922</f>
        <v>15.982142857142856</v>
      </c>
      <c r="T2922" s="52">
        <f>R2922*U2922/(U2922+100)</f>
        <v>1.9178571428571427</v>
      </c>
      <c r="U2922" s="50">
        <v>12</v>
      </c>
      <c r="V2922" s="53">
        <v>0</v>
      </c>
      <c r="W2922" s="147">
        <v>1</v>
      </c>
      <c r="X2922" s="148" t="s">
        <v>163</v>
      </c>
      <c r="Y2922" s="54">
        <f>R2922*W2922</f>
        <v>17.9</v>
      </c>
      <c r="Z2922" s="52">
        <f>S2922*W2922</f>
        <v>15.982142857142856</v>
      </c>
      <c r="AA2922" s="52">
        <f>T2922*W2922</f>
        <v>1.9178571428571427</v>
      </c>
      <c r="AB2922" s="52">
        <f>V2922*W2922</f>
        <v>0</v>
      </c>
      <c r="AC2922" s="53">
        <f>(R2922+V2922)*W2922</f>
        <v>17.9</v>
      </c>
      <c r="AD2922" s="138">
        <v>17.9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109</v>
      </c>
      <c r="F2923" s="96" t="s">
        <v>111</v>
      </c>
      <c r="G2923" s="97">
        <v>46132</v>
      </c>
      <c r="H2923" s="98">
        <v>0.7081828703703704</v>
      </c>
      <c r="I2923" s="50">
        <v>169002798</v>
      </c>
      <c r="J2923" s="96" t="s">
        <v>157</v>
      </c>
      <c r="K2923" s="49" t="s">
        <v>3083</v>
      </c>
      <c r="L2923" s="39" t="s">
        <v>3084</v>
      </c>
      <c r="M2923" s="49" t="s">
        <v>830</v>
      </c>
      <c r="N2923" s="39" t="s">
        <v>264</v>
      </c>
      <c r="O2923" s="96" t="s">
        <v>3085</v>
      </c>
      <c r="P2923" s="49" t="s">
        <v>157</v>
      </c>
      <c r="Q2923" s="96" t="s">
        <v>104</v>
      </c>
      <c r="R2923" s="52">
        <v>49.9</v>
      </c>
      <c r="S2923" s="52">
        <f>R2923-T2923</f>
        <v>44.55357142857143</v>
      </c>
      <c r="T2923" s="52">
        <f>R2923*U2923/(U2923+100)</f>
        <v>5.346428571428571</v>
      </c>
      <c r="U2923" s="50">
        <v>12</v>
      </c>
      <c r="V2923" s="53">
        <v>0</v>
      </c>
      <c r="W2923" s="147">
        <v>1</v>
      </c>
      <c r="X2923" s="148" t="s">
        <v>163</v>
      </c>
      <c r="Y2923" s="54">
        <f>R2923*W2923</f>
        <v>49.9</v>
      </c>
      <c r="Z2923" s="52">
        <f>S2923*W2923</f>
        <v>44.55357142857143</v>
      </c>
      <c r="AA2923" s="52">
        <f>T2923*W2923</f>
        <v>5.346428571428571</v>
      </c>
      <c r="AB2923" s="52">
        <f>V2923*W2923</f>
        <v>0</v>
      </c>
      <c r="AC2923" s="53">
        <f>(R2923+V2923)*W2923</f>
        <v>49.9</v>
      </c>
      <c r="AD2923" s="138">
        <v>49.9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109</v>
      </c>
      <c r="F2924" s="96" t="s">
        <v>111</v>
      </c>
      <c r="G2924" s="97">
        <v>46132</v>
      </c>
      <c r="H2924" s="98">
        <v>0.7081828703703704</v>
      </c>
      <c r="I2924" s="50">
        <v>169002798</v>
      </c>
      <c r="J2924" s="96" t="s">
        <v>157</v>
      </c>
      <c r="K2924" s="49" t="s">
        <v>3550</v>
      </c>
      <c r="L2924" s="39" t="s">
        <v>3551</v>
      </c>
      <c r="M2924" s="49" t="s">
        <v>3552</v>
      </c>
      <c r="N2924" s="39" t="s">
        <v>1467</v>
      </c>
      <c r="O2924" s="96" t="s">
        <v>3553</v>
      </c>
      <c r="P2924" s="49" t="s">
        <v>157</v>
      </c>
      <c r="Q2924" s="96" t="s">
        <v>104</v>
      </c>
      <c r="R2924" s="52">
        <v>12.4</v>
      </c>
      <c r="S2924" s="52">
        <f>R2924-T2924</f>
        <v>11.071428571428571</v>
      </c>
      <c r="T2924" s="52">
        <f>R2924*U2924/(U2924+100)</f>
        <v>1.3285714285714287</v>
      </c>
      <c r="U2924" s="50">
        <v>12</v>
      </c>
      <c r="V2924" s="53">
        <v>0</v>
      </c>
      <c r="W2924" s="147">
        <v>1</v>
      </c>
      <c r="X2924" s="148" t="s">
        <v>163</v>
      </c>
      <c r="Y2924" s="54">
        <f>R2924*W2924</f>
        <v>12.4</v>
      </c>
      <c r="Z2924" s="52">
        <f>S2924*W2924</f>
        <v>11.071428571428571</v>
      </c>
      <c r="AA2924" s="52">
        <f>T2924*W2924</f>
        <v>1.3285714285714287</v>
      </c>
      <c r="AB2924" s="52">
        <f>V2924*W2924</f>
        <v>0</v>
      </c>
      <c r="AC2924" s="53">
        <f>(R2924+V2924)*W2924</f>
        <v>12.4</v>
      </c>
      <c r="AD2924" s="138">
        <v>12.4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109</v>
      </c>
      <c r="F2925" s="96" t="s">
        <v>111</v>
      </c>
      <c r="G2925" s="97">
        <v>46132</v>
      </c>
      <c r="H2925" s="98">
        <v>0.7081828703703704</v>
      </c>
      <c r="I2925" s="50">
        <v>169002798</v>
      </c>
      <c r="J2925" s="96" t="s">
        <v>157</v>
      </c>
      <c r="K2925" s="49" t="s">
        <v>3134</v>
      </c>
      <c r="L2925" s="39" t="s">
        <v>3135</v>
      </c>
      <c r="M2925" s="49" t="s">
        <v>527</v>
      </c>
      <c r="N2925" s="39" t="s">
        <v>906</v>
      </c>
      <c r="O2925" s="96" t="s">
        <v>3136</v>
      </c>
      <c r="P2925" s="49" t="s">
        <v>157</v>
      </c>
      <c r="Q2925" s="96" t="s">
        <v>104</v>
      </c>
      <c r="R2925" s="52">
        <v>13.4</v>
      </c>
      <c r="S2925" s="52">
        <f>R2925-T2925</f>
        <v>11.964285714285715</v>
      </c>
      <c r="T2925" s="52">
        <f>R2925*U2925/(U2925+100)</f>
        <v>1.4357142857142857</v>
      </c>
      <c r="U2925" s="50">
        <v>12</v>
      </c>
      <c r="V2925" s="53">
        <v>0</v>
      </c>
      <c r="W2925" s="147">
        <v>1</v>
      </c>
      <c r="X2925" s="148" t="s">
        <v>163</v>
      </c>
      <c r="Y2925" s="54">
        <f>R2925*W2925</f>
        <v>13.4</v>
      </c>
      <c r="Z2925" s="52">
        <f>S2925*W2925</f>
        <v>11.964285714285715</v>
      </c>
      <c r="AA2925" s="52">
        <f>T2925*W2925</f>
        <v>1.4357142857142857</v>
      </c>
      <c r="AB2925" s="52">
        <f>V2925*W2925</f>
        <v>0</v>
      </c>
      <c r="AC2925" s="53">
        <f>(R2925+V2925)*W2925</f>
        <v>13.4</v>
      </c>
      <c r="AD2925" s="138">
        <v>13.4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109</v>
      </c>
      <c r="F2926" s="96" t="s">
        <v>111</v>
      </c>
      <c r="G2926" s="97">
        <v>46132</v>
      </c>
      <c r="H2926" s="98">
        <v>0.7081828703703704</v>
      </c>
      <c r="I2926" s="50">
        <v>169002798</v>
      </c>
      <c r="J2926" s="96" t="s">
        <v>157</v>
      </c>
      <c r="K2926" s="49" t="s">
        <v>3412</v>
      </c>
      <c r="L2926" s="39" t="s">
        <v>3413</v>
      </c>
      <c r="M2926" s="49" t="s">
        <v>429</v>
      </c>
      <c r="N2926" s="39" t="s">
        <v>239</v>
      </c>
      <c r="O2926" s="96" t="s">
        <v>3414</v>
      </c>
      <c r="P2926" s="49" t="s">
        <v>157</v>
      </c>
      <c r="Q2926" s="96" t="s">
        <v>104</v>
      </c>
      <c r="R2926" s="52">
        <v>14.4</v>
      </c>
      <c r="S2926" s="52">
        <f>R2926-T2926</f>
        <v>12.857142857142858</v>
      </c>
      <c r="T2926" s="52">
        <f>R2926*U2926/(U2926+100)</f>
        <v>1.542857142857143</v>
      </c>
      <c r="U2926" s="50">
        <v>12</v>
      </c>
      <c r="V2926" s="53">
        <v>0</v>
      </c>
      <c r="W2926" s="147">
        <v>1</v>
      </c>
      <c r="X2926" s="148" t="s">
        <v>163</v>
      </c>
      <c r="Y2926" s="54">
        <f>R2926*W2926</f>
        <v>14.4</v>
      </c>
      <c r="Z2926" s="52">
        <f>S2926*W2926</f>
        <v>12.857142857142858</v>
      </c>
      <c r="AA2926" s="52">
        <f>T2926*W2926</f>
        <v>1.542857142857143</v>
      </c>
      <c r="AB2926" s="52">
        <f>V2926*W2926</f>
        <v>0</v>
      </c>
      <c r="AC2926" s="53">
        <f>(R2926+V2926)*W2926</f>
        <v>14.4</v>
      </c>
      <c r="AD2926" s="138">
        <v>14.4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109</v>
      </c>
      <c r="F2927" s="96" t="s">
        <v>111</v>
      </c>
      <c r="G2927" s="97">
        <v>46132</v>
      </c>
      <c r="H2927" s="98">
        <v>0.7081828703703704</v>
      </c>
      <c r="I2927" s="50">
        <v>169002798</v>
      </c>
      <c r="J2927" s="96" t="s">
        <v>157</v>
      </c>
      <c r="K2927" s="49" t="s">
        <v>2475</v>
      </c>
      <c r="L2927" s="39" t="s">
        <v>2476</v>
      </c>
      <c r="M2927" s="49" t="s">
        <v>277</v>
      </c>
      <c r="N2927" s="39" t="s">
        <v>751</v>
      </c>
      <c r="O2927" s="96" t="s">
        <v>2477</v>
      </c>
      <c r="P2927" s="49" t="s">
        <v>235</v>
      </c>
      <c r="Q2927" s="96" t="s">
        <v>236</v>
      </c>
      <c r="R2927" s="52">
        <v>34.9</v>
      </c>
      <c r="S2927" s="52">
        <f>R2927-T2927</f>
        <v>31.160714285714285</v>
      </c>
      <c r="T2927" s="52">
        <f>R2927*U2927/(U2927+100)</f>
        <v>3.739285714285714</v>
      </c>
      <c r="U2927" s="50">
        <v>12</v>
      </c>
      <c r="V2927" s="53">
        <v>0</v>
      </c>
      <c r="W2927" s="147">
        <v>1</v>
      </c>
      <c r="X2927" s="148" t="s">
        <v>163</v>
      </c>
      <c r="Y2927" s="54">
        <f>R2927*W2927</f>
        <v>34.9</v>
      </c>
      <c r="Z2927" s="52">
        <f>S2927*W2927</f>
        <v>31.160714285714285</v>
      </c>
      <c r="AA2927" s="52">
        <f>T2927*W2927</f>
        <v>3.739285714285714</v>
      </c>
      <c r="AB2927" s="52">
        <f>V2927*W2927</f>
        <v>0</v>
      </c>
      <c r="AC2927" s="53">
        <f>(R2927+V2927)*W2927</f>
        <v>34.9</v>
      </c>
      <c r="AD2927" s="138">
        <v>34.9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109</v>
      </c>
      <c r="F2928" s="96" t="s">
        <v>111</v>
      </c>
      <c r="G2928" s="97">
        <v>46132</v>
      </c>
      <c r="H2928" s="98">
        <v>0.7081828703703704</v>
      </c>
      <c r="I2928" s="50">
        <v>169002798</v>
      </c>
      <c r="J2928" s="96" t="s">
        <v>157</v>
      </c>
      <c r="K2928" s="49" t="s">
        <v>992</v>
      </c>
      <c r="L2928" s="39" t="s">
        <v>993</v>
      </c>
      <c r="M2928" s="49" t="s">
        <v>214</v>
      </c>
      <c r="N2928" s="39" t="s">
        <v>501</v>
      </c>
      <c r="O2928" s="96" t="s">
        <v>994</v>
      </c>
      <c r="P2928" s="49" t="s">
        <v>157</v>
      </c>
      <c r="Q2928" s="96" t="s">
        <v>104</v>
      </c>
      <c r="R2928" s="52">
        <v>6.9</v>
      </c>
      <c r="S2928" s="52">
        <f>R2928-T2928</f>
        <v>6.160714285714286</v>
      </c>
      <c r="T2928" s="52">
        <f>R2928*U2928/(U2928+100)</f>
        <v>0.7392857142857144</v>
      </c>
      <c r="U2928" s="50">
        <v>12</v>
      </c>
      <c r="V2928" s="53">
        <v>0</v>
      </c>
      <c r="W2928" s="147">
        <v>4</v>
      </c>
      <c r="X2928" s="148" t="s">
        <v>163</v>
      </c>
      <c r="Y2928" s="54">
        <f>R2928*W2928</f>
        <v>27.6</v>
      </c>
      <c r="Z2928" s="52">
        <f>S2928*W2928</f>
        <v>24.642857142857142</v>
      </c>
      <c r="AA2928" s="52">
        <f>T2928*W2928</f>
        <v>2.9571428571428577</v>
      </c>
      <c r="AB2928" s="52">
        <f>V2928*W2928</f>
        <v>0</v>
      </c>
      <c r="AC2928" s="53">
        <f>(R2928+V2928)*W2928</f>
        <v>27.6</v>
      </c>
      <c r="AD2928" s="138">
        <v>6.9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109</v>
      </c>
      <c r="F2929" s="96" t="s">
        <v>111</v>
      </c>
      <c r="G2929" s="97">
        <v>46132</v>
      </c>
      <c r="H2929" s="98">
        <v>0.7084259259259259</v>
      </c>
      <c r="I2929" s="50">
        <v>169002799</v>
      </c>
      <c r="J2929" s="96" t="s">
        <v>157</v>
      </c>
      <c r="K2929" s="49" t="s">
        <v>690</v>
      </c>
      <c r="L2929" s="39" t="s">
        <v>104</v>
      </c>
      <c r="M2929" s="49" t="s">
        <v>554</v>
      </c>
      <c r="N2929" s="39" t="s">
        <v>513</v>
      </c>
      <c r="O2929" s="96" t="s">
        <v>1515</v>
      </c>
      <c r="P2929" s="49" t="s">
        <v>157</v>
      </c>
      <c r="Q2929" s="96" t="s">
        <v>104</v>
      </c>
      <c r="R2929" s="52">
        <v>39.9</v>
      </c>
      <c r="S2929" s="52">
        <f>R2929-T2929</f>
        <v>35.625</v>
      </c>
      <c r="T2929" s="52">
        <f>R2929*U2929/(U2929+100)</f>
        <v>4.2749999999999995</v>
      </c>
      <c r="U2929" s="50">
        <v>12</v>
      </c>
      <c r="V2929" s="53">
        <v>0</v>
      </c>
      <c r="W2929" s="147">
        <v>1</v>
      </c>
      <c r="X2929" s="148" t="s">
        <v>163</v>
      </c>
      <c r="Y2929" s="54">
        <f>R2929*W2929</f>
        <v>39.9</v>
      </c>
      <c r="Z2929" s="52">
        <f>S2929*W2929</f>
        <v>35.625</v>
      </c>
      <c r="AA2929" s="52">
        <f>T2929*W2929</f>
        <v>4.2749999999999995</v>
      </c>
      <c r="AB2929" s="52">
        <f>V2929*W2929</f>
        <v>0</v>
      </c>
      <c r="AC2929" s="53">
        <f>(R2929+V2929)*W2929</f>
        <v>39.9</v>
      </c>
      <c r="AD2929" s="138">
        <v>39.9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109</v>
      </c>
      <c r="F2930" s="96" t="s">
        <v>111</v>
      </c>
      <c r="G2930" s="97">
        <v>46132</v>
      </c>
      <c r="H2930" s="98">
        <v>0.7100347222222222</v>
      </c>
      <c r="I2930" s="50">
        <v>169002800</v>
      </c>
      <c r="J2930" s="96" t="s">
        <v>157</v>
      </c>
      <c r="K2930" s="49" t="s">
        <v>707</v>
      </c>
      <c r="L2930" s="39" t="s">
        <v>708</v>
      </c>
      <c r="M2930" s="49" t="s">
        <v>709</v>
      </c>
      <c r="N2930" s="39" t="s">
        <v>319</v>
      </c>
      <c r="O2930" s="96" t="s">
        <v>1504</v>
      </c>
      <c r="P2930" s="49" t="s">
        <v>235</v>
      </c>
      <c r="Q2930" s="96" t="s">
        <v>236</v>
      </c>
      <c r="R2930" s="52">
        <v>19.9</v>
      </c>
      <c r="S2930" s="52">
        <f>R2930-T2930</f>
        <v>17.767857142857142</v>
      </c>
      <c r="T2930" s="52">
        <f>R2930*U2930/(U2930+100)</f>
        <v>2.132142857142857</v>
      </c>
      <c r="U2930" s="50">
        <v>12</v>
      </c>
      <c r="V2930" s="53">
        <v>0</v>
      </c>
      <c r="W2930" s="147">
        <v>1</v>
      </c>
      <c r="X2930" s="148" t="s">
        <v>163</v>
      </c>
      <c r="Y2930" s="54">
        <f>R2930*W2930</f>
        <v>19.9</v>
      </c>
      <c r="Z2930" s="52">
        <f>S2930*W2930</f>
        <v>17.767857142857142</v>
      </c>
      <c r="AA2930" s="52">
        <f>T2930*W2930</f>
        <v>2.132142857142857</v>
      </c>
      <c r="AB2930" s="52">
        <f>V2930*W2930</f>
        <v>0</v>
      </c>
      <c r="AC2930" s="53">
        <f>(R2930+V2930)*W2930</f>
        <v>19.9</v>
      </c>
      <c r="AD2930" s="138">
        <v>19.9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109</v>
      </c>
      <c r="F2931" s="96" t="s">
        <v>111</v>
      </c>
      <c r="G2931" s="97">
        <v>46132</v>
      </c>
      <c r="H2931" s="98">
        <v>0.7100347222222222</v>
      </c>
      <c r="I2931" s="50">
        <v>169002800</v>
      </c>
      <c r="J2931" s="96" t="s">
        <v>157</v>
      </c>
      <c r="K2931" s="49" t="s">
        <v>707</v>
      </c>
      <c r="L2931" s="39" t="s">
        <v>708</v>
      </c>
      <c r="M2931" s="49" t="s">
        <v>709</v>
      </c>
      <c r="N2931" s="39" t="s">
        <v>319</v>
      </c>
      <c r="O2931" s="96" t="s">
        <v>1504</v>
      </c>
      <c r="P2931" s="49" t="s">
        <v>235</v>
      </c>
      <c r="Q2931" s="96" t="s">
        <v>236</v>
      </c>
      <c r="R2931" s="52">
        <v>19.9</v>
      </c>
      <c r="S2931" s="52">
        <f>R2931-T2931</f>
        <v>17.767857142857142</v>
      </c>
      <c r="T2931" s="52">
        <f>R2931*U2931/(U2931+100)</f>
        <v>2.132142857142857</v>
      </c>
      <c r="U2931" s="50">
        <v>12</v>
      </c>
      <c r="V2931" s="53">
        <v>0</v>
      </c>
      <c r="W2931" s="147">
        <v>1</v>
      </c>
      <c r="X2931" s="148" t="s">
        <v>163</v>
      </c>
      <c r="Y2931" s="54">
        <f>R2931*W2931</f>
        <v>19.9</v>
      </c>
      <c r="Z2931" s="52">
        <f>S2931*W2931</f>
        <v>17.767857142857142</v>
      </c>
      <c r="AA2931" s="52">
        <f>T2931*W2931</f>
        <v>2.132142857142857</v>
      </c>
      <c r="AB2931" s="52">
        <f>V2931*W2931</f>
        <v>0</v>
      </c>
      <c r="AC2931" s="53">
        <f>(R2931+V2931)*W2931</f>
        <v>19.9</v>
      </c>
      <c r="AD2931" s="138">
        <v>19.9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109</v>
      </c>
      <c r="F2932" s="96" t="s">
        <v>111</v>
      </c>
      <c r="G2932" s="97">
        <v>46132</v>
      </c>
      <c r="H2932" s="98">
        <v>0.7100347222222222</v>
      </c>
      <c r="I2932" s="50">
        <v>169002800</v>
      </c>
      <c r="J2932" s="96" t="s">
        <v>157</v>
      </c>
      <c r="K2932" s="49" t="s">
        <v>707</v>
      </c>
      <c r="L2932" s="39" t="s">
        <v>708</v>
      </c>
      <c r="M2932" s="49" t="s">
        <v>709</v>
      </c>
      <c r="N2932" s="39" t="s">
        <v>319</v>
      </c>
      <c r="O2932" s="96" t="s">
        <v>1504</v>
      </c>
      <c r="P2932" s="49" t="s">
        <v>235</v>
      </c>
      <c r="Q2932" s="96" t="s">
        <v>236</v>
      </c>
      <c r="R2932" s="52">
        <v>19.9</v>
      </c>
      <c r="S2932" s="52">
        <f>R2932-T2932</f>
        <v>17.767857142857142</v>
      </c>
      <c r="T2932" s="52">
        <f>R2932*U2932/(U2932+100)</f>
        <v>2.132142857142857</v>
      </c>
      <c r="U2932" s="50">
        <v>12</v>
      </c>
      <c r="V2932" s="53">
        <v>0</v>
      </c>
      <c r="W2932" s="147">
        <v>1</v>
      </c>
      <c r="X2932" s="148" t="s">
        <v>163</v>
      </c>
      <c r="Y2932" s="54">
        <f>R2932*W2932</f>
        <v>19.9</v>
      </c>
      <c r="Z2932" s="52">
        <f>S2932*W2932</f>
        <v>17.767857142857142</v>
      </c>
      <c r="AA2932" s="52">
        <f>T2932*W2932</f>
        <v>2.132142857142857</v>
      </c>
      <c r="AB2932" s="52">
        <f>V2932*W2932</f>
        <v>0</v>
      </c>
      <c r="AC2932" s="53">
        <f>(R2932+V2932)*W2932</f>
        <v>19.9</v>
      </c>
      <c r="AD2932" s="138">
        <v>19.9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109</v>
      </c>
      <c r="F2933" s="96" t="s">
        <v>111</v>
      </c>
      <c r="G2933" s="97">
        <v>46132</v>
      </c>
      <c r="H2933" s="98">
        <v>0.7100347222222222</v>
      </c>
      <c r="I2933" s="50">
        <v>169002800</v>
      </c>
      <c r="J2933" s="96" t="s">
        <v>157</v>
      </c>
      <c r="K2933" s="49" t="s">
        <v>2480</v>
      </c>
      <c r="L2933" s="39" t="s">
        <v>2481</v>
      </c>
      <c r="M2933" s="49" t="s">
        <v>277</v>
      </c>
      <c r="N2933" s="39" t="s">
        <v>751</v>
      </c>
      <c r="O2933" s="96" t="s">
        <v>2482</v>
      </c>
      <c r="P2933" s="49" t="s">
        <v>235</v>
      </c>
      <c r="Q2933" s="96" t="s">
        <v>236</v>
      </c>
      <c r="R2933" s="52">
        <v>34.9</v>
      </c>
      <c r="S2933" s="52">
        <f>R2933-T2933</f>
        <v>31.160714285714285</v>
      </c>
      <c r="T2933" s="52">
        <f>R2933*U2933/(U2933+100)</f>
        <v>3.739285714285714</v>
      </c>
      <c r="U2933" s="50">
        <v>12</v>
      </c>
      <c r="V2933" s="53">
        <v>0</v>
      </c>
      <c r="W2933" s="147">
        <v>1</v>
      </c>
      <c r="X2933" s="148" t="s">
        <v>163</v>
      </c>
      <c r="Y2933" s="54">
        <f>R2933*W2933</f>
        <v>34.9</v>
      </c>
      <c r="Z2933" s="52">
        <f>S2933*W2933</f>
        <v>31.160714285714285</v>
      </c>
      <c r="AA2933" s="52">
        <f>T2933*W2933</f>
        <v>3.739285714285714</v>
      </c>
      <c r="AB2933" s="52">
        <f>V2933*W2933</f>
        <v>0</v>
      </c>
      <c r="AC2933" s="53">
        <f>(R2933+V2933)*W2933</f>
        <v>34.9</v>
      </c>
      <c r="AD2933" s="138">
        <v>34.9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109</v>
      </c>
      <c r="F2934" s="96" t="s">
        <v>111</v>
      </c>
      <c r="G2934" s="97">
        <v>46132</v>
      </c>
      <c r="H2934" s="98">
        <v>0.7100347222222222</v>
      </c>
      <c r="I2934" s="50">
        <v>169002800</v>
      </c>
      <c r="J2934" s="96" t="s">
        <v>157</v>
      </c>
      <c r="K2934" s="49" t="s">
        <v>680</v>
      </c>
      <c r="L2934" s="39" t="s">
        <v>681</v>
      </c>
      <c r="M2934" s="49" t="s">
        <v>190</v>
      </c>
      <c r="N2934" s="39" t="s">
        <v>532</v>
      </c>
      <c r="O2934" s="96" t="s">
        <v>682</v>
      </c>
      <c r="P2934" s="49" t="s">
        <v>157</v>
      </c>
      <c r="Q2934" s="96" t="s">
        <v>104</v>
      </c>
      <c r="R2934" s="52">
        <v>24.9</v>
      </c>
      <c r="S2934" s="52">
        <f>R2934-T2934</f>
        <v>22.232142857142858</v>
      </c>
      <c r="T2934" s="52">
        <f>R2934*U2934/(U2934+100)</f>
        <v>2.6678571428571423</v>
      </c>
      <c r="U2934" s="50">
        <v>12</v>
      </c>
      <c r="V2934" s="53">
        <v>0</v>
      </c>
      <c r="W2934" s="147">
        <v>0.604</v>
      </c>
      <c r="X2934" s="148" t="s">
        <v>193</v>
      </c>
      <c r="Y2934" s="54">
        <f>R2934*W2934</f>
        <v>15.039599999999998</v>
      </c>
      <c r="Z2934" s="52">
        <f>S2934*W2934</f>
        <v>13.428214285714285</v>
      </c>
      <c r="AA2934" s="52">
        <f>T2934*W2934</f>
        <v>1.611385714285714</v>
      </c>
      <c r="AB2934" s="52">
        <f>V2934*W2934</f>
        <v>0</v>
      </c>
      <c r="AC2934" s="53">
        <f>(R2934+V2934)*W2934</f>
        <v>15.039599999999998</v>
      </c>
      <c r="AD2934" s="138">
        <v>24.9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109</v>
      </c>
      <c r="F2935" s="96" t="s">
        <v>111</v>
      </c>
      <c r="G2935" s="97">
        <v>46132</v>
      </c>
      <c r="H2935" s="98">
        <v>0.7100347222222222</v>
      </c>
      <c r="I2935" s="50">
        <v>169002800</v>
      </c>
      <c r="J2935" s="96" t="s">
        <v>157</v>
      </c>
      <c r="K2935" s="49" t="s">
        <v>942</v>
      </c>
      <c r="L2935" s="39"/>
      <c r="M2935" s="49" t="s">
        <v>295</v>
      </c>
      <c r="N2935" s="39" t="s">
        <v>433</v>
      </c>
      <c r="O2935" s="96" t="s">
        <v>1332</v>
      </c>
      <c r="P2935" s="49" t="s">
        <v>235</v>
      </c>
      <c r="Q2935" s="96" t="s">
        <v>944</v>
      </c>
      <c r="R2935" s="52">
        <v>9.9</v>
      </c>
      <c r="S2935" s="52">
        <f>R2935-T2935</f>
        <v>8.839285714285715</v>
      </c>
      <c r="T2935" s="52">
        <f>R2935*U2935/(U2935+100)</f>
        <v>1.0607142857142857</v>
      </c>
      <c r="U2935" s="50">
        <v>12</v>
      </c>
      <c r="V2935" s="53">
        <v>0</v>
      </c>
      <c r="W2935" s="147">
        <v>1</v>
      </c>
      <c r="X2935" s="148" t="s">
        <v>945</v>
      </c>
      <c r="Y2935" s="54">
        <f>R2935*W2935</f>
        <v>9.9</v>
      </c>
      <c r="Z2935" s="52">
        <f>S2935*W2935</f>
        <v>8.839285714285715</v>
      </c>
      <c r="AA2935" s="52">
        <f>T2935*W2935</f>
        <v>1.0607142857142857</v>
      </c>
      <c r="AB2935" s="52">
        <f>V2935*W2935</f>
        <v>0</v>
      </c>
      <c r="AC2935" s="53">
        <f>(R2935+V2935)*W2935</f>
        <v>9.9</v>
      </c>
      <c r="AD2935" s="138">
        <v>9.9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109</v>
      </c>
      <c r="F2936" s="96" t="s">
        <v>111</v>
      </c>
      <c r="G2936" s="97">
        <v>46132</v>
      </c>
      <c r="H2936" s="98">
        <v>0.710300925925926</v>
      </c>
      <c r="I2936" s="50">
        <v>169002801</v>
      </c>
      <c r="J2936" s="96" t="s">
        <v>157</v>
      </c>
      <c r="K2936" s="49" t="s">
        <v>3802</v>
      </c>
      <c r="L2936" s="39" t="s">
        <v>3803</v>
      </c>
      <c r="M2936" s="49" t="s">
        <v>277</v>
      </c>
      <c r="N2936" s="39" t="s">
        <v>1088</v>
      </c>
      <c r="O2936" s="96" t="s">
        <v>3804</v>
      </c>
      <c r="P2936" s="49" t="s">
        <v>157</v>
      </c>
      <c r="Q2936" s="96" t="s">
        <v>104</v>
      </c>
      <c r="R2936" s="52">
        <v>369.9</v>
      </c>
      <c r="S2936" s="52">
        <f>R2936-T2936</f>
        <v>330.2678571428571</v>
      </c>
      <c r="T2936" s="52">
        <f>R2936*U2936/(U2936+100)</f>
        <v>39.63214285714285</v>
      </c>
      <c r="U2936" s="50">
        <v>12</v>
      </c>
      <c r="V2936" s="53">
        <v>0</v>
      </c>
      <c r="W2936" s="147">
        <v>0.108</v>
      </c>
      <c r="X2936" s="148" t="s">
        <v>193</v>
      </c>
      <c r="Y2936" s="54">
        <f>R2936*W2936</f>
        <v>39.9492</v>
      </c>
      <c r="Z2936" s="52">
        <f>S2936*W2936</f>
        <v>35.668928571428566</v>
      </c>
      <c r="AA2936" s="52">
        <f>T2936*W2936</f>
        <v>4.280271428571428</v>
      </c>
      <c r="AB2936" s="52">
        <f>V2936*W2936</f>
        <v>0</v>
      </c>
      <c r="AC2936" s="53">
        <f>(R2936+V2936)*W2936</f>
        <v>39.9492</v>
      </c>
      <c r="AD2936" s="138">
        <v>369.9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109</v>
      </c>
      <c r="F2937" s="96" t="s">
        <v>111</v>
      </c>
      <c r="G2937" s="97">
        <v>46132</v>
      </c>
      <c r="H2937" s="98">
        <v>0.710625</v>
      </c>
      <c r="I2937" s="50">
        <v>169002802</v>
      </c>
      <c r="J2937" s="96" t="s">
        <v>157</v>
      </c>
      <c r="K2937" s="49" t="s">
        <v>1188</v>
      </c>
      <c r="L2937" s="39" t="s">
        <v>1189</v>
      </c>
      <c r="M2937" s="49" t="s">
        <v>522</v>
      </c>
      <c r="N2937" s="39" t="s">
        <v>688</v>
      </c>
      <c r="O2937" s="96" t="s">
        <v>1190</v>
      </c>
      <c r="P2937" s="49" t="s">
        <v>157</v>
      </c>
      <c r="Q2937" s="96" t="s">
        <v>104</v>
      </c>
      <c r="R2937" s="52">
        <v>154.9</v>
      </c>
      <c r="S2937" s="52">
        <f>R2937-T2937</f>
        <v>138.30357142857144</v>
      </c>
      <c r="T2937" s="52">
        <f>R2937*U2937/(U2937+100)</f>
        <v>16.59642857142857</v>
      </c>
      <c r="U2937" s="50">
        <v>12</v>
      </c>
      <c r="V2937" s="53">
        <v>0</v>
      </c>
      <c r="W2937" s="147">
        <v>0.112</v>
      </c>
      <c r="X2937" s="148" t="s">
        <v>193</v>
      </c>
      <c r="Y2937" s="54">
        <f>R2937*W2937</f>
        <v>17.3488</v>
      </c>
      <c r="Z2937" s="52">
        <f>S2937*W2937</f>
        <v>15.490000000000002</v>
      </c>
      <c r="AA2937" s="52">
        <f>T2937*W2937</f>
        <v>1.8588</v>
      </c>
      <c r="AB2937" s="52">
        <f>V2937*W2937</f>
        <v>0</v>
      </c>
      <c r="AC2937" s="53">
        <f>(R2937+V2937)*W2937</f>
        <v>17.3488</v>
      </c>
      <c r="AD2937" s="138">
        <v>154.9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109</v>
      </c>
      <c r="F2938" s="96" t="s">
        <v>111</v>
      </c>
      <c r="G2938" s="97">
        <v>46132</v>
      </c>
      <c r="H2938" s="98">
        <v>0.7116666666666667</v>
      </c>
      <c r="I2938" s="50">
        <v>169002803</v>
      </c>
      <c r="J2938" s="96" t="s">
        <v>157</v>
      </c>
      <c r="K2938" s="49" t="s">
        <v>2755</v>
      </c>
      <c r="L2938" s="39" t="s">
        <v>2756</v>
      </c>
      <c r="M2938" s="49" t="s">
        <v>219</v>
      </c>
      <c r="N2938" s="39" t="s">
        <v>244</v>
      </c>
      <c r="O2938" s="96" t="s">
        <v>2757</v>
      </c>
      <c r="P2938" s="49" t="s">
        <v>157</v>
      </c>
      <c r="Q2938" s="96" t="s">
        <v>104</v>
      </c>
      <c r="R2938" s="52">
        <v>45.9</v>
      </c>
      <c r="S2938" s="52">
        <f>R2938-T2938</f>
        <v>40.982142857142854</v>
      </c>
      <c r="T2938" s="52">
        <f>R2938*U2938/(U2938+100)</f>
        <v>4.917857142857143</v>
      </c>
      <c r="U2938" s="50">
        <v>12</v>
      </c>
      <c r="V2938" s="53">
        <v>0</v>
      </c>
      <c r="W2938" s="147">
        <v>1</v>
      </c>
      <c r="X2938" s="148" t="s">
        <v>163</v>
      </c>
      <c r="Y2938" s="54">
        <f>R2938*W2938</f>
        <v>45.9</v>
      </c>
      <c r="Z2938" s="52">
        <f>S2938*W2938</f>
        <v>40.982142857142854</v>
      </c>
      <c r="AA2938" s="52">
        <f>T2938*W2938</f>
        <v>4.917857142857143</v>
      </c>
      <c r="AB2938" s="52">
        <f>V2938*W2938</f>
        <v>0</v>
      </c>
      <c r="AC2938" s="53">
        <f>(R2938+V2938)*W2938</f>
        <v>45.9</v>
      </c>
      <c r="AD2938" s="138">
        <v>45.9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109</v>
      </c>
      <c r="F2939" s="96" t="s">
        <v>111</v>
      </c>
      <c r="G2939" s="97">
        <v>46132</v>
      </c>
      <c r="H2939" s="98">
        <v>0.7120601851851852</v>
      </c>
      <c r="I2939" s="50">
        <v>169002804</v>
      </c>
      <c r="J2939" s="96" t="s">
        <v>157</v>
      </c>
      <c r="K2939" s="49" t="s">
        <v>1037</v>
      </c>
      <c r="L2939" s="39" t="s">
        <v>1038</v>
      </c>
      <c r="M2939" s="49" t="s">
        <v>185</v>
      </c>
      <c r="N2939" s="39" t="s">
        <v>433</v>
      </c>
      <c r="O2939" s="96" t="s">
        <v>1039</v>
      </c>
      <c r="P2939" s="49" t="s">
        <v>157</v>
      </c>
      <c r="Q2939" s="96" t="s">
        <v>104</v>
      </c>
      <c r="R2939" s="52">
        <v>29.9</v>
      </c>
      <c r="S2939" s="52">
        <f>R2939-T2939</f>
        <v>26.69642857142857</v>
      </c>
      <c r="T2939" s="52">
        <f>R2939*U2939/(U2939+100)</f>
        <v>3.2035714285714283</v>
      </c>
      <c r="U2939" s="50">
        <v>12</v>
      </c>
      <c r="V2939" s="53">
        <v>0</v>
      </c>
      <c r="W2939" s="147">
        <v>1</v>
      </c>
      <c r="X2939" s="148" t="s">
        <v>163</v>
      </c>
      <c r="Y2939" s="54">
        <f>R2939*W2939</f>
        <v>29.9</v>
      </c>
      <c r="Z2939" s="52">
        <f>S2939*W2939</f>
        <v>26.69642857142857</v>
      </c>
      <c r="AA2939" s="52">
        <f>T2939*W2939</f>
        <v>3.2035714285714283</v>
      </c>
      <c r="AB2939" s="52">
        <f>V2939*W2939</f>
        <v>0</v>
      </c>
      <c r="AC2939" s="53">
        <f>(R2939+V2939)*W2939</f>
        <v>29.9</v>
      </c>
      <c r="AD2939" s="138">
        <v>29.9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109</v>
      </c>
      <c r="F2940" s="96" t="s">
        <v>111</v>
      </c>
      <c r="G2940" s="97">
        <v>46132</v>
      </c>
      <c r="H2940" s="98">
        <v>0.7127662037037037</v>
      </c>
      <c r="I2940" s="50">
        <v>169002805</v>
      </c>
      <c r="J2940" s="96" t="s">
        <v>157</v>
      </c>
      <c r="K2940" s="49" t="s">
        <v>2653</v>
      </c>
      <c r="L2940" s="39" t="s">
        <v>2654</v>
      </c>
      <c r="M2940" s="49" t="s">
        <v>255</v>
      </c>
      <c r="N2940" s="39" t="s">
        <v>256</v>
      </c>
      <c r="O2940" s="96" t="s">
        <v>2655</v>
      </c>
      <c r="P2940" s="49" t="s">
        <v>157</v>
      </c>
      <c r="Q2940" s="96" t="s">
        <v>104</v>
      </c>
      <c r="R2940" s="52">
        <v>23.9</v>
      </c>
      <c r="S2940" s="52">
        <f>R2940-T2940</f>
        <v>19.752066115702476</v>
      </c>
      <c r="T2940" s="52">
        <f>R2940*U2940/(U2940+100)</f>
        <v>4.147933884297521</v>
      </c>
      <c r="U2940" s="50">
        <v>21</v>
      </c>
      <c r="V2940" s="53">
        <v>0</v>
      </c>
      <c r="W2940" s="147">
        <v>1</v>
      </c>
      <c r="X2940" s="148" t="s">
        <v>163</v>
      </c>
      <c r="Y2940" s="54">
        <f>R2940*W2940</f>
        <v>23.9</v>
      </c>
      <c r="Z2940" s="52">
        <f>S2940*W2940</f>
        <v>19.752066115702476</v>
      </c>
      <c r="AA2940" s="52">
        <f>T2940*W2940</f>
        <v>4.147933884297521</v>
      </c>
      <c r="AB2940" s="52">
        <f>V2940*W2940</f>
        <v>0</v>
      </c>
      <c r="AC2940" s="53">
        <f>(R2940+V2940)*W2940</f>
        <v>23.9</v>
      </c>
      <c r="AD2940" s="138">
        <v>23.9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109</v>
      </c>
      <c r="F2941" s="96" t="s">
        <v>111</v>
      </c>
      <c r="G2941" s="97">
        <v>46132</v>
      </c>
      <c r="H2941" s="98">
        <v>0.7127662037037037</v>
      </c>
      <c r="I2941" s="50">
        <v>169002805</v>
      </c>
      <c r="J2941" s="96" t="s">
        <v>157</v>
      </c>
      <c r="K2941" s="49" t="s">
        <v>3174</v>
      </c>
      <c r="L2941" s="39" t="s">
        <v>3175</v>
      </c>
      <c r="M2941" s="49" t="s">
        <v>972</v>
      </c>
      <c r="N2941" s="39" t="s">
        <v>256</v>
      </c>
      <c r="O2941" s="96" t="s">
        <v>3176</v>
      </c>
      <c r="P2941" s="49" t="s">
        <v>157</v>
      </c>
      <c r="Q2941" s="96" t="s">
        <v>104</v>
      </c>
      <c r="R2941" s="52">
        <v>39.9</v>
      </c>
      <c r="S2941" s="52">
        <f>R2941-T2941</f>
        <v>32.97520661157024</v>
      </c>
      <c r="T2941" s="52">
        <f>R2941*U2941/(U2941+100)</f>
        <v>6.924793388429752</v>
      </c>
      <c r="U2941" s="50">
        <v>21</v>
      </c>
      <c r="V2941" s="53">
        <v>0</v>
      </c>
      <c r="W2941" s="147">
        <v>1</v>
      </c>
      <c r="X2941" s="148" t="s">
        <v>163</v>
      </c>
      <c r="Y2941" s="54">
        <f>R2941*W2941</f>
        <v>39.9</v>
      </c>
      <c r="Z2941" s="52">
        <f>S2941*W2941</f>
        <v>32.97520661157024</v>
      </c>
      <c r="AA2941" s="52">
        <f>T2941*W2941</f>
        <v>6.924793388429752</v>
      </c>
      <c r="AB2941" s="52">
        <f>V2941*W2941</f>
        <v>0</v>
      </c>
      <c r="AC2941" s="53">
        <f>(R2941+V2941)*W2941</f>
        <v>39.9</v>
      </c>
      <c r="AD2941" s="138">
        <v>39.9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109</v>
      </c>
      <c r="F2942" s="96" t="s">
        <v>111</v>
      </c>
      <c r="G2942" s="97">
        <v>46132</v>
      </c>
      <c r="H2942" s="98">
        <v>0.7127662037037037</v>
      </c>
      <c r="I2942" s="50">
        <v>169002805</v>
      </c>
      <c r="J2942" s="96" t="s">
        <v>157</v>
      </c>
      <c r="K2942" s="49" t="s">
        <v>1148</v>
      </c>
      <c r="L2942" s="39" t="s">
        <v>1149</v>
      </c>
      <c r="M2942" s="49" t="s">
        <v>862</v>
      </c>
      <c r="N2942" s="39" t="s">
        <v>863</v>
      </c>
      <c r="O2942" s="96" t="s">
        <v>1150</v>
      </c>
      <c r="P2942" s="49" t="s">
        <v>157</v>
      </c>
      <c r="Q2942" s="96" t="s">
        <v>104</v>
      </c>
      <c r="R2942" s="52">
        <v>145</v>
      </c>
      <c r="S2942" s="52">
        <f>R2942-T2942</f>
        <v>119.83471074380165</v>
      </c>
      <c r="T2942" s="52">
        <f>R2942*U2942/(U2942+100)</f>
        <v>25.165289256198346</v>
      </c>
      <c r="U2942" s="50">
        <v>21</v>
      </c>
      <c r="V2942" s="53">
        <v>0</v>
      </c>
      <c r="W2942" s="147">
        <v>1</v>
      </c>
      <c r="X2942" s="148" t="s">
        <v>163</v>
      </c>
      <c r="Y2942" s="54">
        <f>R2942*W2942</f>
        <v>145</v>
      </c>
      <c r="Z2942" s="52">
        <f>S2942*W2942</f>
        <v>119.83471074380165</v>
      </c>
      <c r="AA2942" s="52">
        <f>T2942*W2942</f>
        <v>25.165289256198346</v>
      </c>
      <c r="AB2942" s="52">
        <f>V2942*W2942</f>
        <v>0</v>
      </c>
      <c r="AC2942" s="53">
        <f>(R2942+V2942)*W2942</f>
        <v>145</v>
      </c>
      <c r="AD2942" s="138">
        <v>145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109</v>
      </c>
      <c r="F2943" s="96" t="s">
        <v>111</v>
      </c>
      <c r="G2943" s="97">
        <v>46132</v>
      </c>
      <c r="H2943" s="98">
        <v>0.7134837962962963</v>
      </c>
      <c r="I2943" s="50">
        <v>169002806</v>
      </c>
      <c r="J2943" s="96" t="s">
        <v>157</v>
      </c>
      <c r="K2943" s="49" t="s">
        <v>1968</v>
      </c>
      <c r="L2943" s="39" t="s">
        <v>1969</v>
      </c>
      <c r="M2943" s="49" t="s">
        <v>425</v>
      </c>
      <c r="N2943" s="39" t="s">
        <v>197</v>
      </c>
      <c r="O2943" s="96" t="s">
        <v>1970</v>
      </c>
      <c r="P2943" s="49" t="s">
        <v>235</v>
      </c>
      <c r="Q2943" s="96" t="s">
        <v>236</v>
      </c>
      <c r="R2943" s="52">
        <v>5.9</v>
      </c>
      <c r="S2943" s="52">
        <f>R2943-T2943</f>
        <v>5.267857142857143</v>
      </c>
      <c r="T2943" s="52">
        <f>R2943*U2943/(U2943+100)</f>
        <v>0.6321428571428572</v>
      </c>
      <c r="U2943" s="50">
        <v>12</v>
      </c>
      <c r="V2943" s="53">
        <v>0</v>
      </c>
      <c r="W2943" s="147">
        <v>1</v>
      </c>
      <c r="X2943" s="148" t="s">
        <v>163</v>
      </c>
      <c r="Y2943" s="54">
        <f>R2943*W2943</f>
        <v>5.9</v>
      </c>
      <c r="Z2943" s="52">
        <f>S2943*W2943</f>
        <v>5.267857142857143</v>
      </c>
      <c r="AA2943" s="52">
        <f>T2943*W2943</f>
        <v>0.6321428571428572</v>
      </c>
      <c r="AB2943" s="52">
        <f>V2943*W2943</f>
        <v>0</v>
      </c>
      <c r="AC2943" s="53">
        <f>(R2943+V2943)*W2943</f>
        <v>5.9</v>
      </c>
      <c r="AD2943" s="138">
        <v>5.9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109</v>
      </c>
      <c r="F2944" s="96" t="s">
        <v>111</v>
      </c>
      <c r="G2944" s="97">
        <v>46132</v>
      </c>
      <c r="H2944" s="98">
        <v>0.7134837962962963</v>
      </c>
      <c r="I2944" s="50">
        <v>169002806</v>
      </c>
      <c r="J2944" s="96" t="s">
        <v>157</v>
      </c>
      <c r="K2944" s="49" t="s">
        <v>222</v>
      </c>
      <c r="L2944" s="39" t="s">
        <v>223</v>
      </c>
      <c r="M2944" s="49" t="s">
        <v>224</v>
      </c>
      <c r="N2944" s="39" t="s">
        <v>167</v>
      </c>
      <c r="O2944" s="96" t="s">
        <v>3401</v>
      </c>
      <c r="P2944" s="49" t="s">
        <v>157</v>
      </c>
      <c r="Q2944" s="96" t="s">
        <v>104</v>
      </c>
      <c r="R2944" s="52">
        <v>34.9</v>
      </c>
      <c r="S2944" s="52">
        <f>R2944-T2944</f>
        <v>28.84297520661157</v>
      </c>
      <c r="T2944" s="52">
        <f>R2944*U2944/(U2944+100)</f>
        <v>6.05702479338843</v>
      </c>
      <c r="U2944" s="50">
        <v>21</v>
      </c>
      <c r="V2944" s="53">
        <v>0</v>
      </c>
      <c r="W2944" s="147">
        <v>1</v>
      </c>
      <c r="X2944" s="148" t="s">
        <v>163</v>
      </c>
      <c r="Y2944" s="54">
        <f>R2944*W2944</f>
        <v>34.9</v>
      </c>
      <c r="Z2944" s="52">
        <f>S2944*W2944</f>
        <v>28.84297520661157</v>
      </c>
      <c r="AA2944" s="52">
        <f>T2944*W2944</f>
        <v>6.05702479338843</v>
      </c>
      <c r="AB2944" s="52">
        <f>V2944*W2944</f>
        <v>0</v>
      </c>
      <c r="AC2944" s="53">
        <f>(R2944+V2944)*W2944</f>
        <v>34.9</v>
      </c>
      <c r="AD2944" s="138">
        <v>34.9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109</v>
      </c>
      <c r="F2945" s="96" t="s">
        <v>111</v>
      </c>
      <c r="G2945" s="97">
        <v>46132</v>
      </c>
      <c r="H2945" s="98">
        <v>0.7153587962962963</v>
      </c>
      <c r="I2945" s="50">
        <v>169002807</v>
      </c>
      <c r="J2945" s="96" t="s">
        <v>157</v>
      </c>
      <c r="K2945" s="49" t="s">
        <v>3260</v>
      </c>
      <c r="L2945" s="39" t="s">
        <v>3261</v>
      </c>
      <c r="M2945" s="49" t="s">
        <v>3262</v>
      </c>
      <c r="N2945" s="39" t="s">
        <v>476</v>
      </c>
      <c r="O2945" s="96" t="s">
        <v>3263</v>
      </c>
      <c r="P2945" s="49" t="s">
        <v>157</v>
      </c>
      <c r="Q2945" s="96" t="s">
        <v>104</v>
      </c>
      <c r="R2945" s="52">
        <v>34.9</v>
      </c>
      <c r="S2945" s="52">
        <f>R2945-T2945</f>
        <v>31.160714285714285</v>
      </c>
      <c r="T2945" s="52">
        <f>R2945*U2945/(U2945+100)</f>
        <v>3.739285714285714</v>
      </c>
      <c r="U2945" s="50">
        <v>12</v>
      </c>
      <c r="V2945" s="53">
        <v>0</v>
      </c>
      <c r="W2945" s="147">
        <v>1</v>
      </c>
      <c r="X2945" s="148" t="s">
        <v>163</v>
      </c>
      <c r="Y2945" s="54">
        <f>R2945*W2945</f>
        <v>34.9</v>
      </c>
      <c r="Z2945" s="52">
        <f>S2945*W2945</f>
        <v>31.160714285714285</v>
      </c>
      <c r="AA2945" s="52">
        <f>T2945*W2945</f>
        <v>3.739285714285714</v>
      </c>
      <c r="AB2945" s="52">
        <f>V2945*W2945</f>
        <v>0</v>
      </c>
      <c r="AC2945" s="53">
        <f>(R2945+V2945)*W2945</f>
        <v>34.9</v>
      </c>
      <c r="AD2945" s="138">
        <v>34.9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109</v>
      </c>
      <c r="F2946" s="96" t="s">
        <v>111</v>
      </c>
      <c r="G2946" s="97">
        <v>46132</v>
      </c>
      <c r="H2946" s="98">
        <v>0.7153587962962963</v>
      </c>
      <c r="I2946" s="50">
        <v>169002807</v>
      </c>
      <c r="J2946" s="96" t="s">
        <v>157</v>
      </c>
      <c r="K2946" s="49" t="s">
        <v>1037</v>
      </c>
      <c r="L2946" s="39" t="s">
        <v>1038</v>
      </c>
      <c r="M2946" s="49" t="s">
        <v>185</v>
      </c>
      <c r="N2946" s="39" t="s">
        <v>433</v>
      </c>
      <c r="O2946" s="96" t="s">
        <v>1039</v>
      </c>
      <c r="P2946" s="49" t="s">
        <v>157</v>
      </c>
      <c r="Q2946" s="96" t="s">
        <v>104</v>
      </c>
      <c r="R2946" s="52">
        <v>29.9</v>
      </c>
      <c r="S2946" s="52">
        <f>R2946-T2946</f>
        <v>26.69642857142857</v>
      </c>
      <c r="T2946" s="52">
        <f>R2946*U2946/(U2946+100)</f>
        <v>3.2035714285714283</v>
      </c>
      <c r="U2946" s="50">
        <v>12</v>
      </c>
      <c r="V2946" s="53">
        <v>0</v>
      </c>
      <c r="W2946" s="147">
        <v>1</v>
      </c>
      <c r="X2946" s="148" t="s">
        <v>163</v>
      </c>
      <c r="Y2946" s="54">
        <f>R2946*W2946</f>
        <v>29.9</v>
      </c>
      <c r="Z2946" s="52">
        <f>S2946*W2946</f>
        <v>26.69642857142857</v>
      </c>
      <c r="AA2946" s="52">
        <f>T2946*W2946</f>
        <v>3.2035714285714283</v>
      </c>
      <c r="AB2946" s="52">
        <f>V2946*W2946</f>
        <v>0</v>
      </c>
      <c r="AC2946" s="53">
        <f>(R2946+V2946)*W2946</f>
        <v>29.9</v>
      </c>
      <c r="AD2946" s="138">
        <v>29.9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109</v>
      </c>
      <c r="F2947" s="96" t="s">
        <v>111</v>
      </c>
      <c r="G2947" s="97">
        <v>46132</v>
      </c>
      <c r="H2947" s="98">
        <v>0.7169097222222223</v>
      </c>
      <c r="I2947" s="50">
        <v>169002808</v>
      </c>
      <c r="J2947" s="96" t="s">
        <v>157</v>
      </c>
      <c r="K2947" s="49" t="s">
        <v>1232</v>
      </c>
      <c r="L2947" s="39" t="s">
        <v>1233</v>
      </c>
      <c r="M2947" s="49" t="s">
        <v>466</v>
      </c>
      <c r="N2947" s="39" t="s">
        <v>291</v>
      </c>
      <c r="O2947" s="96" t="s">
        <v>1234</v>
      </c>
      <c r="P2947" s="49" t="s">
        <v>235</v>
      </c>
      <c r="Q2947" s="96" t="s">
        <v>236</v>
      </c>
      <c r="R2947" s="52">
        <v>26.9</v>
      </c>
      <c r="S2947" s="52">
        <f>R2947-T2947</f>
        <v>24.017857142857142</v>
      </c>
      <c r="T2947" s="52">
        <f>R2947*U2947/(U2947+100)</f>
        <v>2.8821428571428567</v>
      </c>
      <c r="U2947" s="50">
        <v>12</v>
      </c>
      <c r="V2947" s="53">
        <v>0</v>
      </c>
      <c r="W2947" s="147">
        <v>1</v>
      </c>
      <c r="X2947" s="148" t="s">
        <v>163</v>
      </c>
      <c r="Y2947" s="54">
        <f>R2947*W2947</f>
        <v>26.9</v>
      </c>
      <c r="Z2947" s="52">
        <f>S2947*W2947</f>
        <v>24.017857142857142</v>
      </c>
      <c r="AA2947" s="52">
        <f>T2947*W2947</f>
        <v>2.8821428571428567</v>
      </c>
      <c r="AB2947" s="52">
        <f>V2947*W2947</f>
        <v>0</v>
      </c>
      <c r="AC2947" s="53">
        <f>(R2947+V2947)*W2947</f>
        <v>26.9</v>
      </c>
      <c r="AD2947" s="138">
        <v>26.9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109</v>
      </c>
      <c r="F2948" s="96" t="s">
        <v>111</v>
      </c>
      <c r="G2948" s="97">
        <v>46132</v>
      </c>
      <c r="H2948" s="98">
        <v>0.7169097222222223</v>
      </c>
      <c r="I2948" s="50">
        <v>169002808</v>
      </c>
      <c r="J2948" s="96" t="s">
        <v>157</v>
      </c>
      <c r="K2948" s="49" t="s">
        <v>3805</v>
      </c>
      <c r="L2948" s="39" t="s">
        <v>3806</v>
      </c>
      <c r="M2948" s="49" t="s">
        <v>616</v>
      </c>
      <c r="N2948" s="39" t="s">
        <v>558</v>
      </c>
      <c r="O2948" s="96" t="s">
        <v>3807</v>
      </c>
      <c r="P2948" s="49" t="s">
        <v>157</v>
      </c>
      <c r="Q2948" s="96" t="s">
        <v>104</v>
      </c>
      <c r="R2948" s="52">
        <v>62.9</v>
      </c>
      <c r="S2948" s="52">
        <f>R2948-T2948</f>
        <v>56.160714285714285</v>
      </c>
      <c r="T2948" s="52">
        <f>R2948*U2948/(U2948+100)</f>
        <v>6.739285714285714</v>
      </c>
      <c r="U2948" s="50">
        <v>12</v>
      </c>
      <c r="V2948" s="53">
        <v>0</v>
      </c>
      <c r="W2948" s="147">
        <v>1</v>
      </c>
      <c r="X2948" s="148" t="s">
        <v>163</v>
      </c>
      <c r="Y2948" s="54">
        <f>R2948*W2948</f>
        <v>62.9</v>
      </c>
      <c r="Z2948" s="52">
        <f>S2948*W2948</f>
        <v>56.160714285714285</v>
      </c>
      <c r="AA2948" s="52">
        <f>T2948*W2948</f>
        <v>6.739285714285714</v>
      </c>
      <c r="AB2948" s="52">
        <f>V2948*W2948</f>
        <v>0</v>
      </c>
      <c r="AC2948" s="53">
        <f>(R2948+V2948)*W2948</f>
        <v>62.9</v>
      </c>
      <c r="AD2948" s="138">
        <v>62.9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109</v>
      </c>
      <c r="F2949" s="96" t="s">
        <v>111</v>
      </c>
      <c r="G2949" s="97">
        <v>46132</v>
      </c>
      <c r="H2949" s="98">
        <v>0.7169097222222223</v>
      </c>
      <c r="I2949" s="50">
        <v>169002808</v>
      </c>
      <c r="J2949" s="96" t="s">
        <v>157</v>
      </c>
      <c r="K2949" s="49" t="s">
        <v>3808</v>
      </c>
      <c r="L2949" s="39" t="s">
        <v>3809</v>
      </c>
      <c r="M2949" s="49" t="s">
        <v>1373</v>
      </c>
      <c r="N2949" s="39" t="s">
        <v>476</v>
      </c>
      <c r="O2949" s="96" t="s">
        <v>3810</v>
      </c>
      <c r="P2949" s="49" t="s">
        <v>157</v>
      </c>
      <c r="Q2949" s="96" t="s">
        <v>104</v>
      </c>
      <c r="R2949" s="52">
        <v>33.9</v>
      </c>
      <c r="S2949" s="52">
        <f>R2949-T2949</f>
        <v>30.267857142857142</v>
      </c>
      <c r="T2949" s="52">
        <f>R2949*U2949/(U2949+100)</f>
        <v>3.6321428571428567</v>
      </c>
      <c r="U2949" s="50">
        <v>12</v>
      </c>
      <c r="V2949" s="53">
        <v>0</v>
      </c>
      <c r="W2949" s="147">
        <v>1</v>
      </c>
      <c r="X2949" s="148" t="s">
        <v>163</v>
      </c>
      <c r="Y2949" s="54">
        <f>R2949*W2949</f>
        <v>33.9</v>
      </c>
      <c r="Z2949" s="52">
        <f>S2949*W2949</f>
        <v>30.267857142857142</v>
      </c>
      <c r="AA2949" s="52">
        <f>T2949*W2949</f>
        <v>3.6321428571428567</v>
      </c>
      <c r="AB2949" s="52">
        <f>V2949*W2949</f>
        <v>0</v>
      </c>
      <c r="AC2949" s="53">
        <f>(R2949+V2949)*W2949</f>
        <v>33.9</v>
      </c>
      <c r="AD2949" s="138">
        <v>33.9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109</v>
      </c>
      <c r="F2950" s="96" t="s">
        <v>111</v>
      </c>
      <c r="G2950" s="97">
        <v>46132</v>
      </c>
      <c r="H2950" s="98">
        <v>0.7169097222222223</v>
      </c>
      <c r="I2950" s="50">
        <v>169002808</v>
      </c>
      <c r="J2950" s="96" t="s">
        <v>157</v>
      </c>
      <c r="K2950" s="49" t="s">
        <v>1581</v>
      </c>
      <c r="L2950" s="39" t="s">
        <v>1582</v>
      </c>
      <c r="M2950" s="49" t="s">
        <v>547</v>
      </c>
      <c r="N2950" s="39" t="s">
        <v>548</v>
      </c>
      <c r="O2950" s="96" t="s">
        <v>1583</v>
      </c>
      <c r="P2950" s="49" t="s">
        <v>157</v>
      </c>
      <c r="Q2950" s="96" t="s">
        <v>104</v>
      </c>
      <c r="R2950" s="52">
        <v>15.9</v>
      </c>
      <c r="S2950" s="52">
        <f>R2950-T2950</f>
        <v>14.196428571428571</v>
      </c>
      <c r="T2950" s="52">
        <f>R2950*U2950/(U2950+100)</f>
        <v>1.7035714285714287</v>
      </c>
      <c r="U2950" s="50">
        <v>12</v>
      </c>
      <c r="V2950" s="53">
        <v>0</v>
      </c>
      <c r="W2950" s="147">
        <v>1</v>
      </c>
      <c r="X2950" s="148" t="s">
        <v>163</v>
      </c>
      <c r="Y2950" s="54">
        <f>R2950*W2950</f>
        <v>15.9</v>
      </c>
      <c r="Z2950" s="52">
        <f>S2950*W2950</f>
        <v>14.196428571428571</v>
      </c>
      <c r="AA2950" s="52">
        <f>T2950*W2950</f>
        <v>1.7035714285714287</v>
      </c>
      <c r="AB2950" s="52">
        <f>V2950*W2950</f>
        <v>0</v>
      </c>
      <c r="AC2950" s="53">
        <f>(R2950+V2950)*W2950</f>
        <v>15.9</v>
      </c>
      <c r="AD2950" s="138">
        <v>15.9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109</v>
      </c>
      <c r="F2951" s="96" t="s">
        <v>111</v>
      </c>
      <c r="G2951" s="97">
        <v>46132</v>
      </c>
      <c r="H2951" s="98">
        <v>0.7169097222222223</v>
      </c>
      <c r="I2951" s="50">
        <v>169002808</v>
      </c>
      <c r="J2951" s="96" t="s">
        <v>157</v>
      </c>
      <c r="K2951" s="49" t="s">
        <v>1581</v>
      </c>
      <c r="L2951" s="39" t="s">
        <v>1582</v>
      </c>
      <c r="M2951" s="49" t="s">
        <v>547</v>
      </c>
      <c r="N2951" s="39" t="s">
        <v>548</v>
      </c>
      <c r="O2951" s="96" t="s">
        <v>1583</v>
      </c>
      <c r="P2951" s="49" t="s">
        <v>157</v>
      </c>
      <c r="Q2951" s="96" t="s">
        <v>104</v>
      </c>
      <c r="R2951" s="52">
        <v>15.9</v>
      </c>
      <c r="S2951" s="52">
        <f>R2951-T2951</f>
        <v>14.196428571428571</v>
      </c>
      <c r="T2951" s="52">
        <f>R2951*U2951/(U2951+100)</f>
        <v>1.7035714285714287</v>
      </c>
      <c r="U2951" s="50">
        <v>12</v>
      </c>
      <c r="V2951" s="53">
        <v>0</v>
      </c>
      <c r="W2951" s="147">
        <v>1</v>
      </c>
      <c r="X2951" s="148" t="s">
        <v>163</v>
      </c>
      <c r="Y2951" s="54">
        <f>R2951*W2951</f>
        <v>15.9</v>
      </c>
      <c r="Z2951" s="52">
        <f>S2951*W2951</f>
        <v>14.196428571428571</v>
      </c>
      <c r="AA2951" s="52">
        <f>T2951*W2951</f>
        <v>1.7035714285714287</v>
      </c>
      <c r="AB2951" s="52">
        <f>V2951*W2951</f>
        <v>0</v>
      </c>
      <c r="AC2951" s="53">
        <f>(R2951+V2951)*W2951</f>
        <v>15.9</v>
      </c>
      <c r="AD2951" s="138">
        <v>15.9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109</v>
      </c>
      <c r="F2952" s="96" t="s">
        <v>111</v>
      </c>
      <c r="G2952" s="97">
        <v>46132</v>
      </c>
      <c r="H2952" s="98">
        <v>0.7169097222222223</v>
      </c>
      <c r="I2952" s="50">
        <v>169002808</v>
      </c>
      <c r="J2952" s="96" t="s">
        <v>157</v>
      </c>
      <c r="K2952" s="49" t="s">
        <v>1612</v>
      </c>
      <c r="L2952" s="39" t="s">
        <v>1613</v>
      </c>
      <c r="M2952" s="49" t="s">
        <v>190</v>
      </c>
      <c r="N2952" s="39" t="s">
        <v>462</v>
      </c>
      <c r="O2952" s="96" t="s">
        <v>1614</v>
      </c>
      <c r="P2952" s="49" t="s">
        <v>157</v>
      </c>
      <c r="Q2952" s="96" t="s">
        <v>104</v>
      </c>
      <c r="R2952" s="52">
        <v>33.9</v>
      </c>
      <c r="S2952" s="52">
        <f>R2952-T2952</f>
        <v>30.267857142857142</v>
      </c>
      <c r="T2952" s="52">
        <f>R2952*U2952/(U2952+100)</f>
        <v>3.6321428571428567</v>
      </c>
      <c r="U2952" s="50">
        <v>12</v>
      </c>
      <c r="V2952" s="53">
        <v>0</v>
      </c>
      <c r="W2952" s="147">
        <v>1</v>
      </c>
      <c r="X2952" s="148" t="s">
        <v>163</v>
      </c>
      <c r="Y2952" s="54">
        <f>R2952*W2952</f>
        <v>33.9</v>
      </c>
      <c r="Z2952" s="52">
        <f>S2952*W2952</f>
        <v>30.267857142857142</v>
      </c>
      <c r="AA2952" s="52">
        <f>T2952*W2952</f>
        <v>3.6321428571428567</v>
      </c>
      <c r="AB2952" s="52">
        <f>V2952*W2952</f>
        <v>0</v>
      </c>
      <c r="AC2952" s="53">
        <f>(R2952+V2952)*W2952</f>
        <v>33.9</v>
      </c>
      <c r="AD2952" s="138">
        <v>33.9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109</v>
      </c>
      <c r="F2953" s="96" t="s">
        <v>111</v>
      </c>
      <c r="G2953" s="97">
        <v>46132</v>
      </c>
      <c r="H2953" s="98">
        <v>0.7178935185185186</v>
      </c>
      <c r="I2953" s="50">
        <v>169002809</v>
      </c>
      <c r="J2953" s="96" t="s">
        <v>157</v>
      </c>
      <c r="K2953" s="49" t="s">
        <v>3811</v>
      </c>
      <c r="L2953" s="39" t="s">
        <v>3812</v>
      </c>
      <c r="M2953" s="49" t="s">
        <v>185</v>
      </c>
      <c r="N2953" s="39" t="s">
        <v>1131</v>
      </c>
      <c r="O2953" s="96" t="s">
        <v>3813</v>
      </c>
      <c r="P2953" s="49" t="s">
        <v>157</v>
      </c>
      <c r="Q2953" s="96" t="s">
        <v>104</v>
      </c>
      <c r="R2953" s="52">
        <v>31.9</v>
      </c>
      <c r="S2953" s="52">
        <f>R2953-T2953</f>
        <v>26.363636363636363</v>
      </c>
      <c r="T2953" s="52">
        <f>R2953*U2953/(U2953+100)</f>
        <v>5.536363636363636</v>
      </c>
      <c r="U2953" s="50">
        <v>21</v>
      </c>
      <c r="V2953" s="53">
        <v>0</v>
      </c>
      <c r="W2953" s="147">
        <v>1</v>
      </c>
      <c r="X2953" s="148" t="s">
        <v>163</v>
      </c>
      <c r="Y2953" s="54">
        <f>R2953*W2953</f>
        <v>31.9</v>
      </c>
      <c r="Z2953" s="52">
        <f>S2953*W2953</f>
        <v>26.363636363636363</v>
      </c>
      <c r="AA2953" s="52">
        <f>T2953*W2953</f>
        <v>5.536363636363636</v>
      </c>
      <c r="AB2953" s="52">
        <f>V2953*W2953</f>
        <v>0</v>
      </c>
      <c r="AC2953" s="53">
        <f>(R2953+V2953)*W2953</f>
        <v>31.9</v>
      </c>
      <c r="AD2953" s="138">
        <v>31.9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109</v>
      </c>
      <c r="F2954" s="96" t="s">
        <v>111</v>
      </c>
      <c r="G2954" s="97">
        <v>46132</v>
      </c>
      <c r="H2954" s="98">
        <v>0.7186342592592593</v>
      </c>
      <c r="I2954" s="50">
        <v>169002810</v>
      </c>
      <c r="J2954" s="96" t="s">
        <v>157</v>
      </c>
      <c r="K2954" s="49" t="s">
        <v>3007</v>
      </c>
      <c r="L2954" s="39" t="s">
        <v>3008</v>
      </c>
      <c r="M2954" s="49" t="s">
        <v>1153</v>
      </c>
      <c r="N2954" s="39" t="s">
        <v>505</v>
      </c>
      <c r="O2954" s="96" t="s">
        <v>3009</v>
      </c>
      <c r="P2954" s="49" t="s">
        <v>157</v>
      </c>
      <c r="Q2954" s="96" t="s">
        <v>104</v>
      </c>
      <c r="R2954" s="52">
        <v>37.9</v>
      </c>
      <c r="S2954" s="52">
        <f>R2954-T2954</f>
        <v>33.839285714285715</v>
      </c>
      <c r="T2954" s="52">
        <f>R2954*U2954/(U2954+100)</f>
        <v>4.060714285714285</v>
      </c>
      <c r="U2954" s="50">
        <v>12</v>
      </c>
      <c r="V2954" s="53">
        <v>0</v>
      </c>
      <c r="W2954" s="147">
        <v>1</v>
      </c>
      <c r="X2954" s="148" t="s">
        <v>163</v>
      </c>
      <c r="Y2954" s="54">
        <f>R2954*W2954</f>
        <v>37.9</v>
      </c>
      <c r="Z2954" s="52">
        <f>S2954*W2954</f>
        <v>33.839285714285715</v>
      </c>
      <c r="AA2954" s="52">
        <f>T2954*W2954</f>
        <v>4.060714285714285</v>
      </c>
      <c r="AB2954" s="52">
        <f>V2954*W2954</f>
        <v>0</v>
      </c>
      <c r="AC2954" s="53">
        <f>(R2954+V2954)*W2954</f>
        <v>37.9</v>
      </c>
      <c r="AD2954" s="138">
        <v>37.9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109</v>
      </c>
      <c r="F2955" s="96" t="s">
        <v>111</v>
      </c>
      <c r="G2955" s="97">
        <v>46132</v>
      </c>
      <c r="H2955" s="98">
        <v>0.7186342592592593</v>
      </c>
      <c r="I2955" s="50">
        <v>169002810</v>
      </c>
      <c r="J2955" s="96" t="s">
        <v>157</v>
      </c>
      <c r="K2955" s="49" t="s">
        <v>3007</v>
      </c>
      <c r="L2955" s="39" t="s">
        <v>3008</v>
      </c>
      <c r="M2955" s="49" t="s">
        <v>1153</v>
      </c>
      <c r="N2955" s="39" t="s">
        <v>505</v>
      </c>
      <c r="O2955" s="96" t="s">
        <v>3009</v>
      </c>
      <c r="P2955" s="49" t="s">
        <v>157</v>
      </c>
      <c r="Q2955" s="96" t="s">
        <v>104</v>
      </c>
      <c r="R2955" s="52">
        <v>37.9</v>
      </c>
      <c r="S2955" s="52">
        <f>R2955-T2955</f>
        <v>33.839285714285715</v>
      </c>
      <c r="T2955" s="52">
        <f>R2955*U2955/(U2955+100)</f>
        <v>4.060714285714285</v>
      </c>
      <c r="U2955" s="50">
        <v>12</v>
      </c>
      <c r="V2955" s="53">
        <v>0</v>
      </c>
      <c r="W2955" s="147">
        <v>1</v>
      </c>
      <c r="X2955" s="148" t="s">
        <v>163</v>
      </c>
      <c r="Y2955" s="54">
        <f>R2955*W2955</f>
        <v>37.9</v>
      </c>
      <c r="Z2955" s="52">
        <f>S2955*W2955</f>
        <v>33.839285714285715</v>
      </c>
      <c r="AA2955" s="52">
        <f>T2955*W2955</f>
        <v>4.060714285714285</v>
      </c>
      <c r="AB2955" s="52">
        <f>V2955*W2955</f>
        <v>0</v>
      </c>
      <c r="AC2955" s="53">
        <f>(R2955+V2955)*W2955</f>
        <v>37.9</v>
      </c>
      <c r="AD2955" s="138">
        <v>37.9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109</v>
      </c>
      <c r="F2956" s="96" t="s">
        <v>111</v>
      </c>
      <c r="G2956" s="97">
        <v>46132</v>
      </c>
      <c r="H2956" s="98">
        <v>0.7186342592592593</v>
      </c>
      <c r="I2956" s="50">
        <v>169002810</v>
      </c>
      <c r="J2956" s="96" t="s">
        <v>157</v>
      </c>
      <c r="K2956" s="49" t="s">
        <v>3007</v>
      </c>
      <c r="L2956" s="39" t="s">
        <v>3008</v>
      </c>
      <c r="M2956" s="49" t="s">
        <v>1153</v>
      </c>
      <c r="N2956" s="39" t="s">
        <v>505</v>
      </c>
      <c r="O2956" s="96" t="s">
        <v>3009</v>
      </c>
      <c r="P2956" s="49" t="s">
        <v>157</v>
      </c>
      <c r="Q2956" s="96" t="s">
        <v>104</v>
      </c>
      <c r="R2956" s="52">
        <v>37.9</v>
      </c>
      <c r="S2956" s="52">
        <f>R2956-T2956</f>
        <v>33.839285714285715</v>
      </c>
      <c r="T2956" s="52">
        <f>R2956*U2956/(U2956+100)</f>
        <v>4.060714285714285</v>
      </c>
      <c r="U2956" s="50">
        <v>12</v>
      </c>
      <c r="V2956" s="53">
        <v>0</v>
      </c>
      <c r="W2956" s="147">
        <v>1</v>
      </c>
      <c r="X2956" s="148" t="s">
        <v>163</v>
      </c>
      <c r="Y2956" s="54">
        <f>R2956*W2956</f>
        <v>37.9</v>
      </c>
      <c r="Z2956" s="52">
        <f>S2956*W2956</f>
        <v>33.839285714285715</v>
      </c>
      <c r="AA2956" s="52">
        <f>T2956*W2956</f>
        <v>4.060714285714285</v>
      </c>
      <c r="AB2956" s="52">
        <f>V2956*W2956</f>
        <v>0</v>
      </c>
      <c r="AC2956" s="53">
        <f>(R2956+V2956)*W2956</f>
        <v>37.9</v>
      </c>
      <c r="AD2956" s="138">
        <v>37.9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109</v>
      </c>
      <c r="F2957" s="96" t="s">
        <v>111</v>
      </c>
      <c r="G2957" s="97">
        <v>46132</v>
      </c>
      <c r="H2957" s="98">
        <v>0.7186342592592593</v>
      </c>
      <c r="I2957" s="50">
        <v>169002810</v>
      </c>
      <c r="J2957" s="96" t="s">
        <v>157</v>
      </c>
      <c r="K2957" s="49" t="s">
        <v>3814</v>
      </c>
      <c r="L2957" s="39" t="s">
        <v>3815</v>
      </c>
      <c r="M2957" s="49" t="s">
        <v>466</v>
      </c>
      <c r="N2957" s="39" t="s">
        <v>210</v>
      </c>
      <c r="O2957" s="96" t="s">
        <v>3816</v>
      </c>
      <c r="P2957" s="49" t="s">
        <v>157</v>
      </c>
      <c r="Q2957" s="96" t="s">
        <v>104</v>
      </c>
      <c r="R2957" s="52">
        <v>22.9</v>
      </c>
      <c r="S2957" s="52">
        <f>R2957-T2957</f>
        <v>20.44642857142857</v>
      </c>
      <c r="T2957" s="52">
        <f>R2957*U2957/(U2957+100)</f>
        <v>2.4535714285714283</v>
      </c>
      <c r="U2957" s="50">
        <v>12</v>
      </c>
      <c r="V2957" s="53">
        <v>0</v>
      </c>
      <c r="W2957" s="147">
        <v>1</v>
      </c>
      <c r="X2957" s="148" t="s">
        <v>163</v>
      </c>
      <c r="Y2957" s="54">
        <f>R2957*W2957</f>
        <v>22.9</v>
      </c>
      <c r="Z2957" s="52">
        <f>S2957*W2957</f>
        <v>20.44642857142857</v>
      </c>
      <c r="AA2957" s="52">
        <f>T2957*W2957</f>
        <v>2.4535714285714283</v>
      </c>
      <c r="AB2957" s="52">
        <f>V2957*W2957</f>
        <v>0</v>
      </c>
      <c r="AC2957" s="53">
        <f>(R2957+V2957)*W2957</f>
        <v>22.9</v>
      </c>
      <c r="AD2957" s="138">
        <v>22.9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109</v>
      </c>
      <c r="F2958" s="96" t="s">
        <v>111</v>
      </c>
      <c r="G2958" s="97">
        <v>46132</v>
      </c>
      <c r="H2958" s="98">
        <v>0.7186342592592593</v>
      </c>
      <c r="I2958" s="50">
        <v>169002810</v>
      </c>
      <c r="J2958" s="96" t="s">
        <v>157</v>
      </c>
      <c r="K2958" s="49" t="s">
        <v>2852</v>
      </c>
      <c r="L2958" s="39" t="s">
        <v>104</v>
      </c>
      <c r="M2958" s="49" t="s">
        <v>190</v>
      </c>
      <c r="N2958" s="39" t="s">
        <v>462</v>
      </c>
      <c r="O2958" s="96" t="s">
        <v>2853</v>
      </c>
      <c r="P2958" s="49" t="s">
        <v>157</v>
      </c>
      <c r="Q2958" s="96" t="s">
        <v>104</v>
      </c>
      <c r="R2958" s="52">
        <v>16.9</v>
      </c>
      <c r="S2958" s="52">
        <f>R2958-T2958</f>
        <v>15.089285714285714</v>
      </c>
      <c r="T2958" s="52">
        <f>R2958*U2958/(U2958+100)</f>
        <v>1.8107142857142855</v>
      </c>
      <c r="U2958" s="50">
        <v>12</v>
      </c>
      <c r="V2958" s="53">
        <v>0</v>
      </c>
      <c r="W2958" s="147">
        <v>1</v>
      </c>
      <c r="X2958" s="148" t="s">
        <v>163</v>
      </c>
      <c r="Y2958" s="54">
        <f>R2958*W2958</f>
        <v>16.9</v>
      </c>
      <c r="Z2958" s="52">
        <f>S2958*W2958</f>
        <v>15.089285714285714</v>
      </c>
      <c r="AA2958" s="52">
        <f>T2958*W2958</f>
        <v>1.8107142857142855</v>
      </c>
      <c r="AB2958" s="52">
        <f>V2958*W2958</f>
        <v>0</v>
      </c>
      <c r="AC2958" s="53">
        <f>(R2958+V2958)*W2958</f>
        <v>16.9</v>
      </c>
      <c r="AD2958" s="138">
        <v>16.9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109</v>
      </c>
      <c r="F2959" s="96" t="s">
        <v>111</v>
      </c>
      <c r="G2959" s="97">
        <v>46132</v>
      </c>
      <c r="H2959" s="98">
        <v>0.7191203703703704</v>
      </c>
      <c r="I2959" s="50">
        <v>169002811</v>
      </c>
      <c r="J2959" s="96" t="s">
        <v>157</v>
      </c>
      <c r="K2959" s="49" t="s">
        <v>2301</v>
      </c>
      <c r="L2959" s="39" t="s">
        <v>2302</v>
      </c>
      <c r="M2959" s="49" t="s">
        <v>282</v>
      </c>
      <c r="N2959" s="39" t="s">
        <v>609</v>
      </c>
      <c r="O2959" s="96" t="s">
        <v>2303</v>
      </c>
      <c r="P2959" s="49" t="s">
        <v>157</v>
      </c>
      <c r="Q2959" s="96" t="s">
        <v>104</v>
      </c>
      <c r="R2959" s="52">
        <v>16.9</v>
      </c>
      <c r="S2959" s="52">
        <f>R2959-T2959</f>
        <v>15.089285714285714</v>
      </c>
      <c r="T2959" s="52">
        <f>R2959*U2959/(U2959+100)</f>
        <v>1.8107142857142855</v>
      </c>
      <c r="U2959" s="50">
        <v>12</v>
      </c>
      <c r="V2959" s="53">
        <v>0</v>
      </c>
      <c r="W2959" s="147">
        <v>1</v>
      </c>
      <c r="X2959" s="148" t="s">
        <v>163</v>
      </c>
      <c r="Y2959" s="54">
        <f>R2959*W2959</f>
        <v>16.9</v>
      </c>
      <c r="Z2959" s="52">
        <f>S2959*W2959</f>
        <v>15.089285714285714</v>
      </c>
      <c r="AA2959" s="52">
        <f>T2959*W2959</f>
        <v>1.8107142857142855</v>
      </c>
      <c r="AB2959" s="52">
        <f>V2959*W2959</f>
        <v>0</v>
      </c>
      <c r="AC2959" s="53">
        <f>(R2959+V2959)*W2959</f>
        <v>16.9</v>
      </c>
      <c r="AD2959" s="138">
        <v>16.9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109</v>
      </c>
      <c r="F2960" s="96" t="s">
        <v>111</v>
      </c>
      <c r="G2960" s="97">
        <v>46132</v>
      </c>
      <c r="H2960" s="98">
        <v>0.7191203703703704</v>
      </c>
      <c r="I2960" s="50">
        <v>169002811</v>
      </c>
      <c r="J2960" s="96" t="s">
        <v>157</v>
      </c>
      <c r="K2960" s="49" t="s">
        <v>293</v>
      </c>
      <c r="L2960" s="39" t="s">
        <v>294</v>
      </c>
      <c r="M2960" s="49" t="s">
        <v>295</v>
      </c>
      <c r="N2960" s="39" t="s">
        <v>296</v>
      </c>
      <c r="O2960" s="96" t="s">
        <v>297</v>
      </c>
      <c r="P2960" s="49" t="s">
        <v>157</v>
      </c>
      <c r="Q2960" s="96" t="s">
        <v>104</v>
      </c>
      <c r="R2960" s="52">
        <v>2.9</v>
      </c>
      <c r="S2960" s="52">
        <f>R2960-T2960</f>
        <v>2.5892857142857144</v>
      </c>
      <c r="T2960" s="52">
        <f>R2960*U2960/(U2960+100)</f>
        <v>0.31071428571428567</v>
      </c>
      <c r="U2960" s="50">
        <v>12</v>
      </c>
      <c r="V2960" s="53">
        <v>0</v>
      </c>
      <c r="W2960" s="147">
        <v>5</v>
      </c>
      <c r="X2960" s="148" t="s">
        <v>163</v>
      </c>
      <c r="Y2960" s="54">
        <f>R2960*W2960</f>
        <v>14.5</v>
      </c>
      <c r="Z2960" s="52">
        <f>S2960*W2960</f>
        <v>12.946428571428573</v>
      </c>
      <c r="AA2960" s="52">
        <f>T2960*W2960</f>
        <v>1.5535714285714284</v>
      </c>
      <c r="AB2960" s="52">
        <f>V2960*W2960</f>
        <v>0</v>
      </c>
      <c r="AC2960" s="53">
        <f>(R2960+V2960)*W2960</f>
        <v>14.5</v>
      </c>
      <c r="AD2960" s="138">
        <v>2.9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109</v>
      </c>
      <c r="F2961" s="96" t="s">
        <v>111</v>
      </c>
      <c r="G2961" s="97">
        <v>46132</v>
      </c>
      <c r="H2961" s="98">
        <v>0.7198263888888888</v>
      </c>
      <c r="I2961" s="50">
        <v>169002812</v>
      </c>
      <c r="J2961" s="96" t="s">
        <v>157</v>
      </c>
      <c r="K2961" s="49" t="s">
        <v>3064</v>
      </c>
      <c r="L2961" s="39" t="s">
        <v>3065</v>
      </c>
      <c r="M2961" s="49" t="s">
        <v>1067</v>
      </c>
      <c r="N2961" s="39" t="s">
        <v>1068</v>
      </c>
      <c r="O2961" s="96" t="s">
        <v>3066</v>
      </c>
      <c r="P2961" s="49" t="s">
        <v>157</v>
      </c>
      <c r="Q2961" s="96" t="s">
        <v>104</v>
      </c>
      <c r="R2961" s="52">
        <v>52.9</v>
      </c>
      <c r="S2961" s="52">
        <f>R2961-T2961</f>
        <v>47.232142857142854</v>
      </c>
      <c r="T2961" s="52">
        <f>R2961*U2961/(U2961+100)</f>
        <v>5.667857142857143</v>
      </c>
      <c r="U2961" s="50">
        <v>12</v>
      </c>
      <c r="V2961" s="53">
        <v>0</v>
      </c>
      <c r="W2961" s="147">
        <v>1</v>
      </c>
      <c r="X2961" s="148" t="s">
        <v>163</v>
      </c>
      <c r="Y2961" s="54">
        <f>R2961*W2961</f>
        <v>52.9</v>
      </c>
      <c r="Z2961" s="52">
        <f>S2961*W2961</f>
        <v>47.232142857142854</v>
      </c>
      <c r="AA2961" s="52">
        <f>T2961*W2961</f>
        <v>5.667857142857143</v>
      </c>
      <c r="AB2961" s="52">
        <f>V2961*W2961</f>
        <v>0</v>
      </c>
      <c r="AC2961" s="53">
        <f>(R2961+V2961)*W2961</f>
        <v>52.9</v>
      </c>
      <c r="AD2961" s="138">
        <v>52.9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109</v>
      </c>
      <c r="F2962" s="96" t="s">
        <v>111</v>
      </c>
      <c r="G2962" s="97">
        <v>46132</v>
      </c>
      <c r="H2962" s="98">
        <v>0.7213773148148148</v>
      </c>
      <c r="I2962" s="50">
        <v>169002813</v>
      </c>
      <c r="J2962" s="96" t="s">
        <v>157</v>
      </c>
      <c r="K2962" s="49" t="s">
        <v>3817</v>
      </c>
      <c r="L2962" s="39" t="s">
        <v>3818</v>
      </c>
      <c r="M2962" s="49" t="s">
        <v>862</v>
      </c>
      <c r="N2962" s="39" t="s">
        <v>863</v>
      </c>
      <c r="O2962" s="96" t="s">
        <v>3819</v>
      </c>
      <c r="P2962" s="49" t="s">
        <v>157</v>
      </c>
      <c r="Q2962" s="96" t="s">
        <v>104</v>
      </c>
      <c r="R2962" s="52">
        <v>161</v>
      </c>
      <c r="S2962" s="52">
        <f>R2962-T2962</f>
        <v>133.05785123966942</v>
      </c>
      <c r="T2962" s="52">
        <f>R2962*U2962/(U2962+100)</f>
        <v>27.94214876033058</v>
      </c>
      <c r="U2962" s="50">
        <v>21</v>
      </c>
      <c r="V2962" s="53">
        <v>0</v>
      </c>
      <c r="W2962" s="147">
        <v>1</v>
      </c>
      <c r="X2962" s="148" t="s">
        <v>163</v>
      </c>
      <c r="Y2962" s="54">
        <f>R2962*W2962</f>
        <v>161</v>
      </c>
      <c r="Z2962" s="52">
        <f>S2962*W2962</f>
        <v>133.05785123966942</v>
      </c>
      <c r="AA2962" s="52">
        <f>T2962*W2962</f>
        <v>27.94214876033058</v>
      </c>
      <c r="AB2962" s="52">
        <f>V2962*W2962</f>
        <v>0</v>
      </c>
      <c r="AC2962" s="53">
        <f>(R2962+V2962)*W2962</f>
        <v>161</v>
      </c>
      <c r="AD2962" s="138">
        <v>161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109</v>
      </c>
      <c r="F2963" s="96" t="s">
        <v>111</v>
      </c>
      <c r="G2963" s="97">
        <v>46132</v>
      </c>
      <c r="H2963" s="98">
        <v>0.7222106481481482</v>
      </c>
      <c r="I2963" s="50">
        <v>169002814</v>
      </c>
      <c r="J2963" s="96" t="s">
        <v>157</v>
      </c>
      <c r="K2963" s="49" t="s">
        <v>970</v>
      </c>
      <c r="L2963" s="39" t="s">
        <v>971</v>
      </c>
      <c r="M2963" s="49" t="s">
        <v>972</v>
      </c>
      <c r="N2963" s="39" t="s">
        <v>256</v>
      </c>
      <c r="O2963" s="96" t="s">
        <v>3715</v>
      </c>
      <c r="P2963" s="49" t="s">
        <v>157</v>
      </c>
      <c r="Q2963" s="96" t="s">
        <v>104</v>
      </c>
      <c r="R2963" s="52">
        <v>44.9</v>
      </c>
      <c r="S2963" s="52">
        <f>R2963-T2963</f>
        <v>37.107438016528924</v>
      </c>
      <c r="T2963" s="52">
        <f>R2963*U2963/(U2963+100)</f>
        <v>7.792561983471074</v>
      </c>
      <c r="U2963" s="50">
        <v>21</v>
      </c>
      <c r="V2963" s="53">
        <v>0</v>
      </c>
      <c r="W2963" s="147">
        <v>1</v>
      </c>
      <c r="X2963" s="148" t="s">
        <v>163</v>
      </c>
      <c r="Y2963" s="54">
        <f>R2963*W2963</f>
        <v>44.9</v>
      </c>
      <c r="Z2963" s="52">
        <f>S2963*W2963</f>
        <v>37.107438016528924</v>
      </c>
      <c r="AA2963" s="52">
        <f>T2963*W2963</f>
        <v>7.792561983471074</v>
      </c>
      <c r="AB2963" s="52">
        <f>V2963*W2963</f>
        <v>0</v>
      </c>
      <c r="AC2963" s="53">
        <f>(R2963+V2963)*W2963</f>
        <v>44.9</v>
      </c>
      <c r="AD2963" s="138">
        <v>44.9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109</v>
      </c>
      <c r="F2964" s="96" t="s">
        <v>111</v>
      </c>
      <c r="G2964" s="97">
        <v>46132</v>
      </c>
      <c r="H2964" s="98">
        <v>0.7222106481481482</v>
      </c>
      <c r="I2964" s="50">
        <v>169002814</v>
      </c>
      <c r="J2964" s="96" t="s">
        <v>157</v>
      </c>
      <c r="K2964" s="49" t="s">
        <v>2712</v>
      </c>
      <c r="L2964" s="39" t="s">
        <v>2713</v>
      </c>
      <c r="M2964" s="49" t="s">
        <v>972</v>
      </c>
      <c r="N2964" s="39" t="s">
        <v>256</v>
      </c>
      <c r="O2964" s="96" t="s">
        <v>2714</v>
      </c>
      <c r="P2964" s="49" t="s">
        <v>157</v>
      </c>
      <c r="Q2964" s="96" t="s">
        <v>104</v>
      </c>
      <c r="R2964" s="52">
        <v>19.9</v>
      </c>
      <c r="S2964" s="52">
        <f>R2964-T2964</f>
        <v>16.446280991735534</v>
      </c>
      <c r="T2964" s="52">
        <f>R2964*U2964/(U2964+100)</f>
        <v>3.4537190082644624</v>
      </c>
      <c r="U2964" s="50">
        <v>21</v>
      </c>
      <c r="V2964" s="53">
        <v>0</v>
      </c>
      <c r="W2964" s="147">
        <v>1</v>
      </c>
      <c r="X2964" s="148" t="s">
        <v>163</v>
      </c>
      <c r="Y2964" s="54">
        <f>R2964*W2964</f>
        <v>19.9</v>
      </c>
      <c r="Z2964" s="52">
        <f>S2964*W2964</f>
        <v>16.446280991735534</v>
      </c>
      <c r="AA2964" s="52">
        <f>T2964*W2964</f>
        <v>3.4537190082644624</v>
      </c>
      <c r="AB2964" s="52">
        <f>V2964*W2964</f>
        <v>0</v>
      </c>
      <c r="AC2964" s="53">
        <f>(R2964+V2964)*W2964</f>
        <v>19.9</v>
      </c>
      <c r="AD2964" s="138">
        <v>19.9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109</v>
      </c>
      <c r="F2965" s="96" t="s">
        <v>111</v>
      </c>
      <c r="G2965" s="97">
        <v>46132</v>
      </c>
      <c r="H2965" s="98">
        <v>0.7222106481481482</v>
      </c>
      <c r="I2965" s="50">
        <v>169002814</v>
      </c>
      <c r="J2965" s="96" t="s">
        <v>157</v>
      </c>
      <c r="K2965" s="49" t="s">
        <v>2712</v>
      </c>
      <c r="L2965" s="39" t="s">
        <v>2713</v>
      </c>
      <c r="M2965" s="49" t="s">
        <v>972</v>
      </c>
      <c r="N2965" s="39" t="s">
        <v>256</v>
      </c>
      <c r="O2965" s="96" t="s">
        <v>2714</v>
      </c>
      <c r="P2965" s="49" t="s">
        <v>157</v>
      </c>
      <c r="Q2965" s="96" t="s">
        <v>104</v>
      </c>
      <c r="R2965" s="52">
        <v>19.9</v>
      </c>
      <c r="S2965" s="52">
        <f>R2965-T2965</f>
        <v>16.446280991735534</v>
      </c>
      <c r="T2965" s="52">
        <f>R2965*U2965/(U2965+100)</f>
        <v>3.4537190082644624</v>
      </c>
      <c r="U2965" s="50">
        <v>21</v>
      </c>
      <c r="V2965" s="53">
        <v>0</v>
      </c>
      <c r="W2965" s="147">
        <v>1</v>
      </c>
      <c r="X2965" s="148" t="s">
        <v>163</v>
      </c>
      <c r="Y2965" s="54">
        <f>R2965*W2965</f>
        <v>19.9</v>
      </c>
      <c r="Z2965" s="52">
        <f>S2965*W2965</f>
        <v>16.446280991735534</v>
      </c>
      <c r="AA2965" s="52">
        <f>T2965*W2965</f>
        <v>3.4537190082644624</v>
      </c>
      <c r="AB2965" s="52">
        <f>V2965*W2965</f>
        <v>0</v>
      </c>
      <c r="AC2965" s="53">
        <f>(R2965+V2965)*W2965</f>
        <v>19.9</v>
      </c>
      <c r="AD2965" s="138">
        <v>19.9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109</v>
      </c>
      <c r="F2966" s="96" t="s">
        <v>111</v>
      </c>
      <c r="G2966" s="97">
        <v>46132</v>
      </c>
      <c r="H2966" s="98">
        <v>0.7222106481481482</v>
      </c>
      <c r="I2966" s="50">
        <v>169002814</v>
      </c>
      <c r="J2966" s="96" t="s">
        <v>157</v>
      </c>
      <c r="K2966" s="49" t="s">
        <v>2852</v>
      </c>
      <c r="L2966" s="39" t="s">
        <v>104</v>
      </c>
      <c r="M2966" s="49" t="s">
        <v>190</v>
      </c>
      <c r="N2966" s="39" t="s">
        <v>462</v>
      </c>
      <c r="O2966" s="96" t="s">
        <v>2853</v>
      </c>
      <c r="P2966" s="49" t="s">
        <v>157</v>
      </c>
      <c r="Q2966" s="96" t="s">
        <v>104</v>
      </c>
      <c r="R2966" s="52">
        <v>16.9</v>
      </c>
      <c r="S2966" s="52">
        <f>R2966-T2966</f>
        <v>15.089285714285714</v>
      </c>
      <c r="T2966" s="52">
        <f>R2966*U2966/(U2966+100)</f>
        <v>1.8107142857142855</v>
      </c>
      <c r="U2966" s="50">
        <v>12</v>
      </c>
      <c r="V2966" s="53">
        <v>0</v>
      </c>
      <c r="W2966" s="147">
        <v>3</v>
      </c>
      <c r="X2966" s="148" t="s">
        <v>163</v>
      </c>
      <c r="Y2966" s="54">
        <f>R2966*W2966</f>
        <v>50.699999999999996</v>
      </c>
      <c r="Z2966" s="52">
        <f>S2966*W2966</f>
        <v>45.26785714285714</v>
      </c>
      <c r="AA2966" s="52">
        <f>T2966*W2966</f>
        <v>5.432142857142857</v>
      </c>
      <c r="AB2966" s="52">
        <f>V2966*W2966</f>
        <v>0</v>
      </c>
      <c r="AC2966" s="53">
        <f>(R2966+V2966)*W2966</f>
        <v>50.699999999999996</v>
      </c>
      <c r="AD2966" s="138">
        <v>16.9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109</v>
      </c>
      <c r="F2967" s="96" t="s">
        <v>111</v>
      </c>
      <c r="G2967" s="97">
        <v>46132</v>
      </c>
      <c r="H2967" s="98">
        <v>0.7222106481481482</v>
      </c>
      <c r="I2967" s="50">
        <v>169002814</v>
      </c>
      <c r="J2967" s="96" t="s">
        <v>157</v>
      </c>
      <c r="K2967" s="49" t="s">
        <v>683</v>
      </c>
      <c r="L2967" s="39" t="s">
        <v>684</v>
      </c>
      <c r="M2967" s="49" t="s">
        <v>190</v>
      </c>
      <c r="N2967" s="39" t="s">
        <v>191</v>
      </c>
      <c r="O2967" s="96" t="s">
        <v>685</v>
      </c>
      <c r="P2967" s="49" t="s">
        <v>157</v>
      </c>
      <c r="Q2967" s="96" t="s">
        <v>104</v>
      </c>
      <c r="R2967" s="52">
        <v>105.9</v>
      </c>
      <c r="S2967" s="52">
        <f>R2967-T2967</f>
        <v>94.55357142857143</v>
      </c>
      <c r="T2967" s="52">
        <f>R2967*U2967/(U2967+100)</f>
        <v>11.346428571428573</v>
      </c>
      <c r="U2967" s="50">
        <v>12</v>
      </c>
      <c r="V2967" s="53">
        <v>0</v>
      </c>
      <c r="W2967" s="147">
        <v>0.814</v>
      </c>
      <c r="X2967" s="148" t="s">
        <v>193</v>
      </c>
      <c r="Y2967" s="54">
        <f>R2967*W2967</f>
        <v>86.2026</v>
      </c>
      <c r="Z2967" s="52">
        <f>S2967*W2967</f>
        <v>76.96660714285714</v>
      </c>
      <c r="AA2967" s="52">
        <f>T2967*W2967</f>
        <v>9.235992857142858</v>
      </c>
      <c r="AB2967" s="52">
        <f>V2967*W2967</f>
        <v>0</v>
      </c>
      <c r="AC2967" s="53">
        <f>(R2967+V2967)*W2967</f>
        <v>86.2026</v>
      </c>
      <c r="AD2967" s="138">
        <v>105.9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109</v>
      </c>
      <c r="F2968" s="96" t="s">
        <v>111</v>
      </c>
      <c r="G2968" s="97">
        <v>46132</v>
      </c>
      <c r="H2968" s="98">
        <v>0.7225578703703703</v>
      </c>
      <c r="I2968" s="50">
        <v>169002815</v>
      </c>
      <c r="J2968" s="96" t="s">
        <v>157</v>
      </c>
      <c r="K2968" s="49" t="s">
        <v>507</v>
      </c>
      <c r="L2968" s="39" t="s">
        <v>508</v>
      </c>
      <c r="M2968" s="49" t="s">
        <v>509</v>
      </c>
      <c r="N2968" s="39" t="s">
        <v>256</v>
      </c>
      <c r="O2968" s="96" t="s">
        <v>1024</v>
      </c>
      <c r="P2968" s="49" t="s">
        <v>235</v>
      </c>
      <c r="Q2968" s="96" t="s">
        <v>236</v>
      </c>
      <c r="R2968" s="52">
        <v>15.9</v>
      </c>
      <c r="S2968" s="52">
        <f>R2968-T2968</f>
        <v>13.140495867768596</v>
      </c>
      <c r="T2968" s="52">
        <f>R2968*U2968/(U2968+100)</f>
        <v>2.759504132231405</v>
      </c>
      <c r="U2968" s="50">
        <v>21</v>
      </c>
      <c r="V2968" s="53">
        <v>0</v>
      </c>
      <c r="W2968" s="147">
        <v>1</v>
      </c>
      <c r="X2968" s="148" t="s">
        <v>163</v>
      </c>
      <c r="Y2968" s="54">
        <f>R2968*W2968</f>
        <v>15.9</v>
      </c>
      <c r="Z2968" s="52">
        <f>S2968*W2968</f>
        <v>13.140495867768596</v>
      </c>
      <c r="AA2968" s="52">
        <f>T2968*W2968</f>
        <v>2.759504132231405</v>
      </c>
      <c r="AB2968" s="52">
        <f>V2968*W2968</f>
        <v>0</v>
      </c>
      <c r="AC2968" s="53">
        <f>(R2968+V2968)*W2968</f>
        <v>15.9</v>
      </c>
      <c r="AD2968" s="138">
        <v>15.9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109</v>
      </c>
      <c r="F2969" s="96" t="s">
        <v>111</v>
      </c>
      <c r="G2969" s="97">
        <v>46132</v>
      </c>
      <c r="H2969" s="98">
        <v>0.7225578703703703</v>
      </c>
      <c r="I2969" s="50">
        <v>169002815</v>
      </c>
      <c r="J2969" s="96" t="s">
        <v>157</v>
      </c>
      <c r="K2969" s="49" t="s">
        <v>507</v>
      </c>
      <c r="L2969" s="39" t="s">
        <v>508</v>
      </c>
      <c r="M2969" s="49" t="s">
        <v>509</v>
      </c>
      <c r="N2969" s="39" t="s">
        <v>256</v>
      </c>
      <c r="O2969" s="96" t="s">
        <v>1024</v>
      </c>
      <c r="P2969" s="49" t="s">
        <v>235</v>
      </c>
      <c r="Q2969" s="96" t="s">
        <v>236</v>
      </c>
      <c r="R2969" s="52">
        <v>15.9</v>
      </c>
      <c r="S2969" s="52">
        <f>R2969-T2969</f>
        <v>13.140495867768596</v>
      </c>
      <c r="T2969" s="52">
        <f>R2969*U2969/(U2969+100)</f>
        <v>2.759504132231405</v>
      </c>
      <c r="U2969" s="50">
        <v>21</v>
      </c>
      <c r="V2969" s="53">
        <v>0</v>
      </c>
      <c r="W2969" s="147">
        <v>1</v>
      </c>
      <c r="X2969" s="148" t="s">
        <v>163</v>
      </c>
      <c r="Y2969" s="54">
        <f>R2969*W2969</f>
        <v>15.9</v>
      </c>
      <c r="Z2969" s="52">
        <f>S2969*W2969</f>
        <v>13.140495867768596</v>
      </c>
      <c r="AA2969" s="52">
        <f>T2969*W2969</f>
        <v>2.759504132231405</v>
      </c>
      <c r="AB2969" s="52">
        <f>V2969*W2969</f>
        <v>0</v>
      </c>
      <c r="AC2969" s="53">
        <f>(R2969+V2969)*W2969</f>
        <v>15.9</v>
      </c>
      <c r="AD2969" s="138">
        <v>15.9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109</v>
      </c>
      <c r="F2970" s="96" t="s">
        <v>111</v>
      </c>
      <c r="G2970" s="97">
        <v>46132</v>
      </c>
      <c r="H2970" s="98">
        <v>0.7233449074074074</v>
      </c>
      <c r="I2970" s="50">
        <v>169002816</v>
      </c>
      <c r="J2970" s="96" t="s">
        <v>157</v>
      </c>
      <c r="K2970" s="49" t="s">
        <v>3820</v>
      </c>
      <c r="L2970" s="39" t="s">
        <v>3821</v>
      </c>
      <c r="M2970" s="49" t="s">
        <v>2597</v>
      </c>
      <c r="N2970" s="39" t="s">
        <v>1312</v>
      </c>
      <c r="O2970" s="96" t="s">
        <v>3822</v>
      </c>
      <c r="P2970" s="49" t="s">
        <v>157</v>
      </c>
      <c r="Q2970" s="96" t="s">
        <v>104</v>
      </c>
      <c r="R2970" s="52">
        <v>199.9</v>
      </c>
      <c r="S2970" s="52">
        <f>R2970-T2970</f>
        <v>165.20661157024793</v>
      </c>
      <c r="T2970" s="52">
        <f>R2970*U2970/(U2970+100)</f>
        <v>34.69338842975207</v>
      </c>
      <c r="U2970" s="50">
        <v>21</v>
      </c>
      <c r="V2970" s="53">
        <v>0</v>
      </c>
      <c r="W2970" s="147">
        <v>1</v>
      </c>
      <c r="X2970" s="148" t="s">
        <v>163</v>
      </c>
      <c r="Y2970" s="54">
        <f>R2970*W2970</f>
        <v>199.9</v>
      </c>
      <c r="Z2970" s="52">
        <f>S2970*W2970</f>
        <v>165.20661157024793</v>
      </c>
      <c r="AA2970" s="52">
        <f>T2970*W2970</f>
        <v>34.69338842975207</v>
      </c>
      <c r="AB2970" s="52">
        <f>V2970*W2970</f>
        <v>0</v>
      </c>
      <c r="AC2970" s="53">
        <f>(R2970+V2970)*W2970</f>
        <v>199.9</v>
      </c>
      <c r="AD2970" s="138">
        <v>199.9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109</v>
      </c>
      <c r="F2971" s="96" t="s">
        <v>111</v>
      </c>
      <c r="G2971" s="97">
        <v>46132</v>
      </c>
      <c r="H2971" s="98">
        <v>0.7237847222222222</v>
      </c>
      <c r="I2971" s="50">
        <v>169002817</v>
      </c>
      <c r="J2971" s="96" t="s">
        <v>157</v>
      </c>
      <c r="K2971" s="49" t="s">
        <v>3823</v>
      </c>
      <c r="L2971" s="39" t="s">
        <v>3824</v>
      </c>
      <c r="M2971" s="49" t="s">
        <v>171</v>
      </c>
      <c r="N2971" s="39" t="s">
        <v>348</v>
      </c>
      <c r="O2971" s="96" t="s">
        <v>3825</v>
      </c>
      <c r="P2971" s="49" t="s">
        <v>157</v>
      </c>
      <c r="Q2971" s="96" t="s">
        <v>104</v>
      </c>
      <c r="R2971" s="52">
        <v>25.9</v>
      </c>
      <c r="S2971" s="52">
        <f>R2971-T2971</f>
        <v>23.125</v>
      </c>
      <c r="T2971" s="52">
        <f>R2971*U2971/(U2971+100)</f>
        <v>2.7749999999999995</v>
      </c>
      <c r="U2971" s="50">
        <v>12</v>
      </c>
      <c r="V2971" s="53">
        <v>0</v>
      </c>
      <c r="W2971" s="147">
        <v>1</v>
      </c>
      <c r="X2971" s="148" t="s">
        <v>163</v>
      </c>
      <c r="Y2971" s="54">
        <f>R2971*W2971</f>
        <v>25.9</v>
      </c>
      <c r="Z2971" s="52">
        <f>S2971*W2971</f>
        <v>23.125</v>
      </c>
      <c r="AA2971" s="52">
        <f>T2971*W2971</f>
        <v>2.7749999999999995</v>
      </c>
      <c r="AB2971" s="52">
        <f>V2971*W2971</f>
        <v>0</v>
      </c>
      <c r="AC2971" s="53">
        <f>(R2971+V2971)*W2971</f>
        <v>25.9</v>
      </c>
      <c r="AD2971" s="138">
        <v>25.9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109</v>
      </c>
      <c r="F2972" s="96" t="s">
        <v>111</v>
      </c>
      <c r="G2972" s="97">
        <v>46132</v>
      </c>
      <c r="H2972" s="98">
        <v>0.7237847222222222</v>
      </c>
      <c r="I2972" s="50">
        <v>169002817</v>
      </c>
      <c r="J2972" s="96" t="s">
        <v>157</v>
      </c>
      <c r="K2972" s="49" t="s">
        <v>3823</v>
      </c>
      <c r="L2972" s="39" t="s">
        <v>3824</v>
      </c>
      <c r="M2972" s="49" t="s">
        <v>171</v>
      </c>
      <c r="N2972" s="39" t="s">
        <v>348</v>
      </c>
      <c r="O2972" s="96" t="s">
        <v>3825</v>
      </c>
      <c r="P2972" s="49" t="s">
        <v>157</v>
      </c>
      <c r="Q2972" s="96" t="s">
        <v>104</v>
      </c>
      <c r="R2972" s="52">
        <v>25.9</v>
      </c>
      <c r="S2972" s="52">
        <f>R2972-T2972</f>
        <v>23.125</v>
      </c>
      <c r="T2972" s="52">
        <f>R2972*U2972/(U2972+100)</f>
        <v>2.7749999999999995</v>
      </c>
      <c r="U2972" s="50">
        <v>12</v>
      </c>
      <c r="V2972" s="53">
        <v>0</v>
      </c>
      <c r="W2972" s="147">
        <v>1</v>
      </c>
      <c r="X2972" s="148" t="s">
        <v>163</v>
      </c>
      <c r="Y2972" s="54">
        <f>R2972*W2972</f>
        <v>25.9</v>
      </c>
      <c r="Z2972" s="52">
        <f>S2972*W2972</f>
        <v>23.125</v>
      </c>
      <c r="AA2972" s="52">
        <f>T2972*W2972</f>
        <v>2.7749999999999995</v>
      </c>
      <c r="AB2972" s="52">
        <f>V2972*W2972</f>
        <v>0</v>
      </c>
      <c r="AC2972" s="53">
        <f>(R2972+V2972)*W2972</f>
        <v>25.9</v>
      </c>
      <c r="AD2972" s="138">
        <v>25.9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109</v>
      </c>
      <c r="F2973" s="96" t="s">
        <v>111</v>
      </c>
      <c r="G2973" s="97">
        <v>46132</v>
      </c>
      <c r="H2973" s="98">
        <v>0.7237847222222222</v>
      </c>
      <c r="I2973" s="50">
        <v>169002817</v>
      </c>
      <c r="J2973" s="96" t="s">
        <v>157</v>
      </c>
      <c r="K2973" s="49" t="s">
        <v>3826</v>
      </c>
      <c r="L2973" s="39" t="s">
        <v>3827</v>
      </c>
      <c r="M2973" s="49" t="s">
        <v>171</v>
      </c>
      <c r="N2973" s="39" t="s">
        <v>348</v>
      </c>
      <c r="O2973" s="96" t="s">
        <v>3828</v>
      </c>
      <c r="P2973" s="49" t="s">
        <v>157</v>
      </c>
      <c r="Q2973" s="96" t="s">
        <v>104</v>
      </c>
      <c r="R2973" s="52">
        <v>25.9</v>
      </c>
      <c r="S2973" s="52">
        <f>R2973-T2973</f>
        <v>23.125</v>
      </c>
      <c r="T2973" s="52">
        <f>R2973*U2973/(U2973+100)</f>
        <v>2.7749999999999995</v>
      </c>
      <c r="U2973" s="50">
        <v>12</v>
      </c>
      <c r="V2973" s="53">
        <v>0</v>
      </c>
      <c r="W2973" s="147">
        <v>1</v>
      </c>
      <c r="X2973" s="148" t="s">
        <v>163</v>
      </c>
      <c r="Y2973" s="54">
        <f>R2973*W2973</f>
        <v>25.9</v>
      </c>
      <c r="Z2973" s="52">
        <f>S2973*W2973</f>
        <v>23.125</v>
      </c>
      <c r="AA2973" s="52">
        <f>T2973*W2973</f>
        <v>2.7749999999999995</v>
      </c>
      <c r="AB2973" s="52">
        <f>V2973*W2973</f>
        <v>0</v>
      </c>
      <c r="AC2973" s="53">
        <f>(R2973+V2973)*W2973</f>
        <v>25.9</v>
      </c>
      <c r="AD2973" s="138">
        <v>25.9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109</v>
      </c>
      <c r="F2974" s="96" t="s">
        <v>111</v>
      </c>
      <c r="G2974" s="97">
        <v>46132</v>
      </c>
      <c r="H2974" s="98">
        <v>0.7237847222222222</v>
      </c>
      <c r="I2974" s="50">
        <v>169002817</v>
      </c>
      <c r="J2974" s="96" t="s">
        <v>157</v>
      </c>
      <c r="K2974" s="49" t="s">
        <v>507</v>
      </c>
      <c r="L2974" s="39" t="s">
        <v>508</v>
      </c>
      <c r="M2974" s="49" t="s">
        <v>509</v>
      </c>
      <c r="N2974" s="39" t="s">
        <v>256</v>
      </c>
      <c r="O2974" s="96" t="s">
        <v>1024</v>
      </c>
      <c r="P2974" s="49" t="s">
        <v>235</v>
      </c>
      <c r="Q2974" s="96" t="s">
        <v>236</v>
      </c>
      <c r="R2974" s="52">
        <v>15.9</v>
      </c>
      <c r="S2974" s="52">
        <f>R2974-T2974</f>
        <v>13.140495867768596</v>
      </c>
      <c r="T2974" s="52">
        <f>R2974*U2974/(U2974+100)</f>
        <v>2.759504132231405</v>
      </c>
      <c r="U2974" s="50">
        <v>21</v>
      </c>
      <c r="V2974" s="53">
        <v>0</v>
      </c>
      <c r="W2974" s="147">
        <v>1</v>
      </c>
      <c r="X2974" s="148" t="s">
        <v>163</v>
      </c>
      <c r="Y2974" s="54">
        <f>R2974*W2974</f>
        <v>15.9</v>
      </c>
      <c r="Z2974" s="52">
        <f>S2974*W2974</f>
        <v>13.140495867768596</v>
      </c>
      <c r="AA2974" s="52">
        <f>T2974*W2974</f>
        <v>2.759504132231405</v>
      </c>
      <c r="AB2974" s="52">
        <f>V2974*W2974</f>
        <v>0</v>
      </c>
      <c r="AC2974" s="53">
        <f>(R2974+V2974)*W2974</f>
        <v>15.9</v>
      </c>
      <c r="AD2974" s="138">
        <v>15.9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109</v>
      </c>
      <c r="F2975" s="96" t="s">
        <v>111</v>
      </c>
      <c r="G2975" s="97">
        <v>46132</v>
      </c>
      <c r="H2975" s="98">
        <v>0.7237847222222222</v>
      </c>
      <c r="I2975" s="50">
        <v>169002817</v>
      </c>
      <c r="J2975" s="96" t="s">
        <v>157</v>
      </c>
      <c r="K2975" s="49" t="s">
        <v>507</v>
      </c>
      <c r="L2975" s="39" t="s">
        <v>508</v>
      </c>
      <c r="M2975" s="49" t="s">
        <v>509</v>
      </c>
      <c r="N2975" s="39" t="s">
        <v>256</v>
      </c>
      <c r="O2975" s="96" t="s">
        <v>1024</v>
      </c>
      <c r="P2975" s="49" t="s">
        <v>235</v>
      </c>
      <c r="Q2975" s="96" t="s">
        <v>236</v>
      </c>
      <c r="R2975" s="52">
        <v>15.9</v>
      </c>
      <c r="S2975" s="52">
        <f>R2975-T2975</f>
        <v>13.140495867768596</v>
      </c>
      <c r="T2975" s="52">
        <f>R2975*U2975/(U2975+100)</f>
        <v>2.759504132231405</v>
      </c>
      <c r="U2975" s="50">
        <v>21</v>
      </c>
      <c r="V2975" s="53">
        <v>0</v>
      </c>
      <c r="W2975" s="147">
        <v>1</v>
      </c>
      <c r="X2975" s="148" t="s">
        <v>163</v>
      </c>
      <c r="Y2975" s="54">
        <f>R2975*W2975</f>
        <v>15.9</v>
      </c>
      <c r="Z2975" s="52">
        <f>S2975*W2975</f>
        <v>13.140495867768596</v>
      </c>
      <c r="AA2975" s="52">
        <f>T2975*W2975</f>
        <v>2.759504132231405</v>
      </c>
      <c r="AB2975" s="52">
        <f>V2975*W2975</f>
        <v>0</v>
      </c>
      <c r="AC2975" s="53">
        <f>(R2975+V2975)*W2975</f>
        <v>15.9</v>
      </c>
      <c r="AD2975" s="138">
        <v>15.9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109</v>
      </c>
      <c r="F2976" s="96" t="s">
        <v>111</v>
      </c>
      <c r="G2976" s="97">
        <v>46132</v>
      </c>
      <c r="H2976" s="98">
        <v>0.7237847222222222</v>
      </c>
      <c r="I2976" s="50">
        <v>169002817</v>
      </c>
      <c r="J2976" s="96" t="s">
        <v>157</v>
      </c>
      <c r="K2976" s="49" t="s">
        <v>507</v>
      </c>
      <c r="L2976" s="39" t="s">
        <v>508</v>
      </c>
      <c r="M2976" s="49" t="s">
        <v>509</v>
      </c>
      <c r="N2976" s="39" t="s">
        <v>256</v>
      </c>
      <c r="O2976" s="96" t="s">
        <v>1024</v>
      </c>
      <c r="P2976" s="49" t="s">
        <v>235</v>
      </c>
      <c r="Q2976" s="96" t="s">
        <v>236</v>
      </c>
      <c r="R2976" s="52">
        <v>15.9</v>
      </c>
      <c r="S2976" s="52">
        <f>R2976-T2976</f>
        <v>13.140495867768596</v>
      </c>
      <c r="T2976" s="52">
        <f>R2976*U2976/(U2976+100)</f>
        <v>2.759504132231405</v>
      </c>
      <c r="U2976" s="50">
        <v>21</v>
      </c>
      <c r="V2976" s="53">
        <v>0</v>
      </c>
      <c r="W2976" s="147">
        <v>1</v>
      </c>
      <c r="X2976" s="148" t="s">
        <v>163</v>
      </c>
      <c r="Y2976" s="54">
        <f>R2976*W2976</f>
        <v>15.9</v>
      </c>
      <c r="Z2976" s="52">
        <f>S2976*W2976</f>
        <v>13.140495867768596</v>
      </c>
      <c r="AA2976" s="52">
        <f>T2976*W2976</f>
        <v>2.759504132231405</v>
      </c>
      <c r="AB2976" s="52">
        <f>V2976*W2976</f>
        <v>0</v>
      </c>
      <c r="AC2976" s="53">
        <f>(R2976+V2976)*W2976</f>
        <v>15.9</v>
      </c>
      <c r="AD2976" s="138">
        <v>15.9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109</v>
      </c>
      <c r="F2977" s="96" t="s">
        <v>111</v>
      </c>
      <c r="G2977" s="97">
        <v>46132</v>
      </c>
      <c r="H2977" s="98">
        <v>0.734525462962963</v>
      </c>
      <c r="I2977" s="50">
        <v>169002818</v>
      </c>
      <c r="J2977" s="96" t="s">
        <v>157</v>
      </c>
      <c r="K2977" s="49" t="s">
        <v>2819</v>
      </c>
      <c r="L2977" s="39" t="s">
        <v>2820</v>
      </c>
      <c r="M2977" s="49" t="s">
        <v>232</v>
      </c>
      <c r="N2977" s="39" t="s">
        <v>233</v>
      </c>
      <c r="O2977" s="96" t="s">
        <v>2821</v>
      </c>
      <c r="P2977" s="49" t="s">
        <v>157</v>
      </c>
      <c r="Q2977" s="96" t="s">
        <v>104</v>
      </c>
      <c r="R2977" s="52">
        <v>19.9</v>
      </c>
      <c r="S2977" s="52">
        <f>R2977-T2977</f>
        <v>16.446280991735534</v>
      </c>
      <c r="T2977" s="52">
        <f>R2977*U2977/(U2977+100)</f>
        <v>3.4537190082644624</v>
      </c>
      <c r="U2977" s="50">
        <v>21</v>
      </c>
      <c r="V2977" s="53">
        <v>0</v>
      </c>
      <c r="W2977" s="147">
        <v>1</v>
      </c>
      <c r="X2977" s="148" t="s">
        <v>163</v>
      </c>
      <c r="Y2977" s="54">
        <f>R2977*W2977</f>
        <v>19.9</v>
      </c>
      <c r="Z2977" s="52">
        <f>S2977*W2977</f>
        <v>16.446280991735534</v>
      </c>
      <c r="AA2977" s="52">
        <f>T2977*W2977</f>
        <v>3.4537190082644624</v>
      </c>
      <c r="AB2977" s="52">
        <f>V2977*W2977</f>
        <v>0</v>
      </c>
      <c r="AC2977" s="53">
        <f>(R2977+V2977)*W2977</f>
        <v>19.9</v>
      </c>
      <c r="AD2977" s="138">
        <v>19.9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109</v>
      </c>
      <c r="F2978" s="96" t="s">
        <v>111</v>
      </c>
      <c r="G2978" s="97">
        <v>46132</v>
      </c>
      <c r="H2978" s="98">
        <v>0.734525462962963</v>
      </c>
      <c r="I2978" s="50">
        <v>169002818</v>
      </c>
      <c r="J2978" s="96" t="s">
        <v>157</v>
      </c>
      <c r="K2978" s="49" t="s">
        <v>2819</v>
      </c>
      <c r="L2978" s="39" t="s">
        <v>2820</v>
      </c>
      <c r="M2978" s="49" t="s">
        <v>232</v>
      </c>
      <c r="N2978" s="39" t="s">
        <v>233</v>
      </c>
      <c r="O2978" s="96" t="s">
        <v>2821</v>
      </c>
      <c r="P2978" s="49" t="s">
        <v>157</v>
      </c>
      <c r="Q2978" s="96" t="s">
        <v>104</v>
      </c>
      <c r="R2978" s="52">
        <v>19.9</v>
      </c>
      <c r="S2978" s="52">
        <f>R2978-T2978</f>
        <v>16.446280991735534</v>
      </c>
      <c r="T2978" s="52">
        <f>R2978*U2978/(U2978+100)</f>
        <v>3.4537190082644624</v>
      </c>
      <c r="U2978" s="50">
        <v>21</v>
      </c>
      <c r="V2978" s="53">
        <v>0</v>
      </c>
      <c r="W2978" s="147">
        <v>1</v>
      </c>
      <c r="X2978" s="148" t="s">
        <v>163</v>
      </c>
      <c r="Y2978" s="54">
        <f>R2978*W2978</f>
        <v>19.9</v>
      </c>
      <c r="Z2978" s="52">
        <f>S2978*W2978</f>
        <v>16.446280991735534</v>
      </c>
      <c r="AA2978" s="52">
        <f>T2978*W2978</f>
        <v>3.4537190082644624</v>
      </c>
      <c r="AB2978" s="52">
        <f>V2978*W2978</f>
        <v>0</v>
      </c>
      <c r="AC2978" s="53">
        <f>(R2978+V2978)*W2978</f>
        <v>19.9</v>
      </c>
      <c r="AD2978" s="138">
        <v>19.9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109</v>
      </c>
      <c r="F2979" s="96" t="s">
        <v>111</v>
      </c>
      <c r="G2979" s="97">
        <v>46132</v>
      </c>
      <c r="H2979" s="98">
        <v>0.7359490740740741</v>
      </c>
      <c r="I2979" s="50">
        <v>169002819</v>
      </c>
      <c r="J2979" s="96" t="s">
        <v>157</v>
      </c>
      <c r="K2979" s="49" t="s">
        <v>3691</v>
      </c>
      <c r="L2979" s="39" t="s">
        <v>3692</v>
      </c>
      <c r="M2979" s="49" t="s">
        <v>429</v>
      </c>
      <c r="N2979" s="39" t="s">
        <v>239</v>
      </c>
      <c r="O2979" s="96" t="s">
        <v>3693</v>
      </c>
      <c r="P2979" s="49" t="s">
        <v>235</v>
      </c>
      <c r="Q2979" s="96" t="s">
        <v>236</v>
      </c>
      <c r="R2979" s="52">
        <v>14.9</v>
      </c>
      <c r="S2979" s="52">
        <f>R2979-T2979</f>
        <v>13.303571428571429</v>
      </c>
      <c r="T2979" s="52">
        <f>R2979*U2979/(U2979+100)</f>
        <v>1.5964285714285715</v>
      </c>
      <c r="U2979" s="50">
        <v>12</v>
      </c>
      <c r="V2979" s="53">
        <v>0</v>
      </c>
      <c r="W2979" s="147">
        <v>1</v>
      </c>
      <c r="X2979" s="148" t="s">
        <v>163</v>
      </c>
      <c r="Y2979" s="54">
        <f>R2979*W2979</f>
        <v>14.9</v>
      </c>
      <c r="Z2979" s="52">
        <f>S2979*W2979</f>
        <v>13.303571428571429</v>
      </c>
      <c r="AA2979" s="52">
        <f>T2979*W2979</f>
        <v>1.5964285714285715</v>
      </c>
      <c r="AB2979" s="52">
        <f>V2979*W2979</f>
        <v>0</v>
      </c>
      <c r="AC2979" s="53">
        <f>(R2979+V2979)*W2979</f>
        <v>14.9</v>
      </c>
      <c r="AD2979" s="138">
        <v>14.9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109</v>
      </c>
      <c r="F2980" s="96" t="s">
        <v>111</v>
      </c>
      <c r="G2980" s="97">
        <v>46132</v>
      </c>
      <c r="H2980" s="98">
        <v>0.7359490740740741</v>
      </c>
      <c r="I2980" s="50">
        <v>169002819</v>
      </c>
      <c r="J2980" s="96" t="s">
        <v>157</v>
      </c>
      <c r="K2980" s="49" t="s">
        <v>3829</v>
      </c>
      <c r="L2980" s="39" t="s">
        <v>3830</v>
      </c>
      <c r="M2980" s="49" t="s">
        <v>1120</v>
      </c>
      <c r="N2980" s="39" t="s">
        <v>319</v>
      </c>
      <c r="O2980" s="96" t="s">
        <v>3831</v>
      </c>
      <c r="P2980" s="49" t="s">
        <v>157</v>
      </c>
      <c r="Q2980" s="96" t="s">
        <v>104</v>
      </c>
      <c r="R2980" s="52">
        <v>29.9</v>
      </c>
      <c r="S2980" s="52">
        <f>R2980-T2980</f>
        <v>26.69642857142857</v>
      </c>
      <c r="T2980" s="52">
        <f>R2980*U2980/(U2980+100)</f>
        <v>3.2035714285714283</v>
      </c>
      <c r="U2980" s="50">
        <v>12</v>
      </c>
      <c r="V2980" s="53">
        <v>0</v>
      </c>
      <c r="W2980" s="147">
        <v>1</v>
      </c>
      <c r="X2980" s="148" t="s">
        <v>163</v>
      </c>
      <c r="Y2980" s="54">
        <f>R2980*W2980</f>
        <v>29.9</v>
      </c>
      <c r="Z2980" s="52">
        <f>S2980*W2980</f>
        <v>26.69642857142857</v>
      </c>
      <c r="AA2980" s="52">
        <f>T2980*W2980</f>
        <v>3.2035714285714283</v>
      </c>
      <c r="AB2980" s="52">
        <f>V2980*W2980</f>
        <v>0</v>
      </c>
      <c r="AC2980" s="53">
        <f>(R2980+V2980)*W2980</f>
        <v>29.9</v>
      </c>
      <c r="AD2980" s="138">
        <v>29.9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109</v>
      </c>
      <c r="F2981" s="96" t="s">
        <v>111</v>
      </c>
      <c r="G2981" s="97">
        <v>46132</v>
      </c>
      <c r="H2981" s="98">
        <v>0.7359490740740741</v>
      </c>
      <c r="I2981" s="50">
        <v>169002819</v>
      </c>
      <c r="J2981" s="96" t="s">
        <v>157</v>
      </c>
      <c r="K2981" s="49" t="s">
        <v>3832</v>
      </c>
      <c r="L2981" s="39" t="s">
        <v>3833</v>
      </c>
      <c r="M2981" s="49" t="s">
        <v>1120</v>
      </c>
      <c r="N2981" s="39" t="s">
        <v>319</v>
      </c>
      <c r="O2981" s="96" t="s">
        <v>3834</v>
      </c>
      <c r="P2981" s="49" t="s">
        <v>157</v>
      </c>
      <c r="Q2981" s="96" t="s">
        <v>104</v>
      </c>
      <c r="R2981" s="52">
        <v>29.9</v>
      </c>
      <c r="S2981" s="52">
        <f>R2981-T2981</f>
        <v>26.69642857142857</v>
      </c>
      <c r="T2981" s="52">
        <f>R2981*U2981/(U2981+100)</f>
        <v>3.2035714285714283</v>
      </c>
      <c r="U2981" s="50">
        <v>12</v>
      </c>
      <c r="V2981" s="53">
        <v>0</v>
      </c>
      <c r="W2981" s="147">
        <v>1</v>
      </c>
      <c r="X2981" s="148" t="s">
        <v>163</v>
      </c>
      <c r="Y2981" s="54">
        <f>R2981*W2981</f>
        <v>29.9</v>
      </c>
      <c r="Z2981" s="52">
        <f>S2981*W2981</f>
        <v>26.69642857142857</v>
      </c>
      <c r="AA2981" s="52">
        <f>T2981*W2981</f>
        <v>3.2035714285714283</v>
      </c>
      <c r="AB2981" s="52">
        <f>V2981*W2981</f>
        <v>0</v>
      </c>
      <c r="AC2981" s="53">
        <f>(R2981+V2981)*W2981</f>
        <v>29.9</v>
      </c>
      <c r="AD2981" s="138">
        <v>29.9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109</v>
      </c>
      <c r="F2982" s="96" t="s">
        <v>111</v>
      </c>
      <c r="G2982" s="97">
        <v>46132</v>
      </c>
      <c r="H2982" s="98">
        <v>0.7359490740740741</v>
      </c>
      <c r="I2982" s="50">
        <v>169002819</v>
      </c>
      <c r="J2982" s="96" t="s">
        <v>157</v>
      </c>
      <c r="K2982" s="49" t="s">
        <v>3835</v>
      </c>
      <c r="L2982" s="39" t="s">
        <v>3836</v>
      </c>
      <c r="M2982" s="49" t="s">
        <v>300</v>
      </c>
      <c r="N2982" s="39" t="s">
        <v>1643</v>
      </c>
      <c r="O2982" s="96" t="s">
        <v>3837</v>
      </c>
      <c r="P2982" s="49" t="s">
        <v>157</v>
      </c>
      <c r="Q2982" s="96" t="s">
        <v>104</v>
      </c>
      <c r="R2982" s="52">
        <v>35.9</v>
      </c>
      <c r="S2982" s="52">
        <f>R2982-T2982</f>
        <v>32.05357142857143</v>
      </c>
      <c r="T2982" s="52">
        <f>R2982*U2982/(U2982+100)</f>
        <v>3.846428571428571</v>
      </c>
      <c r="U2982" s="50">
        <v>12</v>
      </c>
      <c r="V2982" s="53">
        <v>0</v>
      </c>
      <c r="W2982" s="147">
        <v>1</v>
      </c>
      <c r="X2982" s="148" t="s">
        <v>163</v>
      </c>
      <c r="Y2982" s="54">
        <f>R2982*W2982</f>
        <v>35.9</v>
      </c>
      <c r="Z2982" s="52">
        <f>S2982*W2982</f>
        <v>32.05357142857143</v>
      </c>
      <c r="AA2982" s="52">
        <f>T2982*W2982</f>
        <v>3.846428571428571</v>
      </c>
      <c r="AB2982" s="52">
        <f>V2982*W2982</f>
        <v>0</v>
      </c>
      <c r="AC2982" s="53">
        <f>(R2982+V2982)*W2982</f>
        <v>35.9</v>
      </c>
      <c r="AD2982" s="138">
        <v>35.9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109</v>
      </c>
      <c r="F2983" s="96" t="s">
        <v>111</v>
      </c>
      <c r="G2983" s="97">
        <v>46132</v>
      </c>
      <c r="H2983" s="98">
        <v>0.7359490740740741</v>
      </c>
      <c r="I2983" s="50">
        <v>169002819</v>
      </c>
      <c r="J2983" s="96" t="s">
        <v>157</v>
      </c>
      <c r="K2983" s="49" t="s">
        <v>3838</v>
      </c>
      <c r="L2983" s="39" t="s">
        <v>3839</v>
      </c>
      <c r="M2983" s="49" t="s">
        <v>300</v>
      </c>
      <c r="N2983" s="39" t="s">
        <v>1377</v>
      </c>
      <c r="O2983" s="96" t="s">
        <v>3840</v>
      </c>
      <c r="P2983" s="49" t="s">
        <v>157</v>
      </c>
      <c r="Q2983" s="96" t="s">
        <v>104</v>
      </c>
      <c r="R2983" s="52">
        <v>33.9</v>
      </c>
      <c r="S2983" s="52">
        <f>R2983-T2983</f>
        <v>30.267857142857142</v>
      </c>
      <c r="T2983" s="52">
        <f>R2983*U2983/(U2983+100)</f>
        <v>3.6321428571428567</v>
      </c>
      <c r="U2983" s="50">
        <v>12</v>
      </c>
      <c r="V2983" s="53">
        <v>0</v>
      </c>
      <c r="W2983" s="147">
        <v>1</v>
      </c>
      <c r="X2983" s="148" t="s">
        <v>163</v>
      </c>
      <c r="Y2983" s="54">
        <f>R2983*W2983</f>
        <v>33.9</v>
      </c>
      <c r="Z2983" s="52">
        <f>S2983*W2983</f>
        <v>30.267857142857142</v>
      </c>
      <c r="AA2983" s="52">
        <f>T2983*W2983</f>
        <v>3.6321428571428567</v>
      </c>
      <c r="AB2983" s="52">
        <f>V2983*W2983</f>
        <v>0</v>
      </c>
      <c r="AC2983" s="53">
        <f>(R2983+V2983)*W2983</f>
        <v>33.9</v>
      </c>
      <c r="AD2983" s="138">
        <v>33.9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109</v>
      </c>
      <c r="F2984" s="96" t="s">
        <v>111</v>
      </c>
      <c r="G2984" s="97">
        <v>46132</v>
      </c>
      <c r="H2984" s="98">
        <v>0.7359490740740741</v>
      </c>
      <c r="I2984" s="50">
        <v>169002819</v>
      </c>
      <c r="J2984" s="96" t="s">
        <v>157</v>
      </c>
      <c r="K2984" s="49" t="s">
        <v>420</v>
      </c>
      <c r="L2984" s="39" t="s">
        <v>421</v>
      </c>
      <c r="M2984" s="49" t="s">
        <v>232</v>
      </c>
      <c r="N2984" s="39" t="s">
        <v>233</v>
      </c>
      <c r="O2984" s="96" t="s">
        <v>1285</v>
      </c>
      <c r="P2984" s="49" t="s">
        <v>157</v>
      </c>
      <c r="Q2984" s="96" t="s">
        <v>104</v>
      </c>
      <c r="R2984" s="52">
        <v>19.9</v>
      </c>
      <c r="S2984" s="52">
        <f>R2984-T2984</f>
        <v>16.446280991735534</v>
      </c>
      <c r="T2984" s="52">
        <f>R2984*U2984/(U2984+100)</f>
        <v>3.4537190082644624</v>
      </c>
      <c r="U2984" s="50">
        <v>21</v>
      </c>
      <c r="V2984" s="53">
        <v>0</v>
      </c>
      <c r="W2984" s="147">
        <v>1</v>
      </c>
      <c r="X2984" s="148" t="s">
        <v>163</v>
      </c>
      <c r="Y2984" s="54">
        <f>R2984*W2984</f>
        <v>19.9</v>
      </c>
      <c r="Z2984" s="52">
        <f>S2984*W2984</f>
        <v>16.446280991735534</v>
      </c>
      <c r="AA2984" s="52">
        <f>T2984*W2984</f>
        <v>3.4537190082644624</v>
      </c>
      <c r="AB2984" s="52">
        <f>V2984*W2984</f>
        <v>0</v>
      </c>
      <c r="AC2984" s="53">
        <f>(R2984+V2984)*W2984</f>
        <v>19.9</v>
      </c>
      <c r="AD2984" s="138">
        <v>19.9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109</v>
      </c>
      <c r="F2985" s="96" t="s">
        <v>111</v>
      </c>
      <c r="G2985" s="97">
        <v>46132</v>
      </c>
      <c r="H2985" s="98">
        <v>0.7363194444444444</v>
      </c>
      <c r="I2985" s="50">
        <v>169002820</v>
      </c>
      <c r="J2985" s="96" t="s">
        <v>157</v>
      </c>
      <c r="K2985" s="49" t="s">
        <v>3841</v>
      </c>
      <c r="L2985" s="39" t="s">
        <v>3842</v>
      </c>
      <c r="M2985" s="49" t="s">
        <v>1445</v>
      </c>
      <c r="N2985" s="39" t="s">
        <v>319</v>
      </c>
      <c r="O2985" s="96" t="s">
        <v>3843</v>
      </c>
      <c r="P2985" s="49" t="s">
        <v>157</v>
      </c>
      <c r="Q2985" s="96" t="s">
        <v>104</v>
      </c>
      <c r="R2985" s="52">
        <v>29.9</v>
      </c>
      <c r="S2985" s="52">
        <f>R2985-T2985</f>
        <v>26.69642857142857</v>
      </c>
      <c r="T2985" s="52">
        <f>R2985*U2985/(U2985+100)</f>
        <v>3.2035714285714283</v>
      </c>
      <c r="U2985" s="50">
        <v>12</v>
      </c>
      <c r="V2985" s="53">
        <v>0</v>
      </c>
      <c r="W2985" s="147">
        <v>1</v>
      </c>
      <c r="X2985" s="148" t="s">
        <v>163</v>
      </c>
      <c r="Y2985" s="54">
        <f>R2985*W2985</f>
        <v>29.9</v>
      </c>
      <c r="Z2985" s="52">
        <f>S2985*W2985</f>
        <v>26.69642857142857</v>
      </c>
      <c r="AA2985" s="52">
        <f>T2985*W2985</f>
        <v>3.2035714285714283</v>
      </c>
      <c r="AB2985" s="52">
        <f>V2985*W2985</f>
        <v>0</v>
      </c>
      <c r="AC2985" s="53">
        <f>(R2985+V2985)*W2985</f>
        <v>29.9</v>
      </c>
      <c r="AD2985" s="138">
        <v>29.9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109</v>
      </c>
      <c r="F2986" s="96" t="s">
        <v>111</v>
      </c>
      <c r="G2986" s="97">
        <v>46132</v>
      </c>
      <c r="H2986" s="98">
        <v>0.7366782407407407</v>
      </c>
      <c r="I2986" s="50">
        <v>169002821</v>
      </c>
      <c r="J2986" s="96" t="s">
        <v>157</v>
      </c>
      <c r="K2986" s="49" t="s">
        <v>1275</v>
      </c>
      <c r="L2986" s="39" t="s">
        <v>1276</v>
      </c>
      <c r="M2986" s="49" t="s">
        <v>214</v>
      </c>
      <c r="N2986" s="39" t="s">
        <v>501</v>
      </c>
      <c r="O2986" s="96" t="s">
        <v>1277</v>
      </c>
      <c r="P2986" s="49" t="s">
        <v>157</v>
      </c>
      <c r="Q2986" s="96" t="s">
        <v>104</v>
      </c>
      <c r="R2986" s="52">
        <v>13.9</v>
      </c>
      <c r="S2986" s="52">
        <f>R2986-T2986</f>
        <v>12.410714285714286</v>
      </c>
      <c r="T2986" s="52">
        <f>R2986*U2986/(U2986+100)</f>
        <v>1.4892857142857143</v>
      </c>
      <c r="U2986" s="50">
        <v>12</v>
      </c>
      <c r="V2986" s="53">
        <v>0</v>
      </c>
      <c r="W2986" s="147">
        <v>2</v>
      </c>
      <c r="X2986" s="148" t="s">
        <v>163</v>
      </c>
      <c r="Y2986" s="54">
        <f>R2986*W2986</f>
        <v>27.8</v>
      </c>
      <c r="Z2986" s="52">
        <f>S2986*W2986</f>
        <v>24.821428571428573</v>
      </c>
      <c r="AA2986" s="52">
        <f>T2986*W2986</f>
        <v>2.9785714285714286</v>
      </c>
      <c r="AB2986" s="52">
        <f>V2986*W2986</f>
        <v>0</v>
      </c>
      <c r="AC2986" s="53">
        <f>(R2986+V2986)*W2986</f>
        <v>27.8</v>
      </c>
      <c r="AD2986" s="138">
        <v>13.9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109</v>
      </c>
      <c r="F2987" s="96" t="s">
        <v>111</v>
      </c>
      <c r="G2987" s="97">
        <v>46132</v>
      </c>
      <c r="H2987" s="98">
        <v>0.7366782407407407</v>
      </c>
      <c r="I2987" s="50">
        <v>169002821</v>
      </c>
      <c r="J2987" s="96" t="s">
        <v>157</v>
      </c>
      <c r="K2987" s="49" t="s">
        <v>3844</v>
      </c>
      <c r="L2987" s="39" t="s">
        <v>3845</v>
      </c>
      <c r="M2987" s="49" t="s">
        <v>972</v>
      </c>
      <c r="N2987" s="39" t="s">
        <v>256</v>
      </c>
      <c r="O2987" s="96" t="s">
        <v>3846</v>
      </c>
      <c r="P2987" s="49" t="s">
        <v>157</v>
      </c>
      <c r="Q2987" s="96" t="s">
        <v>104</v>
      </c>
      <c r="R2987" s="52">
        <v>21.9</v>
      </c>
      <c r="S2987" s="52">
        <f>R2987-T2987</f>
        <v>18.099173553719005</v>
      </c>
      <c r="T2987" s="52">
        <f>R2987*U2987/(U2987+100)</f>
        <v>3.8008264462809915</v>
      </c>
      <c r="U2987" s="50">
        <v>21</v>
      </c>
      <c r="V2987" s="53">
        <v>0</v>
      </c>
      <c r="W2987" s="147">
        <v>1</v>
      </c>
      <c r="X2987" s="148" t="s">
        <v>163</v>
      </c>
      <c r="Y2987" s="54">
        <f>R2987*W2987</f>
        <v>21.9</v>
      </c>
      <c r="Z2987" s="52">
        <f>S2987*W2987</f>
        <v>18.099173553719005</v>
      </c>
      <c r="AA2987" s="52">
        <f>T2987*W2987</f>
        <v>3.8008264462809915</v>
      </c>
      <c r="AB2987" s="52">
        <f>V2987*W2987</f>
        <v>0</v>
      </c>
      <c r="AC2987" s="53">
        <f>(R2987+V2987)*W2987</f>
        <v>21.9</v>
      </c>
      <c r="AD2987" s="138">
        <v>21.9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109</v>
      </c>
      <c r="F2988" s="96" t="s">
        <v>111</v>
      </c>
      <c r="G2988" s="97">
        <v>46132</v>
      </c>
      <c r="H2988" s="98">
        <v>0.7366782407407407</v>
      </c>
      <c r="I2988" s="50">
        <v>169002821</v>
      </c>
      <c r="J2988" s="96" t="s">
        <v>157</v>
      </c>
      <c r="K2988" s="49" t="s">
        <v>303</v>
      </c>
      <c r="L2988" s="39" t="s">
        <v>304</v>
      </c>
      <c r="M2988" s="49" t="s">
        <v>214</v>
      </c>
      <c r="N2988" s="39" t="s">
        <v>296</v>
      </c>
      <c r="O2988" s="96" t="s">
        <v>305</v>
      </c>
      <c r="P2988" s="49" t="s">
        <v>157</v>
      </c>
      <c r="Q2988" s="96" t="s">
        <v>104</v>
      </c>
      <c r="R2988" s="52">
        <v>11.9</v>
      </c>
      <c r="S2988" s="52">
        <f>R2988-T2988</f>
        <v>10.625</v>
      </c>
      <c r="T2988" s="52">
        <f>R2988*U2988/(U2988+100)</f>
        <v>1.2750000000000001</v>
      </c>
      <c r="U2988" s="50">
        <v>12</v>
      </c>
      <c r="V2988" s="53">
        <v>0</v>
      </c>
      <c r="W2988" s="147">
        <v>1</v>
      </c>
      <c r="X2988" s="148" t="s">
        <v>163</v>
      </c>
      <c r="Y2988" s="54">
        <f>R2988*W2988</f>
        <v>11.9</v>
      </c>
      <c r="Z2988" s="52">
        <f>S2988*W2988</f>
        <v>10.625</v>
      </c>
      <c r="AA2988" s="52">
        <f>T2988*W2988</f>
        <v>1.2750000000000001</v>
      </c>
      <c r="AB2988" s="52">
        <f>V2988*W2988</f>
        <v>0</v>
      </c>
      <c r="AC2988" s="53">
        <f>(R2988+V2988)*W2988</f>
        <v>11.9</v>
      </c>
      <c r="AD2988" s="138">
        <v>11.9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109</v>
      </c>
      <c r="F2989" s="96" t="s">
        <v>111</v>
      </c>
      <c r="G2989" s="97">
        <v>46132</v>
      </c>
      <c r="H2989" s="98">
        <v>0.7415162037037037</v>
      </c>
      <c r="I2989" s="50">
        <v>169002822</v>
      </c>
      <c r="J2989" s="96" t="s">
        <v>157</v>
      </c>
      <c r="K2989" s="49" t="s">
        <v>358</v>
      </c>
      <c r="L2989" s="39" t="s">
        <v>359</v>
      </c>
      <c r="M2989" s="49" t="s">
        <v>360</v>
      </c>
      <c r="N2989" s="39" t="s">
        <v>220</v>
      </c>
      <c r="O2989" s="96" t="s">
        <v>2711</v>
      </c>
      <c r="P2989" s="49" t="s">
        <v>157</v>
      </c>
      <c r="Q2989" s="96" t="s">
        <v>104</v>
      </c>
      <c r="R2989" s="52">
        <v>11.4</v>
      </c>
      <c r="S2989" s="52">
        <f>R2989-T2989</f>
        <v>9.421487603305785</v>
      </c>
      <c r="T2989" s="52">
        <f>R2989*U2989/(U2989+100)</f>
        <v>1.9785123966942149</v>
      </c>
      <c r="U2989" s="50">
        <v>21</v>
      </c>
      <c r="V2989" s="53">
        <v>0</v>
      </c>
      <c r="W2989" s="147">
        <v>1</v>
      </c>
      <c r="X2989" s="148" t="s">
        <v>163</v>
      </c>
      <c r="Y2989" s="54">
        <f>R2989*W2989</f>
        <v>11.4</v>
      </c>
      <c r="Z2989" s="52">
        <f>S2989*W2989</f>
        <v>9.421487603305785</v>
      </c>
      <c r="AA2989" s="52">
        <f>T2989*W2989</f>
        <v>1.9785123966942149</v>
      </c>
      <c r="AB2989" s="52">
        <f>V2989*W2989</f>
        <v>0</v>
      </c>
      <c r="AC2989" s="53">
        <f>(R2989+V2989)*W2989</f>
        <v>11.4</v>
      </c>
      <c r="AD2989" s="138">
        <v>11.4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109</v>
      </c>
      <c r="F2990" s="96" t="s">
        <v>111</v>
      </c>
      <c r="G2990" s="97">
        <v>46132</v>
      </c>
      <c r="H2990" s="98">
        <v>0.7415162037037037</v>
      </c>
      <c r="I2990" s="50">
        <v>169002822</v>
      </c>
      <c r="J2990" s="96" t="s">
        <v>157</v>
      </c>
      <c r="K2990" s="49" t="s">
        <v>1438</v>
      </c>
      <c r="L2990" s="39" t="s">
        <v>104</v>
      </c>
      <c r="M2990" s="49" t="s">
        <v>214</v>
      </c>
      <c r="N2990" s="39" t="s">
        <v>756</v>
      </c>
      <c r="O2990" s="96" t="s">
        <v>1439</v>
      </c>
      <c r="P2990" s="49" t="s">
        <v>157</v>
      </c>
      <c r="Q2990" s="96" t="s">
        <v>104</v>
      </c>
      <c r="R2990" s="52">
        <v>23.9</v>
      </c>
      <c r="S2990" s="52">
        <f>R2990-T2990</f>
        <v>21.33928571428571</v>
      </c>
      <c r="T2990" s="52">
        <f>R2990*U2990/(U2990+100)</f>
        <v>2.5607142857142855</v>
      </c>
      <c r="U2990" s="50">
        <v>12</v>
      </c>
      <c r="V2990" s="53">
        <v>0</v>
      </c>
      <c r="W2990" s="147">
        <v>1</v>
      </c>
      <c r="X2990" s="148" t="s">
        <v>163</v>
      </c>
      <c r="Y2990" s="54">
        <f>R2990*W2990</f>
        <v>23.9</v>
      </c>
      <c r="Z2990" s="52">
        <f>S2990*W2990</f>
        <v>21.33928571428571</v>
      </c>
      <c r="AA2990" s="52">
        <f>T2990*W2990</f>
        <v>2.5607142857142855</v>
      </c>
      <c r="AB2990" s="52">
        <f>V2990*W2990</f>
        <v>0</v>
      </c>
      <c r="AC2990" s="53">
        <f>(R2990+V2990)*W2990</f>
        <v>23.9</v>
      </c>
      <c r="AD2990" s="138">
        <v>23.9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109</v>
      </c>
      <c r="F2991" s="96" t="s">
        <v>111</v>
      </c>
      <c r="G2991" s="97">
        <v>46132</v>
      </c>
      <c r="H2991" s="98">
        <v>0.7419212962962963</v>
      </c>
      <c r="I2991" s="50">
        <v>169002823</v>
      </c>
      <c r="J2991" s="96" t="s">
        <v>157</v>
      </c>
      <c r="K2991" s="49" t="s">
        <v>507</v>
      </c>
      <c r="L2991" s="39" t="s">
        <v>508</v>
      </c>
      <c r="M2991" s="49" t="s">
        <v>509</v>
      </c>
      <c r="N2991" s="39" t="s">
        <v>256</v>
      </c>
      <c r="O2991" s="96" t="s">
        <v>1024</v>
      </c>
      <c r="P2991" s="49" t="s">
        <v>235</v>
      </c>
      <c r="Q2991" s="96" t="s">
        <v>236</v>
      </c>
      <c r="R2991" s="52">
        <v>15.9</v>
      </c>
      <c r="S2991" s="52">
        <f>R2991-T2991</f>
        <v>13.140495867768596</v>
      </c>
      <c r="T2991" s="52">
        <f>R2991*U2991/(U2991+100)</f>
        <v>2.759504132231405</v>
      </c>
      <c r="U2991" s="50">
        <v>21</v>
      </c>
      <c r="V2991" s="53">
        <v>0</v>
      </c>
      <c r="W2991" s="147">
        <v>6</v>
      </c>
      <c r="X2991" s="148" t="s">
        <v>163</v>
      </c>
      <c r="Y2991" s="54">
        <f>R2991*W2991</f>
        <v>95.4</v>
      </c>
      <c r="Z2991" s="52">
        <f>S2991*W2991</f>
        <v>78.84297520661158</v>
      </c>
      <c r="AA2991" s="52">
        <f>T2991*W2991</f>
        <v>16.55702479338843</v>
      </c>
      <c r="AB2991" s="52">
        <f>V2991*W2991</f>
        <v>0</v>
      </c>
      <c r="AC2991" s="53">
        <f>(R2991+V2991)*W2991</f>
        <v>95.4</v>
      </c>
      <c r="AD2991" s="138">
        <v>15.9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109</v>
      </c>
      <c r="F2992" s="96" t="s">
        <v>111</v>
      </c>
      <c r="G2992" s="97">
        <v>46132</v>
      </c>
      <c r="H2992" s="98">
        <v>0.7424537037037037</v>
      </c>
      <c r="I2992" s="50">
        <v>169002824</v>
      </c>
      <c r="J2992" s="96" t="s">
        <v>157</v>
      </c>
      <c r="K2992" s="49" t="s">
        <v>2278</v>
      </c>
      <c r="L2992" s="39" t="s">
        <v>2279</v>
      </c>
      <c r="M2992" s="49" t="s">
        <v>862</v>
      </c>
      <c r="N2992" s="39" t="s">
        <v>863</v>
      </c>
      <c r="O2992" s="96" t="s">
        <v>2280</v>
      </c>
      <c r="P2992" s="49" t="s">
        <v>157</v>
      </c>
      <c r="Q2992" s="96" t="s">
        <v>104</v>
      </c>
      <c r="R2992" s="52">
        <v>173</v>
      </c>
      <c r="S2992" s="52">
        <f>R2992-T2992</f>
        <v>142.97520661157026</v>
      </c>
      <c r="T2992" s="52">
        <f>R2992*U2992/(U2992+100)</f>
        <v>30.024793388429753</v>
      </c>
      <c r="U2992" s="50">
        <v>21</v>
      </c>
      <c r="V2992" s="53">
        <v>0</v>
      </c>
      <c r="W2992" s="147">
        <v>1</v>
      </c>
      <c r="X2992" s="148" t="s">
        <v>163</v>
      </c>
      <c r="Y2992" s="54">
        <f>R2992*W2992</f>
        <v>173</v>
      </c>
      <c r="Z2992" s="52">
        <f>S2992*W2992</f>
        <v>142.97520661157026</v>
      </c>
      <c r="AA2992" s="52">
        <f>T2992*W2992</f>
        <v>30.024793388429753</v>
      </c>
      <c r="AB2992" s="52">
        <f>V2992*W2992</f>
        <v>0</v>
      </c>
      <c r="AC2992" s="53">
        <f>(R2992+V2992)*W2992</f>
        <v>173</v>
      </c>
      <c r="AD2992" s="138">
        <v>173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109</v>
      </c>
      <c r="F2993" s="96" t="s">
        <v>111</v>
      </c>
      <c r="G2993" s="97">
        <v>46132</v>
      </c>
      <c r="H2993" s="98">
        <v>0.7434606481481482</v>
      </c>
      <c r="I2993" s="50">
        <v>169002825</v>
      </c>
      <c r="J2993" s="96" t="s">
        <v>157</v>
      </c>
      <c r="K2993" s="49" t="s">
        <v>1025</v>
      </c>
      <c r="L2993" s="39" t="s">
        <v>1026</v>
      </c>
      <c r="M2993" s="49" t="s">
        <v>539</v>
      </c>
      <c r="N2993" s="39" t="s">
        <v>404</v>
      </c>
      <c r="O2993" s="96" t="s">
        <v>1027</v>
      </c>
      <c r="P2993" s="49" t="s">
        <v>157</v>
      </c>
      <c r="Q2993" s="96" t="s">
        <v>104</v>
      </c>
      <c r="R2993" s="52">
        <v>31.9</v>
      </c>
      <c r="S2993" s="52">
        <f>R2993-T2993</f>
        <v>28.482142857142858</v>
      </c>
      <c r="T2993" s="52">
        <f>R2993*U2993/(U2993+100)</f>
        <v>3.4178571428571423</v>
      </c>
      <c r="U2993" s="50">
        <v>12</v>
      </c>
      <c r="V2993" s="53">
        <v>0</v>
      </c>
      <c r="W2993" s="147">
        <v>1</v>
      </c>
      <c r="X2993" s="148" t="s">
        <v>163</v>
      </c>
      <c r="Y2993" s="54">
        <f>R2993*W2993</f>
        <v>31.9</v>
      </c>
      <c r="Z2993" s="52">
        <f>S2993*W2993</f>
        <v>28.482142857142858</v>
      </c>
      <c r="AA2993" s="52">
        <f>T2993*W2993</f>
        <v>3.4178571428571423</v>
      </c>
      <c r="AB2993" s="52">
        <f>V2993*W2993</f>
        <v>0</v>
      </c>
      <c r="AC2993" s="53">
        <f>(R2993+V2993)*W2993</f>
        <v>31.9</v>
      </c>
      <c r="AD2993" s="138">
        <v>31.9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109</v>
      </c>
      <c r="F2994" s="96" t="s">
        <v>111</v>
      </c>
      <c r="G2994" s="97">
        <v>46132</v>
      </c>
      <c r="H2994" s="98">
        <v>0.7434606481481482</v>
      </c>
      <c r="I2994" s="50">
        <v>169002825</v>
      </c>
      <c r="J2994" s="96" t="s">
        <v>157</v>
      </c>
      <c r="K2994" s="49" t="s">
        <v>2075</v>
      </c>
      <c r="L2994" s="39" t="s">
        <v>2076</v>
      </c>
      <c r="M2994" s="49" t="s">
        <v>1525</v>
      </c>
      <c r="N2994" s="39" t="s">
        <v>1230</v>
      </c>
      <c r="O2994" s="96" t="s">
        <v>2077</v>
      </c>
      <c r="P2994" s="49" t="s">
        <v>157</v>
      </c>
      <c r="Q2994" s="96" t="s">
        <v>104</v>
      </c>
      <c r="R2994" s="52">
        <v>19.9</v>
      </c>
      <c r="S2994" s="52">
        <f>R2994-T2994</f>
        <v>17.767857142857142</v>
      </c>
      <c r="T2994" s="52">
        <f>R2994*U2994/(U2994+100)</f>
        <v>2.132142857142857</v>
      </c>
      <c r="U2994" s="50">
        <v>12</v>
      </c>
      <c r="V2994" s="53">
        <v>0</v>
      </c>
      <c r="W2994" s="147">
        <v>1</v>
      </c>
      <c r="X2994" s="148" t="s">
        <v>163</v>
      </c>
      <c r="Y2994" s="54">
        <f>R2994*W2994</f>
        <v>19.9</v>
      </c>
      <c r="Z2994" s="52">
        <f>S2994*W2994</f>
        <v>17.767857142857142</v>
      </c>
      <c r="AA2994" s="52">
        <f>T2994*W2994</f>
        <v>2.132142857142857</v>
      </c>
      <c r="AB2994" s="52">
        <f>V2994*W2994</f>
        <v>0</v>
      </c>
      <c r="AC2994" s="53">
        <f>(R2994+V2994)*W2994</f>
        <v>19.9</v>
      </c>
      <c r="AD2994" s="138">
        <v>19.9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109</v>
      </c>
      <c r="F2995" s="96" t="s">
        <v>111</v>
      </c>
      <c r="G2995" s="97">
        <v>46132</v>
      </c>
      <c r="H2995" s="98">
        <v>0.7434606481481482</v>
      </c>
      <c r="I2995" s="50">
        <v>169002825</v>
      </c>
      <c r="J2995" s="96" t="s">
        <v>157</v>
      </c>
      <c r="K2995" s="49" t="s">
        <v>3847</v>
      </c>
      <c r="L2995" s="39" t="s">
        <v>3848</v>
      </c>
      <c r="M2995" s="49" t="s">
        <v>3849</v>
      </c>
      <c r="N2995" s="39" t="s">
        <v>601</v>
      </c>
      <c r="O2995" s="96" t="s">
        <v>3850</v>
      </c>
      <c r="P2995" s="49" t="s">
        <v>157</v>
      </c>
      <c r="Q2995" s="96" t="s">
        <v>104</v>
      </c>
      <c r="R2995" s="52">
        <v>42.9</v>
      </c>
      <c r="S2995" s="52">
        <f>R2995-T2995</f>
        <v>38.30357142857143</v>
      </c>
      <c r="T2995" s="52">
        <f>R2995*U2995/(U2995+100)</f>
        <v>4.596428571428571</v>
      </c>
      <c r="U2995" s="50">
        <v>12</v>
      </c>
      <c r="V2995" s="53">
        <v>0</v>
      </c>
      <c r="W2995" s="147">
        <v>1</v>
      </c>
      <c r="X2995" s="148" t="s">
        <v>163</v>
      </c>
      <c r="Y2995" s="54">
        <f>R2995*W2995</f>
        <v>42.9</v>
      </c>
      <c r="Z2995" s="52">
        <f>S2995*W2995</f>
        <v>38.30357142857143</v>
      </c>
      <c r="AA2995" s="52">
        <f>T2995*W2995</f>
        <v>4.596428571428571</v>
      </c>
      <c r="AB2995" s="52">
        <f>V2995*W2995</f>
        <v>0</v>
      </c>
      <c r="AC2995" s="53">
        <f>(R2995+V2995)*W2995</f>
        <v>42.9</v>
      </c>
      <c r="AD2995" s="138">
        <v>42.9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109</v>
      </c>
      <c r="F2996" s="96" t="s">
        <v>111</v>
      </c>
      <c r="G2996" s="97">
        <v>46132</v>
      </c>
      <c r="H2996" s="98">
        <v>0.7434606481481482</v>
      </c>
      <c r="I2996" s="50">
        <v>169002825</v>
      </c>
      <c r="J2996" s="96" t="s">
        <v>157</v>
      </c>
      <c r="K2996" s="49" t="s">
        <v>1904</v>
      </c>
      <c r="L2996" s="39" t="s">
        <v>1905</v>
      </c>
      <c r="M2996" s="49" t="s">
        <v>413</v>
      </c>
      <c r="N2996" s="39" t="s">
        <v>414</v>
      </c>
      <c r="O2996" s="96" t="s">
        <v>1906</v>
      </c>
      <c r="P2996" s="49" t="s">
        <v>157</v>
      </c>
      <c r="Q2996" s="96" t="s">
        <v>104</v>
      </c>
      <c r="R2996" s="52">
        <v>9.9</v>
      </c>
      <c r="S2996" s="52">
        <f>R2996-T2996</f>
        <v>8.839285714285715</v>
      </c>
      <c r="T2996" s="52">
        <f>R2996*U2996/(U2996+100)</f>
        <v>1.0607142857142857</v>
      </c>
      <c r="U2996" s="50">
        <v>12</v>
      </c>
      <c r="V2996" s="53">
        <v>0</v>
      </c>
      <c r="W2996" s="147">
        <v>1</v>
      </c>
      <c r="X2996" s="148" t="s">
        <v>163</v>
      </c>
      <c r="Y2996" s="54">
        <f>R2996*W2996</f>
        <v>9.9</v>
      </c>
      <c r="Z2996" s="52">
        <f>S2996*W2996</f>
        <v>8.839285714285715</v>
      </c>
      <c r="AA2996" s="52">
        <f>T2996*W2996</f>
        <v>1.0607142857142857</v>
      </c>
      <c r="AB2996" s="52">
        <f>V2996*W2996</f>
        <v>0</v>
      </c>
      <c r="AC2996" s="53">
        <f>(R2996+V2996)*W2996</f>
        <v>9.9</v>
      </c>
      <c r="AD2996" s="138">
        <v>9.9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109</v>
      </c>
      <c r="F2997" s="96" t="s">
        <v>111</v>
      </c>
      <c r="G2997" s="97">
        <v>46132</v>
      </c>
      <c r="H2997" s="98">
        <v>0.7434606481481482</v>
      </c>
      <c r="I2997" s="50">
        <v>169002825</v>
      </c>
      <c r="J2997" s="96" t="s">
        <v>157</v>
      </c>
      <c r="K2997" s="49" t="s">
        <v>1904</v>
      </c>
      <c r="L2997" s="39" t="s">
        <v>1905</v>
      </c>
      <c r="M2997" s="49" t="s">
        <v>413</v>
      </c>
      <c r="N2997" s="39" t="s">
        <v>414</v>
      </c>
      <c r="O2997" s="96" t="s">
        <v>1906</v>
      </c>
      <c r="P2997" s="49" t="s">
        <v>157</v>
      </c>
      <c r="Q2997" s="96" t="s">
        <v>104</v>
      </c>
      <c r="R2997" s="52">
        <v>9.9</v>
      </c>
      <c r="S2997" s="52">
        <f>R2997-T2997</f>
        <v>8.839285714285715</v>
      </c>
      <c r="T2997" s="52">
        <f>R2997*U2997/(U2997+100)</f>
        <v>1.0607142857142857</v>
      </c>
      <c r="U2997" s="50">
        <v>12</v>
      </c>
      <c r="V2997" s="53">
        <v>0</v>
      </c>
      <c r="W2997" s="147">
        <v>1</v>
      </c>
      <c r="X2997" s="148" t="s">
        <v>163</v>
      </c>
      <c r="Y2997" s="54">
        <f>R2997*W2997</f>
        <v>9.9</v>
      </c>
      <c r="Z2997" s="52">
        <f>S2997*W2997</f>
        <v>8.839285714285715</v>
      </c>
      <c r="AA2997" s="52">
        <f>T2997*W2997</f>
        <v>1.0607142857142857</v>
      </c>
      <c r="AB2997" s="52">
        <f>V2997*W2997</f>
        <v>0</v>
      </c>
      <c r="AC2997" s="53">
        <f>(R2997+V2997)*W2997</f>
        <v>9.9</v>
      </c>
      <c r="AD2997" s="138">
        <v>9.9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109</v>
      </c>
      <c r="F2998" s="96" t="s">
        <v>111</v>
      </c>
      <c r="G2998" s="97">
        <v>46132</v>
      </c>
      <c r="H2998" s="98">
        <v>0.7434606481481482</v>
      </c>
      <c r="I2998" s="50">
        <v>169002825</v>
      </c>
      <c r="J2998" s="96" t="s">
        <v>157</v>
      </c>
      <c r="K2998" s="49" t="s">
        <v>3310</v>
      </c>
      <c r="L2998" s="39" t="s">
        <v>3311</v>
      </c>
      <c r="M2998" s="49" t="s">
        <v>444</v>
      </c>
      <c r="N2998" s="39" t="s">
        <v>228</v>
      </c>
      <c r="O2998" s="96" t="s">
        <v>3312</v>
      </c>
      <c r="P2998" s="49" t="s">
        <v>157</v>
      </c>
      <c r="Q2998" s="96" t="s">
        <v>104</v>
      </c>
      <c r="R2998" s="52">
        <v>17.9</v>
      </c>
      <c r="S2998" s="52">
        <f>R2998-T2998</f>
        <v>15.982142857142856</v>
      </c>
      <c r="T2998" s="52">
        <f>R2998*U2998/(U2998+100)</f>
        <v>1.9178571428571427</v>
      </c>
      <c r="U2998" s="50">
        <v>12</v>
      </c>
      <c r="V2998" s="53">
        <v>0</v>
      </c>
      <c r="W2998" s="147">
        <v>1</v>
      </c>
      <c r="X2998" s="148" t="s">
        <v>163</v>
      </c>
      <c r="Y2998" s="54">
        <f>R2998*W2998</f>
        <v>17.9</v>
      </c>
      <c r="Z2998" s="52">
        <f>S2998*W2998</f>
        <v>15.982142857142856</v>
      </c>
      <c r="AA2998" s="52">
        <f>T2998*W2998</f>
        <v>1.9178571428571427</v>
      </c>
      <c r="AB2998" s="52">
        <f>V2998*W2998</f>
        <v>0</v>
      </c>
      <c r="AC2998" s="53">
        <f>(R2998+V2998)*W2998</f>
        <v>17.9</v>
      </c>
      <c r="AD2998" s="138">
        <v>17.9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109</v>
      </c>
      <c r="F2999" s="96" t="s">
        <v>111</v>
      </c>
      <c r="G2999" s="97">
        <v>46132</v>
      </c>
      <c r="H2999" s="98">
        <v>0.7434606481481482</v>
      </c>
      <c r="I2999" s="50">
        <v>169002825</v>
      </c>
      <c r="J2999" s="96" t="s">
        <v>157</v>
      </c>
      <c r="K2999" s="49" t="s">
        <v>3310</v>
      </c>
      <c r="L2999" s="39" t="s">
        <v>3311</v>
      </c>
      <c r="M2999" s="49" t="s">
        <v>444</v>
      </c>
      <c r="N2999" s="39" t="s">
        <v>228</v>
      </c>
      <c r="O2999" s="96" t="s">
        <v>3312</v>
      </c>
      <c r="P2999" s="49" t="s">
        <v>157</v>
      </c>
      <c r="Q2999" s="96" t="s">
        <v>104</v>
      </c>
      <c r="R2999" s="52">
        <v>17.9</v>
      </c>
      <c r="S2999" s="52">
        <f>R2999-T2999</f>
        <v>15.982142857142856</v>
      </c>
      <c r="T2999" s="52">
        <f>R2999*U2999/(U2999+100)</f>
        <v>1.9178571428571427</v>
      </c>
      <c r="U2999" s="50">
        <v>12</v>
      </c>
      <c r="V2999" s="53">
        <v>0</v>
      </c>
      <c r="W2999" s="147">
        <v>1</v>
      </c>
      <c r="X2999" s="148" t="s">
        <v>163</v>
      </c>
      <c r="Y2999" s="54">
        <f>R2999*W2999</f>
        <v>17.9</v>
      </c>
      <c r="Z2999" s="52">
        <f>S2999*W2999</f>
        <v>15.982142857142856</v>
      </c>
      <c r="AA2999" s="52">
        <f>T2999*W2999</f>
        <v>1.9178571428571427</v>
      </c>
      <c r="AB2999" s="52">
        <f>V2999*W2999</f>
        <v>0</v>
      </c>
      <c r="AC2999" s="53">
        <f>(R2999+V2999)*W2999</f>
        <v>17.9</v>
      </c>
      <c r="AD2999" s="138">
        <v>17.9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109</v>
      </c>
      <c r="F3000" s="96" t="s">
        <v>111</v>
      </c>
      <c r="G3000" s="97">
        <v>46132</v>
      </c>
      <c r="H3000" s="98">
        <v>0.7434606481481482</v>
      </c>
      <c r="I3000" s="50">
        <v>169002825</v>
      </c>
      <c r="J3000" s="96" t="s">
        <v>157</v>
      </c>
      <c r="K3000" s="49" t="s">
        <v>1100</v>
      </c>
      <c r="L3000" s="39" t="s">
        <v>1101</v>
      </c>
      <c r="M3000" s="49" t="s">
        <v>444</v>
      </c>
      <c r="N3000" s="39" t="s">
        <v>228</v>
      </c>
      <c r="O3000" s="96" t="s">
        <v>1102</v>
      </c>
      <c r="P3000" s="49" t="s">
        <v>157</v>
      </c>
      <c r="Q3000" s="96" t="s">
        <v>104</v>
      </c>
      <c r="R3000" s="52">
        <v>17.9</v>
      </c>
      <c r="S3000" s="52">
        <f>R3000-T3000</f>
        <v>15.982142857142856</v>
      </c>
      <c r="T3000" s="52">
        <f>R3000*U3000/(U3000+100)</f>
        <v>1.9178571428571427</v>
      </c>
      <c r="U3000" s="50">
        <v>12</v>
      </c>
      <c r="V3000" s="53">
        <v>0</v>
      </c>
      <c r="W3000" s="147">
        <v>1</v>
      </c>
      <c r="X3000" s="148" t="s">
        <v>163</v>
      </c>
      <c r="Y3000" s="54">
        <f>R3000*W3000</f>
        <v>17.9</v>
      </c>
      <c r="Z3000" s="52">
        <f>S3000*W3000</f>
        <v>15.982142857142856</v>
      </c>
      <c r="AA3000" s="52">
        <f>T3000*W3000</f>
        <v>1.9178571428571427</v>
      </c>
      <c r="AB3000" s="52">
        <f>V3000*W3000</f>
        <v>0</v>
      </c>
      <c r="AC3000" s="53">
        <f>(R3000+V3000)*W3000</f>
        <v>17.9</v>
      </c>
      <c r="AD3000" s="138">
        <v>17.9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109</v>
      </c>
      <c r="F3001" s="96" t="s">
        <v>111</v>
      </c>
      <c r="G3001" s="97">
        <v>46132</v>
      </c>
      <c r="H3001" s="98">
        <v>0.7434606481481482</v>
      </c>
      <c r="I3001" s="50">
        <v>169002825</v>
      </c>
      <c r="J3001" s="96" t="s">
        <v>157</v>
      </c>
      <c r="K3001" s="49" t="s">
        <v>1100</v>
      </c>
      <c r="L3001" s="39" t="s">
        <v>1101</v>
      </c>
      <c r="M3001" s="49" t="s">
        <v>444</v>
      </c>
      <c r="N3001" s="39" t="s">
        <v>228</v>
      </c>
      <c r="O3001" s="96" t="s">
        <v>1102</v>
      </c>
      <c r="P3001" s="49" t="s">
        <v>157</v>
      </c>
      <c r="Q3001" s="96" t="s">
        <v>104</v>
      </c>
      <c r="R3001" s="52">
        <v>17.9</v>
      </c>
      <c r="S3001" s="52">
        <f>R3001-T3001</f>
        <v>15.982142857142856</v>
      </c>
      <c r="T3001" s="52">
        <f>R3001*U3001/(U3001+100)</f>
        <v>1.9178571428571427</v>
      </c>
      <c r="U3001" s="50">
        <v>12</v>
      </c>
      <c r="V3001" s="53">
        <v>0</v>
      </c>
      <c r="W3001" s="147">
        <v>1</v>
      </c>
      <c r="X3001" s="148" t="s">
        <v>163</v>
      </c>
      <c r="Y3001" s="54">
        <f>R3001*W3001</f>
        <v>17.9</v>
      </c>
      <c r="Z3001" s="52">
        <f>S3001*W3001</f>
        <v>15.982142857142856</v>
      </c>
      <c r="AA3001" s="52">
        <f>T3001*W3001</f>
        <v>1.9178571428571427</v>
      </c>
      <c r="AB3001" s="52">
        <f>V3001*W3001</f>
        <v>0</v>
      </c>
      <c r="AC3001" s="53">
        <f>(R3001+V3001)*W3001</f>
        <v>17.9</v>
      </c>
      <c r="AD3001" s="138">
        <v>17.9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109</v>
      </c>
      <c r="F3002" s="96" t="s">
        <v>111</v>
      </c>
      <c r="G3002" s="97">
        <v>46132</v>
      </c>
      <c r="H3002" s="98">
        <v>0.7434606481481482</v>
      </c>
      <c r="I3002" s="50">
        <v>169002825</v>
      </c>
      <c r="J3002" s="96" t="s">
        <v>157</v>
      </c>
      <c r="K3002" s="49" t="s">
        <v>3851</v>
      </c>
      <c r="L3002" s="39" t="s">
        <v>3852</v>
      </c>
      <c r="M3002" s="49" t="s">
        <v>318</v>
      </c>
      <c r="N3002" s="39" t="s">
        <v>319</v>
      </c>
      <c r="O3002" s="96" t="s">
        <v>3853</v>
      </c>
      <c r="P3002" s="49" t="s">
        <v>157</v>
      </c>
      <c r="Q3002" s="96" t="s">
        <v>104</v>
      </c>
      <c r="R3002" s="52">
        <v>49.9</v>
      </c>
      <c r="S3002" s="52">
        <f>R3002-T3002</f>
        <v>44.55357142857143</v>
      </c>
      <c r="T3002" s="52">
        <f>R3002*U3002/(U3002+100)</f>
        <v>5.346428571428571</v>
      </c>
      <c r="U3002" s="50">
        <v>12</v>
      </c>
      <c r="V3002" s="53">
        <v>0</v>
      </c>
      <c r="W3002" s="147">
        <v>1</v>
      </c>
      <c r="X3002" s="148" t="s">
        <v>163</v>
      </c>
      <c r="Y3002" s="54">
        <f>R3002*W3002</f>
        <v>49.9</v>
      </c>
      <c r="Z3002" s="52">
        <f>S3002*W3002</f>
        <v>44.55357142857143</v>
      </c>
      <c r="AA3002" s="52">
        <f>T3002*W3002</f>
        <v>5.346428571428571</v>
      </c>
      <c r="AB3002" s="52">
        <f>V3002*W3002</f>
        <v>0</v>
      </c>
      <c r="AC3002" s="53">
        <f>(R3002+V3002)*W3002</f>
        <v>49.9</v>
      </c>
      <c r="AD3002" s="138">
        <v>49.9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109</v>
      </c>
      <c r="F3003" s="96" t="s">
        <v>111</v>
      </c>
      <c r="G3003" s="97">
        <v>46132</v>
      </c>
      <c r="H3003" s="98">
        <v>0.7434606481481482</v>
      </c>
      <c r="I3003" s="50">
        <v>169002825</v>
      </c>
      <c r="J3003" s="96" t="s">
        <v>157</v>
      </c>
      <c r="K3003" s="49" t="s">
        <v>3854</v>
      </c>
      <c r="L3003" s="39" t="s">
        <v>3855</v>
      </c>
      <c r="M3003" s="49" t="s">
        <v>1373</v>
      </c>
      <c r="N3003" s="39" t="s">
        <v>481</v>
      </c>
      <c r="O3003" s="96" t="s">
        <v>3856</v>
      </c>
      <c r="P3003" s="49" t="s">
        <v>157</v>
      </c>
      <c r="Q3003" s="96" t="s">
        <v>104</v>
      </c>
      <c r="R3003" s="52">
        <v>32.9</v>
      </c>
      <c r="S3003" s="52">
        <f>R3003-T3003</f>
        <v>29.375</v>
      </c>
      <c r="T3003" s="52">
        <f>R3003*U3003/(U3003+100)</f>
        <v>3.5249999999999995</v>
      </c>
      <c r="U3003" s="50">
        <v>12</v>
      </c>
      <c r="V3003" s="53">
        <v>0</v>
      </c>
      <c r="W3003" s="147">
        <v>1</v>
      </c>
      <c r="X3003" s="148" t="s">
        <v>163</v>
      </c>
      <c r="Y3003" s="54">
        <f>R3003*W3003</f>
        <v>32.9</v>
      </c>
      <c r="Z3003" s="52">
        <f>S3003*W3003</f>
        <v>29.375</v>
      </c>
      <c r="AA3003" s="52">
        <f>T3003*W3003</f>
        <v>3.5249999999999995</v>
      </c>
      <c r="AB3003" s="52">
        <f>V3003*W3003</f>
        <v>0</v>
      </c>
      <c r="AC3003" s="53">
        <f>(R3003+V3003)*W3003</f>
        <v>32.9</v>
      </c>
      <c r="AD3003" s="138">
        <v>32.9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109</v>
      </c>
      <c r="F3004" s="96" t="s">
        <v>111</v>
      </c>
      <c r="G3004" s="97">
        <v>46132</v>
      </c>
      <c r="H3004" s="98">
        <v>0.7434606481481482</v>
      </c>
      <c r="I3004" s="50">
        <v>169002825</v>
      </c>
      <c r="J3004" s="96" t="s">
        <v>157</v>
      </c>
      <c r="K3004" s="49" t="s">
        <v>3854</v>
      </c>
      <c r="L3004" s="39" t="s">
        <v>3855</v>
      </c>
      <c r="M3004" s="49" t="s">
        <v>1373</v>
      </c>
      <c r="N3004" s="39" t="s">
        <v>481</v>
      </c>
      <c r="O3004" s="96" t="s">
        <v>3856</v>
      </c>
      <c r="P3004" s="49" t="s">
        <v>157</v>
      </c>
      <c r="Q3004" s="96" t="s">
        <v>104</v>
      </c>
      <c r="R3004" s="52">
        <v>32.9</v>
      </c>
      <c r="S3004" s="52">
        <f>R3004-T3004</f>
        <v>29.375</v>
      </c>
      <c r="T3004" s="52">
        <f>R3004*U3004/(U3004+100)</f>
        <v>3.5249999999999995</v>
      </c>
      <c r="U3004" s="50">
        <v>12</v>
      </c>
      <c r="V3004" s="53">
        <v>0</v>
      </c>
      <c r="W3004" s="147">
        <v>1</v>
      </c>
      <c r="X3004" s="148" t="s">
        <v>163</v>
      </c>
      <c r="Y3004" s="54">
        <f>R3004*W3004</f>
        <v>32.9</v>
      </c>
      <c r="Z3004" s="52">
        <f>S3004*W3004</f>
        <v>29.375</v>
      </c>
      <c r="AA3004" s="52">
        <f>T3004*W3004</f>
        <v>3.5249999999999995</v>
      </c>
      <c r="AB3004" s="52">
        <f>V3004*W3004</f>
        <v>0</v>
      </c>
      <c r="AC3004" s="53">
        <f>(R3004+V3004)*W3004</f>
        <v>32.9</v>
      </c>
      <c r="AD3004" s="138">
        <v>32.9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109</v>
      </c>
      <c r="F3005" s="96" t="s">
        <v>111</v>
      </c>
      <c r="G3005" s="97">
        <v>46132</v>
      </c>
      <c r="H3005" s="98">
        <v>0.7434606481481482</v>
      </c>
      <c r="I3005" s="50">
        <v>169002825</v>
      </c>
      <c r="J3005" s="96" t="s">
        <v>157</v>
      </c>
      <c r="K3005" s="49" t="s">
        <v>1616</v>
      </c>
      <c r="L3005" s="39" t="s">
        <v>1617</v>
      </c>
      <c r="M3005" s="49" t="s">
        <v>649</v>
      </c>
      <c r="N3005" s="39" t="s">
        <v>1618</v>
      </c>
      <c r="O3005" s="96" t="s">
        <v>1619</v>
      </c>
      <c r="P3005" s="49" t="s">
        <v>157</v>
      </c>
      <c r="Q3005" s="96" t="s">
        <v>104</v>
      </c>
      <c r="R3005" s="52">
        <v>27.9</v>
      </c>
      <c r="S3005" s="52">
        <f>R3005-T3005</f>
        <v>24.910714285714285</v>
      </c>
      <c r="T3005" s="52">
        <f>R3005*U3005/(U3005+100)</f>
        <v>2.989285714285714</v>
      </c>
      <c r="U3005" s="50">
        <v>12</v>
      </c>
      <c r="V3005" s="53">
        <v>0</v>
      </c>
      <c r="W3005" s="147">
        <v>1</v>
      </c>
      <c r="X3005" s="148" t="s">
        <v>163</v>
      </c>
      <c r="Y3005" s="54">
        <f>R3005*W3005</f>
        <v>27.9</v>
      </c>
      <c r="Z3005" s="52">
        <f>S3005*W3005</f>
        <v>24.910714285714285</v>
      </c>
      <c r="AA3005" s="52">
        <f>T3005*W3005</f>
        <v>2.989285714285714</v>
      </c>
      <c r="AB3005" s="52">
        <f>V3005*W3005</f>
        <v>0</v>
      </c>
      <c r="AC3005" s="53">
        <f>(R3005+V3005)*W3005</f>
        <v>27.9</v>
      </c>
      <c r="AD3005" s="138">
        <v>27.9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109</v>
      </c>
      <c r="F3006" s="96" t="s">
        <v>111</v>
      </c>
      <c r="G3006" s="97">
        <v>46132</v>
      </c>
      <c r="H3006" s="98">
        <v>0.7434606481481482</v>
      </c>
      <c r="I3006" s="50">
        <v>169002825</v>
      </c>
      <c r="J3006" s="96" t="s">
        <v>157</v>
      </c>
      <c r="K3006" s="49" t="s">
        <v>3857</v>
      </c>
      <c r="L3006" s="39" t="s">
        <v>3858</v>
      </c>
      <c r="M3006" s="49" t="s">
        <v>190</v>
      </c>
      <c r="N3006" s="39" t="s">
        <v>191</v>
      </c>
      <c r="O3006" s="96" t="s">
        <v>3859</v>
      </c>
      <c r="P3006" s="49" t="s">
        <v>157</v>
      </c>
      <c r="Q3006" s="96" t="s">
        <v>104</v>
      </c>
      <c r="R3006" s="52">
        <v>31.9</v>
      </c>
      <c r="S3006" s="52">
        <f>R3006-T3006</f>
        <v>28.482142857142858</v>
      </c>
      <c r="T3006" s="52">
        <f>R3006*U3006/(U3006+100)</f>
        <v>3.4178571428571423</v>
      </c>
      <c r="U3006" s="50">
        <v>12</v>
      </c>
      <c r="V3006" s="53">
        <v>0</v>
      </c>
      <c r="W3006" s="147">
        <v>1</v>
      </c>
      <c r="X3006" s="148" t="s">
        <v>193</v>
      </c>
      <c r="Y3006" s="54">
        <f>R3006*W3006</f>
        <v>31.9</v>
      </c>
      <c r="Z3006" s="52">
        <f>S3006*W3006</f>
        <v>28.482142857142858</v>
      </c>
      <c r="AA3006" s="52">
        <f>T3006*W3006</f>
        <v>3.4178571428571423</v>
      </c>
      <c r="AB3006" s="52">
        <f>V3006*W3006</f>
        <v>0</v>
      </c>
      <c r="AC3006" s="53">
        <f>(R3006+V3006)*W3006</f>
        <v>31.9</v>
      </c>
      <c r="AD3006" s="138">
        <v>31.9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109</v>
      </c>
      <c r="F3007" s="96" t="s">
        <v>111</v>
      </c>
      <c r="G3007" s="97">
        <v>46132</v>
      </c>
      <c r="H3007" s="98">
        <v>0.7434606481481482</v>
      </c>
      <c r="I3007" s="50">
        <v>169002825</v>
      </c>
      <c r="J3007" s="96" t="s">
        <v>157</v>
      </c>
      <c r="K3007" s="49" t="s">
        <v>1133</v>
      </c>
      <c r="L3007" s="39" t="s">
        <v>1134</v>
      </c>
      <c r="M3007" s="49" t="s">
        <v>649</v>
      </c>
      <c r="N3007" s="39" t="s">
        <v>440</v>
      </c>
      <c r="O3007" s="96" t="s">
        <v>1135</v>
      </c>
      <c r="P3007" s="49" t="s">
        <v>157</v>
      </c>
      <c r="Q3007" s="96" t="s">
        <v>104</v>
      </c>
      <c r="R3007" s="52">
        <v>125.93</v>
      </c>
      <c r="S3007" s="52">
        <f>R3007-T3007</f>
        <v>112.4375</v>
      </c>
      <c r="T3007" s="52">
        <f>R3007*U3007/(U3007+100)</f>
        <v>13.492500000000001</v>
      </c>
      <c r="U3007" s="50">
        <v>12</v>
      </c>
      <c r="V3007" s="53">
        <v>0</v>
      </c>
      <c r="W3007" s="147">
        <v>0.1</v>
      </c>
      <c r="X3007" s="148" t="s">
        <v>193</v>
      </c>
      <c r="Y3007" s="54">
        <f>R3007*W3007</f>
        <v>12.593000000000002</v>
      </c>
      <c r="Z3007" s="52">
        <f>S3007*W3007</f>
        <v>11.24375</v>
      </c>
      <c r="AA3007" s="52">
        <f>T3007*W3007</f>
        <v>1.3492500000000003</v>
      </c>
      <c r="AB3007" s="52">
        <f>V3007*W3007</f>
        <v>0</v>
      </c>
      <c r="AC3007" s="53">
        <f>(R3007+V3007)*W3007</f>
        <v>12.593000000000002</v>
      </c>
      <c r="AD3007" s="138">
        <v>179.9</v>
      </c>
      <c r="AE3007" s="137">
        <v>53.97</v>
      </c>
      <c r="AF3007" s="139">
        <v>5.397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109</v>
      </c>
      <c r="F3008" s="96" t="s">
        <v>111</v>
      </c>
      <c r="G3008" s="97">
        <v>46132</v>
      </c>
      <c r="H3008" s="98">
        <v>0.7440740740740741</v>
      </c>
      <c r="I3008" s="50">
        <v>169002826</v>
      </c>
      <c r="J3008" s="96" t="s">
        <v>157</v>
      </c>
      <c r="K3008" s="49" t="s">
        <v>3860</v>
      </c>
      <c r="L3008" s="39" t="s">
        <v>3861</v>
      </c>
      <c r="M3008" s="49" t="s">
        <v>300</v>
      </c>
      <c r="N3008" s="39" t="s">
        <v>778</v>
      </c>
      <c r="O3008" s="96" t="s">
        <v>3862</v>
      </c>
      <c r="P3008" s="49" t="s">
        <v>157</v>
      </c>
      <c r="Q3008" s="96" t="s">
        <v>104</v>
      </c>
      <c r="R3008" s="52">
        <v>31.9</v>
      </c>
      <c r="S3008" s="52">
        <f>R3008-T3008</f>
        <v>28.482142857142858</v>
      </c>
      <c r="T3008" s="52">
        <f>R3008*U3008/(U3008+100)</f>
        <v>3.4178571428571423</v>
      </c>
      <c r="U3008" s="50">
        <v>12</v>
      </c>
      <c r="V3008" s="53">
        <v>0</v>
      </c>
      <c r="W3008" s="147">
        <v>1</v>
      </c>
      <c r="X3008" s="148" t="s">
        <v>163</v>
      </c>
      <c r="Y3008" s="54">
        <f>R3008*W3008</f>
        <v>31.9</v>
      </c>
      <c r="Z3008" s="52">
        <f>S3008*W3008</f>
        <v>28.482142857142858</v>
      </c>
      <c r="AA3008" s="52">
        <f>T3008*W3008</f>
        <v>3.4178571428571423</v>
      </c>
      <c r="AB3008" s="52">
        <f>V3008*W3008</f>
        <v>0</v>
      </c>
      <c r="AC3008" s="53">
        <f>(R3008+V3008)*W3008</f>
        <v>31.9</v>
      </c>
      <c r="AD3008" s="138">
        <v>31.9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109</v>
      </c>
      <c r="F3009" s="96" t="s">
        <v>111</v>
      </c>
      <c r="G3009" s="97">
        <v>46132</v>
      </c>
      <c r="H3009" s="98">
        <v>0.7440740740740741</v>
      </c>
      <c r="I3009" s="50">
        <v>169002826</v>
      </c>
      <c r="J3009" s="96" t="s">
        <v>157</v>
      </c>
      <c r="K3009" s="49" t="s">
        <v>411</v>
      </c>
      <c r="L3009" s="39" t="s">
        <v>412</v>
      </c>
      <c r="M3009" s="49" t="s">
        <v>413</v>
      </c>
      <c r="N3009" s="39" t="s">
        <v>414</v>
      </c>
      <c r="O3009" s="96" t="s">
        <v>2936</v>
      </c>
      <c r="P3009" s="49" t="s">
        <v>157</v>
      </c>
      <c r="Q3009" s="96" t="s">
        <v>104</v>
      </c>
      <c r="R3009" s="52">
        <v>12.4</v>
      </c>
      <c r="S3009" s="52">
        <f>R3009-T3009</f>
        <v>11.071428571428571</v>
      </c>
      <c r="T3009" s="52">
        <f>R3009*U3009/(U3009+100)</f>
        <v>1.3285714285714287</v>
      </c>
      <c r="U3009" s="50">
        <v>12</v>
      </c>
      <c r="V3009" s="53">
        <v>0</v>
      </c>
      <c r="W3009" s="147">
        <v>1</v>
      </c>
      <c r="X3009" s="148" t="s">
        <v>163</v>
      </c>
      <c r="Y3009" s="54">
        <f>R3009*W3009</f>
        <v>12.4</v>
      </c>
      <c r="Z3009" s="52">
        <f>S3009*W3009</f>
        <v>11.071428571428571</v>
      </c>
      <c r="AA3009" s="52">
        <f>T3009*W3009</f>
        <v>1.3285714285714287</v>
      </c>
      <c r="AB3009" s="52">
        <f>V3009*W3009</f>
        <v>0</v>
      </c>
      <c r="AC3009" s="53">
        <f>(R3009+V3009)*W3009</f>
        <v>12.4</v>
      </c>
      <c r="AD3009" s="138">
        <v>12.4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109</v>
      </c>
      <c r="F3010" s="96" t="s">
        <v>111</v>
      </c>
      <c r="G3010" s="97">
        <v>46132</v>
      </c>
      <c r="H3010" s="98">
        <v>0.7440740740740741</v>
      </c>
      <c r="I3010" s="50">
        <v>169002826</v>
      </c>
      <c r="J3010" s="96" t="s">
        <v>157</v>
      </c>
      <c r="K3010" s="49" t="s">
        <v>3863</v>
      </c>
      <c r="L3010" s="39" t="s">
        <v>3864</v>
      </c>
      <c r="M3010" s="49" t="s">
        <v>232</v>
      </c>
      <c r="N3010" s="39" t="s">
        <v>167</v>
      </c>
      <c r="O3010" s="96" t="s">
        <v>3865</v>
      </c>
      <c r="P3010" s="49" t="s">
        <v>157</v>
      </c>
      <c r="Q3010" s="96" t="s">
        <v>104</v>
      </c>
      <c r="R3010" s="52">
        <v>21.9</v>
      </c>
      <c r="S3010" s="52">
        <f>R3010-T3010</f>
        <v>18.099173553719005</v>
      </c>
      <c r="T3010" s="52">
        <f>R3010*U3010/(U3010+100)</f>
        <v>3.8008264462809915</v>
      </c>
      <c r="U3010" s="50">
        <v>21</v>
      </c>
      <c r="V3010" s="53">
        <v>0</v>
      </c>
      <c r="W3010" s="147">
        <v>1</v>
      </c>
      <c r="X3010" s="148" t="s">
        <v>163</v>
      </c>
      <c r="Y3010" s="54">
        <f>R3010*W3010</f>
        <v>21.9</v>
      </c>
      <c r="Z3010" s="52">
        <f>S3010*W3010</f>
        <v>18.099173553719005</v>
      </c>
      <c r="AA3010" s="52">
        <f>T3010*W3010</f>
        <v>3.8008264462809915</v>
      </c>
      <c r="AB3010" s="52">
        <f>V3010*W3010</f>
        <v>0</v>
      </c>
      <c r="AC3010" s="53">
        <f>(R3010+V3010)*W3010</f>
        <v>21.9</v>
      </c>
      <c r="AD3010" s="138">
        <v>21.9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109</v>
      </c>
      <c r="F3011" s="96" t="s">
        <v>111</v>
      </c>
      <c r="G3011" s="97">
        <v>46132</v>
      </c>
      <c r="H3011" s="98">
        <v>0.7440740740740741</v>
      </c>
      <c r="I3011" s="50">
        <v>169002826</v>
      </c>
      <c r="J3011" s="96" t="s">
        <v>157</v>
      </c>
      <c r="K3011" s="49" t="s">
        <v>1852</v>
      </c>
      <c r="L3011" s="39" t="s">
        <v>1853</v>
      </c>
      <c r="M3011" s="49" t="s">
        <v>232</v>
      </c>
      <c r="N3011" s="39" t="s">
        <v>233</v>
      </c>
      <c r="O3011" s="96" t="s">
        <v>1854</v>
      </c>
      <c r="P3011" s="49" t="s">
        <v>157</v>
      </c>
      <c r="Q3011" s="96" t="s">
        <v>104</v>
      </c>
      <c r="R3011" s="52">
        <v>22.9</v>
      </c>
      <c r="S3011" s="52">
        <f>R3011-T3011</f>
        <v>18.925619834710744</v>
      </c>
      <c r="T3011" s="52">
        <f>R3011*U3011/(U3011+100)</f>
        <v>3.974380165289256</v>
      </c>
      <c r="U3011" s="50">
        <v>21</v>
      </c>
      <c r="V3011" s="53">
        <v>0</v>
      </c>
      <c r="W3011" s="147">
        <v>1</v>
      </c>
      <c r="X3011" s="148" t="s">
        <v>163</v>
      </c>
      <c r="Y3011" s="54">
        <f>R3011*W3011</f>
        <v>22.9</v>
      </c>
      <c r="Z3011" s="52">
        <f>S3011*W3011</f>
        <v>18.925619834710744</v>
      </c>
      <c r="AA3011" s="52">
        <f>T3011*W3011</f>
        <v>3.974380165289256</v>
      </c>
      <c r="AB3011" s="52">
        <f>V3011*W3011</f>
        <v>0</v>
      </c>
      <c r="AC3011" s="53">
        <f>(R3011+V3011)*W3011</f>
        <v>22.9</v>
      </c>
      <c r="AD3011" s="138">
        <v>22.9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109</v>
      </c>
      <c r="F3012" s="96" t="s">
        <v>111</v>
      </c>
      <c r="G3012" s="97">
        <v>46132</v>
      </c>
      <c r="H3012" s="98">
        <v>0.7440740740740741</v>
      </c>
      <c r="I3012" s="50">
        <v>169002826</v>
      </c>
      <c r="J3012" s="96" t="s">
        <v>157</v>
      </c>
      <c r="K3012" s="49" t="s">
        <v>492</v>
      </c>
      <c r="L3012" s="39" t="s">
        <v>493</v>
      </c>
      <c r="M3012" s="49" t="s">
        <v>224</v>
      </c>
      <c r="N3012" s="39" t="s">
        <v>494</v>
      </c>
      <c r="O3012" s="96" t="s">
        <v>1793</v>
      </c>
      <c r="P3012" s="49" t="s">
        <v>157</v>
      </c>
      <c r="Q3012" s="96" t="s">
        <v>104</v>
      </c>
      <c r="R3012" s="52">
        <v>39.9</v>
      </c>
      <c r="S3012" s="52">
        <f>R3012-T3012</f>
        <v>32.97520661157024</v>
      </c>
      <c r="T3012" s="52">
        <f>R3012*U3012/(U3012+100)</f>
        <v>6.924793388429752</v>
      </c>
      <c r="U3012" s="50">
        <v>21</v>
      </c>
      <c r="V3012" s="53">
        <v>0</v>
      </c>
      <c r="W3012" s="147">
        <v>1</v>
      </c>
      <c r="X3012" s="148" t="s">
        <v>163</v>
      </c>
      <c r="Y3012" s="54">
        <f>R3012*W3012</f>
        <v>39.9</v>
      </c>
      <c r="Z3012" s="52">
        <f>S3012*W3012</f>
        <v>32.97520661157024</v>
      </c>
      <c r="AA3012" s="52">
        <f>T3012*W3012</f>
        <v>6.924793388429752</v>
      </c>
      <c r="AB3012" s="52">
        <f>V3012*W3012</f>
        <v>0</v>
      </c>
      <c r="AC3012" s="53">
        <f>(R3012+V3012)*W3012</f>
        <v>39.9</v>
      </c>
      <c r="AD3012" s="138">
        <v>39.9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109</v>
      </c>
      <c r="F3013" s="96" t="s">
        <v>111</v>
      </c>
      <c r="G3013" s="97">
        <v>46132</v>
      </c>
      <c r="H3013" s="98">
        <v>0.7440740740740741</v>
      </c>
      <c r="I3013" s="50">
        <v>169002826</v>
      </c>
      <c r="J3013" s="96" t="s">
        <v>157</v>
      </c>
      <c r="K3013" s="49" t="s">
        <v>492</v>
      </c>
      <c r="L3013" s="39" t="s">
        <v>493</v>
      </c>
      <c r="M3013" s="49" t="s">
        <v>224</v>
      </c>
      <c r="N3013" s="39" t="s">
        <v>494</v>
      </c>
      <c r="O3013" s="96" t="s">
        <v>1793</v>
      </c>
      <c r="P3013" s="49" t="s">
        <v>157</v>
      </c>
      <c r="Q3013" s="96" t="s">
        <v>104</v>
      </c>
      <c r="R3013" s="52">
        <v>39.9</v>
      </c>
      <c r="S3013" s="52">
        <f>R3013-T3013</f>
        <v>32.97520661157024</v>
      </c>
      <c r="T3013" s="52">
        <f>R3013*U3013/(U3013+100)</f>
        <v>6.924793388429752</v>
      </c>
      <c r="U3013" s="50">
        <v>21</v>
      </c>
      <c r="V3013" s="53">
        <v>0</v>
      </c>
      <c r="W3013" s="147">
        <v>1</v>
      </c>
      <c r="X3013" s="148" t="s">
        <v>163</v>
      </c>
      <c r="Y3013" s="54">
        <f>R3013*W3013</f>
        <v>39.9</v>
      </c>
      <c r="Z3013" s="52">
        <f>S3013*W3013</f>
        <v>32.97520661157024</v>
      </c>
      <c r="AA3013" s="52">
        <f>T3013*W3013</f>
        <v>6.924793388429752</v>
      </c>
      <c r="AB3013" s="52">
        <f>V3013*W3013</f>
        <v>0</v>
      </c>
      <c r="AC3013" s="53">
        <f>(R3013+V3013)*W3013</f>
        <v>39.9</v>
      </c>
      <c r="AD3013" s="138">
        <v>39.9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109</v>
      </c>
      <c r="F3014" s="96" t="s">
        <v>111</v>
      </c>
      <c r="G3014" s="97">
        <v>46132</v>
      </c>
      <c r="H3014" s="98">
        <v>0.7440740740740741</v>
      </c>
      <c r="I3014" s="50">
        <v>169002826</v>
      </c>
      <c r="J3014" s="96" t="s">
        <v>157</v>
      </c>
      <c r="K3014" s="49" t="s">
        <v>183</v>
      </c>
      <c r="L3014" s="39" t="s">
        <v>184</v>
      </c>
      <c r="M3014" s="49" t="s">
        <v>185</v>
      </c>
      <c r="N3014" s="39" t="s">
        <v>186</v>
      </c>
      <c r="O3014" s="96" t="s">
        <v>988</v>
      </c>
      <c r="P3014" s="49" t="s">
        <v>157</v>
      </c>
      <c r="Q3014" s="96" t="s">
        <v>104</v>
      </c>
      <c r="R3014" s="52">
        <v>1.9</v>
      </c>
      <c r="S3014" s="52">
        <f>R3014-T3014</f>
        <v>1.5702479338842974</v>
      </c>
      <c r="T3014" s="52">
        <f>R3014*U3014/(U3014+100)</f>
        <v>0.32975206611570246</v>
      </c>
      <c r="U3014" s="50">
        <v>21</v>
      </c>
      <c r="V3014" s="53">
        <v>0</v>
      </c>
      <c r="W3014" s="147">
        <v>1</v>
      </c>
      <c r="X3014" s="148" t="s">
        <v>163</v>
      </c>
      <c r="Y3014" s="54">
        <f>R3014*W3014</f>
        <v>1.9</v>
      </c>
      <c r="Z3014" s="52">
        <f>S3014*W3014</f>
        <v>1.5702479338842974</v>
      </c>
      <c r="AA3014" s="52">
        <f>T3014*W3014</f>
        <v>0.32975206611570246</v>
      </c>
      <c r="AB3014" s="52">
        <f>V3014*W3014</f>
        <v>0</v>
      </c>
      <c r="AC3014" s="53">
        <f>(R3014+V3014)*W3014</f>
        <v>1.9</v>
      </c>
      <c r="AD3014" s="138">
        <v>1.9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109</v>
      </c>
      <c r="F3015" s="96" t="s">
        <v>111</v>
      </c>
      <c r="G3015" s="97">
        <v>46132</v>
      </c>
      <c r="H3015" s="98">
        <v>0.7440740740740741</v>
      </c>
      <c r="I3015" s="50">
        <v>169002826</v>
      </c>
      <c r="J3015" s="96" t="s">
        <v>157</v>
      </c>
      <c r="K3015" s="49" t="s">
        <v>183</v>
      </c>
      <c r="L3015" s="39" t="s">
        <v>184</v>
      </c>
      <c r="M3015" s="49" t="s">
        <v>185</v>
      </c>
      <c r="N3015" s="39" t="s">
        <v>186</v>
      </c>
      <c r="O3015" s="96" t="s">
        <v>988</v>
      </c>
      <c r="P3015" s="49" t="s">
        <v>157</v>
      </c>
      <c r="Q3015" s="96" t="s">
        <v>104</v>
      </c>
      <c r="R3015" s="52">
        <v>1.9</v>
      </c>
      <c r="S3015" s="52">
        <f>R3015-T3015</f>
        <v>1.5702479338842974</v>
      </c>
      <c r="T3015" s="52">
        <f>R3015*U3015/(U3015+100)</f>
        <v>0.32975206611570246</v>
      </c>
      <c r="U3015" s="50">
        <v>21</v>
      </c>
      <c r="V3015" s="53">
        <v>0</v>
      </c>
      <c r="W3015" s="147">
        <v>1</v>
      </c>
      <c r="X3015" s="148" t="s">
        <v>163</v>
      </c>
      <c r="Y3015" s="54">
        <f>R3015*W3015</f>
        <v>1.9</v>
      </c>
      <c r="Z3015" s="52">
        <f>S3015*W3015</f>
        <v>1.5702479338842974</v>
      </c>
      <c r="AA3015" s="52">
        <f>T3015*W3015</f>
        <v>0.32975206611570246</v>
      </c>
      <c r="AB3015" s="52">
        <f>V3015*W3015</f>
        <v>0</v>
      </c>
      <c r="AC3015" s="53">
        <f>(R3015+V3015)*W3015</f>
        <v>1.9</v>
      </c>
      <c r="AD3015" s="138">
        <v>1.9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109</v>
      </c>
      <c r="F3016" s="96" t="s">
        <v>111</v>
      </c>
      <c r="G3016" s="97">
        <v>46132</v>
      </c>
      <c r="H3016" s="98">
        <v>0.7440740740740741</v>
      </c>
      <c r="I3016" s="50">
        <v>169002826</v>
      </c>
      <c r="J3016" s="96" t="s">
        <v>157</v>
      </c>
      <c r="K3016" s="49" t="s">
        <v>1224</v>
      </c>
      <c r="L3016" s="39" t="s">
        <v>1225</v>
      </c>
      <c r="M3016" s="49" t="s">
        <v>190</v>
      </c>
      <c r="N3016" s="39" t="s">
        <v>532</v>
      </c>
      <c r="O3016" s="96" t="s">
        <v>1226</v>
      </c>
      <c r="P3016" s="49" t="s">
        <v>157</v>
      </c>
      <c r="Q3016" s="96" t="s">
        <v>104</v>
      </c>
      <c r="R3016" s="52">
        <v>44.9</v>
      </c>
      <c r="S3016" s="52">
        <f>R3016-T3016</f>
        <v>40.089285714285715</v>
      </c>
      <c r="T3016" s="52">
        <f>R3016*U3016/(U3016+100)</f>
        <v>4.810714285714285</v>
      </c>
      <c r="U3016" s="50">
        <v>12</v>
      </c>
      <c r="V3016" s="53">
        <v>0</v>
      </c>
      <c r="W3016" s="147">
        <v>0.276</v>
      </c>
      <c r="X3016" s="148" t="s">
        <v>193</v>
      </c>
      <c r="Y3016" s="54">
        <f>R3016*W3016</f>
        <v>12.3924</v>
      </c>
      <c r="Z3016" s="52">
        <f>S3016*W3016</f>
        <v>11.064642857142859</v>
      </c>
      <c r="AA3016" s="52">
        <f>T3016*W3016</f>
        <v>1.3277571428571429</v>
      </c>
      <c r="AB3016" s="52">
        <f>V3016*W3016</f>
        <v>0</v>
      </c>
      <c r="AC3016" s="53">
        <f>(R3016+V3016)*W3016</f>
        <v>12.3924</v>
      </c>
      <c r="AD3016" s="138">
        <v>44.9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109</v>
      </c>
      <c r="F3017" s="96" t="s">
        <v>111</v>
      </c>
      <c r="G3017" s="97">
        <v>46132</v>
      </c>
      <c r="H3017" s="98">
        <v>0.7440740740740741</v>
      </c>
      <c r="I3017" s="50">
        <v>169002826</v>
      </c>
      <c r="J3017" s="96" t="s">
        <v>157</v>
      </c>
      <c r="K3017" s="49" t="s">
        <v>303</v>
      </c>
      <c r="L3017" s="39" t="s">
        <v>304</v>
      </c>
      <c r="M3017" s="49" t="s">
        <v>214</v>
      </c>
      <c r="N3017" s="39" t="s">
        <v>296</v>
      </c>
      <c r="O3017" s="96" t="s">
        <v>305</v>
      </c>
      <c r="P3017" s="49" t="s">
        <v>157</v>
      </c>
      <c r="Q3017" s="96" t="s">
        <v>104</v>
      </c>
      <c r="R3017" s="52">
        <v>11.9</v>
      </c>
      <c r="S3017" s="52">
        <f>R3017-T3017</f>
        <v>10.625</v>
      </c>
      <c r="T3017" s="52">
        <f>R3017*U3017/(U3017+100)</f>
        <v>1.2750000000000001</v>
      </c>
      <c r="U3017" s="50">
        <v>12</v>
      </c>
      <c r="V3017" s="53">
        <v>0</v>
      </c>
      <c r="W3017" s="147">
        <v>1</v>
      </c>
      <c r="X3017" s="148" t="s">
        <v>163</v>
      </c>
      <c r="Y3017" s="54">
        <f>R3017*W3017</f>
        <v>11.9</v>
      </c>
      <c r="Z3017" s="52">
        <f>S3017*W3017</f>
        <v>10.625</v>
      </c>
      <c r="AA3017" s="52">
        <f>T3017*W3017</f>
        <v>1.2750000000000001</v>
      </c>
      <c r="AB3017" s="52">
        <f>V3017*W3017</f>
        <v>0</v>
      </c>
      <c r="AC3017" s="53">
        <f>(R3017+V3017)*W3017</f>
        <v>11.9</v>
      </c>
      <c r="AD3017" s="138">
        <v>11.9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109</v>
      </c>
      <c r="F3018" s="96" t="s">
        <v>111</v>
      </c>
      <c r="G3018" s="97">
        <v>46132</v>
      </c>
      <c r="H3018" s="98">
        <v>0.7442708333333333</v>
      </c>
      <c r="I3018" s="50">
        <v>169002827</v>
      </c>
      <c r="J3018" s="96" t="s">
        <v>157</v>
      </c>
      <c r="K3018" s="49" t="s">
        <v>1494</v>
      </c>
      <c r="L3018" s="39" t="s">
        <v>1495</v>
      </c>
      <c r="M3018" s="49" t="s">
        <v>190</v>
      </c>
      <c r="N3018" s="39" t="s">
        <v>191</v>
      </c>
      <c r="O3018" s="96" t="s">
        <v>1496</v>
      </c>
      <c r="P3018" s="49" t="s">
        <v>157</v>
      </c>
      <c r="Q3018" s="96" t="s">
        <v>104</v>
      </c>
      <c r="R3018" s="52">
        <v>79.9</v>
      </c>
      <c r="S3018" s="52">
        <f>R3018-T3018</f>
        <v>71.33928571428572</v>
      </c>
      <c r="T3018" s="52">
        <f>R3018*U3018/(U3018+100)</f>
        <v>8.560714285714287</v>
      </c>
      <c r="U3018" s="50">
        <v>12</v>
      </c>
      <c r="V3018" s="53">
        <v>0</v>
      </c>
      <c r="W3018" s="147">
        <v>0.478</v>
      </c>
      <c r="X3018" s="148" t="s">
        <v>193</v>
      </c>
      <c r="Y3018" s="54">
        <f>R3018*W3018</f>
        <v>38.1922</v>
      </c>
      <c r="Z3018" s="52">
        <f>S3018*W3018</f>
        <v>34.10017857142857</v>
      </c>
      <c r="AA3018" s="52">
        <f>T3018*W3018</f>
        <v>4.092021428571429</v>
      </c>
      <c r="AB3018" s="52">
        <f>V3018*W3018</f>
        <v>0</v>
      </c>
      <c r="AC3018" s="53">
        <f>(R3018+V3018)*W3018</f>
        <v>38.1922</v>
      </c>
      <c r="AD3018" s="138">
        <v>79.9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109</v>
      </c>
      <c r="F3019" s="96" t="s">
        <v>111</v>
      </c>
      <c r="G3019" s="97">
        <v>46132</v>
      </c>
      <c r="H3019" s="98">
        <v>0.7446064814814815</v>
      </c>
      <c r="I3019" s="50">
        <v>169002828</v>
      </c>
      <c r="J3019" s="96" t="s">
        <v>157</v>
      </c>
      <c r="K3019" s="49" t="s">
        <v>2145</v>
      </c>
      <c r="L3019" s="39" t="s">
        <v>2146</v>
      </c>
      <c r="M3019" s="49" t="s">
        <v>709</v>
      </c>
      <c r="N3019" s="39" t="s">
        <v>319</v>
      </c>
      <c r="O3019" s="96" t="s">
        <v>2147</v>
      </c>
      <c r="P3019" s="49" t="s">
        <v>235</v>
      </c>
      <c r="Q3019" s="96" t="s">
        <v>236</v>
      </c>
      <c r="R3019" s="52">
        <v>149</v>
      </c>
      <c r="S3019" s="52">
        <f>R3019-T3019</f>
        <v>133.03571428571428</v>
      </c>
      <c r="T3019" s="52">
        <f>R3019*U3019/(U3019+100)</f>
        <v>15.964285714285714</v>
      </c>
      <c r="U3019" s="50">
        <v>12</v>
      </c>
      <c r="V3019" s="53">
        <v>0</v>
      </c>
      <c r="W3019" s="147">
        <v>0.334</v>
      </c>
      <c r="X3019" s="148" t="s">
        <v>193</v>
      </c>
      <c r="Y3019" s="54">
        <f>R3019*W3019</f>
        <v>49.766000000000005</v>
      </c>
      <c r="Z3019" s="52">
        <f>S3019*W3019</f>
        <v>44.433928571428574</v>
      </c>
      <c r="AA3019" s="52">
        <f>T3019*W3019</f>
        <v>5.332071428571429</v>
      </c>
      <c r="AB3019" s="52">
        <f>V3019*W3019</f>
        <v>0</v>
      </c>
      <c r="AC3019" s="53">
        <f>(R3019+V3019)*W3019</f>
        <v>49.766000000000005</v>
      </c>
      <c r="AD3019" s="138">
        <v>149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109</v>
      </c>
      <c r="F3020" s="96" t="s">
        <v>111</v>
      </c>
      <c r="G3020" s="97">
        <v>46132</v>
      </c>
      <c r="H3020" s="98">
        <v>0.7446064814814815</v>
      </c>
      <c r="I3020" s="50">
        <v>169002828</v>
      </c>
      <c r="J3020" s="96" t="s">
        <v>157</v>
      </c>
      <c r="K3020" s="49" t="s">
        <v>1133</v>
      </c>
      <c r="L3020" s="39" t="s">
        <v>1134</v>
      </c>
      <c r="M3020" s="49" t="s">
        <v>649</v>
      </c>
      <c r="N3020" s="39" t="s">
        <v>440</v>
      </c>
      <c r="O3020" s="96" t="s">
        <v>1135</v>
      </c>
      <c r="P3020" s="49" t="s">
        <v>157</v>
      </c>
      <c r="Q3020" s="96" t="s">
        <v>104</v>
      </c>
      <c r="R3020" s="52">
        <v>125.93</v>
      </c>
      <c r="S3020" s="52">
        <f>R3020-T3020</f>
        <v>112.4375</v>
      </c>
      <c r="T3020" s="52">
        <f>R3020*U3020/(U3020+100)</f>
        <v>13.492500000000001</v>
      </c>
      <c r="U3020" s="50">
        <v>12</v>
      </c>
      <c r="V3020" s="53">
        <v>0</v>
      </c>
      <c r="W3020" s="147">
        <v>0.206</v>
      </c>
      <c r="X3020" s="148" t="s">
        <v>193</v>
      </c>
      <c r="Y3020" s="54">
        <f>R3020*W3020</f>
        <v>25.94158</v>
      </c>
      <c r="Z3020" s="52">
        <f>S3020*W3020</f>
        <v>23.162125</v>
      </c>
      <c r="AA3020" s="52">
        <f>T3020*W3020</f>
        <v>2.779455</v>
      </c>
      <c r="AB3020" s="52">
        <f>V3020*W3020</f>
        <v>0</v>
      </c>
      <c r="AC3020" s="53">
        <f>(R3020+V3020)*W3020</f>
        <v>25.94158</v>
      </c>
      <c r="AD3020" s="138">
        <v>179.9</v>
      </c>
      <c r="AE3020" s="137">
        <v>53.97</v>
      </c>
      <c r="AF3020" s="139">
        <v>11.1178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109</v>
      </c>
      <c r="F3021" s="96" t="s">
        <v>111</v>
      </c>
      <c r="G3021" s="97">
        <v>46132</v>
      </c>
      <c r="H3021" s="98">
        <v>0.7466782407407407</v>
      </c>
      <c r="I3021" s="50">
        <v>169002829</v>
      </c>
      <c r="J3021" s="96" t="s">
        <v>157</v>
      </c>
      <c r="K3021" s="49" t="s">
        <v>237</v>
      </c>
      <c r="L3021" s="39" t="s">
        <v>238</v>
      </c>
      <c r="M3021" s="49" t="s">
        <v>196</v>
      </c>
      <c r="N3021" s="39" t="s">
        <v>239</v>
      </c>
      <c r="O3021" s="96" t="s">
        <v>3529</v>
      </c>
      <c r="P3021" s="49" t="s">
        <v>157</v>
      </c>
      <c r="Q3021" s="96" t="s">
        <v>104</v>
      </c>
      <c r="R3021" s="52">
        <v>27.9</v>
      </c>
      <c r="S3021" s="52">
        <f>R3021-T3021</f>
        <v>24.910714285714285</v>
      </c>
      <c r="T3021" s="52">
        <f>R3021*U3021/(U3021+100)</f>
        <v>2.989285714285714</v>
      </c>
      <c r="U3021" s="50">
        <v>12</v>
      </c>
      <c r="V3021" s="53">
        <v>0</v>
      </c>
      <c r="W3021" s="147">
        <v>1</v>
      </c>
      <c r="X3021" s="148" t="s">
        <v>163</v>
      </c>
      <c r="Y3021" s="54">
        <f>R3021*W3021</f>
        <v>27.9</v>
      </c>
      <c r="Z3021" s="52">
        <f>S3021*W3021</f>
        <v>24.910714285714285</v>
      </c>
      <c r="AA3021" s="52">
        <f>T3021*W3021</f>
        <v>2.989285714285714</v>
      </c>
      <c r="AB3021" s="52">
        <f>V3021*W3021</f>
        <v>0</v>
      </c>
      <c r="AC3021" s="53">
        <f>(R3021+V3021)*W3021</f>
        <v>27.9</v>
      </c>
      <c r="AD3021" s="138">
        <v>27.9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109</v>
      </c>
      <c r="F3022" s="96" t="s">
        <v>111</v>
      </c>
      <c r="G3022" s="97">
        <v>46132</v>
      </c>
      <c r="H3022" s="98">
        <v>0.7466782407407407</v>
      </c>
      <c r="I3022" s="50">
        <v>169002829</v>
      </c>
      <c r="J3022" s="96" t="s">
        <v>157</v>
      </c>
      <c r="K3022" s="49" t="s">
        <v>3866</v>
      </c>
      <c r="L3022" s="39" t="s">
        <v>3867</v>
      </c>
      <c r="M3022" s="49" t="s">
        <v>425</v>
      </c>
      <c r="N3022" s="39" t="s">
        <v>239</v>
      </c>
      <c r="O3022" s="96" t="s">
        <v>3868</v>
      </c>
      <c r="P3022" s="49" t="s">
        <v>157</v>
      </c>
      <c r="Q3022" s="96" t="s">
        <v>104</v>
      </c>
      <c r="R3022" s="52">
        <v>17.9</v>
      </c>
      <c r="S3022" s="52">
        <f>R3022-T3022</f>
        <v>15.982142857142856</v>
      </c>
      <c r="T3022" s="52">
        <f>R3022*U3022/(U3022+100)</f>
        <v>1.9178571428571427</v>
      </c>
      <c r="U3022" s="50">
        <v>12</v>
      </c>
      <c r="V3022" s="53">
        <v>0</v>
      </c>
      <c r="W3022" s="147">
        <v>1</v>
      </c>
      <c r="X3022" s="148" t="s">
        <v>163</v>
      </c>
      <c r="Y3022" s="54">
        <f>R3022*W3022</f>
        <v>17.9</v>
      </c>
      <c r="Z3022" s="52">
        <f>S3022*W3022</f>
        <v>15.982142857142856</v>
      </c>
      <c r="AA3022" s="52">
        <f>T3022*W3022</f>
        <v>1.9178571428571427</v>
      </c>
      <c r="AB3022" s="52">
        <f>V3022*W3022</f>
        <v>0</v>
      </c>
      <c r="AC3022" s="53">
        <f>(R3022+V3022)*W3022</f>
        <v>17.9</v>
      </c>
      <c r="AD3022" s="138">
        <v>17.9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109</v>
      </c>
      <c r="F3023" s="96" t="s">
        <v>111</v>
      </c>
      <c r="G3023" s="97">
        <v>46132</v>
      </c>
      <c r="H3023" s="98">
        <v>0.7466782407407407</v>
      </c>
      <c r="I3023" s="50">
        <v>169002829</v>
      </c>
      <c r="J3023" s="96" t="s">
        <v>157</v>
      </c>
      <c r="K3023" s="49" t="s">
        <v>832</v>
      </c>
      <c r="L3023" s="39" t="s">
        <v>833</v>
      </c>
      <c r="M3023" s="49" t="s">
        <v>425</v>
      </c>
      <c r="N3023" s="39" t="s">
        <v>239</v>
      </c>
      <c r="O3023" s="96" t="s">
        <v>3869</v>
      </c>
      <c r="P3023" s="49" t="s">
        <v>157</v>
      </c>
      <c r="Q3023" s="96" t="s">
        <v>104</v>
      </c>
      <c r="R3023" s="52">
        <v>17.9</v>
      </c>
      <c r="S3023" s="52">
        <f>R3023-T3023</f>
        <v>15.982142857142856</v>
      </c>
      <c r="T3023" s="52">
        <f>R3023*U3023/(U3023+100)</f>
        <v>1.9178571428571427</v>
      </c>
      <c r="U3023" s="50">
        <v>12</v>
      </c>
      <c r="V3023" s="53">
        <v>0</v>
      </c>
      <c r="W3023" s="147">
        <v>1</v>
      </c>
      <c r="X3023" s="148" t="s">
        <v>163</v>
      </c>
      <c r="Y3023" s="54">
        <f>R3023*W3023</f>
        <v>17.9</v>
      </c>
      <c r="Z3023" s="52">
        <f>S3023*W3023</f>
        <v>15.982142857142856</v>
      </c>
      <c r="AA3023" s="52">
        <f>T3023*W3023</f>
        <v>1.9178571428571427</v>
      </c>
      <c r="AB3023" s="52">
        <f>V3023*W3023</f>
        <v>0</v>
      </c>
      <c r="AC3023" s="53">
        <f>(R3023+V3023)*W3023</f>
        <v>17.9</v>
      </c>
      <c r="AD3023" s="138">
        <v>17.9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109</v>
      </c>
      <c r="F3024" s="96" t="s">
        <v>111</v>
      </c>
      <c r="G3024" s="97">
        <v>46132</v>
      </c>
      <c r="H3024" s="98">
        <v>0.7466782407407407</v>
      </c>
      <c r="I3024" s="50">
        <v>169002829</v>
      </c>
      <c r="J3024" s="96" t="s">
        <v>157</v>
      </c>
      <c r="K3024" s="49" t="s">
        <v>169</v>
      </c>
      <c r="L3024" s="39" t="s">
        <v>170</v>
      </c>
      <c r="M3024" s="49" t="s">
        <v>171</v>
      </c>
      <c r="N3024" s="39" t="s">
        <v>172</v>
      </c>
      <c r="O3024" s="96" t="s">
        <v>3530</v>
      </c>
      <c r="P3024" s="49" t="s">
        <v>157</v>
      </c>
      <c r="Q3024" s="96" t="s">
        <v>104</v>
      </c>
      <c r="R3024" s="52">
        <v>10.9</v>
      </c>
      <c r="S3024" s="52">
        <f>R3024-T3024</f>
        <v>9.732142857142858</v>
      </c>
      <c r="T3024" s="52">
        <f>R3024*U3024/(U3024+100)</f>
        <v>1.167857142857143</v>
      </c>
      <c r="U3024" s="50">
        <v>12</v>
      </c>
      <c r="V3024" s="53">
        <v>0</v>
      </c>
      <c r="W3024" s="147">
        <v>1</v>
      </c>
      <c r="X3024" s="148" t="s">
        <v>163</v>
      </c>
      <c r="Y3024" s="54">
        <f>R3024*W3024</f>
        <v>10.9</v>
      </c>
      <c r="Z3024" s="52">
        <f>S3024*W3024</f>
        <v>9.732142857142858</v>
      </c>
      <c r="AA3024" s="52">
        <f>T3024*W3024</f>
        <v>1.167857142857143</v>
      </c>
      <c r="AB3024" s="52">
        <f>V3024*W3024</f>
        <v>0</v>
      </c>
      <c r="AC3024" s="53">
        <f>(R3024+V3024)*W3024</f>
        <v>10.9</v>
      </c>
      <c r="AD3024" s="138">
        <v>10.9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109</v>
      </c>
      <c r="F3025" s="96" t="s">
        <v>111</v>
      </c>
      <c r="G3025" s="97">
        <v>46132</v>
      </c>
      <c r="H3025" s="98">
        <v>0.7466782407407407</v>
      </c>
      <c r="I3025" s="50">
        <v>169002829</v>
      </c>
      <c r="J3025" s="96" t="s">
        <v>157</v>
      </c>
      <c r="K3025" s="49" t="s">
        <v>177</v>
      </c>
      <c r="L3025" s="39" t="s">
        <v>178</v>
      </c>
      <c r="M3025" s="49" t="s">
        <v>171</v>
      </c>
      <c r="N3025" s="39" t="s">
        <v>172</v>
      </c>
      <c r="O3025" s="96" t="s">
        <v>1779</v>
      </c>
      <c r="P3025" s="49" t="s">
        <v>157</v>
      </c>
      <c r="Q3025" s="96" t="s">
        <v>104</v>
      </c>
      <c r="R3025" s="52">
        <v>11.4</v>
      </c>
      <c r="S3025" s="52">
        <f>R3025-T3025</f>
        <v>10.178571428571429</v>
      </c>
      <c r="T3025" s="52">
        <f>R3025*U3025/(U3025+100)</f>
        <v>1.2214285714285715</v>
      </c>
      <c r="U3025" s="50">
        <v>12</v>
      </c>
      <c r="V3025" s="53">
        <v>0</v>
      </c>
      <c r="W3025" s="147">
        <v>1</v>
      </c>
      <c r="X3025" s="148" t="s">
        <v>163</v>
      </c>
      <c r="Y3025" s="54">
        <f>R3025*W3025</f>
        <v>11.4</v>
      </c>
      <c r="Z3025" s="52">
        <f>S3025*W3025</f>
        <v>10.178571428571429</v>
      </c>
      <c r="AA3025" s="52">
        <f>T3025*W3025</f>
        <v>1.2214285714285715</v>
      </c>
      <c r="AB3025" s="52">
        <f>V3025*W3025</f>
        <v>0</v>
      </c>
      <c r="AC3025" s="53">
        <f>(R3025+V3025)*W3025</f>
        <v>11.4</v>
      </c>
      <c r="AD3025" s="138">
        <v>11.4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109</v>
      </c>
      <c r="F3026" s="96" t="s">
        <v>111</v>
      </c>
      <c r="G3026" s="97">
        <v>46132</v>
      </c>
      <c r="H3026" s="98">
        <v>0.7466782407407407</v>
      </c>
      <c r="I3026" s="50">
        <v>169002829</v>
      </c>
      <c r="J3026" s="96" t="s">
        <v>157</v>
      </c>
      <c r="K3026" s="49" t="s">
        <v>578</v>
      </c>
      <c r="L3026" s="39" t="s">
        <v>579</v>
      </c>
      <c r="M3026" s="49" t="s">
        <v>580</v>
      </c>
      <c r="N3026" s="39" t="s">
        <v>513</v>
      </c>
      <c r="O3026" s="96" t="s">
        <v>2360</v>
      </c>
      <c r="P3026" s="49" t="s">
        <v>157</v>
      </c>
      <c r="Q3026" s="96" t="s">
        <v>104</v>
      </c>
      <c r="R3026" s="52">
        <v>13.4</v>
      </c>
      <c r="S3026" s="52">
        <f>R3026-T3026</f>
        <v>11.964285714285715</v>
      </c>
      <c r="T3026" s="52">
        <f>R3026*U3026/(U3026+100)</f>
        <v>1.4357142857142857</v>
      </c>
      <c r="U3026" s="50">
        <v>12</v>
      </c>
      <c r="V3026" s="53">
        <v>0</v>
      </c>
      <c r="W3026" s="147">
        <v>1</v>
      </c>
      <c r="X3026" s="148" t="s">
        <v>163</v>
      </c>
      <c r="Y3026" s="54">
        <f>R3026*W3026</f>
        <v>13.4</v>
      </c>
      <c r="Z3026" s="52">
        <f>S3026*W3026</f>
        <v>11.964285714285715</v>
      </c>
      <c r="AA3026" s="52">
        <f>T3026*W3026</f>
        <v>1.4357142857142857</v>
      </c>
      <c r="AB3026" s="52">
        <f>V3026*W3026</f>
        <v>0</v>
      </c>
      <c r="AC3026" s="53">
        <f>(R3026+V3026)*W3026</f>
        <v>13.4</v>
      </c>
      <c r="AD3026" s="138">
        <v>13.4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109</v>
      </c>
      <c r="F3027" s="96" t="s">
        <v>111</v>
      </c>
      <c r="G3027" s="97">
        <v>46132</v>
      </c>
      <c r="H3027" s="98">
        <v>0.7466782407407407</v>
      </c>
      <c r="I3027" s="50">
        <v>169002829</v>
      </c>
      <c r="J3027" s="96" t="s">
        <v>157</v>
      </c>
      <c r="K3027" s="49" t="s">
        <v>582</v>
      </c>
      <c r="L3027" s="39" t="s">
        <v>583</v>
      </c>
      <c r="M3027" s="49" t="s">
        <v>580</v>
      </c>
      <c r="N3027" s="39" t="s">
        <v>513</v>
      </c>
      <c r="O3027" s="96" t="s">
        <v>584</v>
      </c>
      <c r="P3027" s="49" t="s">
        <v>157</v>
      </c>
      <c r="Q3027" s="96" t="s">
        <v>104</v>
      </c>
      <c r="R3027" s="52">
        <v>13.4</v>
      </c>
      <c r="S3027" s="52">
        <f>R3027-T3027</f>
        <v>11.964285714285715</v>
      </c>
      <c r="T3027" s="52">
        <f>R3027*U3027/(U3027+100)</f>
        <v>1.4357142857142857</v>
      </c>
      <c r="U3027" s="50">
        <v>12</v>
      </c>
      <c r="V3027" s="53">
        <v>0</v>
      </c>
      <c r="W3027" s="147">
        <v>1</v>
      </c>
      <c r="X3027" s="148" t="s">
        <v>163</v>
      </c>
      <c r="Y3027" s="54">
        <f>R3027*W3027</f>
        <v>13.4</v>
      </c>
      <c r="Z3027" s="52">
        <f>S3027*W3027</f>
        <v>11.964285714285715</v>
      </c>
      <c r="AA3027" s="52">
        <f>T3027*W3027</f>
        <v>1.4357142857142857</v>
      </c>
      <c r="AB3027" s="52">
        <f>V3027*W3027</f>
        <v>0</v>
      </c>
      <c r="AC3027" s="53">
        <f>(R3027+V3027)*W3027</f>
        <v>13.4</v>
      </c>
      <c r="AD3027" s="138">
        <v>13.4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109</v>
      </c>
      <c r="F3028" s="96" t="s">
        <v>111</v>
      </c>
      <c r="G3028" s="97">
        <v>46132</v>
      </c>
      <c r="H3028" s="98">
        <v>0.7466782407407407</v>
      </c>
      <c r="I3028" s="50">
        <v>169002829</v>
      </c>
      <c r="J3028" s="96" t="s">
        <v>157</v>
      </c>
      <c r="K3028" s="49" t="s">
        <v>3870</v>
      </c>
      <c r="L3028" s="39" t="s">
        <v>3871</v>
      </c>
      <c r="M3028" s="49" t="s">
        <v>547</v>
      </c>
      <c r="N3028" s="39" t="s">
        <v>2093</v>
      </c>
      <c r="O3028" s="96" t="s">
        <v>3872</v>
      </c>
      <c r="P3028" s="49" t="s">
        <v>157</v>
      </c>
      <c r="Q3028" s="96" t="s">
        <v>104</v>
      </c>
      <c r="R3028" s="52">
        <v>39.9</v>
      </c>
      <c r="S3028" s="52">
        <f>R3028-T3028</f>
        <v>35.625</v>
      </c>
      <c r="T3028" s="52">
        <f>R3028*U3028/(U3028+100)</f>
        <v>4.2749999999999995</v>
      </c>
      <c r="U3028" s="50">
        <v>12</v>
      </c>
      <c r="V3028" s="53">
        <v>0</v>
      </c>
      <c r="W3028" s="147">
        <v>1</v>
      </c>
      <c r="X3028" s="148" t="s">
        <v>163</v>
      </c>
      <c r="Y3028" s="54">
        <f>R3028*W3028</f>
        <v>39.9</v>
      </c>
      <c r="Z3028" s="52">
        <f>S3028*W3028</f>
        <v>35.625</v>
      </c>
      <c r="AA3028" s="52">
        <f>T3028*W3028</f>
        <v>4.2749999999999995</v>
      </c>
      <c r="AB3028" s="52">
        <f>V3028*W3028</f>
        <v>0</v>
      </c>
      <c r="AC3028" s="53">
        <f>(R3028+V3028)*W3028</f>
        <v>39.9</v>
      </c>
      <c r="AD3028" s="138">
        <v>39.9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109</v>
      </c>
      <c r="F3029" s="96" t="s">
        <v>111</v>
      </c>
      <c r="G3029" s="97">
        <v>46132</v>
      </c>
      <c r="H3029" s="98">
        <v>0.7466782407407407</v>
      </c>
      <c r="I3029" s="50">
        <v>169002829</v>
      </c>
      <c r="J3029" s="96" t="s">
        <v>157</v>
      </c>
      <c r="K3029" s="49" t="s">
        <v>1365</v>
      </c>
      <c r="L3029" s="39" t="s">
        <v>1366</v>
      </c>
      <c r="M3029" s="49" t="s">
        <v>1367</v>
      </c>
      <c r="N3029" s="39" t="s">
        <v>319</v>
      </c>
      <c r="O3029" s="96" t="s">
        <v>1368</v>
      </c>
      <c r="P3029" s="49" t="s">
        <v>157</v>
      </c>
      <c r="Q3029" s="96" t="s">
        <v>104</v>
      </c>
      <c r="R3029" s="52">
        <v>39.9</v>
      </c>
      <c r="S3029" s="52">
        <f>R3029-T3029</f>
        <v>35.625</v>
      </c>
      <c r="T3029" s="52">
        <f>R3029*U3029/(U3029+100)</f>
        <v>4.2749999999999995</v>
      </c>
      <c r="U3029" s="50">
        <v>12</v>
      </c>
      <c r="V3029" s="53">
        <v>0</v>
      </c>
      <c r="W3029" s="147">
        <v>1</v>
      </c>
      <c r="X3029" s="148" t="s">
        <v>163</v>
      </c>
      <c r="Y3029" s="54">
        <f>R3029*W3029</f>
        <v>39.9</v>
      </c>
      <c r="Z3029" s="52">
        <f>S3029*W3029</f>
        <v>35.625</v>
      </c>
      <c r="AA3029" s="52">
        <f>T3029*W3029</f>
        <v>4.2749999999999995</v>
      </c>
      <c r="AB3029" s="52">
        <f>V3029*W3029</f>
        <v>0</v>
      </c>
      <c r="AC3029" s="53">
        <f>(R3029+V3029)*W3029</f>
        <v>39.9</v>
      </c>
      <c r="AD3029" s="138">
        <v>39.9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109</v>
      </c>
      <c r="F3030" s="96" t="s">
        <v>111</v>
      </c>
      <c r="G3030" s="97">
        <v>46132</v>
      </c>
      <c r="H3030" s="98">
        <v>0.7466782407407407</v>
      </c>
      <c r="I3030" s="50">
        <v>169002829</v>
      </c>
      <c r="J3030" s="96" t="s">
        <v>157</v>
      </c>
      <c r="K3030" s="49" t="s">
        <v>942</v>
      </c>
      <c r="L3030" s="39"/>
      <c r="M3030" s="49" t="s">
        <v>295</v>
      </c>
      <c r="N3030" s="39" t="s">
        <v>433</v>
      </c>
      <c r="O3030" s="96" t="s">
        <v>1332</v>
      </c>
      <c r="P3030" s="49" t="s">
        <v>235</v>
      </c>
      <c r="Q3030" s="96" t="s">
        <v>944</v>
      </c>
      <c r="R3030" s="52">
        <v>9.9</v>
      </c>
      <c r="S3030" s="52">
        <f>R3030-T3030</f>
        <v>8.839285714285715</v>
      </c>
      <c r="T3030" s="52">
        <f>R3030*U3030/(U3030+100)</f>
        <v>1.0607142857142857</v>
      </c>
      <c r="U3030" s="50">
        <v>12</v>
      </c>
      <c r="V3030" s="53">
        <v>0</v>
      </c>
      <c r="W3030" s="147">
        <v>1</v>
      </c>
      <c r="X3030" s="148" t="s">
        <v>945</v>
      </c>
      <c r="Y3030" s="54">
        <f>R3030*W3030</f>
        <v>9.9</v>
      </c>
      <c r="Z3030" s="52">
        <f>S3030*W3030</f>
        <v>8.839285714285715</v>
      </c>
      <c r="AA3030" s="52">
        <f>T3030*W3030</f>
        <v>1.0607142857142857</v>
      </c>
      <c r="AB3030" s="52">
        <f>V3030*W3030</f>
        <v>0</v>
      </c>
      <c r="AC3030" s="53">
        <f>(R3030+V3030)*W3030</f>
        <v>9.9</v>
      </c>
      <c r="AD3030" s="138">
        <v>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109</v>
      </c>
      <c r="F3031" s="96" t="s">
        <v>111</v>
      </c>
      <c r="G3031" s="97">
        <v>46132</v>
      </c>
      <c r="H3031" s="98">
        <v>0.7469675925925926</v>
      </c>
      <c r="I3031" s="50">
        <v>169002830</v>
      </c>
      <c r="J3031" s="96" t="s">
        <v>157</v>
      </c>
      <c r="K3031" s="49" t="s">
        <v>754</v>
      </c>
      <c r="L3031" s="39" t="s">
        <v>755</v>
      </c>
      <c r="M3031" s="49" t="s">
        <v>214</v>
      </c>
      <c r="N3031" s="39" t="s">
        <v>756</v>
      </c>
      <c r="O3031" s="96" t="s">
        <v>1184</v>
      </c>
      <c r="P3031" s="49" t="s">
        <v>157</v>
      </c>
      <c r="Q3031" s="96" t="s">
        <v>104</v>
      </c>
      <c r="R3031" s="52">
        <v>19.9</v>
      </c>
      <c r="S3031" s="52">
        <f>R3031-T3031</f>
        <v>17.767857142857142</v>
      </c>
      <c r="T3031" s="52">
        <f>R3031*U3031/(U3031+100)</f>
        <v>2.132142857142857</v>
      </c>
      <c r="U3031" s="50">
        <v>12</v>
      </c>
      <c r="V3031" s="53">
        <v>0</v>
      </c>
      <c r="W3031" s="147">
        <v>2</v>
      </c>
      <c r="X3031" s="148" t="s">
        <v>163</v>
      </c>
      <c r="Y3031" s="54">
        <f>R3031*W3031</f>
        <v>39.8</v>
      </c>
      <c r="Z3031" s="52">
        <f>S3031*W3031</f>
        <v>35.535714285714285</v>
      </c>
      <c r="AA3031" s="52">
        <f>T3031*W3031</f>
        <v>4.264285714285714</v>
      </c>
      <c r="AB3031" s="52">
        <f>V3031*W3031</f>
        <v>0</v>
      </c>
      <c r="AC3031" s="53">
        <f>(R3031+V3031)*W3031</f>
        <v>39.8</v>
      </c>
      <c r="AD3031" s="138">
        <v>19.9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109</v>
      </c>
      <c r="F3032" s="96" t="s">
        <v>111</v>
      </c>
      <c r="G3032" s="97">
        <v>46132</v>
      </c>
      <c r="H3032" s="98">
        <v>0.7501157407407407</v>
      </c>
      <c r="I3032" s="50">
        <v>169002831</v>
      </c>
      <c r="J3032" s="96" t="s">
        <v>157</v>
      </c>
      <c r="K3032" s="49" t="s">
        <v>1464</v>
      </c>
      <c r="L3032" s="39" t="s">
        <v>1465</v>
      </c>
      <c r="M3032" s="49" t="s">
        <v>1466</v>
      </c>
      <c r="N3032" s="39" t="s">
        <v>1467</v>
      </c>
      <c r="O3032" s="96" t="s">
        <v>1468</v>
      </c>
      <c r="P3032" s="49" t="s">
        <v>157</v>
      </c>
      <c r="Q3032" s="96" t="s">
        <v>104</v>
      </c>
      <c r="R3032" s="52">
        <v>13.9</v>
      </c>
      <c r="S3032" s="52">
        <f>R3032-T3032</f>
        <v>12.410714285714286</v>
      </c>
      <c r="T3032" s="52">
        <f>R3032*U3032/(U3032+100)</f>
        <v>1.4892857142857143</v>
      </c>
      <c r="U3032" s="50">
        <v>12</v>
      </c>
      <c r="V3032" s="53">
        <v>0</v>
      </c>
      <c r="W3032" s="147">
        <v>1</v>
      </c>
      <c r="X3032" s="148" t="s">
        <v>163</v>
      </c>
      <c r="Y3032" s="54">
        <f>R3032*W3032</f>
        <v>13.9</v>
      </c>
      <c r="Z3032" s="52">
        <f>S3032*W3032</f>
        <v>12.410714285714286</v>
      </c>
      <c r="AA3032" s="52">
        <f>T3032*W3032</f>
        <v>1.4892857142857143</v>
      </c>
      <c r="AB3032" s="52">
        <f>V3032*W3032</f>
        <v>0</v>
      </c>
      <c r="AC3032" s="53">
        <f>(R3032+V3032)*W3032</f>
        <v>13.9</v>
      </c>
      <c r="AD3032" s="138">
        <v>13.9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109</v>
      </c>
      <c r="F3033" s="96" t="s">
        <v>111</v>
      </c>
      <c r="G3033" s="97">
        <v>46132</v>
      </c>
      <c r="H3033" s="98">
        <v>0.7501157407407407</v>
      </c>
      <c r="I3033" s="50">
        <v>169002831</v>
      </c>
      <c r="J3033" s="96" t="s">
        <v>157</v>
      </c>
      <c r="K3033" s="49" t="s">
        <v>929</v>
      </c>
      <c r="L3033" s="39" t="s">
        <v>930</v>
      </c>
      <c r="M3033" s="49" t="s">
        <v>893</v>
      </c>
      <c r="N3033" s="39" t="s">
        <v>319</v>
      </c>
      <c r="O3033" s="96" t="s">
        <v>3471</v>
      </c>
      <c r="P3033" s="49" t="s">
        <v>157</v>
      </c>
      <c r="Q3033" s="96" t="s">
        <v>104</v>
      </c>
      <c r="R3033" s="52">
        <v>27.93</v>
      </c>
      <c r="S3033" s="52">
        <f>R3033-T3033</f>
        <v>24.9375</v>
      </c>
      <c r="T3033" s="52">
        <f>R3033*U3033/(U3033+100)</f>
        <v>2.9924999999999997</v>
      </c>
      <c r="U3033" s="50">
        <v>12</v>
      </c>
      <c r="V3033" s="53">
        <v>0</v>
      </c>
      <c r="W3033" s="147">
        <v>1</v>
      </c>
      <c r="X3033" s="148" t="s">
        <v>163</v>
      </c>
      <c r="Y3033" s="54">
        <f>R3033*W3033</f>
        <v>27.93</v>
      </c>
      <c r="Z3033" s="52">
        <f>S3033*W3033</f>
        <v>24.9375</v>
      </c>
      <c r="AA3033" s="52">
        <f>T3033*W3033</f>
        <v>2.9924999999999997</v>
      </c>
      <c r="AB3033" s="52">
        <f>V3033*W3033</f>
        <v>0</v>
      </c>
      <c r="AC3033" s="53">
        <f>(R3033+V3033)*W3033</f>
        <v>27.93</v>
      </c>
      <c r="AD3033" s="138">
        <v>39.9</v>
      </c>
      <c r="AE3033" s="137">
        <v>11.97</v>
      </c>
      <c r="AF3033" s="139">
        <v>11.97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109</v>
      </c>
      <c r="F3034" s="96" t="s">
        <v>111</v>
      </c>
      <c r="G3034" s="97">
        <v>46132</v>
      </c>
      <c r="H3034" s="98">
        <v>0.7501157407407407</v>
      </c>
      <c r="I3034" s="50">
        <v>169002831</v>
      </c>
      <c r="J3034" s="96" t="s">
        <v>157</v>
      </c>
      <c r="K3034" s="49" t="s">
        <v>2937</v>
      </c>
      <c r="L3034" s="39" t="s">
        <v>2938</v>
      </c>
      <c r="M3034" s="49" t="s">
        <v>282</v>
      </c>
      <c r="N3034" s="39" t="s">
        <v>609</v>
      </c>
      <c r="O3034" s="96" t="s">
        <v>2939</v>
      </c>
      <c r="P3034" s="49" t="s">
        <v>157</v>
      </c>
      <c r="Q3034" s="96" t="s">
        <v>104</v>
      </c>
      <c r="R3034" s="52">
        <v>8.33</v>
      </c>
      <c r="S3034" s="52">
        <f>R3034-T3034</f>
        <v>7.4375</v>
      </c>
      <c r="T3034" s="52">
        <f>R3034*U3034/(U3034+100)</f>
        <v>0.8925000000000001</v>
      </c>
      <c r="U3034" s="50">
        <v>12</v>
      </c>
      <c r="V3034" s="53">
        <v>0</v>
      </c>
      <c r="W3034" s="147">
        <v>1</v>
      </c>
      <c r="X3034" s="148" t="s">
        <v>163</v>
      </c>
      <c r="Y3034" s="54">
        <f>R3034*W3034</f>
        <v>8.33</v>
      </c>
      <c r="Z3034" s="52">
        <f>S3034*W3034</f>
        <v>7.4375</v>
      </c>
      <c r="AA3034" s="52">
        <f>T3034*W3034</f>
        <v>0.8925000000000001</v>
      </c>
      <c r="AB3034" s="52">
        <f>V3034*W3034</f>
        <v>0</v>
      </c>
      <c r="AC3034" s="53">
        <f>(R3034+V3034)*W3034</f>
        <v>8.33</v>
      </c>
      <c r="AD3034" s="138">
        <v>11.9</v>
      </c>
      <c r="AE3034" s="137">
        <v>3.57</v>
      </c>
      <c r="AF3034" s="139">
        <v>3.57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109</v>
      </c>
      <c r="F3035" s="96" t="s">
        <v>111</v>
      </c>
      <c r="G3035" s="97">
        <v>46132</v>
      </c>
      <c r="H3035" s="98">
        <v>0.7501157407407407</v>
      </c>
      <c r="I3035" s="50">
        <v>169002831</v>
      </c>
      <c r="J3035" s="96" t="s">
        <v>157</v>
      </c>
      <c r="K3035" s="49" t="s">
        <v>2937</v>
      </c>
      <c r="L3035" s="39" t="s">
        <v>2938</v>
      </c>
      <c r="M3035" s="49" t="s">
        <v>282</v>
      </c>
      <c r="N3035" s="39" t="s">
        <v>609</v>
      </c>
      <c r="O3035" s="96" t="s">
        <v>2939</v>
      </c>
      <c r="P3035" s="49" t="s">
        <v>157</v>
      </c>
      <c r="Q3035" s="96" t="s">
        <v>104</v>
      </c>
      <c r="R3035" s="52">
        <v>8.33</v>
      </c>
      <c r="S3035" s="52">
        <f>R3035-T3035</f>
        <v>7.4375</v>
      </c>
      <c r="T3035" s="52">
        <f>R3035*U3035/(U3035+100)</f>
        <v>0.8925000000000001</v>
      </c>
      <c r="U3035" s="50">
        <v>12</v>
      </c>
      <c r="V3035" s="53">
        <v>0</v>
      </c>
      <c r="W3035" s="147">
        <v>1</v>
      </c>
      <c r="X3035" s="148" t="s">
        <v>163</v>
      </c>
      <c r="Y3035" s="54">
        <f>R3035*W3035</f>
        <v>8.33</v>
      </c>
      <c r="Z3035" s="52">
        <f>S3035*W3035</f>
        <v>7.4375</v>
      </c>
      <c r="AA3035" s="52">
        <f>T3035*W3035</f>
        <v>0.8925000000000001</v>
      </c>
      <c r="AB3035" s="52">
        <f>V3035*W3035</f>
        <v>0</v>
      </c>
      <c r="AC3035" s="53">
        <f>(R3035+V3035)*W3035</f>
        <v>8.33</v>
      </c>
      <c r="AD3035" s="138">
        <v>11.9</v>
      </c>
      <c r="AE3035" s="137">
        <v>3.57</v>
      </c>
      <c r="AF3035" s="139">
        <v>3.57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109</v>
      </c>
      <c r="F3036" s="96" t="s">
        <v>111</v>
      </c>
      <c r="G3036" s="97">
        <v>46132</v>
      </c>
      <c r="H3036" s="98">
        <v>0.7501157407407407</v>
      </c>
      <c r="I3036" s="50">
        <v>169002831</v>
      </c>
      <c r="J3036" s="96" t="s">
        <v>157</v>
      </c>
      <c r="K3036" s="49" t="s">
        <v>1645</v>
      </c>
      <c r="L3036" s="39" t="s">
        <v>1646</v>
      </c>
      <c r="M3036" s="49" t="s">
        <v>1647</v>
      </c>
      <c r="N3036" s="39" t="s">
        <v>373</v>
      </c>
      <c r="O3036" s="96" t="s">
        <v>1648</v>
      </c>
      <c r="P3036" s="49" t="s">
        <v>157</v>
      </c>
      <c r="Q3036" s="96" t="s">
        <v>104</v>
      </c>
      <c r="R3036" s="52">
        <v>38.43</v>
      </c>
      <c r="S3036" s="52">
        <f>R3036-T3036</f>
        <v>34.3125</v>
      </c>
      <c r="T3036" s="52">
        <f>R3036*U3036/(U3036+100)</f>
        <v>4.1175</v>
      </c>
      <c r="U3036" s="50">
        <v>12</v>
      </c>
      <c r="V3036" s="53">
        <v>0</v>
      </c>
      <c r="W3036" s="147">
        <v>1</v>
      </c>
      <c r="X3036" s="148" t="s">
        <v>163</v>
      </c>
      <c r="Y3036" s="54">
        <f>R3036*W3036</f>
        <v>38.43</v>
      </c>
      <c r="Z3036" s="52">
        <f>S3036*W3036</f>
        <v>34.3125</v>
      </c>
      <c r="AA3036" s="52">
        <f>T3036*W3036</f>
        <v>4.1175</v>
      </c>
      <c r="AB3036" s="52">
        <f>V3036*W3036</f>
        <v>0</v>
      </c>
      <c r="AC3036" s="53">
        <f>(R3036+V3036)*W3036</f>
        <v>38.43</v>
      </c>
      <c r="AD3036" s="138">
        <v>54.9</v>
      </c>
      <c r="AE3036" s="137">
        <v>16.47</v>
      </c>
      <c r="AF3036" s="139">
        <v>16.47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109</v>
      </c>
      <c r="F3037" s="96" t="s">
        <v>111</v>
      </c>
      <c r="G3037" s="97">
        <v>46132</v>
      </c>
      <c r="H3037" s="98">
        <v>0.7501157407407407</v>
      </c>
      <c r="I3037" s="50">
        <v>169002831</v>
      </c>
      <c r="J3037" s="96" t="s">
        <v>157</v>
      </c>
      <c r="K3037" s="49" t="s">
        <v>1645</v>
      </c>
      <c r="L3037" s="39" t="s">
        <v>1646</v>
      </c>
      <c r="M3037" s="49" t="s">
        <v>1647</v>
      </c>
      <c r="N3037" s="39" t="s">
        <v>373</v>
      </c>
      <c r="O3037" s="96" t="s">
        <v>1648</v>
      </c>
      <c r="P3037" s="49" t="s">
        <v>157</v>
      </c>
      <c r="Q3037" s="96" t="s">
        <v>104</v>
      </c>
      <c r="R3037" s="52">
        <v>38.43</v>
      </c>
      <c r="S3037" s="52">
        <f>R3037-T3037</f>
        <v>34.3125</v>
      </c>
      <c r="T3037" s="52">
        <f>R3037*U3037/(U3037+100)</f>
        <v>4.1175</v>
      </c>
      <c r="U3037" s="50">
        <v>12</v>
      </c>
      <c r="V3037" s="53">
        <v>0</v>
      </c>
      <c r="W3037" s="147">
        <v>1</v>
      </c>
      <c r="X3037" s="148" t="s">
        <v>163</v>
      </c>
      <c r="Y3037" s="54">
        <f>R3037*W3037</f>
        <v>38.43</v>
      </c>
      <c r="Z3037" s="52">
        <f>S3037*W3037</f>
        <v>34.3125</v>
      </c>
      <c r="AA3037" s="52">
        <f>T3037*W3037</f>
        <v>4.1175</v>
      </c>
      <c r="AB3037" s="52">
        <f>V3037*W3037</f>
        <v>0</v>
      </c>
      <c r="AC3037" s="53">
        <f>(R3037+V3037)*W3037</f>
        <v>38.43</v>
      </c>
      <c r="AD3037" s="138">
        <v>54.9</v>
      </c>
      <c r="AE3037" s="137">
        <v>16.47</v>
      </c>
      <c r="AF3037" s="139">
        <v>16.47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109</v>
      </c>
      <c r="F3038" s="96" t="s">
        <v>111</v>
      </c>
      <c r="G3038" s="97">
        <v>46132</v>
      </c>
      <c r="H3038" s="98">
        <v>0.7501157407407407</v>
      </c>
      <c r="I3038" s="50">
        <v>169002831</v>
      </c>
      <c r="J3038" s="96" t="s">
        <v>157</v>
      </c>
      <c r="K3038" s="49" t="s">
        <v>507</v>
      </c>
      <c r="L3038" s="39" t="s">
        <v>508</v>
      </c>
      <c r="M3038" s="49" t="s">
        <v>509</v>
      </c>
      <c r="N3038" s="39" t="s">
        <v>256</v>
      </c>
      <c r="O3038" s="96" t="s">
        <v>1024</v>
      </c>
      <c r="P3038" s="49" t="s">
        <v>235</v>
      </c>
      <c r="Q3038" s="96" t="s">
        <v>236</v>
      </c>
      <c r="R3038" s="52">
        <v>15.9</v>
      </c>
      <c r="S3038" s="52">
        <f>R3038-T3038</f>
        <v>13.140495867768596</v>
      </c>
      <c r="T3038" s="52">
        <f>R3038*U3038/(U3038+100)</f>
        <v>2.759504132231405</v>
      </c>
      <c r="U3038" s="50">
        <v>21</v>
      </c>
      <c r="V3038" s="53">
        <v>0</v>
      </c>
      <c r="W3038" s="147">
        <v>6</v>
      </c>
      <c r="X3038" s="148" t="s">
        <v>163</v>
      </c>
      <c r="Y3038" s="54">
        <f>R3038*W3038</f>
        <v>95.4</v>
      </c>
      <c r="Z3038" s="52">
        <f>S3038*W3038</f>
        <v>78.84297520661158</v>
      </c>
      <c r="AA3038" s="52">
        <f>T3038*W3038</f>
        <v>16.55702479338843</v>
      </c>
      <c r="AB3038" s="52">
        <f>V3038*W3038</f>
        <v>0</v>
      </c>
      <c r="AC3038" s="53">
        <f>(R3038+V3038)*W3038</f>
        <v>95.4</v>
      </c>
      <c r="AD3038" s="138">
        <v>15.9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109</v>
      </c>
      <c r="F3039" s="96" t="s">
        <v>111</v>
      </c>
      <c r="G3039" s="97">
        <v>46132</v>
      </c>
      <c r="H3039" s="98">
        <v>0.7501157407407407</v>
      </c>
      <c r="I3039" s="50">
        <v>169002831</v>
      </c>
      <c r="J3039" s="96" t="s">
        <v>157</v>
      </c>
      <c r="K3039" s="49" t="s">
        <v>655</v>
      </c>
      <c r="L3039" s="39" t="s">
        <v>656</v>
      </c>
      <c r="M3039" s="49" t="s">
        <v>190</v>
      </c>
      <c r="N3039" s="39" t="s">
        <v>532</v>
      </c>
      <c r="O3039" s="96" t="s">
        <v>657</v>
      </c>
      <c r="P3039" s="49" t="s">
        <v>157</v>
      </c>
      <c r="Q3039" s="96" t="s">
        <v>104</v>
      </c>
      <c r="R3039" s="52">
        <v>17.95</v>
      </c>
      <c r="S3039" s="52">
        <f>R3039-T3039</f>
        <v>16.026785714285715</v>
      </c>
      <c r="T3039" s="52">
        <f>R3039*U3039/(U3039+100)</f>
        <v>1.9232142857142855</v>
      </c>
      <c r="U3039" s="50">
        <v>12</v>
      </c>
      <c r="V3039" s="53">
        <v>0</v>
      </c>
      <c r="W3039" s="147">
        <v>0.004</v>
      </c>
      <c r="X3039" s="148" t="s">
        <v>193</v>
      </c>
      <c r="Y3039" s="54">
        <f>R3039*W3039</f>
        <v>0.0718</v>
      </c>
      <c r="Z3039" s="52">
        <f>S3039*W3039</f>
        <v>0.06410714285714286</v>
      </c>
      <c r="AA3039" s="52">
        <f>T3039*W3039</f>
        <v>0.007692857142857142</v>
      </c>
      <c r="AB3039" s="52">
        <f>V3039*W3039</f>
        <v>0</v>
      </c>
      <c r="AC3039" s="53">
        <f>(R3039+V3039)*W3039</f>
        <v>0.0718</v>
      </c>
      <c r="AD3039" s="138">
        <v>17.95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109</v>
      </c>
      <c r="F3040" s="96" t="s">
        <v>111</v>
      </c>
      <c r="G3040" s="97">
        <v>46132</v>
      </c>
      <c r="H3040" s="98">
        <v>0.7501157407407407</v>
      </c>
      <c r="I3040" s="50">
        <v>169002831</v>
      </c>
      <c r="J3040" s="96" t="s">
        <v>157</v>
      </c>
      <c r="K3040" s="49" t="s">
        <v>622</v>
      </c>
      <c r="L3040" s="39" t="s">
        <v>623</v>
      </c>
      <c r="M3040" s="49" t="s">
        <v>190</v>
      </c>
      <c r="N3040" s="39" t="s">
        <v>191</v>
      </c>
      <c r="O3040" s="96" t="s">
        <v>624</v>
      </c>
      <c r="P3040" s="49" t="s">
        <v>157</v>
      </c>
      <c r="Q3040" s="96" t="s">
        <v>104</v>
      </c>
      <c r="R3040" s="52">
        <v>17.9</v>
      </c>
      <c r="S3040" s="52">
        <f>R3040-T3040</f>
        <v>15.982142857142856</v>
      </c>
      <c r="T3040" s="52">
        <f>R3040*U3040/(U3040+100)</f>
        <v>1.9178571428571427</v>
      </c>
      <c r="U3040" s="50">
        <v>12</v>
      </c>
      <c r="V3040" s="53">
        <v>0</v>
      </c>
      <c r="W3040" s="147">
        <v>0.18</v>
      </c>
      <c r="X3040" s="148" t="s">
        <v>193</v>
      </c>
      <c r="Y3040" s="54">
        <f>R3040*W3040</f>
        <v>3.2219999999999995</v>
      </c>
      <c r="Z3040" s="52">
        <f>S3040*W3040</f>
        <v>2.876785714285714</v>
      </c>
      <c r="AA3040" s="52">
        <f>T3040*W3040</f>
        <v>0.3452142857142857</v>
      </c>
      <c r="AB3040" s="52">
        <f>V3040*W3040</f>
        <v>0</v>
      </c>
      <c r="AC3040" s="53">
        <f>(R3040+V3040)*W3040</f>
        <v>3.2219999999999995</v>
      </c>
      <c r="AD3040" s="138">
        <v>17.9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109</v>
      </c>
      <c r="F3041" s="96" t="s">
        <v>111</v>
      </c>
      <c r="G3041" s="97">
        <v>46132</v>
      </c>
      <c r="H3041" s="98">
        <v>0.7501157407407407</v>
      </c>
      <c r="I3041" s="50">
        <v>169002831</v>
      </c>
      <c r="J3041" s="96" t="s">
        <v>157</v>
      </c>
      <c r="K3041" s="49" t="s">
        <v>293</v>
      </c>
      <c r="L3041" s="39" t="s">
        <v>294</v>
      </c>
      <c r="M3041" s="49" t="s">
        <v>295</v>
      </c>
      <c r="N3041" s="39" t="s">
        <v>296</v>
      </c>
      <c r="O3041" s="96" t="s">
        <v>297</v>
      </c>
      <c r="P3041" s="49" t="s">
        <v>157</v>
      </c>
      <c r="Q3041" s="96" t="s">
        <v>104</v>
      </c>
      <c r="R3041" s="52">
        <v>2.9</v>
      </c>
      <c r="S3041" s="52">
        <f>R3041-T3041</f>
        <v>2.5892857142857144</v>
      </c>
      <c r="T3041" s="52">
        <f>R3041*U3041/(U3041+100)</f>
        <v>0.31071428571428567</v>
      </c>
      <c r="U3041" s="50">
        <v>12</v>
      </c>
      <c r="V3041" s="53">
        <v>0</v>
      </c>
      <c r="W3041" s="147">
        <v>3</v>
      </c>
      <c r="X3041" s="148" t="s">
        <v>163</v>
      </c>
      <c r="Y3041" s="54">
        <f>R3041*W3041</f>
        <v>8.7</v>
      </c>
      <c r="Z3041" s="52">
        <f>S3041*W3041</f>
        <v>7.767857142857143</v>
      </c>
      <c r="AA3041" s="52">
        <f>T3041*W3041</f>
        <v>0.9321428571428569</v>
      </c>
      <c r="AB3041" s="52">
        <f>V3041*W3041</f>
        <v>0</v>
      </c>
      <c r="AC3041" s="53">
        <f>(R3041+V3041)*W3041</f>
        <v>8.7</v>
      </c>
      <c r="AD3041" s="138">
        <v>2.9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109</v>
      </c>
      <c r="F3042" s="96" t="s">
        <v>111</v>
      </c>
      <c r="G3042" s="97">
        <v>46132</v>
      </c>
      <c r="H3042" s="98">
        <v>0.7501157407407407</v>
      </c>
      <c r="I3042" s="50">
        <v>169002831</v>
      </c>
      <c r="J3042" s="96" t="s">
        <v>157</v>
      </c>
      <c r="K3042" s="49" t="s">
        <v>406</v>
      </c>
      <c r="L3042" s="39" t="s">
        <v>407</v>
      </c>
      <c r="M3042" s="49" t="s">
        <v>277</v>
      </c>
      <c r="N3042" s="39" t="s">
        <v>408</v>
      </c>
      <c r="O3042" s="96" t="s">
        <v>409</v>
      </c>
      <c r="P3042" s="49" t="s">
        <v>157</v>
      </c>
      <c r="Q3042" s="96" t="s">
        <v>104</v>
      </c>
      <c r="R3042" s="52">
        <v>259.9</v>
      </c>
      <c r="S3042" s="52">
        <f>R3042-T3042</f>
        <v>232.05357142857142</v>
      </c>
      <c r="T3042" s="52">
        <f>R3042*U3042/(U3042+100)</f>
        <v>27.846428571428568</v>
      </c>
      <c r="U3042" s="50">
        <v>12</v>
      </c>
      <c r="V3042" s="53">
        <v>0</v>
      </c>
      <c r="W3042" s="147">
        <v>0.252</v>
      </c>
      <c r="X3042" s="148" t="s">
        <v>410</v>
      </c>
      <c r="Y3042" s="54">
        <f>R3042*W3042</f>
        <v>65.4948</v>
      </c>
      <c r="Z3042" s="52">
        <f>S3042*W3042</f>
        <v>58.4775</v>
      </c>
      <c r="AA3042" s="52">
        <f>T3042*W3042</f>
        <v>7.017299999999999</v>
      </c>
      <c r="AB3042" s="52">
        <f>V3042*W3042</f>
        <v>0</v>
      </c>
      <c r="AC3042" s="53">
        <f>(R3042+V3042)*W3042</f>
        <v>65.4948</v>
      </c>
      <c r="AD3042" s="138">
        <v>259.9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109</v>
      </c>
      <c r="F3043" s="96" t="s">
        <v>111</v>
      </c>
      <c r="G3043" s="97">
        <v>46132</v>
      </c>
      <c r="H3043" s="98">
        <v>0.7503703703703704</v>
      </c>
      <c r="I3043" s="50">
        <v>169002832</v>
      </c>
      <c r="J3043" s="96" t="s">
        <v>157</v>
      </c>
      <c r="K3043" s="49" t="s">
        <v>3124</v>
      </c>
      <c r="L3043" s="39" t="s">
        <v>3125</v>
      </c>
      <c r="M3043" s="49" t="s">
        <v>255</v>
      </c>
      <c r="N3043" s="39" t="s">
        <v>256</v>
      </c>
      <c r="O3043" s="96" t="s">
        <v>3126</v>
      </c>
      <c r="P3043" s="49" t="s">
        <v>157</v>
      </c>
      <c r="Q3043" s="96" t="s">
        <v>104</v>
      </c>
      <c r="R3043" s="52">
        <v>24.9</v>
      </c>
      <c r="S3043" s="52">
        <f>R3043-T3043</f>
        <v>20.578512396694215</v>
      </c>
      <c r="T3043" s="52">
        <f>R3043*U3043/(U3043+100)</f>
        <v>4.321487603305785</v>
      </c>
      <c r="U3043" s="50">
        <v>21</v>
      </c>
      <c r="V3043" s="53">
        <v>0</v>
      </c>
      <c r="W3043" s="147">
        <v>1</v>
      </c>
      <c r="X3043" s="148" t="s">
        <v>163</v>
      </c>
      <c r="Y3043" s="54">
        <f>R3043*W3043</f>
        <v>24.9</v>
      </c>
      <c r="Z3043" s="52">
        <f>S3043*W3043</f>
        <v>20.578512396694215</v>
      </c>
      <c r="AA3043" s="52">
        <f>T3043*W3043</f>
        <v>4.321487603305785</v>
      </c>
      <c r="AB3043" s="52">
        <f>V3043*W3043</f>
        <v>0</v>
      </c>
      <c r="AC3043" s="53">
        <f>(R3043+V3043)*W3043</f>
        <v>24.9</v>
      </c>
      <c r="AD3043" s="138">
        <v>24.9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109</v>
      </c>
      <c r="F3044" s="96" t="s">
        <v>111</v>
      </c>
      <c r="G3044" s="97">
        <v>46132</v>
      </c>
      <c r="H3044" s="98">
        <v>0.7503703703703704</v>
      </c>
      <c r="I3044" s="50">
        <v>169002832</v>
      </c>
      <c r="J3044" s="96" t="s">
        <v>157</v>
      </c>
      <c r="K3044" s="49" t="s">
        <v>3124</v>
      </c>
      <c r="L3044" s="39" t="s">
        <v>3125</v>
      </c>
      <c r="M3044" s="49" t="s">
        <v>255</v>
      </c>
      <c r="N3044" s="39" t="s">
        <v>256</v>
      </c>
      <c r="O3044" s="96" t="s">
        <v>3126</v>
      </c>
      <c r="P3044" s="49" t="s">
        <v>157</v>
      </c>
      <c r="Q3044" s="96" t="s">
        <v>104</v>
      </c>
      <c r="R3044" s="52">
        <v>24.9</v>
      </c>
      <c r="S3044" s="52">
        <f>R3044-T3044</f>
        <v>20.578512396694215</v>
      </c>
      <c r="T3044" s="52">
        <f>R3044*U3044/(U3044+100)</f>
        <v>4.321487603305785</v>
      </c>
      <c r="U3044" s="50">
        <v>21</v>
      </c>
      <c r="V3044" s="53">
        <v>0</v>
      </c>
      <c r="W3044" s="147">
        <v>1</v>
      </c>
      <c r="X3044" s="148" t="s">
        <v>163</v>
      </c>
      <c r="Y3044" s="54">
        <f>R3044*W3044</f>
        <v>24.9</v>
      </c>
      <c r="Z3044" s="52">
        <f>S3044*W3044</f>
        <v>20.578512396694215</v>
      </c>
      <c r="AA3044" s="52">
        <f>T3044*W3044</f>
        <v>4.321487603305785</v>
      </c>
      <c r="AB3044" s="52">
        <f>V3044*W3044</f>
        <v>0</v>
      </c>
      <c r="AC3044" s="53">
        <f>(R3044+V3044)*W3044</f>
        <v>24.9</v>
      </c>
      <c r="AD3044" s="138">
        <v>24.9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109</v>
      </c>
      <c r="F3045" s="96" t="s">
        <v>111</v>
      </c>
      <c r="G3045" s="97">
        <v>46132</v>
      </c>
      <c r="H3045" s="98">
        <v>0.7513888888888889</v>
      </c>
      <c r="I3045" s="50">
        <v>169002833</v>
      </c>
      <c r="J3045" s="96" t="s">
        <v>157</v>
      </c>
      <c r="K3045" s="49" t="s">
        <v>3873</v>
      </c>
      <c r="L3045" s="39" t="s">
        <v>3874</v>
      </c>
      <c r="M3045" s="49" t="s">
        <v>1120</v>
      </c>
      <c r="N3045" s="39" t="s">
        <v>264</v>
      </c>
      <c r="O3045" s="96" t="s">
        <v>3875</v>
      </c>
      <c r="P3045" s="49" t="s">
        <v>157</v>
      </c>
      <c r="Q3045" s="96" t="s">
        <v>104</v>
      </c>
      <c r="R3045" s="52">
        <v>31.9</v>
      </c>
      <c r="S3045" s="52">
        <f>R3045-T3045</f>
        <v>28.482142857142858</v>
      </c>
      <c r="T3045" s="52">
        <f>R3045*U3045/(U3045+100)</f>
        <v>3.4178571428571423</v>
      </c>
      <c r="U3045" s="50">
        <v>12</v>
      </c>
      <c r="V3045" s="53">
        <v>0</v>
      </c>
      <c r="W3045" s="147">
        <v>1</v>
      </c>
      <c r="X3045" s="148" t="s">
        <v>163</v>
      </c>
      <c r="Y3045" s="54">
        <f>R3045*W3045</f>
        <v>31.9</v>
      </c>
      <c r="Z3045" s="52">
        <f>S3045*W3045</f>
        <v>28.482142857142858</v>
      </c>
      <c r="AA3045" s="52">
        <f>T3045*W3045</f>
        <v>3.4178571428571423</v>
      </c>
      <c r="AB3045" s="52">
        <f>V3045*W3045</f>
        <v>0</v>
      </c>
      <c r="AC3045" s="53">
        <f>(R3045+V3045)*W3045</f>
        <v>31.9</v>
      </c>
      <c r="AD3045" s="138">
        <v>31.9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109</v>
      </c>
      <c r="F3046" s="96" t="s">
        <v>111</v>
      </c>
      <c r="G3046" s="97">
        <v>46132</v>
      </c>
      <c r="H3046" s="98">
        <v>0.7513888888888889</v>
      </c>
      <c r="I3046" s="50">
        <v>169002833</v>
      </c>
      <c r="J3046" s="96" t="s">
        <v>157</v>
      </c>
      <c r="K3046" s="49" t="s">
        <v>1254</v>
      </c>
      <c r="L3046" s="39" t="s">
        <v>1255</v>
      </c>
      <c r="M3046" s="49" t="s">
        <v>185</v>
      </c>
      <c r="N3046" s="39" t="s">
        <v>264</v>
      </c>
      <c r="O3046" s="96" t="s">
        <v>1256</v>
      </c>
      <c r="P3046" s="49" t="s">
        <v>157</v>
      </c>
      <c r="Q3046" s="96" t="s">
        <v>104</v>
      </c>
      <c r="R3046" s="52">
        <v>29.9</v>
      </c>
      <c r="S3046" s="52">
        <f>R3046-T3046</f>
        <v>26.69642857142857</v>
      </c>
      <c r="T3046" s="52">
        <f>R3046*U3046/(U3046+100)</f>
        <v>3.2035714285714283</v>
      </c>
      <c r="U3046" s="50">
        <v>12</v>
      </c>
      <c r="V3046" s="53">
        <v>0</v>
      </c>
      <c r="W3046" s="147">
        <v>1</v>
      </c>
      <c r="X3046" s="148" t="s">
        <v>163</v>
      </c>
      <c r="Y3046" s="54">
        <f>R3046*W3046</f>
        <v>29.9</v>
      </c>
      <c r="Z3046" s="52">
        <f>S3046*W3046</f>
        <v>26.69642857142857</v>
      </c>
      <c r="AA3046" s="52">
        <f>T3046*W3046</f>
        <v>3.2035714285714283</v>
      </c>
      <c r="AB3046" s="52">
        <f>V3046*W3046</f>
        <v>0</v>
      </c>
      <c r="AC3046" s="53">
        <f>(R3046+V3046)*W3046</f>
        <v>29.9</v>
      </c>
      <c r="AD3046" s="138">
        <v>29.9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109</v>
      </c>
      <c r="F3047" s="96" t="s">
        <v>111</v>
      </c>
      <c r="G3047" s="97">
        <v>46132</v>
      </c>
      <c r="H3047" s="98">
        <v>0.7513888888888889</v>
      </c>
      <c r="I3047" s="50">
        <v>169002833</v>
      </c>
      <c r="J3047" s="96" t="s">
        <v>157</v>
      </c>
      <c r="K3047" s="49" t="s">
        <v>3730</v>
      </c>
      <c r="L3047" s="39" t="s">
        <v>3731</v>
      </c>
      <c r="M3047" s="49" t="s">
        <v>1095</v>
      </c>
      <c r="N3047" s="39" t="s">
        <v>793</v>
      </c>
      <c r="O3047" s="96" t="s">
        <v>3732</v>
      </c>
      <c r="P3047" s="49" t="s">
        <v>157</v>
      </c>
      <c r="Q3047" s="96" t="s">
        <v>104</v>
      </c>
      <c r="R3047" s="52">
        <v>12.9</v>
      </c>
      <c r="S3047" s="52">
        <f>R3047-T3047</f>
        <v>11.517857142857142</v>
      </c>
      <c r="T3047" s="52">
        <f>R3047*U3047/(U3047+100)</f>
        <v>1.3821428571428573</v>
      </c>
      <c r="U3047" s="50">
        <v>12</v>
      </c>
      <c r="V3047" s="53">
        <v>0</v>
      </c>
      <c r="W3047" s="147">
        <v>1</v>
      </c>
      <c r="X3047" s="148" t="s">
        <v>163</v>
      </c>
      <c r="Y3047" s="54">
        <f>R3047*W3047</f>
        <v>12.9</v>
      </c>
      <c r="Z3047" s="52">
        <f>S3047*W3047</f>
        <v>11.517857142857142</v>
      </c>
      <c r="AA3047" s="52">
        <f>T3047*W3047</f>
        <v>1.3821428571428573</v>
      </c>
      <c r="AB3047" s="52">
        <f>V3047*W3047</f>
        <v>0</v>
      </c>
      <c r="AC3047" s="53">
        <f>(R3047+V3047)*W3047</f>
        <v>12.9</v>
      </c>
      <c r="AD3047" s="138">
        <v>12.9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109</v>
      </c>
      <c r="F3048" s="96" t="s">
        <v>111</v>
      </c>
      <c r="G3048" s="97">
        <v>46132</v>
      </c>
      <c r="H3048" s="98">
        <v>0.7513888888888889</v>
      </c>
      <c r="I3048" s="50">
        <v>169002833</v>
      </c>
      <c r="J3048" s="96" t="s">
        <v>157</v>
      </c>
      <c r="K3048" s="49" t="s">
        <v>2796</v>
      </c>
      <c r="L3048" s="39" t="s">
        <v>2797</v>
      </c>
      <c r="M3048" s="49" t="s">
        <v>444</v>
      </c>
      <c r="N3048" s="39" t="s">
        <v>558</v>
      </c>
      <c r="O3048" s="96" t="s">
        <v>2798</v>
      </c>
      <c r="P3048" s="49" t="s">
        <v>157</v>
      </c>
      <c r="Q3048" s="96" t="s">
        <v>104</v>
      </c>
      <c r="R3048" s="52">
        <v>27.9</v>
      </c>
      <c r="S3048" s="52">
        <f>R3048-T3048</f>
        <v>24.910714285714285</v>
      </c>
      <c r="T3048" s="52">
        <f>R3048*U3048/(U3048+100)</f>
        <v>2.989285714285714</v>
      </c>
      <c r="U3048" s="50">
        <v>12</v>
      </c>
      <c r="V3048" s="53">
        <v>0</v>
      </c>
      <c r="W3048" s="147">
        <v>1</v>
      </c>
      <c r="X3048" s="148" t="s">
        <v>163</v>
      </c>
      <c r="Y3048" s="54">
        <f>R3048*W3048</f>
        <v>27.9</v>
      </c>
      <c r="Z3048" s="52">
        <f>S3048*W3048</f>
        <v>24.910714285714285</v>
      </c>
      <c r="AA3048" s="52">
        <f>T3048*W3048</f>
        <v>2.989285714285714</v>
      </c>
      <c r="AB3048" s="52">
        <f>V3048*W3048</f>
        <v>0</v>
      </c>
      <c r="AC3048" s="53">
        <f>(R3048+V3048)*W3048</f>
        <v>27.9</v>
      </c>
      <c r="AD3048" s="138">
        <v>27.9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109</v>
      </c>
      <c r="F3049" s="96" t="s">
        <v>111</v>
      </c>
      <c r="G3049" s="97">
        <v>46132</v>
      </c>
      <c r="H3049" s="98">
        <v>0.7513888888888889</v>
      </c>
      <c r="I3049" s="50">
        <v>169002833</v>
      </c>
      <c r="J3049" s="96" t="s">
        <v>157</v>
      </c>
      <c r="K3049" s="49" t="s">
        <v>3876</v>
      </c>
      <c r="L3049" s="39" t="s">
        <v>3877</v>
      </c>
      <c r="M3049" s="49" t="s">
        <v>300</v>
      </c>
      <c r="N3049" s="39" t="s">
        <v>1377</v>
      </c>
      <c r="O3049" s="96" t="s">
        <v>3878</v>
      </c>
      <c r="P3049" s="49" t="s">
        <v>157</v>
      </c>
      <c r="Q3049" s="96" t="s">
        <v>104</v>
      </c>
      <c r="R3049" s="52">
        <v>41.9</v>
      </c>
      <c r="S3049" s="52">
        <f>R3049-T3049</f>
        <v>37.410714285714285</v>
      </c>
      <c r="T3049" s="52">
        <f>R3049*U3049/(U3049+100)</f>
        <v>4.489285714285714</v>
      </c>
      <c r="U3049" s="50">
        <v>12</v>
      </c>
      <c r="V3049" s="53">
        <v>0</v>
      </c>
      <c r="W3049" s="147">
        <v>1</v>
      </c>
      <c r="X3049" s="148" t="s">
        <v>163</v>
      </c>
      <c r="Y3049" s="54">
        <f>R3049*W3049</f>
        <v>41.9</v>
      </c>
      <c r="Z3049" s="52">
        <f>S3049*W3049</f>
        <v>37.410714285714285</v>
      </c>
      <c r="AA3049" s="52">
        <f>T3049*W3049</f>
        <v>4.489285714285714</v>
      </c>
      <c r="AB3049" s="52">
        <f>V3049*W3049</f>
        <v>0</v>
      </c>
      <c r="AC3049" s="53">
        <f>(R3049+V3049)*W3049</f>
        <v>41.9</v>
      </c>
      <c r="AD3049" s="138">
        <v>41.9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109</v>
      </c>
      <c r="F3050" s="96" t="s">
        <v>111</v>
      </c>
      <c r="G3050" s="97">
        <v>46132</v>
      </c>
      <c r="H3050" s="98">
        <v>0.7513888888888889</v>
      </c>
      <c r="I3050" s="50">
        <v>169002833</v>
      </c>
      <c r="J3050" s="96" t="s">
        <v>157</v>
      </c>
      <c r="K3050" s="49" t="s">
        <v>3879</v>
      </c>
      <c r="L3050" s="39" t="s">
        <v>3880</v>
      </c>
      <c r="M3050" s="49" t="s">
        <v>300</v>
      </c>
      <c r="N3050" s="39" t="s">
        <v>1377</v>
      </c>
      <c r="O3050" s="96" t="s">
        <v>3881</v>
      </c>
      <c r="P3050" s="49" t="s">
        <v>157</v>
      </c>
      <c r="Q3050" s="96" t="s">
        <v>104</v>
      </c>
      <c r="R3050" s="52">
        <v>29.9</v>
      </c>
      <c r="S3050" s="52">
        <f>R3050-T3050</f>
        <v>26.69642857142857</v>
      </c>
      <c r="T3050" s="52">
        <f>R3050*U3050/(U3050+100)</f>
        <v>3.2035714285714283</v>
      </c>
      <c r="U3050" s="50">
        <v>12</v>
      </c>
      <c r="V3050" s="53">
        <v>0</v>
      </c>
      <c r="W3050" s="147">
        <v>1</v>
      </c>
      <c r="X3050" s="148" t="s">
        <v>163</v>
      </c>
      <c r="Y3050" s="54">
        <f>R3050*W3050</f>
        <v>29.9</v>
      </c>
      <c r="Z3050" s="52">
        <f>S3050*W3050</f>
        <v>26.69642857142857</v>
      </c>
      <c r="AA3050" s="52">
        <f>T3050*W3050</f>
        <v>3.2035714285714283</v>
      </c>
      <c r="AB3050" s="52">
        <f>V3050*W3050</f>
        <v>0</v>
      </c>
      <c r="AC3050" s="53">
        <f>(R3050+V3050)*W3050</f>
        <v>29.9</v>
      </c>
      <c r="AD3050" s="138">
        <v>29.9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109</v>
      </c>
      <c r="F3051" s="96" t="s">
        <v>111</v>
      </c>
      <c r="G3051" s="97">
        <v>46132</v>
      </c>
      <c r="H3051" s="98">
        <v>0.7513888888888889</v>
      </c>
      <c r="I3051" s="50">
        <v>169002833</v>
      </c>
      <c r="J3051" s="96" t="s">
        <v>157</v>
      </c>
      <c r="K3051" s="49" t="s">
        <v>1845</v>
      </c>
      <c r="L3051" s="39" t="s">
        <v>1846</v>
      </c>
      <c r="M3051" s="49" t="s">
        <v>300</v>
      </c>
      <c r="N3051" s="39" t="s">
        <v>1643</v>
      </c>
      <c r="O3051" s="96" t="s">
        <v>1847</v>
      </c>
      <c r="P3051" s="49" t="s">
        <v>157</v>
      </c>
      <c r="Q3051" s="96" t="s">
        <v>104</v>
      </c>
      <c r="R3051" s="52">
        <v>29.9</v>
      </c>
      <c r="S3051" s="52">
        <f>R3051-T3051</f>
        <v>26.69642857142857</v>
      </c>
      <c r="T3051" s="52">
        <f>R3051*U3051/(U3051+100)</f>
        <v>3.2035714285714283</v>
      </c>
      <c r="U3051" s="50">
        <v>12</v>
      </c>
      <c r="V3051" s="53">
        <v>0</v>
      </c>
      <c r="W3051" s="147">
        <v>1</v>
      </c>
      <c r="X3051" s="148" t="s">
        <v>163</v>
      </c>
      <c r="Y3051" s="54">
        <f>R3051*W3051</f>
        <v>29.9</v>
      </c>
      <c r="Z3051" s="52">
        <f>S3051*W3051</f>
        <v>26.69642857142857</v>
      </c>
      <c r="AA3051" s="52">
        <f>T3051*W3051</f>
        <v>3.2035714285714283</v>
      </c>
      <c r="AB3051" s="52">
        <f>V3051*W3051</f>
        <v>0</v>
      </c>
      <c r="AC3051" s="53">
        <f>(R3051+V3051)*W3051</f>
        <v>29.9</v>
      </c>
      <c r="AD3051" s="138">
        <v>29.9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109</v>
      </c>
      <c r="F3052" s="96" t="s">
        <v>111</v>
      </c>
      <c r="G3052" s="97">
        <v>46132</v>
      </c>
      <c r="H3052" s="98">
        <v>0.7513888888888889</v>
      </c>
      <c r="I3052" s="50">
        <v>169002833</v>
      </c>
      <c r="J3052" s="96" t="s">
        <v>157</v>
      </c>
      <c r="K3052" s="49" t="s">
        <v>3882</v>
      </c>
      <c r="L3052" s="39" t="s">
        <v>3883</v>
      </c>
      <c r="M3052" s="49" t="s">
        <v>232</v>
      </c>
      <c r="N3052" s="39" t="s">
        <v>233</v>
      </c>
      <c r="O3052" s="96" t="s">
        <v>3884</v>
      </c>
      <c r="P3052" s="49" t="s">
        <v>157</v>
      </c>
      <c r="Q3052" s="96" t="s">
        <v>104</v>
      </c>
      <c r="R3052" s="52">
        <v>22.9</v>
      </c>
      <c r="S3052" s="52">
        <f>R3052-T3052</f>
        <v>18.925619834710744</v>
      </c>
      <c r="T3052" s="52">
        <f>R3052*U3052/(U3052+100)</f>
        <v>3.974380165289256</v>
      </c>
      <c r="U3052" s="50">
        <v>21</v>
      </c>
      <c r="V3052" s="53">
        <v>0</v>
      </c>
      <c r="W3052" s="147">
        <v>1</v>
      </c>
      <c r="X3052" s="148" t="s">
        <v>163</v>
      </c>
      <c r="Y3052" s="54">
        <f>R3052*W3052</f>
        <v>22.9</v>
      </c>
      <c r="Z3052" s="52">
        <f>S3052*W3052</f>
        <v>18.925619834710744</v>
      </c>
      <c r="AA3052" s="52">
        <f>T3052*W3052</f>
        <v>3.974380165289256</v>
      </c>
      <c r="AB3052" s="52">
        <f>V3052*W3052</f>
        <v>0</v>
      </c>
      <c r="AC3052" s="53">
        <f>(R3052+V3052)*W3052</f>
        <v>22.9</v>
      </c>
      <c r="AD3052" s="138">
        <v>22.9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109</v>
      </c>
      <c r="F3053" s="96" t="s">
        <v>111</v>
      </c>
      <c r="G3053" s="97">
        <v>46132</v>
      </c>
      <c r="H3053" s="98">
        <v>0.7513888888888889</v>
      </c>
      <c r="I3053" s="50">
        <v>169002833</v>
      </c>
      <c r="J3053" s="96" t="s">
        <v>157</v>
      </c>
      <c r="K3053" s="49" t="s">
        <v>761</v>
      </c>
      <c r="L3053" s="39" t="s">
        <v>762</v>
      </c>
      <c r="M3053" s="49" t="s">
        <v>219</v>
      </c>
      <c r="N3053" s="39" t="s">
        <v>167</v>
      </c>
      <c r="O3053" s="96" t="s">
        <v>3885</v>
      </c>
      <c r="P3053" s="49" t="s">
        <v>157</v>
      </c>
      <c r="Q3053" s="96" t="s">
        <v>104</v>
      </c>
      <c r="R3053" s="52">
        <v>39.9</v>
      </c>
      <c r="S3053" s="52">
        <f>R3053-T3053</f>
        <v>32.97520661157024</v>
      </c>
      <c r="T3053" s="52">
        <f>R3053*U3053/(U3053+100)</f>
        <v>6.924793388429752</v>
      </c>
      <c r="U3053" s="50">
        <v>21</v>
      </c>
      <c r="V3053" s="53">
        <v>0</v>
      </c>
      <c r="W3053" s="147">
        <v>1</v>
      </c>
      <c r="X3053" s="148" t="s">
        <v>163</v>
      </c>
      <c r="Y3053" s="54">
        <f>R3053*W3053</f>
        <v>39.9</v>
      </c>
      <c r="Z3053" s="52">
        <f>S3053*W3053</f>
        <v>32.97520661157024</v>
      </c>
      <c r="AA3053" s="52">
        <f>T3053*W3053</f>
        <v>6.924793388429752</v>
      </c>
      <c r="AB3053" s="52">
        <f>V3053*W3053</f>
        <v>0</v>
      </c>
      <c r="AC3053" s="53">
        <f>(R3053+V3053)*W3053</f>
        <v>39.9</v>
      </c>
      <c r="AD3053" s="138">
        <v>39.9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109</v>
      </c>
      <c r="F3054" s="96" t="s">
        <v>111</v>
      </c>
      <c r="G3054" s="97">
        <v>46132</v>
      </c>
      <c r="H3054" s="98">
        <v>0.7513888888888889</v>
      </c>
      <c r="I3054" s="50">
        <v>169002833</v>
      </c>
      <c r="J3054" s="96" t="s">
        <v>157</v>
      </c>
      <c r="K3054" s="49" t="s">
        <v>1609</v>
      </c>
      <c r="L3054" s="39" t="s">
        <v>1610</v>
      </c>
      <c r="M3054" s="49" t="s">
        <v>862</v>
      </c>
      <c r="N3054" s="39" t="s">
        <v>863</v>
      </c>
      <c r="O3054" s="96" t="s">
        <v>1611</v>
      </c>
      <c r="P3054" s="49" t="s">
        <v>157</v>
      </c>
      <c r="Q3054" s="96" t="s">
        <v>104</v>
      </c>
      <c r="R3054" s="52">
        <v>162</v>
      </c>
      <c r="S3054" s="52">
        <f>R3054-T3054</f>
        <v>133.88429752066116</v>
      </c>
      <c r="T3054" s="52">
        <f>R3054*U3054/(U3054+100)</f>
        <v>28.115702479338843</v>
      </c>
      <c r="U3054" s="50">
        <v>21</v>
      </c>
      <c r="V3054" s="53">
        <v>0</v>
      </c>
      <c r="W3054" s="147">
        <v>1</v>
      </c>
      <c r="X3054" s="148" t="s">
        <v>163</v>
      </c>
      <c r="Y3054" s="54">
        <f>R3054*W3054</f>
        <v>162</v>
      </c>
      <c r="Z3054" s="52">
        <f>S3054*W3054</f>
        <v>133.88429752066116</v>
      </c>
      <c r="AA3054" s="52">
        <f>T3054*W3054</f>
        <v>28.115702479338843</v>
      </c>
      <c r="AB3054" s="52">
        <f>V3054*W3054</f>
        <v>0</v>
      </c>
      <c r="AC3054" s="53">
        <f>(R3054+V3054)*W3054</f>
        <v>162</v>
      </c>
      <c r="AD3054" s="138">
        <v>162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109</v>
      </c>
      <c r="F3055" s="96" t="s">
        <v>111</v>
      </c>
      <c r="G3055" s="97">
        <v>46132</v>
      </c>
      <c r="H3055" s="98">
        <v>0.7513888888888889</v>
      </c>
      <c r="I3055" s="50">
        <v>169002833</v>
      </c>
      <c r="J3055" s="96" t="s">
        <v>157</v>
      </c>
      <c r="K3055" s="49" t="s">
        <v>3886</v>
      </c>
      <c r="L3055" s="39" t="s">
        <v>3887</v>
      </c>
      <c r="M3055" s="49" t="s">
        <v>862</v>
      </c>
      <c r="N3055" s="39" t="s">
        <v>863</v>
      </c>
      <c r="O3055" s="96" t="s">
        <v>3888</v>
      </c>
      <c r="P3055" s="49" t="s">
        <v>157</v>
      </c>
      <c r="Q3055" s="96" t="s">
        <v>104</v>
      </c>
      <c r="R3055" s="52">
        <v>179</v>
      </c>
      <c r="S3055" s="52">
        <f>R3055-T3055</f>
        <v>147.93388429752065</v>
      </c>
      <c r="T3055" s="52">
        <f>R3055*U3055/(U3055+100)</f>
        <v>31.06611570247934</v>
      </c>
      <c r="U3055" s="50">
        <v>21</v>
      </c>
      <c r="V3055" s="53">
        <v>0</v>
      </c>
      <c r="W3055" s="147">
        <v>1</v>
      </c>
      <c r="X3055" s="148" t="s">
        <v>163</v>
      </c>
      <c r="Y3055" s="54">
        <f>R3055*W3055</f>
        <v>179</v>
      </c>
      <c r="Z3055" s="52">
        <f>S3055*W3055</f>
        <v>147.93388429752065</v>
      </c>
      <c r="AA3055" s="52">
        <f>T3055*W3055</f>
        <v>31.06611570247934</v>
      </c>
      <c r="AB3055" s="52">
        <f>V3055*W3055</f>
        <v>0</v>
      </c>
      <c r="AC3055" s="53">
        <f>(R3055+V3055)*W3055</f>
        <v>179</v>
      </c>
      <c r="AD3055" s="138">
        <v>179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109</v>
      </c>
      <c r="F3056" s="96" t="s">
        <v>111</v>
      </c>
      <c r="G3056" s="97">
        <v>46132</v>
      </c>
      <c r="H3056" s="98">
        <v>0.7513888888888889</v>
      </c>
      <c r="I3056" s="50">
        <v>169002833</v>
      </c>
      <c r="J3056" s="96" t="s">
        <v>157</v>
      </c>
      <c r="K3056" s="49" t="s">
        <v>183</v>
      </c>
      <c r="L3056" s="39" t="s">
        <v>184</v>
      </c>
      <c r="M3056" s="49" t="s">
        <v>185</v>
      </c>
      <c r="N3056" s="39" t="s">
        <v>186</v>
      </c>
      <c r="O3056" s="96" t="s">
        <v>988</v>
      </c>
      <c r="P3056" s="49" t="s">
        <v>157</v>
      </c>
      <c r="Q3056" s="96" t="s">
        <v>104</v>
      </c>
      <c r="R3056" s="52">
        <v>1.9</v>
      </c>
      <c r="S3056" s="52">
        <f>R3056-T3056</f>
        <v>1.5702479338842974</v>
      </c>
      <c r="T3056" s="52">
        <f>R3056*U3056/(U3056+100)</f>
        <v>0.32975206611570246</v>
      </c>
      <c r="U3056" s="50">
        <v>21</v>
      </c>
      <c r="V3056" s="53">
        <v>0</v>
      </c>
      <c r="W3056" s="147">
        <v>1</v>
      </c>
      <c r="X3056" s="148" t="s">
        <v>163</v>
      </c>
      <c r="Y3056" s="54">
        <f>R3056*W3056</f>
        <v>1.9</v>
      </c>
      <c r="Z3056" s="52">
        <f>S3056*W3056</f>
        <v>1.5702479338842974</v>
      </c>
      <c r="AA3056" s="52">
        <f>T3056*W3056</f>
        <v>0.32975206611570246</v>
      </c>
      <c r="AB3056" s="52">
        <f>V3056*W3056</f>
        <v>0</v>
      </c>
      <c r="AC3056" s="53">
        <f>(R3056+V3056)*W3056</f>
        <v>1.9</v>
      </c>
      <c r="AD3056" s="138">
        <v>1.9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109</v>
      </c>
      <c r="F3057" s="96" t="s">
        <v>111</v>
      </c>
      <c r="G3057" s="97">
        <v>46132</v>
      </c>
      <c r="H3057" s="98">
        <v>0.7513888888888889</v>
      </c>
      <c r="I3057" s="50">
        <v>169002833</v>
      </c>
      <c r="J3057" s="96" t="s">
        <v>157</v>
      </c>
      <c r="K3057" s="49" t="s">
        <v>293</v>
      </c>
      <c r="L3057" s="39" t="s">
        <v>294</v>
      </c>
      <c r="M3057" s="49" t="s">
        <v>295</v>
      </c>
      <c r="N3057" s="39" t="s">
        <v>296</v>
      </c>
      <c r="O3057" s="96" t="s">
        <v>297</v>
      </c>
      <c r="P3057" s="49" t="s">
        <v>157</v>
      </c>
      <c r="Q3057" s="96" t="s">
        <v>104</v>
      </c>
      <c r="R3057" s="52">
        <v>2.9</v>
      </c>
      <c r="S3057" s="52">
        <f>R3057-T3057</f>
        <v>2.5892857142857144</v>
      </c>
      <c r="T3057" s="52">
        <f>R3057*U3057/(U3057+100)</f>
        <v>0.31071428571428567</v>
      </c>
      <c r="U3057" s="50">
        <v>12</v>
      </c>
      <c r="V3057" s="53">
        <v>0</v>
      </c>
      <c r="W3057" s="147">
        <v>4</v>
      </c>
      <c r="X3057" s="148" t="s">
        <v>163</v>
      </c>
      <c r="Y3057" s="54">
        <f>R3057*W3057</f>
        <v>11.6</v>
      </c>
      <c r="Z3057" s="52">
        <f>S3057*W3057</f>
        <v>10.357142857142858</v>
      </c>
      <c r="AA3057" s="52">
        <f>T3057*W3057</f>
        <v>1.2428571428571427</v>
      </c>
      <c r="AB3057" s="52">
        <f>V3057*W3057</f>
        <v>0</v>
      </c>
      <c r="AC3057" s="53">
        <f>(R3057+V3057)*W3057</f>
        <v>11.6</v>
      </c>
      <c r="AD3057" s="138">
        <v>2.9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109</v>
      </c>
      <c r="F3058" s="96" t="s">
        <v>111</v>
      </c>
      <c r="G3058" s="97">
        <v>46132</v>
      </c>
      <c r="H3058" s="98">
        <v>0.7513888888888889</v>
      </c>
      <c r="I3058" s="50">
        <v>169002833</v>
      </c>
      <c r="J3058" s="96" t="s">
        <v>157</v>
      </c>
      <c r="K3058" s="49" t="s">
        <v>1531</v>
      </c>
      <c r="L3058" s="39"/>
      <c r="M3058" s="49" t="s">
        <v>295</v>
      </c>
      <c r="N3058" s="39" t="s">
        <v>433</v>
      </c>
      <c r="O3058" s="96" t="s">
        <v>1532</v>
      </c>
      <c r="P3058" s="49" t="s">
        <v>235</v>
      </c>
      <c r="Q3058" s="96" t="s">
        <v>1533</v>
      </c>
      <c r="R3058" s="52">
        <v>19.9</v>
      </c>
      <c r="S3058" s="52">
        <f>R3058-T3058</f>
        <v>17.767857142857142</v>
      </c>
      <c r="T3058" s="52">
        <f>R3058*U3058/(U3058+100)</f>
        <v>2.132142857142857</v>
      </c>
      <c r="U3058" s="50">
        <v>12</v>
      </c>
      <c r="V3058" s="53">
        <v>0</v>
      </c>
      <c r="W3058" s="147">
        <v>1</v>
      </c>
      <c r="X3058" s="148" t="s">
        <v>945</v>
      </c>
      <c r="Y3058" s="54">
        <f>R3058*W3058</f>
        <v>19.9</v>
      </c>
      <c r="Z3058" s="52">
        <f>S3058*W3058</f>
        <v>17.767857142857142</v>
      </c>
      <c r="AA3058" s="52">
        <f>T3058*W3058</f>
        <v>2.132142857142857</v>
      </c>
      <c r="AB3058" s="52">
        <f>V3058*W3058</f>
        <v>0</v>
      </c>
      <c r="AC3058" s="53">
        <f>(R3058+V3058)*W3058</f>
        <v>19.9</v>
      </c>
      <c r="AD3058" s="138">
        <v>19.9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109</v>
      </c>
      <c r="F3059" s="96" t="s">
        <v>111</v>
      </c>
      <c r="G3059" s="97">
        <v>46132</v>
      </c>
      <c r="H3059" s="98">
        <v>0.7524768518518519</v>
      </c>
      <c r="I3059" s="50">
        <v>169002834</v>
      </c>
      <c r="J3059" s="96" t="s">
        <v>157</v>
      </c>
      <c r="K3059" s="49" t="s">
        <v>3889</v>
      </c>
      <c r="L3059" s="39" t="s">
        <v>3890</v>
      </c>
      <c r="M3059" s="49" t="s">
        <v>1756</v>
      </c>
      <c r="N3059" s="39" t="s">
        <v>3891</v>
      </c>
      <c r="O3059" s="96" t="s">
        <v>3892</v>
      </c>
      <c r="P3059" s="49" t="s">
        <v>157</v>
      </c>
      <c r="Q3059" s="96" t="s">
        <v>104</v>
      </c>
      <c r="R3059" s="52">
        <v>79.9</v>
      </c>
      <c r="S3059" s="52">
        <f>R3059-T3059</f>
        <v>71.33928571428572</v>
      </c>
      <c r="T3059" s="52">
        <f>R3059*U3059/(U3059+100)</f>
        <v>8.560714285714287</v>
      </c>
      <c r="U3059" s="50">
        <v>12</v>
      </c>
      <c r="V3059" s="53">
        <v>0</v>
      </c>
      <c r="W3059" s="147">
        <v>1</v>
      </c>
      <c r="X3059" s="148" t="s">
        <v>163</v>
      </c>
      <c r="Y3059" s="54">
        <f>R3059*W3059</f>
        <v>79.9</v>
      </c>
      <c r="Z3059" s="52">
        <f>S3059*W3059</f>
        <v>71.33928571428572</v>
      </c>
      <c r="AA3059" s="52">
        <f>T3059*W3059</f>
        <v>8.560714285714287</v>
      </c>
      <c r="AB3059" s="52">
        <f>V3059*W3059</f>
        <v>0</v>
      </c>
      <c r="AC3059" s="53">
        <f>(R3059+V3059)*W3059</f>
        <v>79.9</v>
      </c>
      <c r="AD3059" s="138">
        <v>79.9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109</v>
      </c>
      <c r="F3060" s="96" t="s">
        <v>111</v>
      </c>
      <c r="G3060" s="97">
        <v>46132</v>
      </c>
      <c r="H3060" s="98">
        <v>0.7524768518518519</v>
      </c>
      <c r="I3060" s="50">
        <v>169002834</v>
      </c>
      <c r="J3060" s="96" t="s">
        <v>157</v>
      </c>
      <c r="K3060" s="49" t="s">
        <v>3889</v>
      </c>
      <c r="L3060" s="39" t="s">
        <v>3890</v>
      </c>
      <c r="M3060" s="49" t="s">
        <v>1756</v>
      </c>
      <c r="N3060" s="39" t="s">
        <v>3891</v>
      </c>
      <c r="O3060" s="96" t="s">
        <v>3892</v>
      </c>
      <c r="P3060" s="49" t="s">
        <v>157</v>
      </c>
      <c r="Q3060" s="96" t="s">
        <v>104</v>
      </c>
      <c r="R3060" s="52">
        <v>79.9</v>
      </c>
      <c r="S3060" s="52">
        <f>R3060-T3060</f>
        <v>71.33928571428572</v>
      </c>
      <c r="T3060" s="52">
        <f>R3060*U3060/(U3060+100)</f>
        <v>8.560714285714287</v>
      </c>
      <c r="U3060" s="50">
        <v>12</v>
      </c>
      <c r="V3060" s="53">
        <v>0</v>
      </c>
      <c r="W3060" s="147">
        <v>1</v>
      </c>
      <c r="X3060" s="148" t="s">
        <v>163</v>
      </c>
      <c r="Y3060" s="54">
        <f>R3060*W3060</f>
        <v>79.9</v>
      </c>
      <c r="Z3060" s="52">
        <f>S3060*W3060</f>
        <v>71.33928571428572</v>
      </c>
      <c r="AA3060" s="52">
        <f>T3060*W3060</f>
        <v>8.560714285714287</v>
      </c>
      <c r="AB3060" s="52">
        <f>V3060*W3060</f>
        <v>0</v>
      </c>
      <c r="AC3060" s="53">
        <f>(R3060+V3060)*W3060</f>
        <v>79.9</v>
      </c>
      <c r="AD3060" s="138">
        <v>79.9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109</v>
      </c>
      <c r="F3061" s="96" t="s">
        <v>111</v>
      </c>
      <c r="G3061" s="97">
        <v>46132</v>
      </c>
      <c r="H3061" s="98">
        <v>0.7524768518518519</v>
      </c>
      <c r="I3061" s="50">
        <v>169002834</v>
      </c>
      <c r="J3061" s="96" t="s">
        <v>157</v>
      </c>
      <c r="K3061" s="49" t="s">
        <v>3893</v>
      </c>
      <c r="L3061" s="39" t="s">
        <v>3894</v>
      </c>
      <c r="M3061" s="49" t="s">
        <v>1445</v>
      </c>
      <c r="N3061" s="39" t="s">
        <v>319</v>
      </c>
      <c r="O3061" s="96" t="s">
        <v>3895</v>
      </c>
      <c r="P3061" s="49" t="s">
        <v>157</v>
      </c>
      <c r="Q3061" s="96" t="s">
        <v>104</v>
      </c>
      <c r="R3061" s="52">
        <v>33.9</v>
      </c>
      <c r="S3061" s="52">
        <f>R3061-T3061</f>
        <v>30.267857142857142</v>
      </c>
      <c r="T3061" s="52">
        <f>R3061*U3061/(U3061+100)</f>
        <v>3.6321428571428567</v>
      </c>
      <c r="U3061" s="50">
        <v>12</v>
      </c>
      <c r="V3061" s="53">
        <v>0</v>
      </c>
      <c r="W3061" s="147">
        <v>1</v>
      </c>
      <c r="X3061" s="148" t="s">
        <v>163</v>
      </c>
      <c r="Y3061" s="54">
        <f>R3061*W3061</f>
        <v>33.9</v>
      </c>
      <c r="Z3061" s="52">
        <f>S3061*W3061</f>
        <v>30.267857142857142</v>
      </c>
      <c r="AA3061" s="52">
        <f>T3061*W3061</f>
        <v>3.6321428571428567</v>
      </c>
      <c r="AB3061" s="52">
        <f>V3061*W3061</f>
        <v>0</v>
      </c>
      <c r="AC3061" s="53">
        <f>(R3061+V3061)*W3061</f>
        <v>33.9</v>
      </c>
      <c r="AD3061" s="138">
        <v>33.9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109</v>
      </c>
      <c r="F3062" s="96" t="s">
        <v>111</v>
      </c>
      <c r="G3062" s="97">
        <v>46132</v>
      </c>
      <c r="H3062" s="98">
        <v>0.7524768518518519</v>
      </c>
      <c r="I3062" s="50">
        <v>169002834</v>
      </c>
      <c r="J3062" s="96" t="s">
        <v>157</v>
      </c>
      <c r="K3062" s="49" t="s">
        <v>183</v>
      </c>
      <c r="L3062" s="39" t="s">
        <v>184</v>
      </c>
      <c r="M3062" s="49" t="s">
        <v>185</v>
      </c>
      <c r="N3062" s="39" t="s">
        <v>186</v>
      </c>
      <c r="O3062" s="96" t="s">
        <v>988</v>
      </c>
      <c r="P3062" s="49" t="s">
        <v>157</v>
      </c>
      <c r="Q3062" s="96" t="s">
        <v>104</v>
      </c>
      <c r="R3062" s="52">
        <v>1.9</v>
      </c>
      <c r="S3062" s="52">
        <f>R3062-T3062</f>
        <v>1.5702479338842974</v>
      </c>
      <c r="T3062" s="52">
        <f>R3062*U3062/(U3062+100)</f>
        <v>0.32975206611570246</v>
      </c>
      <c r="U3062" s="50">
        <v>21</v>
      </c>
      <c r="V3062" s="53">
        <v>0</v>
      </c>
      <c r="W3062" s="147">
        <v>1</v>
      </c>
      <c r="X3062" s="148" t="s">
        <v>163</v>
      </c>
      <c r="Y3062" s="54">
        <f>R3062*W3062</f>
        <v>1.9</v>
      </c>
      <c r="Z3062" s="52">
        <f>S3062*W3062</f>
        <v>1.5702479338842974</v>
      </c>
      <c r="AA3062" s="52">
        <f>T3062*W3062</f>
        <v>0.32975206611570246</v>
      </c>
      <c r="AB3062" s="52">
        <f>V3062*W3062</f>
        <v>0</v>
      </c>
      <c r="AC3062" s="53">
        <f>(R3062+V3062)*W3062</f>
        <v>1.9</v>
      </c>
      <c r="AD3062" s="138">
        <v>1.9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109</v>
      </c>
      <c r="F3063" s="96" t="s">
        <v>111</v>
      </c>
      <c r="G3063" s="97">
        <v>46132</v>
      </c>
      <c r="H3063" s="98">
        <v>0.7526736111111111</v>
      </c>
      <c r="I3063" s="50">
        <v>169002835</v>
      </c>
      <c r="J3063" s="96" t="s">
        <v>157</v>
      </c>
      <c r="K3063" s="49" t="s">
        <v>733</v>
      </c>
      <c r="L3063" s="39" t="s">
        <v>734</v>
      </c>
      <c r="M3063" s="49" t="s">
        <v>243</v>
      </c>
      <c r="N3063" s="39" t="s">
        <v>244</v>
      </c>
      <c r="O3063" s="96" t="s">
        <v>2919</v>
      </c>
      <c r="P3063" s="49" t="s">
        <v>157</v>
      </c>
      <c r="Q3063" s="96" t="s">
        <v>104</v>
      </c>
      <c r="R3063" s="52">
        <v>44.9</v>
      </c>
      <c r="S3063" s="52">
        <f>R3063-T3063</f>
        <v>40.089285714285715</v>
      </c>
      <c r="T3063" s="52">
        <f>R3063*U3063/(U3063+100)</f>
        <v>4.810714285714285</v>
      </c>
      <c r="U3063" s="50">
        <v>12</v>
      </c>
      <c r="V3063" s="53">
        <v>0</v>
      </c>
      <c r="W3063" s="147">
        <v>1</v>
      </c>
      <c r="X3063" s="148" t="s">
        <v>163</v>
      </c>
      <c r="Y3063" s="54">
        <f>R3063*W3063</f>
        <v>44.9</v>
      </c>
      <c r="Z3063" s="52">
        <f>S3063*W3063</f>
        <v>40.089285714285715</v>
      </c>
      <c r="AA3063" s="52">
        <f>T3063*W3063</f>
        <v>4.810714285714285</v>
      </c>
      <c r="AB3063" s="52">
        <f>V3063*W3063</f>
        <v>0</v>
      </c>
      <c r="AC3063" s="53">
        <f>(R3063+V3063)*W3063</f>
        <v>44.9</v>
      </c>
      <c r="AD3063" s="138">
        <v>44.9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109</v>
      </c>
      <c r="F3064" s="96" t="s">
        <v>111</v>
      </c>
      <c r="G3064" s="97">
        <v>46132</v>
      </c>
      <c r="H3064" s="98">
        <v>0.7526736111111111</v>
      </c>
      <c r="I3064" s="50">
        <v>169002835</v>
      </c>
      <c r="J3064" s="96" t="s">
        <v>157</v>
      </c>
      <c r="K3064" s="49" t="s">
        <v>3896</v>
      </c>
      <c r="L3064" s="39" t="s">
        <v>3897</v>
      </c>
      <c r="M3064" s="49" t="s">
        <v>243</v>
      </c>
      <c r="N3064" s="39" t="s">
        <v>244</v>
      </c>
      <c r="O3064" s="96" t="s">
        <v>3898</v>
      </c>
      <c r="P3064" s="49" t="s">
        <v>157</v>
      </c>
      <c r="Q3064" s="96" t="s">
        <v>104</v>
      </c>
      <c r="R3064" s="52">
        <v>27.9</v>
      </c>
      <c r="S3064" s="52">
        <f>R3064-T3064</f>
        <v>24.910714285714285</v>
      </c>
      <c r="T3064" s="52">
        <f>R3064*U3064/(U3064+100)</f>
        <v>2.989285714285714</v>
      </c>
      <c r="U3064" s="50">
        <v>12</v>
      </c>
      <c r="V3064" s="53">
        <v>0</v>
      </c>
      <c r="W3064" s="147">
        <v>1</v>
      </c>
      <c r="X3064" s="148" t="s">
        <v>163</v>
      </c>
      <c r="Y3064" s="54">
        <f>R3064*W3064</f>
        <v>27.9</v>
      </c>
      <c r="Z3064" s="52">
        <f>S3064*W3064</f>
        <v>24.910714285714285</v>
      </c>
      <c r="AA3064" s="52">
        <f>T3064*W3064</f>
        <v>2.989285714285714</v>
      </c>
      <c r="AB3064" s="52">
        <f>V3064*W3064</f>
        <v>0</v>
      </c>
      <c r="AC3064" s="53">
        <f>(R3064+V3064)*W3064</f>
        <v>27.9</v>
      </c>
      <c r="AD3064" s="138">
        <v>27.9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109</v>
      </c>
      <c r="F3065" s="96" t="s">
        <v>111</v>
      </c>
      <c r="G3065" s="97">
        <v>46132</v>
      </c>
      <c r="H3065" s="98">
        <v>0.7526736111111111</v>
      </c>
      <c r="I3065" s="50">
        <v>169002835</v>
      </c>
      <c r="J3065" s="96" t="s">
        <v>157</v>
      </c>
      <c r="K3065" s="49" t="s">
        <v>3073</v>
      </c>
      <c r="L3065" s="39" t="s">
        <v>3074</v>
      </c>
      <c r="M3065" s="49" t="s">
        <v>255</v>
      </c>
      <c r="N3065" s="39" t="s">
        <v>256</v>
      </c>
      <c r="O3065" s="96" t="s">
        <v>3075</v>
      </c>
      <c r="P3065" s="49" t="s">
        <v>157</v>
      </c>
      <c r="Q3065" s="96" t="s">
        <v>104</v>
      </c>
      <c r="R3065" s="52">
        <v>29.9</v>
      </c>
      <c r="S3065" s="52">
        <f>R3065-T3065</f>
        <v>24.710743801652892</v>
      </c>
      <c r="T3065" s="52">
        <f>R3065*U3065/(U3065+100)</f>
        <v>5.189256198347107</v>
      </c>
      <c r="U3065" s="50">
        <v>21</v>
      </c>
      <c r="V3065" s="53">
        <v>3</v>
      </c>
      <c r="W3065" s="147">
        <v>1</v>
      </c>
      <c r="X3065" s="148" t="s">
        <v>163</v>
      </c>
      <c r="Y3065" s="54">
        <f>R3065*W3065</f>
        <v>29.9</v>
      </c>
      <c r="Z3065" s="52">
        <f>S3065*W3065</f>
        <v>24.710743801652892</v>
      </c>
      <c r="AA3065" s="52">
        <f>T3065*W3065</f>
        <v>5.189256198347107</v>
      </c>
      <c r="AB3065" s="52">
        <f>V3065*W3065</f>
        <v>3</v>
      </c>
      <c r="AC3065" s="53">
        <f>(R3065+V3065)*W3065</f>
        <v>32.9</v>
      </c>
      <c r="AD3065" s="138">
        <v>29.9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109</v>
      </c>
      <c r="F3066" s="96" t="s">
        <v>111</v>
      </c>
      <c r="G3066" s="97">
        <v>46132</v>
      </c>
      <c r="H3066" s="98">
        <v>0.753287037037037</v>
      </c>
      <c r="I3066" s="50">
        <v>169002836</v>
      </c>
      <c r="J3066" s="96" t="s">
        <v>157</v>
      </c>
      <c r="K3066" s="49" t="s">
        <v>3180</v>
      </c>
      <c r="L3066" s="39" t="s">
        <v>3181</v>
      </c>
      <c r="M3066" s="49" t="s">
        <v>209</v>
      </c>
      <c r="N3066" s="39" t="s">
        <v>319</v>
      </c>
      <c r="O3066" s="96" t="s">
        <v>3182</v>
      </c>
      <c r="P3066" s="49" t="s">
        <v>157</v>
      </c>
      <c r="Q3066" s="96" t="s">
        <v>104</v>
      </c>
      <c r="R3066" s="52">
        <v>32.9</v>
      </c>
      <c r="S3066" s="52">
        <f>R3066-T3066</f>
        <v>29.375</v>
      </c>
      <c r="T3066" s="52">
        <f>R3066*U3066/(U3066+100)</f>
        <v>3.5249999999999995</v>
      </c>
      <c r="U3066" s="50">
        <v>12</v>
      </c>
      <c r="V3066" s="53">
        <v>0</v>
      </c>
      <c r="W3066" s="147">
        <v>1</v>
      </c>
      <c r="X3066" s="148" t="s">
        <v>163</v>
      </c>
      <c r="Y3066" s="54">
        <f>R3066*W3066</f>
        <v>32.9</v>
      </c>
      <c r="Z3066" s="52">
        <f>S3066*W3066</f>
        <v>29.375</v>
      </c>
      <c r="AA3066" s="52">
        <f>T3066*W3066</f>
        <v>3.5249999999999995</v>
      </c>
      <c r="AB3066" s="52">
        <f>V3066*W3066</f>
        <v>0</v>
      </c>
      <c r="AC3066" s="53">
        <f>(R3066+V3066)*W3066</f>
        <v>32.9</v>
      </c>
      <c r="AD3066" s="138">
        <v>32.9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109</v>
      </c>
      <c r="F3067" s="96" t="s">
        <v>111</v>
      </c>
      <c r="G3067" s="97">
        <v>46132</v>
      </c>
      <c r="H3067" s="98">
        <v>0.753287037037037</v>
      </c>
      <c r="I3067" s="50">
        <v>169002836</v>
      </c>
      <c r="J3067" s="96" t="s">
        <v>157</v>
      </c>
      <c r="K3067" s="49" t="s">
        <v>1275</v>
      </c>
      <c r="L3067" s="39" t="s">
        <v>1276</v>
      </c>
      <c r="M3067" s="49" t="s">
        <v>214</v>
      </c>
      <c r="N3067" s="39" t="s">
        <v>501</v>
      </c>
      <c r="O3067" s="96" t="s">
        <v>1277</v>
      </c>
      <c r="P3067" s="49" t="s">
        <v>157</v>
      </c>
      <c r="Q3067" s="96" t="s">
        <v>104</v>
      </c>
      <c r="R3067" s="52">
        <v>13.9</v>
      </c>
      <c r="S3067" s="52">
        <f>R3067-T3067</f>
        <v>12.410714285714286</v>
      </c>
      <c r="T3067" s="52">
        <f>R3067*U3067/(U3067+100)</f>
        <v>1.4892857142857143</v>
      </c>
      <c r="U3067" s="50">
        <v>12</v>
      </c>
      <c r="V3067" s="53">
        <v>0</v>
      </c>
      <c r="W3067" s="147">
        <v>3</v>
      </c>
      <c r="X3067" s="148" t="s">
        <v>163</v>
      </c>
      <c r="Y3067" s="54">
        <f>R3067*W3067</f>
        <v>41.7</v>
      </c>
      <c r="Z3067" s="52">
        <f>S3067*W3067</f>
        <v>37.23214285714286</v>
      </c>
      <c r="AA3067" s="52">
        <f>T3067*W3067</f>
        <v>4.467857142857143</v>
      </c>
      <c r="AB3067" s="52">
        <f>V3067*W3067</f>
        <v>0</v>
      </c>
      <c r="AC3067" s="53">
        <f>(R3067+V3067)*W3067</f>
        <v>41.7</v>
      </c>
      <c r="AD3067" s="138">
        <v>13.9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109</v>
      </c>
      <c r="F3068" s="96" t="s">
        <v>111</v>
      </c>
      <c r="G3068" s="97">
        <v>46132</v>
      </c>
      <c r="H3068" s="98">
        <v>0.753287037037037</v>
      </c>
      <c r="I3068" s="50">
        <v>169002836</v>
      </c>
      <c r="J3068" s="96" t="s">
        <v>157</v>
      </c>
      <c r="K3068" s="49" t="s">
        <v>3899</v>
      </c>
      <c r="L3068" s="39" t="s">
        <v>3900</v>
      </c>
      <c r="M3068" s="49" t="s">
        <v>255</v>
      </c>
      <c r="N3068" s="39" t="s">
        <v>256</v>
      </c>
      <c r="O3068" s="96" t="s">
        <v>3901</v>
      </c>
      <c r="P3068" s="49" t="s">
        <v>157</v>
      </c>
      <c r="Q3068" s="96" t="s">
        <v>104</v>
      </c>
      <c r="R3068" s="52">
        <v>33.9</v>
      </c>
      <c r="S3068" s="52">
        <f>R3068-T3068</f>
        <v>28.016528925619834</v>
      </c>
      <c r="T3068" s="52">
        <f>R3068*U3068/(U3068+100)</f>
        <v>5.883471074380165</v>
      </c>
      <c r="U3068" s="50">
        <v>21</v>
      </c>
      <c r="V3068" s="53">
        <v>0</v>
      </c>
      <c r="W3068" s="147">
        <v>1</v>
      </c>
      <c r="X3068" s="148" t="s">
        <v>163</v>
      </c>
      <c r="Y3068" s="54">
        <f>R3068*W3068</f>
        <v>33.9</v>
      </c>
      <c r="Z3068" s="52">
        <f>S3068*W3068</f>
        <v>28.016528925619834</v>
      </c>
      <c r="AA3068" s="52">
        <f>T3068*W3068</f>
        <v>5.883471074380165</v>
      </c>
      <c r="AB3068" s="52">
        <f>V3068*W3068</f>
        <v>0</v>
      </c>
      <c r="AC3068" s="53">
        <f>(R3068+V3068)*W3068</f>
        <v>33.9</v>
      </c>
      <c r="AD3068" s="138">
        <v>33.9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109</v>
      </c>
      <c r="F3069" s="96" t="s">
        <v>111</v>
      </c>
      <c r="G3069" s="97">
        <v>46132</v>
      </c>
      <c r="H3069" s="98">
        <v>0.753287037037037</v>
      </c>
      <c r="I3069" s="50">
        <v>169002836</v>
      </c>
      <c r="J3069" s="96" t="s">
        <v>157</v>
      </c>
      <c r="K3069" s="49" t="s">
        <v>507</v>
      </c>
      <c r="L3069" s="39" t="s">
        <v>508</v>
      </c>
      <c r="M3069" s="49" t="s">
        <v>509</v>
      </c>
      <c r="N3069" s="39" t="s">
        <v>256</v>
      </c>
      <c r="O3069" s="96" t="s">
        <v>1024</v>
      </c>
      <c r="P3069" s="49" t="s">
        <v>235</v>
      </c>
      <c r="Q3069" s="96" t="s">
        <v>236</v>
      </c>
      <c r="R3069" s="52">
        <v>15.9</v>
      </c>
      <c r="S3069" s="52">
        <f>R3069-T3069</f>
        <v>13.140495867768596</v>
      </c>
      <c r="T3069" s="52">
        <f>R3069*U3069/(U3069+100)</f>
        <v>2.759504132231405</v>
      </c>
      <c r="U3069" s="50">
        <v>21</v>
      </c>
      <c r="V3069" s="53">
        <v>0</v>
      </c>
      <c r="W3069" s="147">
        <v>6</v>
      </c>
      <c r="X3069" s="148" t="s">
        <v>163</v>
      </c>
      <c r="Y3069" s="54">
        <f>R3069*W3069</f>
        <v>95.4</v>
      </c>
      <c r="Z3069" s="52">
        <f>S3069*W3069</f>
        <v>78.84297520661158</v>
      </c>
      <c r="AA3069" s="52">
        <f>T3069*W3069</f>
        <v>16.55702479338843</v>
      </c>
      <c r="AB3069" s="52">
        <f>V3069*W3069</f>
        <v>0</v>
      </c>
      <c r="AC3069" s="53">
        <f>(R3069+V3069)*W3069</f>
        <v>95.4</v>
      </c>
      <c r="AD3069" s="138">
        <v>15.9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109</v>
      </c>
      <c r="F3070" s="96" t="s">
        <v>111</v>
      </c>
      <c r="G3070" s="97">
        <v>46132</v>
      </c>
      <c r="H3070" s="98">
        <v>0.753287037037037</v>
      </c>
      <c r="I3070" s="50">
        <v>169002836</v>
      </c>
      <c r="J3070" s="96" t="s">
        <v>157</v>
      </c>
      <c r="K3070" s="49" t="s">
        <v>2790</v>
      </c>
      <c r="L3070" s="39" t="s">
        <v>2791</v>
      </c>
      <c r="M3070" s="49" t="s">
        <v>403</v>
      </c>
      <c r="N3070" s="39" t="s">
        <v>1194</v>
      </c>
      <c r="O3070" s="96" t="s">
        <v>2792</v>
      </c>
      <c r="P3070" s="49" t="s">
        <v>157</v>
      </c>
      <c r="Q3070" s="96" t="s">
        <v>104</v>
      </c>
      <c r="R3070" s="52">
        <v>82.9</v>
      </c>
      <c r="S3070" s="52">
        <f>R3070-T3070</f>
        <v>74.01785714285715</v>
      </c>
      <c r="T3070" s="52">
        <f>R3070*U3070/(U3070+100)</f>
        <v>8.882142857142858</v>
      </c>
      <c r="U3070" s="50">
        <v>12</v>
      </c>
      <c r="V3070" s="53">
        <v>0</v>
      </c>
      <c r="W3070" s="147">
        <v>1</v>
      </c>
      <c r="X3070" s="148" t="s">
        <v>163</v>
      </c>
      <c r="Y3070" s="54">
        <f>R3070*W3070</f>
        <v>82.9</v>
      </c>
      <c r="Z3070" s="52">
        <f>S3070*W3070</f>
        <v>74.01785714285715</v>
      </c>
      <c r="AA3070" s="52">
        <f>T3070*W3070</f>
        <v>8.882142857142858</v>
      </c>
      <c r="AB3070" s="52">
        <f>V3070*W3070</f>
        <v>0</v>
      </c>
      <c r="AC3070" s="53">
        <f>(R3070+V3070)*W3070</f>
        <v>82.9</v>
      </c>
      <c r="AD3070" s="138">
        <v>82.9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109</v>
      </c>
      <c r="F3071" s="96" t="s">
        <v>111</v>
      </c>
      <c r="G3071" s="97">
        <v>46132</v>
      </c>
      <c r="H3071" s="98">
        <v>0.7533912037037037</v>
      </c>
      <c r="I3071" s="50">
        <v>169002837</v>
      </c>
      <c r="J3071" s="96" t="s">
        <v>157</v>
      </c>
      <c r="K3071" s="49" t="s">
        <v>695</v>
      </c>
      <c r="L3071" s="39" t="s">
        <v>696</v>
      </c>
      <c r="M3071" s="49" t="s">
        <v>166</v>
      </c>
      <c r="N3071" s="39" t="s">
        <v>233</v>
      </c>
      <c r="O3071" s="96" t="s">
        <v>3902</v>
      </c>
      <c r="P3071" s="49" t="s">
        <v>157</v>
      </c>
      <c r="Q3071" s="96" t="s">
        <v>104</v>
      </c>
      <c r="R3071" s="52">
        <v>22.9</v>
      </c>
      <c r="S3071" s="52">
        <f>R3071-T3071</f>
        <v>18.925619834710744</v>
      </c>
      <c r="T3071" s="52">
        <f>R3071*U3071/(U3071+100)</f>
        <v>3.974380165289256</v>
      </c>
      <c r="U3071" s="50">
        <v>21</v>
      </c>
      <c r="V3071" s="53">
        <v>0</v>
      </c>
      <c r="W3071" s="147">
        <v>1</v>
      </c>
      <c r="X3071" s="148" t="s">
        <v>163</v>
      </c>
      <c r="Y3071" s="54">
        <f>R3071*W3071</f>
        <v>22.9</v>
      </c>
      <c r="Z3071" s="52">
        <f>S3071*W3071</f>
        <v>18.925619834710744</v>
      </c>
      <c r="AA3071" s="52">
        <f>T3071*W3071</f>
        <v>3.974380165289256</v>
      </c>
      <c r="AB3071" s="52">
        <f>V3071*W3071</f>
        <v>0</v>
      </c>
      <c r="AC3071" s="53">
        <f>(R3071+V3071)*W3071</f>
        <v>22.9</v>
      </c>
      <c r="AD3071" s="138">
        <v>22.9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109</v>
      </c>
      <c r="F3072" s="96" t="s">
        <v>111</v>
      </c>
      <c r="G3072" s="97">
        <v>46132</v>
      </c>
      <c r="H3072" s="98">
        <v>0.7535648148148149</v>
      </c>
      <c r="I3072" s="50">
        <v>169002838</v>
      </c>
      <c r="J3072" s="96" t="s">
        <v>157</v>
      </c>
      <c r="K3072" s="49" t="s">
        <v>3903</v>
      </c>
      <c r="L3072" s="39" t="s">
        <v>3904</v>
      </c>
      <c r="M3072" s="49" t="s">
        <v>429</v>
      </c>
      <c r="N3072" s="39" t="s">
        <v>348</v>
      </c>
      <c r="O3072" s="96" t="s">
        <v>3905</v>
      </c>
      <c r="P3072" s="49" t="s">
        <v>157</v>
      </c>
      <c r="Q3072" s="96" t="s">
        <v>104</v>
      </c>
      <c r="R3072" s="52">
        <v>27.9</v>
      </c>
      <c r="S3072" s="52">
        <f>R3072-T3072</f>
        <v>24.910714285714285</v>
      </c>
      <c r="T3072" s="52">
        <f>R3072*U3072/(U3072+100)</f>
        <v>2.989285714285714</v>
      </c>
      <c r="U3072" s="50">
        <v>12</v>
      </c>
      <c r="V3072" s="53">
        <v>0</v>
      </c>
      <c r="W3072" s="147">
        <v>1</v>
      </c>
      <c r="X3072" s="148" t="s">
        <v>163</v>
      </c>
      <c r="Y3072" s="54">
        <f>R3072*W3072</f>
        <v>27.9</v>
      </c>
      <c r="Z3072" s="52">
        <f>S3072*W3072</f>
        <v>24.910714285714285</v>
      </c>
      <c r="AA3072" s="52">
        <f>T3072*W3072</f>
        <v>2.989285714285714</v>
      </c>
      <c r="AB3072" s="52">
        <f>V3072*W3072</f>
        <v>0</v>
      </c>
      <c r="AC3072" s="53">
        <f>(R3072+V3072)*W3072</f>
        <v>27.9</v>
      </c>
      <c r="AD3072" s="138">
        <v>27.9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109</v>
      </c>
      <c r="F3073" s="96" t="s">
        <v>111</v>
      </c>
      <c r="G3073" s="97">
        <v>46132</v>
      </c>
      <c r="H3073" s="98">
        <v>0.755162037037037</v>
      </c>
      <c r="I3073" s="50">
        <v>169002839</v>
      </c>
      <c r="J3073" s="96" t="s">
        <v>157</v>
      </c>
      <c r="K3073" s="49" t="s">
        <v>871</v>
      </c>
      <c r="L3073" s="39" t="s">
        <v>872</v>
      </c>
      <c r="M3073" s="49" t="s">
        <v>873</v>
      </c>
      <c r="N3073" s="39" t="s">
        <v>874</v>
      </c>
      <c r="O3073" s="96" t="s">
        <v>3906</v>
      </c>
      <c r="P3073" s="49" t="s">
        <v>157</v>
      </c>
      <c r="Q3073" s="96" t="s">
        <v>104</v>
      </c>
      <c r="R3073" s="52">
        <v>34.9</v>
      </c>
      <c r="S3073" s="52">
        <f>R3073-T3073</f>
        <v>31.160714285714285</v>
      </c>
      <c r="T3073" s="52">
        <f>R3073*U3073/(U3073+100)</f>
        <v>3.739285714285714</v>
      </c>
      <c r="U3073" s="50">
        <v>12</v>
      </c>
      <c r="V3073" s="53">
        <v>0</v>
      </c>
      <c r="W3073" s="147">
        <v>1</v>
      </c>
      <c r="X3073" s="148" t="s">
        <v>163</v>
      </c>
      <c r="Y3073" s="54">
        <f>R3073*W3073</f>
        <v>34.9</v>
      </c>
      <c r="Z3073" s="52">
        <f>S3073*W3073</f>
        <v>31.160714285714285</v>
      </c>
      <c r="AA3073" s="52">
        <f>T3073*W3073</f>
        <v>3.739285714285714</v>
      </c>
      <c r="AB3073" s="52">
        <f>V3073*W3073</f>
        <v>0</v>
      </c>
      <c r="AC3073" s="53">
        <f>(R3073+V3073)*W3073</f>
        <v>34.9</v>
      </c>
      <c r="AD3073" s="138">
        <v>34.9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109</v>
      </c>
      <c r="F3074" s="96" t="s">
        <v>111</v>
      </c>
      <c r="G3074" s="97">
        <v>46132</v>
      </c>
      <c r="H3074" s="98">
        <v>0.755162037037037</v>
      </c>
      <c r="I3074" s="50">
        <v>169002839</v>
      </c>
      <c r="J3074" s="96" t="s">
        <v>157</v>
      </c>
      <c r="K3074" s="49" t="s">
        <v>611</v>
      </c>
      <c r="L3074" s="39" t="s">
        <v>612</v>
      </c>
      <c r="M3074" s="49" t="s">
        <v>608</v>
      </c>
      <c r="N3074" s="39" t="s">
        <v>609</v>
      </c>
      <c r="O3074" s="96" t="s">
        <v>1139</v>
      </c>
      <c r="P3074" s="49" t="s">
        <v>235</v>
      </c>
      <c r="Q3074" s="96" t="s">
        <v>236</v>
      </c>
      <c r="R3074" s="52">
        <v>16.9</v>
      </c>
      <c r="S3074" s="52">
        <f>R3074-T3074</f>
        <v>15.089285714285714</v>
      </c>
      <c r="T3074" s="52">
        <f>R3074*U3074/(U3074+100)</f>
        <v>1.8107142857142855</v>
      </c>
      <c r="U3074" s="50">
        <v>12</v>
      </c>
      <c r="V3074" s="53">
        <v>0</v>
      </c>
      <c r="W3074" s="147">
        <v>1</v>
      </c>
      <c r="X3074" s="148" t="s">
        <v>163</v>
      </c>
      <c r="Y3074" s="54">
        <f>R3074*W3074</f>
        <v>16.9</v>
      </c>
      <c r="Z3074" s="52">
        <f>S3074*W3074</f>
        <v>15.089285714285714</v>
      </c>
      <c r="AA3074" s="52">
        <f>T3074*W3074</f>
        <v>1.8107142857142855</v>
      </c>
      <c r="AB3074" s="52">
        <f>V3074*W3074</f>
        <v>0</v>
      </c>
      <c r="AC3074" s="53">
        <f>(R3074+V3074)*W3074</f>
        <v>16.9</v>
      </c>
      <c r="AD3074" s="138">
        <v>16.9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109</v>
      </c>
      <c r="F3075" s="96" t="s">
        <v>111</v>
      </c>
      <c r="G3075" s="97">
        <v>46132</v>
      </c>
      <c r="H3075" s="98">
        <v>0.755162037037037</v>
      </c>
      <c r="I3075" s="50">
        <v>169002839</v>
      </c>
      <c r="J3075" s="96" t="s">
        <v>157</v>
      </c>
      <c r="K3075" s="49" t="s">
        <v>611</v>
      </c>
      <c r="L3075" s="39" t="s">
        <v>612</v>
      </c>
      <c r="M3075" s="49" t="s">
        <v>608</v>
      </c>
      <c r="N3075" s="39" t="s">
        <v>609</v>
      </c>
      <c r="O3075" s="96" t="s">
        <v>1139</v>
      </c>
      <c r="P3075" s="49" t="s">
        <v>235</v>
      </c>
      <c r="Q3075" s="96" t="s">
        <v>236</v>
      </c>
      <c r="R3075" s="52">
        <v>16.9</v>
      </c>
      <c r="S3075" s="52">
        <f>R3075-T3075</f>
        <v>15.089285714285714</v>
      </c>
      <c r="T3075" s="52">
        <f>R3075*U3075/(U3075+100)</f>
        <v>1.8107142857142855</v>
      </c>
      <c r="U3075" s="50">
        <v>12</v>
      </c>
      <c r="V3075" s="53">
        <v>0</v>
      </c>
      <c r="W3075" s="147">
        <v>1</v>
      </c>
      <c r="X3075" s="148" t="s">
        <v>163</v>
      </c>
      <c r="Y3075" s="54">
        <f>R3075*W3075</f>
        <v>16.9</v>
      </c>
      <c r="Z3075" s="52">
        <f>S3075*W3075</f>
        <v>15.089285714285714</v>
      </c>
      <c r="AA3075" s="52">
        <f>T3075*W3075</f>
        <v>1.8107142857142855</v>
      </c>
      <c r="AB3075" s="52">
        <f>V3075*W3075</f>
        <v>0</v>
      </c>
      <c r="AC3075" s="53">
        <f>(R3075+V3075)*W3075</f>
        <v>16.9</v>
      </c>
      <c r="AD3075" s="138">
        <v>16.9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109</v>
      </c>
      <c r="F3076" s="96" t="s">
        <v>111</v>
      </c>
      <c r="G3076" s="97">
        <v>46132</v>
      </c>
      <c r="H3076" s="98">
        <v>0.755162037037037</v>
      </c>
      <c r="I3076" s="50">
        <v>169002839</v>
      </c>
      <c r="J3076" s="96" t="s">
        <v>157</v>
      </c>
      <c r="K3076" s="49" t="s">
        <v>3907</v>
      </c>
      <c r="L3076" s="39" t="s">
        <v>3908</v>
      </c>
      <c r="M3076" s="49" t="s">
        <v>282</v>
      </c>
      <c r="N3076" s="39" t="s">
        <v>210</v>
      </c>
      <c r="O3076" s="96" t="s">
        <v>3909</v>
      </c>
      <c r="P3076" s="49" t="s">
        <v>157</v>
      </c>
      <c r="Q3076" s="96" t="s">
        <v>104</v>
      </c>
      <c r="R3076" s="52">
        <v>22.9</v>
      </c>
      <c r="S3076" s="52">
        <f>R3076-T3076</f>
        <v>20.44642857142857</v>
      </c>
      <c r="T3076" s="52">
        <f>R3076*U3076/(U3076+100)</f>
        <v>2.4535714285714283</v>
      </c>
      <c r="U3076" s="50">
        <v>12</v>
      </c>
      <c r="V3076" s="53">
        <v>0</v>
      </c>
      <c r="W3076" s="147">
        <v>1</v>
      </c>
      <c r="X3076" s="148" t="s">
        <v>163</v>
      </c>
      <c r="Y3076" s="54">
        <f>R3076*W3076</f>
        <v>22.9</v>
      </c>
      <c r="Z3076" s="52">
        <f>S3076*W3076</f>
        <v>20.44642857142857</v>
      </c>
      <c r="AA3076" s="52">
        <f>T3076*W3076</f>
        <v>2.4535714285714283</v>
      </c>
      <c r="AB3076" s="52">
        <f>V3076*W3076</f>
        <v>0</v>
      </c>
      <c r="AC3076" s="53">
        <f>(R3076+V3076)*W3076</f>
        <v>22.9</v>
      </c>
      <c r="AD3076" s="138">
        <v>22.9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109</v>
      </c>
      <c r="F3077" s="96" t="s">
        <v>111</v>
      </c>
      <c r="G3077" s="97">
        <v>46132</v>
      </c>
      <c r="H3077" s="98">
        <v>0.755162037037037</v>
      </c>
      <c r="I3077" s="50">
        <v>169002839</v>
      </c>
      <c r="J3077" s="96" t="s">
        <v>157</v>
      </c>
      <c r="K3077" s="49" t="s">
        <v>280</v>
      </c>
      <c r="L3077" s="39" t="s">
        <v>281</v>
      </c>
      <c r="M3077" s="49" t="s">
        <v>282</v>
      </c>
      <c r="N3077" s="39" t="s">
        <v>210</v>
      </c>
      <c r="O3077" s="96" t="s">
        <v>1419</v>
      </c>
      <c r="P3077" s="49" t="s">
        <v>157</v>
      </c>
      <c r="Q3077" s="96" t="s">
        <v>104</v>
      </c>
      <c r="R3077" s="52">
        <v>21.9</v>
      </c>
      <c r="S3077" s="52">
        <f>R3077-T3077</f>
        <v>19.553571428571427</v>
      </c>
      <c r="T3077" s="52">
        <f>R3077*U3077/(U3077+100)</f>
        <v>2.346428571428571</v>
      </c>
      <c r="U3077" s="50">
        <v>12</v>
      </c>
      <c r="V3077" s="53">
        <v>0</v>
      </c>
      <c r="W3077" s="147">
        <v>1</v>
      </c>
      <c r="X3077" s="148" t="s">
        <v>163</v>
      </c>
      <c r="Y3077" s="54">
        <f>R3077*W3077</f>
        <v>21.9</v>
      </c>
      <c r="Z3077" s="52">
        <f>S3077*W3077</f>
        <v>19.553571428571427</v>
      </c>
      <c r="AA3077" s="52">
        <f>T3077*W3077</f>
        <v>2.346428571428571</v>
      </c>
      <c r="AB3077" s="52">
        <f>V3077*W3077</f>
        <v>0</v>
      </c>
      <c r="AC3077" s="53">
        <f>(R3077+V3077)*W3077</f>
        <v>21.9</v>
      </c>
      <c r="AD3077" s="138">
        <v>21.9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109</v>
      </c>
      <c r="F3078" s="96" t="s">
        <v>111</v>
      </c>
      <c r="G3078" s="97">
        <v>46132</v>
      </c>
      <c r="H3078" s="98">
        <v>0.755162037037037</v>
      </c>
      <c r="I3078" s="50">
        <v>169002839</v>
      </c>
      <c r="J3078" s="96" t="s">
        <v>157</v>
      </c>
      <c r="K3078" s="49" t="s">
        <v>1413</v>
      </c>
      <c r="L3078" s="39" t="s">
        <v>104</v>
      </c>
      <c r="M3078" s="49" t="s">
        <v>190</v>
      </c>
      <c r="N3078" s="39" t="s">
        <v>1414</v>
      </c>
      <c r="O3078" s="96" t="s">
        <v>1415</v>
      </c>
      <c r="P3078" s="49" t="s">
        <v>157</v>
      </c>
      <c r="Q3078" s="96" t="s">
        <v>104</v>
      </c>
      <c r="R3078" s="52">
        <v>23.9</v>
      </c>
      <c r="S3078" s="52">
        <f>R3078-T3078</f>
        <v>21.33928571428571</v>
      </c>
      <c r="T3078" s="52">
        <f>R3078*U3078/(U3078+100)</f>
        <v>2.5607142857142855</v>
      </c>
      <c r="U3078" s="50">
        <v>12</v>
      </c>
      <c r="V3078" s="53">
        <v>0</v>
      </c>
      <c r="W3078" s="147">
        <v>1</v>
      </c>
      <c r="X3078" s="148" t="s">
        <v>163</v>
      </c>
      <c r="Y3078" s="54">
        <f>R3078*W3078</f>
        <v>23.9</v>
      </c>
      <c r="Z3078" s="52">
        <f>S3078*W3078</f>
        <v>21.33928571428571</v>
      </c>
      <c r="AA3078" s="52">
        <f>T3078*W3078</f>
        <v>2.5607142857142855</v>
      </c>
      <c r="AB3078" s="52">
        <f>V3078*W3078</f>
        <v>0</v>
      </c>
      <c r="AC3078" s="53">
        <f>(R3078+V3078)*W3078</f>
        <v>23.9</v>
      </c>
      <c r="AD3078" s="138">
        <v>23.9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109</v>
      </c>
      <c r="F3079" s="96" t="s">
        <v>111</v>
      </c>
      <c r="G3079" s="97">
        <v>46132</v>
      </c>
      <c r="H3079" s="98">
        <v>0.755162037037037</v>
      </c>
      <c r="I3079" s="50">
        <v>169002839</v>
      </c>
      <c r="J3079" s="96" t="s">
        <v>157</v>
      </c>
      <c r="K3079" s="49" t="s">
        <v>293</v>
      </c>
      <c r="L3079" s="39" t="s">
        <v>294</v>
      </c>
      <c r="M3079" s="49" t="s">
        <v>295</v>
      </c>
      <c r="N3079" s="39" t="s">
        <v>296</v>
      </c>
      <c r="O3079" s="96" t="s">
        <v>297</v>
      </c>
      <c r="P3079" s="49" t="s">
        <v>157</v>
      </c>
      <c r="Q3079" s="96" t="s">
        <v>104</v>
      </c>
      <c r="R3079" s="52">
        <v>2.9</v>
      </c>
      <c r="S3079" s="52">
        <f>R3079-T3079</f>
        <v>2.5892857142857144</v>
      </c>
      <c r="T3079" s="52">
        <f>R3079*U3079/(U3079+100)</f>
        <v>0.31071428571428567</v>
      </c>
      <c r="U3079" s="50">
        <v>12</v>
      </c>
      <c r="V3079" s="53">
        <v>0</v>
      </c>
      <c r="W3079" s="147">
        <v>6</v>
      </c>
      <c r="X3079" s="148" t="s">
        <v>163</v>
      </c>
      <c r="Y3079" s="54">
        <f>R3079*W3079</f>
        <v>17.4</v>
      </c>
      <c r="Z3079" s="52">
        <f>S3079*W3079</f>
        <v>15.535714285714286</v>
      </c>
      <c r="AA3079" s="52">
        <f>T3079*W3079</f>
        <v>1.8642857142857139</v>
      </c>
      <c r="AB3079" s="52">
        <f>V3079*W3079</f>
        <v>0</v>
      </c>
      <c r="AC3079" s="53">
        <f>(R3079+V3079)*W3079</f>
        <v>17.4</v>
      </c>
      <c r="AD3079" s="138">
        <v>2.9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109</v>
      </c>
      <c r="F3080" s="96" t="s">
        <v>111</v>
      </c>
      <c r="G3080" s="97">
        <v>46132</v>
      </c>
      <c r="H3080" s="98">
        <v>0.755162037037037</v>
      </c>
      <c r="I3080" s="50">
        <v>169002839</v>
      </c>
      <c r="J3080" s="96" t="s">
        <v>157</v>
      </c>
      <c r="K3080" s="49" t="s">
        <v>3910</v>
      </c>
      <c r="L3080" s="39" t="s">
        <v>3911</v>
      </c>
      <c r="M3080" s="49" t="s">
        <v>3724</v>
      </c>
      <c r="N3080" s="39" t="s">
        <v>1618</v>
      </c>
      <c r="O3080" s="96" t="s">
        <v>3912</v>
      </c>
      <c r="P3080" s="49" t="s">
        <v>157</v>
      </c>
      <c r="Q3080" s="96" t="s">
        <v>104</v>
      </c>
      <c r="R3080" s="52">
        <v>48.93</v>
      </c>
      <c r="S3080" s="52">
        <f>R3080-T3080</f>
        <v>43.6875</v>
      </c>
      <c r="T3080" s="52">
        <f>R3080*U3080/(U3080+100)</f>
        <v>5.2425</v>
      </c>
      <c r="U3080" s="50">
        <v>12</v>
      </c>
      <c r="V3080" s="53">
        <v>0</v>
      </c>
      <c r="W3080" s="147">
        <v>1</v>
      </c>
      <c r="X3080" s="148" t="s">
        <v>163</v>
      </c>
      <c r="Y3080" s="54">
        <f>R3080*W3080</f>
        <v>48.93</v>
      </c>
      <c r="Z3080" s="52">
        <f>S3080*W3080</f>
        <v>43.6875</v>
      </c>
      <c r="AA3080" s="52">
        <f>T3080*W3080</f>
        <v>5.2425</v>
      </c>
      <c r="AB3080" s="52">
        <f>V3080*W3080</f>
        <v>0</v>
      </c>
      <c r="AC3080" s="53">
        <f>(R3080+V3080)*W3080</f>
        <v>48.93</v>
      </c>
      <c r="AD3080" s="138">
        <v>69.9</v>
      </c>
      <c r="AE3080" s="137">
        <v>20.97</v>
      </c>
      <c r="AF3080" s="139">
        <v>20.97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109</v>
      </c>
      <c r="F3081" s="96" t="s">
        <v>111</v>
      </c>
      <c r="G3081" s="97">
        <v>46132</v>
      </c>
      <c r="H3081" s="98">
        <v>0.7562384259259259</v>
      </c>
      <c r="I3081" s="50">
        <v>169002840</v>
      </c>
      <c r="J3081" s="96" t="s">
        <v>157</v>
      </c>
      <c r="K3081" s="49" t="s">
        <v>3716</v>
      </c>
      <c r="L3081" s="39" t="s">
        <v>3717</v>
      </c>
      <c r="M3081" s="49" t="s">
        <v>1536</v>
      </c>
      <c r="N3081" s="39" t="s">
        <v>601</v>
      </c>
      <c r="O3081" s="96" t="s">
        <v>3718</v>
      </c>
      <c r="P3081" s="49" t="s">
        <v>157</v>
      </c>
      <c r="Q3081" s="96" t="s">
        <v>104</v>
      </c>
      <c r="R3081" s="52">
        <v>13.4</v>
      </c>
      <c r="S3081" s="52">
        <f>R3081-T3081</f>
        <v>11.964285714285715</v>
      </c>
      <c r="T3081" s="52">
        <f>R3081*U3081/(U3081+100)</f>
        <v>1.4357142857142857</v>
      </c>
      <c r="U3081" s="50">
        <v>12</v>
      </c>
      <c r="V3081" s="53">
        <v>0</v>
      </c>
      <c r="W3081" s="147">
        <v>1</v>
      </c>
      <c r="X3081" s="148" t="s">
        <v>163</v>
      </c>
      <c r="Y3081" s="54">
        <f>R3081*W3081</f>
        <v>13.4</v>
      </c>
      <c r="Z3081" s="52">
        <f>S3081*W3081</f>
        <v>11.964285714285715</v>
      </c>
      <c r="AA3081" s="52">
        <f>T3081*W3081</f>
        <v>1.4357142857142857</v>
      </c>
      <c r="AB3081" s="52">
        <f>V3081*W3081</f>
        <v>0</v>
      </c>
      <c r="AC3081" s="53">
        <f>(R3081+V3081)*W3081</f>
        <v>13.4</v>
      </c>
      <c r="AD3081" s="138">
        <v>13.4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109</v>
      </c>
      <c r="F3082" s="96" t="s">
        <v>111</v>
      </c>
      <c r="G3082" s="97">
        <v>46132</v>
      </c>
      <c r="H3082" s="98">
        <v>0.7562384259259259</v>
      </c>
      <c r="I3082" s="50">
        <v>169002840</v>
      </c>
      <c r="J3082" s="96" t="s">
        <v>157</v>
      </c>
      <c r="K3082" s="49" t="s">
        <v>1797</v>
      </c>
      <c r="L3082" s="39" t="s">
        <v>1798</v>
      </c>
      <c r="M3082" s="49" t="s">
        <v>1381</v>
      </c>
      <c r="N3082" s="39" t="s">
        <v>1382</v>
      </c>
      <c r="O3082" s="96" t="s">
        <v>1799</v>
      </c>
      <c r="P3082" s="49" t="s">
        <v>157</v>
      </c>
      <c r="Q3082" s="96" t="s">
        <v>104</v>
      </c>
      <c r="R3082" s="52">
        <v>43.9</v>
      </c>
      <c r="S3082" s="52">
        <f>R3082-T3082</f>
        <v>39.19642857142857</v>
      </c>
      <c r="T3082" s="52">
        <f>R3082*U3082/(U3082+100)</f>
        <v>4.703571428571428</v>
      </c>
      <c r="U3082" s="50">
        <v>12</v>
      </c>
      <c r="V3082" s="53">
        <v>0</v>
      </c>
      <c r="W3082" s="147">
        <v>1</v>
      </c>
      <c r="X3082" s="148" t="s">
        <v>163</v>
      </c>
      <c r="Y3082" s="54">
        <f>R3082*W3082</f>
        <v>43.9</v>
      </c>
      <c r="Z3082" s="52">
        <f>S3082*W3082</f>
        <v>39.19642857142857</v>
      </c>
      <c r="AA3082" s="52">
        <f>T3082*W3082</f>
        <v>4.703571428571428</v>
      </c>
      <c r="AB3082" s="52">
        <f>V3082*W3082</f>
        <v>0</v>
      </c>
      <c r="AC3082" s="53">
        <f>(R3082+V3082)*W3082</f>
        <v>43.9</v>
      </c>
      <c r="AD3082" s="138">
        <v>43.9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109</v>
      </c>
      <c r="F3083" s="96" t="s">
        <v>111</v>
      </c>
      <c r="G3083" s="97">
        <v>46132</v>
      </c>
      <c r="H3083" s="98">
        <v>0.7562384259259259</v>
      </c>
      <c r="I3083" s="50">
        <v>169002840</v>
      </c>
      <c r="J3083" s="96" t="s">
        <v>157</v>
      </c>
      <c r="K3083" s="49" t="s">
        <v>3913</v>
      </c>
      <c r="L3083" s="39" t="s">
        <v>3914</v>
      </c>
      <c r="M3083" s="49" t="s">
        <v>954</v>
      </c>
      <c r="N3083" s="39" t="s">
        <v>1312</v>
      </c>
      <c r="O3083" s="96" t="s">
        <v>3915</v>
      </c>
      <c r="P3083" s="49" t="s">
        <v>157</v>
      </c>
      <c r="Q3083" s="96" t="s">
        <v>104</v>
      </c>
      <c r="R3083" s="52">
        <v>136.9</v>
      </c>
      <c r="S3083" s="52">
        <f>R3083-T3083</f>
        <v>113.1404958677686</v>
      </c>
      <c r="T3083" s="52">
        <f>R3083*U3083/(U3083+100)</f>
        <v>23.759504132231406</v>
      </c>
      <c r="U3083" s="50">
        <v>21</v>
      </c>
      <c r="V3083" s="53">
        <v>0</v>
      </c>
      <c r="W3083" s="147">
        <v>1</v>
      </c>
      <c r="X3083" s="148" t="s">
        <v>163</v>
      </c>
      <c r="Y3083" s="54">
        <f>R3083*W3083</f>
        <v>136.9</v>
      </c>
      <c r="Z3083" s="52">
        <f>S3083*W3083</f>
        <v>113.1404958677686</v>
      </c>
      <c r="AA3083" s="52">
        <f>T3083*W3083</f>
        <v>23.759504132231406</v>
      </c>
      <c r="AB3083" s="52">
        <f>V3083*W3083</f>
        <v>0</v>
      </c>
      <c r="AC3083" s="53">
        <f>(R3083+V3083)*W3083</f>
        <v>136.9</v>
      </c>
      <c r="AD3083" s="138">
        <v>136.9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109</v>
      </c>
      <c r="F3084" s="96" t="s">
        <v>111</v>
      </c>
      <c r="G3084" s="97">
        <v>46132</v>
      </c>
      <c r="H3084" s="98">
        <v>0.7562384259259259</v>
      </c>
      <c r="I3084" s="50">
        <v>169002840</v>
      </c>
      <c r="J3084" s="96" t="s">
        <v>157</v>
      </c>
      <c r="K3084" s="49" t="s">
        <v>1730</v>
      </c>
      <c r="L3084" s="39" t="s">
        <v>1731</v>
      </c>
      <c r="M3084" s="49" t="s">
        <v>277</v>
      </c>
      <c r="N3084" s="39" t="s">
        <v>1732</v>
      </c>
      <c r="O3084" s="96" t="s">
        <v>1733</v>
      </c>
      <c r="P3084" s="49" t="s">
        <v>157</v>
      </c>
      <c r="Q3084" s="96" t="s">
        <v>104</v>
      </c>
      <c r="R3084" s="52">
        <v>147.9</v>
      </c>
      <c r="S3084" s="52">
        <f>R3084-T3084</f>
        <v>132.05357142857144</v>
      </c>
      <c r="T3084" s="52">
        <f>R3084*U3084/(U3084+100)</f>
        <v>15.846428571428573</v>
      </c>
      <c r="U3084" s="50">
        <v>12</v>
      </c>
      <c r="V3084" s="53">
        <v>0</v>
      </c>
      <c r="W3084" s="147">
        <v>0.37</v>
      </c>
      <c r="X3084" s="148" t="s">
        <v>193</v>
      </c>
      <c r="Y3084" s="54">
        <f>R3084*W3084</f>
        <v>54.723</v>
      </c>
      <c r="Z3084" s="52">
        <f>S3084*W3084</f>
        <v>48.859821428571436</v>
      </c>
      <c r="AA3084" s="52">
        <f>T3084*W3084</f>
        <v>5.8631785714285725</v>
      </c>
      <c r="AB3084" s="52">
        <f>V3084*W3084</f>
        <v>0</v>
      </c>
      <c r="AC3084" s="53">
        <f>(R3084+V3084)*W3084</f>
        <v>54.723</v>
      </c>
      <c r="AD3084" s="138">
        <v>147.9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109</v>
      </c>
      <c r="F3085" s="96" t="s">
        <v>111</v>
      </c>
      <c r="G3085" s="97">
        <v>46132</v>
      </c>
      <c r="H3085" s="98">
        <v>0.8299421296296297</v>
      </c>
      <c r="I3085" s="50">
        <v>169002841</v>
      </c>
      <c r="J3085" s="96" t="s">
        <v>157</v>
      </c>
      <c r="K3085" s="49" t="s">
        <v>3124</v>
      </c>
      <c r="L3085" s="39" t="s">
        <v>3125</v>
      </c>
      <c r="M3085" s="49" t="s">
        <v>255</v>
      </c>
      <c r="N3085" s="39" t="s">
        <v>256</v>
      </c>
      <c r="O3085" s="96" t="s">
        <v>3126</v>
      </c>
      <c r="P3085" s="49" t="s">
        <v>157</v>
      </c>
      <c r="Q3085" s="96" t="s">
        <v>104</v>
      </c>
      <c r="R3085" s="52">
        <v>24.9</v>
      </c>
      <c r="S3085" s="52">
        <f>R3085-T3085</f>
        <v>20.578512396694215</v>
      </c>
      <c r="T3085" s="52">
        <f>R3085*U3085/(U3085+100)</f>
        <v>4.321487603305785</v>
      </c>
      <c r="U3085" s="50">
        <v>21</v>
      </c>
      <c r="V3085" s="53">
        <v>0</v>
      </c>
      <c r="W3085" s="147">
        <v>1</v>
      </c>
      <c r="X3085" s="148" t="s">
        <v>163</v>
      </c>
      <c r="Y3085" s="54">
        <f>R3085*W3085</f>
        <v>24.9</v>
      </c>
      <c r="Z3085" s="52">
        <f>S3085*W3085</f>
        <v>20.578512396694215</v>
      </c>
      <c r="AA3085" s="52">
        <f>T3085*W3085</f>
        <v>4.321487603305785</v>
      </c>
      <c r="AB3085" s="52">
        <f>V3085*W3085</f>
        <v>0</v>
      </c>
      <c r="AC3085" s="53">
        <f>(R3085+V3085)*W3085</f>
        <v>24.9</v>
      </c>
      <c r="AD3085" s="138">
        <v>24.9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109</v>
      </c>
      <c r="F3086" s="96" t="s">
        <v>111</v>
      </c>
      <c r="G3086" s="97">
        <v>46132</v>
      </c>
      <c r="H3086" s="98">
        <v>0.8299421296296297</v>
      </c>
      <c r="I3086" s="50">
        <v>169002841</v>
      </c>
      <c r="J3086" s="96" t="s">
        <v>157</v>
      </c>
      <c r="K3086" s="49" t="s">
        <v>3124</v>
      </c>
      <c r="L3086" s="39" t="s">
        <v>3125</v>
      </c>
      <c r="M3086" s="49" t="s">
        <v>255</v>
      </c>
      <c r="N3086" s="39" t="s">
        <v>256</v>
      </c>
      <c r="O3086" s="96" t="s">
        <v>3126</v>
      </c>
      <c r="P3086" s="49" t="s">
        <v>157</v>
      </c>
      <c r="Q3086" s="96" t="s">
        <v>104</v>
      </c>
      <c r="R3086" s="52">
        <v>24.9</v>
      </c>
      <c r="S3086" s="52">
        <f>R3086-T3086</f>
        <v>20.578512396694215</v>
      </c>
      <c r="T3086" s="52">
        <f>R3086*U3086/(U3086+100)</f>
        <v>4.321487603305785</v>
      </c>
      <c r="U3086" s="50">
        <v>21</v>
      </c>
      <c r="V3086" s="53">
        <v>0</v>
      </c>
      <c r="W3086" s="147">
        <v>1</v>
      </c>
      <c r="X3086" s="148" t="s">
        <v>163</v>
      </c>
      <c r="Y3086" s="54">
        <f>R3086*W3086</f>
        <v>24.9</v>
      </c>
      <c r="Z3086" s="52">
        <f>S3086*W3086</f>
        <v>20.578512396694215</v>
      </c>
      <c r="AA3086" s="52">
        <f>T3086*W3086</f>
        <v>4.321487603305785</v>
      </c>
      <c r="AB3086" s="52">
        <f>V3086*W3086</f>
        <v>0</v>
      </c>
      <c r="AC3086" s="53">
        <f>(R3086+V3086)*W3086</f>
        <v>24.9</v>
      </c>
      <c r="AD3086" s="138">
        <v>24.9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109</v>
      </c>
      <c r="F3087" s="96" t="s">
        <v>111</v>
      </c>
      <c r="G3087" s="97">
        <v>46132</v>
      </c>
      <c r="H3087" s="98">
        <v>0.8299421296296297</v>
      </c>
      <c r="I3087" s="50">
        <v>169002841</v>
      </c>
      <c r="J3087" s="96" t="s">
        <v>157</v>
      </c>
      <c r="K3087" s="49" t="s">
        <v>3368</v>
      </c>
      <c r="L3087" s="39" t="s">
        <v>3369</v>
      </c>
      <c r="M3087" s="49" t="s">
        <v>255</v>
      </c>
      <c r="N3087" s="39" t="s">
        <v>256</v>
      </c>
      <c r="O3087" s="96" t="s">
        <v>3370</v>
      </c>
      <c r="P3087" s="49" t="s">
        <v>157</v>
      </c>
      <c r="Q3087" s="96" t="s">
        <v>104</v>
      </c>
      <c r="R3087" s="52">
        <v>39.9</v>
      </c>
      <c r="S3087" s="52">
        <f>R3087-T3087</f>
        <v>32.97520661157024</v>
      </c>
      <c r="T3087" s="52">
        <f>R3087*U3087/(U3087+100)</f>
        <v>6.924793388429752</v>
      </c>
      <c r="U3087" s="50">
        <v>21</v>
      </c>
      <c r="V3087" s="53">
        <v>0</v>
      </c>
      <c r="W3087" s="147">
        <v>1</v>
      </c>
      <c r="X3087" s="148" t="s">
        <v>163</v>
      </c>
      <c r="Y3087" s="54">
        <f>R3087*W3087</f>
        <v>39.9</v>
      </c>
      <c r="Z3087" s="52">
        <f>S3087*W3087</f>
        <v>32.97520661157024</v>
      </c>
      <c r="AA3087" s="52">
        <f>T3087*W3087</f>
        <v>6.924793388429752</v>
      </c>
      <c r="AB3087" s="52">
        <f>V3087*W3087</f>
        <v>0</v>
      </c>
      <c r="AC3087" s="53">
        <f>(R3087+V3087)*W3087</f>
        <v>39.9</v>
      </c>
      <c r="AD3087" s="138">
        <v>39.9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109</v>
      </c>
      <c r="F3088" s="96" t="s">
        <v>111</v>
      </c>
      <c r="G3088" s="97">
        <v>46132</v>
      </c>
      <c r="H3088" s="98">
        <v>0.8299421296296297</v>
      </c>
      <c r="I3088" s="50">
        <v>169002841</v>
      </c>
      <c r="J3088" s="96" t="s">
        <v>157</v>
      </c>
      <c r="K3088" s="49" t="s">
        <v>3368</v>
      </c>
      <c r="L3088" s="39" t="s">
        <v>3369</v>
      </c>
      <c r="M3088" s="49" t="s">
        <v>255</v>
      </c>
      <c r="N3088" s="39" t="s">
        <v>256</v>
      </c>
      <c r="O3088" s="96" t="s">
        <v>3370</v>
      </c>
      <c r="P3088" s="49" t="s">
        <v>157</v>
      </c>
      <c r="Q3088" s="96" t="s">
        <v>104</v>
      </c>
      <c r="R3088" s="52">
        <v>39.9</v>
      </c>
      <c r="S3088" s="52">
        <f>R3088-T3088</f>
        <v>32.97520661157024</v>
      </c>
      <c r="T3088" s="52">
        <f>R3088*U3088/(U3088+100)</f>
        <v>6.924793388429752</v>
      </c>
      <c r="U3088" s="50">
        <v>21</v>
      </c>
      <c r="V3088" s="53">
        <v>0</v>
      </c>
      <c r="W3088" s="147">
        <v>1</v>
      </c>
      <c r="X3088" s="148" t="s">
        <v>163</v>
      </c>
      <c r="Y3088" s="54">
        <f>R3088*W3088</f>
        <v>39.9</v>
      </c>
      <c r="Z3088" s="52">
        <f>S3088*W3088</f>
        <v>32.97520661157024</v>
      </c>
      <c r="AA3088" s="52">
        <f>T3088*W3088</f>
        <v>6.924793388429752</v>
      </c>
      <c r="AB3088" s="52">
        <f>V3088*W3088</f>
        <v>0</v>
      </c>
      <c r="AC3088" s="53">
        <f>(R3088+V3088)*W3088</f>
        <v>39.9</v>
      </c>
      <c r="AD3088" s="138">
        <v>39.9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109</v>
      </c>
      <c r="F3089" s="96" t="s">
        <v>111</v>
      </c>
      <c r="G3089" s="97">
        <v>46132</v>
      </c>
      <c r="H3089" s="98">
        <v>0.8313773148148148</v>
      </c>
      <c r="I3089" s="50">
        <v>169002842</v>
      </c>
      <c r="J3089" s="96" t="s">
        <v>157</v>
      </c>
      <c r="K3089" s="49" t="s">
        <v>3916</v>
      </c>
      <c r="L3089" s="39" t="s">
        <v>3917</v>
      </c>
      <c r="M3089" s="49" t="s">
        <v>255</v>
      </c>
      <c r="N3089" s="39" t="s">
        <v>256</v>
      </c>
      <c r="O3089" s="96" t="s">
        <v>3918</v>
      </c>
      <c r="P3089" s="49" t="s">
        <v>157</v>
      </c>
      <c r="Q3089" s="96" t="s">
        <v>104</v>
      </c>
      <c r="R3089" s="52">
        <v>32.9</v>
      </c>
      <c r="S3089" s="52">
        <f>R3089-T3089</f>
        <v>27.1900826446281</v>
      </c>
      <c r="T3089" s="52">
        <f>R3089*U3089/(U3089+100)</f>
        <v>5.709917355371901</v>
      </c>
      <c r="U3089" s="50">
        <v>21</v>
      </c>
      <c r="V3089" s="53">
        <v>3</v>
      </c>
      <c r="W3089" s="147">
        <v>1</v>
      </c>
      <c r="X3089" s="148" t="s">
        <v>163</v>
      </c>
      <c r="Y3089" s="54">
        <f>R3089*W3089</f>
        <v>32.9</v>
      </c>
      <c r="Z3089" s="52">
        <f>S3089*W3089</f>
        <v>27.1900826446281</v>
      </c>
      <c r="AA3089" s="52">
        <f>T3089*W3089</f>
        <v>5.709917355371901</v>
      </c>
      <c r="AB3089" s="52">
        <f>V3089*W3089</f>
        <v>3</v>
      </c>
      <c r="AC3089" s="53">
        <f>(R3089+V3089)*W3089</f>
        <v>35.9</v>
      </c>
      <c r="AD3089" s="138">
        <v>32.9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109</v>
      </c>
      <c r="F3090" s="96" t="s">
        <v>111</v>
      </c>
      <c r="G3090" s="97">
        <v>46132</v>
      </c>
      <c r="H3090" s="98">
        <v>0.8320601851851852</v>
      </c>
      <c r="I3090" s="50">
        <v>169002843</v>
      </c>
      <c r="J3090" s="96" t="s">
        <v>157</v>
      </c>
      <c r="K3090" s="49" t="s">
        <v>183</v>
      </c>
      <c r="L3090" s="39" t="s">
        <v>184</v>
      </c>
      <c r="M3090" s="49" t="s">
        <v>185</v>
      </c>
      <c r="N3090" s="39" t="s">
        <v>186</v>
      </c>
      <c r="O3090" s="96" t="s">
        <v>988</v>
      </c>
      <c r="P3090" s="49" t="s">
        <v>157</v>
      </c>
      <c r="Q3090" s="96" t="s">
        <v>104</v>
      </c>
      <c r="R3090" s="52">
        <v>1.9</v>
      </c>
      <c r="S3090" s="52">
        <f>R3090-T3090</f>
        <v>1.5702479338842974</v>
      </c>
      <c r="T3090" s="52">
        <f>R3090*U3090/(U3090+100)</f>
        <v>0.32975206611570246</v>
      </c>
      <c r="U3090" s="50">
        <v>21</v>
      </c>
      <c r="V3090" s="53">
        <v>0</v>
      </c>
      <c r="W3090" s="147">
        <v>1</v>
      </c>
      <c r="X3090" s="148" t="s">
        <v>163</v>
      </c>
      <c r="Y3090" s="54">
        <f>R3090*W3090</f>
        <v>1.9</v>
      </c>
      <c r="Z3090" s="52">
        <f>S3090*W3090</f>
        <v>1.5702479338842974</v>
      </c>
      <c r="AA3090" s="52">
        <f>T3090*W3090</f>
        <v>0.32975206611570246</v>
      </c>
      <c r="AB3090" s="52">
        <f>V3090*W3090</f>
        <v>0</v>
      </c>
      <c r="AC3090" s="53">
        <f>(R3090+V3090)*W3090</f>
        <v>1.9</v>
      </c>
      <c r="AD3090" s="138">
        <v>1.9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109</v>
      </c>
      <c r="F3091" s="96" t="s">
        <v>111</v>
      </c>
      <c r="G3091" s="97">
        <v>46132</v>
      </c>
      <c r="H3091" s="98">
        <v>0.8324652777777778</v>
      </c>
      <c r="I3091" s="50">
        <v>169002844</v>
      </c>
      <c r="J3091" s="96" t="s">
        <v>157</v>
      </c>
      <c r="K3091" s="49" t="s">
        <v>1783</v>
      </c>
      <c r="L3091" s="39" t="s">
        <v>1784</v>
      </c>
      <c r="M3091" s="49" t="s">
        <v>364</v>
      </c>
      <c r="N3091" s="39" t="s">
        <v>1785</v>
      </c>
      <c r="O3091" s="96" t="s">
        <v>1786</v>
      </c>
      <c r="P3091" s="49" t="s">
        <v>157</v>
      </c>
      <c r="Q3091" s="96" t="s">
        <v>104</v>
      </c>
      <c r="R3091" s="52">
        <v>8.4</v>
      </c>
      <c r="S3091" s="52">
        <f>R3091-T3091</f>
        <v>7.5</v>
      </c>
      <c r="T3091" s="52">
        <f>R3091*U3091/(U3091+100)</f>
        <v>0.9000000000000001</v>
      </c>
      <c r="U3091" s="50">
        <v>12</v>
      </c>
      <c r="V3091" s="53">
        <v>0</v>
      </c>
      <c r="W3091" s="147">
        <v>1</v>
      </c>
      <c r="X3091" s="148" t="s">
        <v>163</v>
      </c>
      <c r="Y3091" s="54">
        <f>R3091*W3091</f>
        <v>8.4</v>
      </c>
      <c r="Z3091" s="52">
        <f>S3091*W3091</f>
        <v>7.5</v>
      </c>
      <c r="AA3091" s="52">
        <f>T3091*W3091</f>
        <v>0.9000000000000001</v>
      </c>
      <c r="AB3091" s="52">
        <f>V3091*W3091</f>
        <v>0</v>
      </c>
      <c r="AC3091" s="53">
        <f>(R3091+V3091)*W3091</f>
        <v>8.4</v>
      </c>
      <c r="AD3091" s="138">
        <v>8.4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109</v>
      </c>
      <c r="F3092" s="96" t="s">
        <v>111</v>
      </c>
      <c r="G3092" s="97">
        <v>46132</v>
      </c>
      <c r="H3092" s="98">
        <v>0.8324652777777778</v>
      </c>
      <c r="I3092" s="50">
        <v>169002844</v>
      </c>
      <c r="J3092" s="96" t="s">
        <v>157</v>
      </c>
      <c r="K3092" s="49" t="s">
        <v>303</v>
      </c>
      <c r="L3092" s="39" t="s">
        <v>304</v>
      </c>
      <c r="M3092" s="49" t="s">
        <v>214</v>
      </c>
      <c r="N3092" s="39" t="s">
        <v>296</v>
      </c>
      <c r="O3092" s="96" t="s">
        <v>305</v>
      </c>
      <c r="P3092" s="49" t="s">
        <v>157</v>
      </c>
      <c r="Q3092" s="96" t="s">
        <v>104</v>
      </c>
      <c r="R3092" s="52">
        <v>11.9</v>
      </c>
      <c r="S3092" s="52">
        <f>R3092-T3092</f>
        <v>10.625</v>
      </c>
      <c r="T3092" s="52">
        <f>R3092*U3092/(U3092+100)</f>
        <v>1.2750000000000001</v>
      </c>
      <c r="U3092" s="50">
        <v>12</v>
      </c>
      <c r="V3092" s="53">
        <v>0</v>
      </c>
      <c r="W3092" s="147">
        <v>1</v>
      </c>
      <c r="X3092" s="148" t="s">
        <v>163</v>
      </c>
      <c r="Y3092" s="54">
        <f>R3092*W3092</f>
        <v>11.9</v>
      </c>
      <c r="Z3092" s="52">
        <f>S3092*W3092</f>
        <v>10.625</v>
      </c>
      <c r="AA3092" s="52">
        <f>T3092*W3092</f>
        <v>1.2750000000000001</v>
      </c>
      <c r="AB3092" s="52">
        <f>V3092*W3092</f>
        <v>0</v>
      </c>
      <c r="AC3092" s="53">
        <f>(R3092+V3092)*W3092</f>
        <v>11.9</v>
      </c>
      <c r="AD3092" s="138">
        <v>11.9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109</v>
      </c>
      <c r="F3093" s="96" t="s">
        <v>111</v>
      </c>
      <c r="G3093" s="97">
        <v>46132</v>
      </c>
      <c r="H3093" s="98">
        <v>0.8324652777777778</v>
      </c>
      <c r="I3093" s="50">
        <v>169002844</v>
      </c>
      <c r="J3093" s="96" t="s">
        <v>157</v>
      </c>
      <c r="K3093" s="49" t="s">
        <v>3127</v>
      </c>
      <c r="L3093" s="39" t="s">
        <v>3128</v>
      </c>
      <c r="M3093" s="49" t="s">
        <v>277</v>
      </c>
      <c r="N3093" s="39" t="s">
        <v>3129</v>
      </c>
      <c r="O3093" s="96" t="s">
        <v>3130</v>
      </c>
      <c r="P3093" s="49" t="s">
        <v>157</v>
      </c>
      <c r="Q3093" s="96" t="s">
        <v>104</v>
      </c>
      <c r="R3093" s="52">
        <v>223.93</v>
      </c>
      <c r="S3093" s="52">
        <f>R3093-T3093</f>
        <v>199.9375</v>
      </c>
      <c r="T3093" s="52">
        <f>R3093*U3093/(U3093+100)</f>
        <v>23.9925</v>
      </c>
      <c r="U3093" s="50">
        <v>12</v>
      </c>
      <c r="V3093" s="53">
        <v>0</v>
      </c>
      <c r="W3093" s="147">
        <v>0.11</v>
      </c>
      <c r="X3093" s="148" t="s">
        <v>193</v>
      </c>
      <c r="Y3093" s="54">
        <f>R3093*W3093</f>
        <v>24.6323</v>
      </c>
      <c r="Z3093" s="52">
        <f>S3093*W3093</f>
        <v>21.993125</v>
      </c>
      <c r="AA3093" s="52">
        <f>T3093*W3093</f>
        <v>2.639175</v>
      </c>
      <c r="AB3093" s="52">
        <f>V3093*W3093</f>
        <v>0</v>
      </c>
      <c r="AC3093" s="53">
        <f>(R3093+V3093)*W3093</f>
        <v>24.6323</v>
      </c>
      <c r="AD3093" s="138">
        <v>319.9</v>
      </c>
      <c r="AE3093" s="137">
        <v>95.97</v>
      </c>
      <c r="AF3093" s="139">
        <v>10.5567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 t="s">
        <v>131</v>
      </c>
      <c r="J1" s="101"/>
      <c r="K1" s="101"/>
      <c r="L1" s="101"/>
      <c r="M1" s="101"/>
      <c r="N1" s="149" t="s">
        <v>132</v>
      </c>
      <c r="O1" s="149"/>
      <c r="P1" s="149"/>
      <c r="Q1" s="149"/>
      <c r="R1" s="149"/>
      <c r="S1" s="150" t="s">
        <v>133</v>
      </c>
      <c r="T1" s="150"/>
      <c r="U1" s="64" t="s">
        <v>134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131</v>
      </c>
      <c r="O2" s="163"/>
      <c r="P2" s="163"/>
      <c r="Q2" s="163"/>
      <c r="R2" s="164" t="s">
        <v>143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118</v>
      </c>
      <c r="C3" s="185" t="s">
        <v>68</v>
      </c>
      <c r="D3" s="119" t="s">
        <v>119</v>
      </c>
      <c r="E3" s="117" t="s">
        <v>69</v>
      </c>
      <c r="F3" s="120" t="s">
        <v>66</v>
      </c>
      <c r="G3" s="145" t="s">
        <v>120</v>
      </c>
      <c r="H3" s="186" t="s">
        <v>121</v>
      </c>
      <c r="I3" s="187" t="s">
        <v>136</v>
      </c>
      <c r="J3" s="188" t="s">
        <v>137</v>
      </c>
      <c r="K3" s="189" t="s">
        <v>138</v>
      </c>
      <c r="L3" s="189" t="s">
        <v>139</v>
      </c>
      <c r="M3" s="190" t="s">
        <v>140</v>
      </c>
      <c r="N3" s="191" t="s">
        <v>145</v>
      </c>
      <c r="O3" s="192" t="s">
        <v>146</v>
      </c>
      <c r="P3" s="193" t="s">
        <v>49</v>
      </c>
      <c r="Q3" s="194" t="s">
        <v>147</v>
      </c>
      <c r="R3" s="195" t="s">
        <v>148</v>
      </c>
      <c r="S3" s="196" t="s">
        <v>133</v>
      </c>
      <c r="T3" s="190" t="s">
        <v>144</v>
      </c>
      <c r="U3" s="197" t="s">
        <v>149</v>
      </c>
      <c r="V3" s="197" t="s">
        <v>150</v>
      </c>
      <c r="W3" s="197" t="s">
        <v>151</v>
      </c>
      <c r="X3" s="198" t="s">
        <v>152</v>
      </c>
      <c r="Y3" s="199" t="s">
        <v>153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